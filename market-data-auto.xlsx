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iayi\AI-Projects\market-dashboard-codex\"/>
    </mc:Choice>
  </mc:AlternateContent>
  <xr:revisionPtr revIDLastSave="0" documentId="13_ncr:1_{56E9759B-9C15-4B18-A0A0-8226D3ED17A5}" xr6:coauthVersionLast="47" xr6:coauthVersionMax="47" xr10:uidLastSave="{00000000-0000-0000-0000-000000000000}"/>
  <bookViews>
    <workbookView xWindow="-98" yWindow="-98" windowWidth="21795" windowHeight="12975" tabRatio="887" xr2:uid="{00000000-000D-0000-FFFF-FFFF00000000}"/>
  </bookViews>
  <sheets>
    <sheet name="权益-全球股指" sheetId="36" r:id="rId1"/>
    <sheet name="权益-A股交易量" sheetId="7" r:id="rId2"/>
    <sheet name="权益-南北向" sheetId="48" r:id="rId3"/>
    <sheet name="权益-两融余额" sheetId="49" r:id="rId4"/>
    <sheet name="权益-VIX" sheetId="44" r:id="rId5"/>
    <sheet name="权益-散户情绪资金流向" sheetId="50" r:id="rId6"/>
    <sheet name="固收-债券指数" sheetId="11" r:id="rId7"/>
    <sheet name="固收-债券收益率" sheetId="3" r:id="rId8"/>
    <sheet name="固收-DR001收盘价" sheetId="14" r:id="rId9"/>
    <sheet name="固收-同业拆借利率" sheetId="35" r:id="rId10"/>
    <sheet name="外汇-美元指数&amp;人民币汇率" sheetId="42" r:id="rId11"/>
    <sheet name="大宗商品-石油价格" sheetId="5" r:id="rId12"/>
    <sheet name="大宗商品-黄金价格" sheetId="4" r:id="rId13"/>
    <sheet name="衍生品-50ETF期权" sheetId="58" r:id="rId14"/>
  </sheets>
  <externalReferences>
    <externalReference r:id="rId15"/>
  </externalReferences>
  <definedNames>
    <definedName name="_xlnm._FilterDatabase" localSheetId="5" hidden="1">'权益-散户情绪资金流向'!$A$9:$D$72</definedName>
    <definedName name="_xlnm._FilterDatabase" localSheetId="13" hidden="1">'衍生品-50ETF期权'!$A$13:$K$13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0" l="1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E1529" i="7"/>
  <c r="F1529" i="7" s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J9" i="48"/>
  <c r="E5" i="35"/>
  <c r="B11" i="49"/>
  <c r="A9" i="48"/>
  <c r="E9" i="48"/>
  <c r="E10" i="49"/>
  <c r="E1" i="35"/>
  <c r="H4" i="36"/>
  <c r="R4" i="36"/>
  <c r="B5" i="35"/>
  <c r="C3" i="7"/>
  <c r="J4" i="36"/>
  <c r="B5" i="11"/>
  <c r="B4" i="36"/>
  <c r="B1" i="35"/>
  <c r="E1" i="42"/>
  <c r="B3" i="7"/>
  <c r="B5" i="5"/>
  <c r="I5" i="7"/>
  <c r="E5" i="42"/>
  <c r="N4" i="36"/>
  <c r="B5" i="44"/>
  <c r="F4" i="36"/>
  <c r="B5" i="4"/>
  <c r="B5" i="14"/>
  <c r="D4" i="36"/>
  <c r="F1" i="7"/>
  <c r="B5" i="7"/>
  <c r="B1" i="44"/>
  <c r="C3" i="11"/>
  <c r="F5" i="7"/>
  <c r="B5" i="3"/>
  <c r="B5" i="42"/>
  <c r="L4" i="36"/>
  <c r="I1" i="7"/>
  <c r="A14" i="58"/>
  <c r="A9" i="50"/>
  <c r="B1" i="14"/>
  <c r="B1" i="42"/>
  <c r="B3" i="11"/>
  <c r="P4" i="36"/>
  <c r="D5" i="7" l="1"/>
  <c r="G1529" i="7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F72" i="50"/>
  <c r="F71" i="50"/>
  <c r="F70" i="50"/>
  <c r="F69" i="50"/>
  <c r="F68" i="50"/>
  <c r="F67" i="50"/>
  <c r="F66" i="50"/>
  <c r="F65" i="50"/>
  <c r="F64" i="50"/>
  <c r="F63" i="50"/>
  <c r="F62" i="50"/>
  <c r="F61" i="50"/>
  <c r="F60" i="50"/>
  <c r="F59" i="50"/>
  <c r="F58" i="50"/>
  <c r="F57" i="50"/>
  <c r="F56" i="50"/>
  <c r="F55" i="50"/>
  <c r="F54" i="50"/>
  <c r="F53" i="50"/>
  <c r="F52" i="50"/>
  <c r="F51" i="50"/>
  <c r="F50" i="50"/>
  <c r="F49" i="50"/>
  <c r="F48" i="50"/>
  <c r="F47" i="50"/>
  <c r="F46" i="50"/>
  <c r="F45" i="50"/>
  <c r="F44" i="50"/>
  <c r="F43" i="50"/>
  <c r="F42" i="50"/>
  <c r="F41" i="50"/>
  <c r="F40" i="50"/>
  <c r="F39" i="50"/>
  <c r="F38" i="50"/>
  <c r="F37" i="50"/>
  <c r="F36" i="50"/>
  <c r="F35" i="50"/>
  <c r="F34" i="50"/>
  <c r="F33" i="50"/>
  <c r="F32" i="50"/>
  <c r="F31" i="50"/>
  <c r="F30" i="50"/>
  <c r="F29" i="50"/>
  <c r="F28" i="50"/>
  <c r="F27" i="50"/>
  <c r="F26" i="50"/>
  <c r="F25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F11" i="50"/>
  <c r="F10" i="50"/>
  <c r="J121" i="48"/>
  <c r="J120" i="48"/>
  <c r="J119" i="48"/>
  <c r="J118" i="48"/>
  <c r="J117" i="48"/>
  <c r="J116" i="48"/>
  <c r="J115" i="48"/>
  <c r="J114" i="48"/>
  <c r="J113" i="48"/>
  <c r="J112" i="48"/>
  <c r="J111" i="48"/>
  <c r="J110" i="48"/>
  <c r="J109" i="48"/>
  <c r="J108" i="48"/>
  <c r="J107" i="48"/>
  <c r="J106" i="48"/>
  <c r="J105" i="48"/>
  <c r="J104" i="48"/>
  <c r="J103" i="48"/>
  <c r="J102" i="48"/>
  <c r="J101" i="48"/>
  <c r="J100" i="48"/>
  <c r="J99" i="48"/>
  <c r="J98" i="48"/>
  <c r="J97" i="48"/>
  <c r="J96" i="48"/>
  <c r="J95" i="48"/>
  <c r="J94" i="48"/>
  <c r="J93" i="48"/>
  <c r="J92" i="48"/>
  <c r="J91" i="48"/>
  <c r="J90" i="48"/>
  <c r="J89" i="48"/>
  <c r="J88" i="48"/>
  <c r="J87" i="48"/>
  <c r="J86" i="48"/>
  <c r="J85" i="48"/>
  <c r="J84" i="48"/>
  <c r="J83" i="48"/>
  <c r="J82" i="48"/>
  <c r="J81" i="48"/>
  <c r="J80" i="48"/>
  <c r="J79" i="48"/>
  <c r="J78" i="48"/>
  <c r="J77" i="48"/>
  <c r="J76" i="48"/>
  <c r="J75" i="48"/>
  <c r="J74" i="48"/>
  <c r="J73" i="48"/>
  <c r="J72" i="48"/>
  <c r="J71" i="48"/>
  <c r="J70" i="48"/>
  <c r="J69" i="48"/>
  <c r="J68" i="48"/>
  <c r="J67" i="48"/>
  <c r="J66" i="48"/>
  <c r="J65" i="48"/>
  <c r="J64" i="48"/>
  <c r="J63" i="48"/>
  <c r="J62" i="48"/>
  <c r="J61" i="48"/>
  <c r="J60" i="48"/>
  <c r="J59" i="48"/>
  <c r="J58" i="48"/>
  <c r="J57" i="48"/>
  <c r="J56" i="48"/>
  <c r="J55" i="48"/>
  <c r="J54" i="48"/>
  <c r="J53" i="48"/>
  <c r="J52" i="48"/>
  <c r="J51" i="48"/>
  <c r="J50" i="48"/>
  <c r="J49" i="48"/>
  <c r="J48" i="48"/>
  <c r="J47" i="48"/>
  <c r="J46" i="48"/>
  <c r="J45" i="48"/>
  <c r="J44" i="48"/>
  <c r="J43" i="48"/>
  <c r="J42" i="48"/>
  <c r="J41" i="48"/>
  <c r="J40" i="48"/>
  <c r="J3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K116" i="7"/>
  <c r="L116" i="7" s="1"/>
  <c r="K115" i="7"/>
  <c r="L115" i="7" s="1"/>
  <c r="K111" i="7"/>
  <c r="L111" i="7" s="1"/>
  <c r="K110" i="7"/>
  <c r="L110" i="7" s="1"/>
  <c r="K105" i="7"/>
  <c r="L105" i="7" s="1"/>
  <c r="K104" i="7"/>
  <c r="L104" i="7" s="1"/>
  <c r="K98" i="7"/>
  <c r="L98" i="7" s="1"/>
  <c r="K97" i="7"/>
  <c r="L97" i="7" s="1"/>
  <c r="K96" i="7"/>
  <c r="L96" i="7" s="1"/>
  <c r="K95" i="7"/>
  <c r="L95" i="7" s="1"/>
  <c r="K94" i="7"/>
  <c r="L94" i="7" s="1"/>
  <c r="K90" i="7"/>
  <c r="L90" i="7" s="1"/>
  <c r="K89" i="7"/>
  <c r="L89" i="7" s="1"/>
  <c r="K88" i="7"/>
  <c r="L88" i="7" s="1"/>
  <c r="K87" i="7"/>
  <c r="L87" i="7" s="1"/>
  <c r="K86" i="7"/>
  <c r="L86" i="7" s="1"/>
  <c r="K85" i="7"/>
  <c r="L85" i="7" s="1"/>
  <c r="K84" i="7"/>
  <c r="L84" i="7" s="1"/>
  <c r="K83" i="7"/>
  <c r="L83" i="7" s="1"/>
  <c r="K82" i="7"/>
  <c r="L82" i="7" s="1"/>
  <c r="K81" i="7"/>
  <c r="L81" i="7" s="1"/>
  <c r="K80" i="7"/>
  <c r="L80" i="7" s="1"/>
  <c r="K79" i="7"/>
  <c r="L79" i="7" s="1"/>
  <c r="K78" i="7"/>
  <c r="L78" i="7" s="1"/>
  <c r="K77" i="7"/>
  <c r="L77" i="7" s="1"/>
  <c r="K76" i="7"/>
  <c r="L76" i="7" s="1"/>
  <c r="K75" i="7"/>
  <c r="L75" i="7" s="1"/>
  <c r="K74" i="7"/>
  <c r="L74" i="7" s="1"/>
  <c r="K73" i="7"/>
  <c r="L73" i="7" s="1"/>
  <c r="K72" i="7"/>
  <c r="L72" i="7" s="1"/>
  <c r="K71" i="7"/>
  <c r="L71" i="7" s="1"/>
  <c r="K70" i="7"/>
  <c r="L70" i="7" s="1"/>
  <c r="K69" i="7"/>
  <c r="L69" i="7" s="1"/>
  <c r="K68" i="7"/>
  <c r="L68" i="7" s="1"/>
  <c r="K67" i="7"/>
  <c r="L67" i="7" s="1"/>
  <c r="K66" i="7"/>
  <c r="L66" i="7" s="1"/>
  <c r="K65" i="7"/>
  <c r="L65" i="7" s="1"/>
  <c r="K64" i="7"/>
  <c r="L64" i="7" s="1"/>
  <c r="K63" i="7"/>
  <c r="L63" i="7" s="1"/>
  <c r="K62" i="7"/>
  <c r="L62" i="7" s="1"/>
  <c r="K61" i="7"/>
  <c r="L61" i="7" s="1"/>
  <c r="K60" i="7"/>
  <c r="L60" i="7" s="1"/>
  <c r="K59" i="7"/>
  <c r="L59" i="7" s="1"/>
  <c r="K58" i="7"/>
  <c r="L58" i="7" s="1"/>
  <c r="K57" i="7"/>
  <c r="L57" i="7" s="1"/>
  <c r="K56" i="7"/>
  <c r="L56" i="7" s="1"/>
  <c r="K55" i="7"/>
  <c r="L55" i="7" s="1"/>
  <c r="K54" i="7"/>
  <c r="L54" i="7" s="1"/>
  <c r="K53" i="7"/>
  <c r="L53" i="7" s="1"/>
  <c r="K52" i="7"/>
  <c r="L52" i="7" s="1"/>
  <c r="K51" i="7"/>
  <c r="L51" i="7" s="1"/>
  <c r="K50" i="7"/>
  <c r="L50" i="7" s="1"/>
  <c r="K49" i="7"/>
  <c r="L49" i="7" s="1"/>
  <c r="K48" i="7"/>
  <c r="L48" i="7" s="1"/>
  <c r="K47" i="7"/>
  <c r="L47" i="7" s="1"/>
  <c r="K46" i="7"/>
  <c r="L46" i="7" s="1"/>
  <c r="K45" i="7"/>
  <c r="L45" i="7" s="1"/>
  <c r="K44" i="7"/>
  <c r="L44" i="7" s="1"/>
  <c r="K43" i="7"/>
  <c r="L43" i="7" s="1"/>
  <c r="K42" i="7"/>
  <c r="L42" i="7" s="1"/>
  <c r="K41" i="7"/>
  <c r="L41" i="7" s="1"/>
  <c r="K40" i="7"/>
  <c r="L40" i="7" s="1"/>
  <c r="K39" i="7"/>
  <c r="L39" i="7" s="1"/>
  <c r="K38" i="7"/>
  <c r="L38" i="7" s="1"/>
  <c r="K37" i="7"/>
  <c r="L37" i="7" s="1"/>
  <c r="K36" i="7"/>
  <c r="L36" i="7" s="1"/>
  <c r="K35" i="7"/>
  <c r="L35" i="7" s="1"/>
  <c r="K34" i="7"/>
  <c r="L34" i="7" s="1"/>
  <c r="K33" i="7"/>
  <c r="L33" i="7" s="1"/>
  <c r="K32" i="7"/>
  <c r="L32" i="7" s="1"/>
  <c r="K31" i="7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19" i="58"/>
  <c r="K18" i="58"/>
  <c r="K17" i="58"/>
  <c r="K16" i="58"/>
  <c r="K15" i="58"/>
  <c r="K14" i="58"/>
  <c r="H1529" i="7" l="1"/>
  <c r="M96" i="7"/>
  <c r="K5" i="7"/>
  <c r="I1529" i="7" l="1"/>
  <c r="J1529" i="7" l="1"/>
  <c r="K1529" i="7" l="1"/>
  <c r="L152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27D0A2A3-09F3-4D10-ACAA-16ECE32D3816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F5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I5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9" authorId="0" shapeId="0" xr:uid="{00000000-0006-0000-0B00-000002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E9" authorId="0" shapeId="0" xr:uid="{00000000-0006-0000-0B00-000003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0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B11" authorId="0" shapeId="0" xr:uid="{00000000-0006-0000-0900-000002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9" authorId="0" shapeId="0" xr:uid="{00000000-0006-0000-0E00-000001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A71" authorId="0" shapeId="0" xr:uid="{00000000-0006-0000-0E00-000002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10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12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14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E5" authorId="0" shapeId="0" xr:uid="{00000000-0006-0000-1400-000002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E6" authorId="0" shapeId="0" xr:uid="{CD6C6AC2-DE20-46B7-AD2F-67A8B90B8868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B17" authorId="0" shapeId="0" xr:uid="{7E26710C-77B3-4419-934B-35CEED9E1091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B31" authorId="0" shapeId="0" xr:uid="{A96B0828-C434-4D21-A7C1-485839D9FA23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B32" authorId="0" shapeId="0" xr:uid="{A7A4373F-CD9B-493D-A6E4-A3B7568DFC27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E5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6" authorId="0" shapeId="0" xr:uid="{00000000-0006-0000-0C00-000001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A14" authorId="0" shapeId="0" xr:uid="{00000000-0006-0000-0C00-000002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E21" authorId="0" shapeId="0" xr:uid="{00000000-0006-0000-0C00-000003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A106" authorId="0" shapeId="0" xr:uid="{00000000-0006-0000-0C00-000004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A145" authorId="0" shapeId="0" xr:uid="{00000000-0006-0000-0C00-000005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A146" authorId="0" shapeId="0" xr:uid="{00000000-0006-0000-0C00-000006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<sst xmlns="http://schemas.openxmlformats.org/spreadsheetml/2006/main" count="936" uniqueCount="142">
  <si>
    <t>开始日期</t>
  </si>
  <si>
    <t>SPX.GI</t>
  </si>
  <si>
    <t>标普500</t>
  </si>
  <si>
    <t>法国CAC40</t>
  </si>
  <si>
    <t>德国DAX</t>
  </si>
  <si>
    <t>日经225</t>
  </si>
  <si>
    <t>韩国综合指数</t>
  </si>
  <si>
    <t>恒生指数</t>
  </si>
  <si>
    <t>000001.SH</t>
  </si>
  <si>
    <t>上证指数</t>
  </si>
  <si>
    <r>
      <rPr>
        <sz val="9"/>
        <color theme="1"/>
        <rFont val="宋体"/>
        <family val="3"/>
        <charset val="134"/>
      </rPr>
      <t>收盘价</t>
    </r>
  </si>
  <si>
    <t>close</t>
  </si>
  <si>
    <r>
      <rPr>
        <sz val="9"/>
        <color theme="1"/>
        <rFont val="宋体"/>
        <family val="3"/>
        <charset val="134"/>
      </rPr>
      <t>日期</t>
    </r>
  </si>
  <si>
    <t>Date</t>
  </si>
  <si>
    <t>CBA00203.CS</t>
  </si>
  <si>
    <t>CBA20103.CS</t>
  </si>
  <si>
    <r>
      <rPr>
        <sz val="9"/>
        <color theme="1"/>
        <rFont val="宋体"/>
        <family val="3"/>
        <charset val="134"/>
      </rPr>
      <t>现货价</t>
    </r>
    <r>
      <rPr>
        <sz val="9"/>
        <color theme="1"/>
        <rFont val="Arial"/>
        <family val="2"/>
      </rPr>
      <t>:</t>
    </r>
    <r>
      <rPr>
        <sz val="9"/>
        <color theme="1"/>
        <rFont val="宋体"/>
        <family val="3"/>
        <charset val="134"/>
      </rPr>
      <t>原油</t>
    </r>
    <r>
      <rPr>
        <sz val="9"/>
        <color theme="1"/>
        <rFont val="Arial"/>
        <family val="2"/>
      </rPr>
      <t>:</t>
    </r>
    <r>
      <rPr>
        <sz val="9"/>
        <color theme="1"/>
        <rFont val="宋体"/>
        <family val="3"/>
        <charset val="134"/>
      </rPr>
      <t>英国布伦特</t>
    </r>
    <r>
      <rPr>
        <sz val="9"/>
        <color theme="1"/>
        <rFont val="Arial"/>
        <family val="2"/>
      </rPr>
      <t>Dtd</t>
    </r>
  </si>
  <si>
    <t>S5111905</t>
  </si>
  <si>
    <t>EDBclose</t>
  </si>
  <si>
    <r>
      <rPr>
        <sz val="9"/>
        <color theme="1"/>
        <rFont val="宋体"/>
        <family val="3"/>
        <charset val="134"/>
      </rPr>
      <t>伦敦现货黄金</t>
    </r>
    <r>
      <rPr>
        <sz val="9"/>
        <color theme="1"/>
        <rFont val="Arial"/>
        <family val="2"/>
      </rPr>
      <t>:</t>
    </r>
    <r>
      <rPr>
        <sz val="9"/>
        <color theme="1"/>
        <rFont val="宋体"/>
        <family val="3"/>
        <charset val="134"/>
      </rPr>
      <t>以美元计价</t>
    </r>
  </si>
  <si>
    <t>S0031645</t>
  </si>
  <si>
    <t>USDX.FX</t>
  </si>
  <si>
    <t>USDCNY.EX</t>
  </si>
  <si>
    <t>VIX.GI</t>
  </si>
  <si>
    <r>
      <rPr>
        <sz val="9"/>
        <color theme="1"/>
        <rFont val="宋体"/>
        <family val="3"/>
        <charset val="134"/>
      </rPr>
      <t>成交额</t>
    </r>
  </si>
  <si>
    <t>amt</t>
  </si>
  <si>
    <t>399001.SZ</t>
  </si>
  <si>
    <t>十亿</t>
  </si>
  <si>
    <t>数据集名称</t>
  </si>
  <si>
    <t>融资规模分析(数值)</t>
  </si>
  <si>
    <t>两融规模分析(数值)</t>
  </si>
  <si>
    <t>市场类型</t>
  </si>
  <si>
    <t>沪深两市</t>
  </si>
  <si>
    <t>20200102</t>
  </si>
  <si>
    <t>结束日期</t>
  </si>
  <si>
    <t>频率</t>
  </si>
  <si>
    <t>日</t>
  </si>
  <si>
    <t>日期排序</t>
  </si>
  <si>
    <t>升序</t>
  </si>
  <si>
    <t>end_date</t>
  </si>
  <si>
    <t>total_balance</t>
  </si>
  <si>
    <t>total_balance_ratio_A-Share_NegMktCap</t>
  </si>
  <si>
    <t>margin_balance</t>
  </si>
  <si>
    <t>short_balance</t>
  </si>
  <si>
    <t>total_trade_amount</t>
  </si>
  <si>
    <t>total_balance_ratio_A-Share_amount</t>
  </si>
  <si>
    <t>margin_purchase_amount</t>
  </si>
  <si>
    <t>margin_sell_amount</t>
  </si>
  <si>
    <t>total_amount_ratio_A-Share_amount</t>
  </si>
  <si>
    <t>截止日</t>
  </si>
  <si>
    <t>两融交易额</t>
  </si>
  <si>
    <t>两融交易额占A股成交额(%)</t>
  </si>
  <si>
    <t>融资买入额</t>
  </si>
  <si>
    <t>融资卖出额</t>
  </si>
  <si>
    <t>买入额占A股成交额(%)</t>
  </si>
  <si>
    <t>沪港通成交统计</t>
  </si>
  <si>
    <t>深港通成交统计</t>
  </si>
  <si>
    <t>20200125</t>
  </si>
  <si>
    <t>统计周期</t>
  </si>
  <si>
    <t>沪港通币种</t>
  </si>
  <si>
    <t>港币</t>
  </si>
  <si>
    <t>深港通币种</t>
  </si>
  <si>
    <t>date</t>
  </si>
  <si>
    <t>sh_net_purchases</t>
  </si>
  <si>
    <t>hk_net_purchases</t>
  </si>
  <si>
    <t>sz_net_purchases</t>
  </si>
  <si>
    <t>日期</t>
  </si>
  <si>
    <t>沪股通-成交净买入(亿元,人民币)</t>
  </si>
  <si>
    <t>港股通-成交净买入(亿元,港元)</t>
  </si>
  <si>
    <t>深股通-成交净买入(亿元,人民币)</t>
  </si>
  <si>
    <t>路径：Wind插件-数据集-期权-沪深交易所期权-日成交统计</t>
  </si>
  <si>
    <t>日认购成交量</t>
  </si>
  <si>
    <t>日认沽成交量</t>
  </si>
  <si>
    <t>日成交统计(沪深)</t>
  </si>
  <si>
    <t>交易所</t>
  </si>
  <si>
    <t>上交所</t>
  </si>
  <si>
    <t>标的</t>
  </si>
  <si>
    <t>510050.SH</t>
  </si>
  <si>
    <t>mark_code</t>
  </si>
  <si>
    <t>mark_name</t>
  </si>
  <si>
    <t>daily_volume</t>
  </si>
  <si>
    <t>daily_call_volume</t>
  </si>
  <si>
    <t>daily_put_volume</t>
  </si>
  <si>
    <t>daily_contract_rate</t>
  </si>
  <si>
    <t>daily_position</t>
  </si>
  <si>
    <t>daily_call_position</t>
  </si>
  <si>
    <t>daily_put_position</t>
  </si>
  <si>
    <t>标的代码</t>
  </si>
  <si>
    <t>标的名称</t>
  </si>
  <si>
    <t>日成交量</t>
  </si>
  <si>
    <t>日认沽/认购</t>
  </si>
  <si>
    <t>日持仓量</t>
  </si>
  <si>
    <t>日认购持仓量</t>
  </si>
  <si>
    <t>日认沽持仓量</t>
  </si>
  <si>
    <t>上证50ETF</t>
  </si>
  <si>
    <t>市场资金流向</t>
  </si>
  <si>
    <t>20200320</t>
  </si>
  <si>
    <t>板块</t>
  </si>
  <si>
    <t>沪深300</t>
  </si>
  <si>
    <t>证券类型</t>
  </si>
  <si>
    <t>A</t>
  </si>
  <si>
    <t>largeBillInflowMoney</t>
  </si>
  <si>
    <t>middleBillInflowMoney</t>
  </si>
  <si>
    <t>smallBillInflowMoney</t>
  </si>
  <si>
    <t>大单净流入额(万元)</t>
  </si>
  <si>
    <t>中单净流入额(万元)</t>
  </si>
  <si>
    <t>小单净流入额(万元)</t>
  </si>
  <si>
    <t>散户交易金额（亿元）</t>
  </si>
  <si>
    <r>
      <rPr>
        <sz val="9"/>
        <color theme="1"/>
        <rFont val="宋体"/>
        <family val="3"/>
        <charset val="134"/>
      </rPr>
      <t>中债国债到期收益率</t>
    </r>
    <r>
      <rPr>
        <sz val="9"/>
        <color theme="1"/>
        <rFont val="Arial"/>
        <family val="2"/>
      </rPr>
      <t>:10</t>
    </r>
    <r>
      <rPr>
        <sz val="9"/>
        <color theme="1"/>
        <rFont val="宋体"/>
        <family val="3"/>
        <charset val="134"/>
      </rPr>
      <t>年</t>
    </r>
  </si>
  <si>
    <r>
      <rPr>
        <sz val="9"/>
        <color theme="1"/>
        <rFont val="宋体"/>
        <family val="3"/>
        <charset val="134"/>
      </rPr>
      <t>美国</t>
    </r>
    <r>
      <rPr>
        <sz val="9"/>
        <color theme="1"/>
        <rFont val="Arial"/>
        <family val="2"/>
      </rPr>
      <t>:</t>
    </r>
    <r>
      <rPr>
        <sz val="9"/>
        <color theme="1"/>
        <rFont val="宋体"/>
        <family val="3"/>
        <charset val="134"/>
      </rPr>
      <t>国债收益率</t>
    </r>
    <r>
      <rPr>
        <sz val="9"/>
        <color theme="1"/>
        <rFont val="Arial"/>
        <family val="2"/>
      </rPr>
      <t>:10</t>
    </r>
    <r>
      <rPr>
        <sz val="9"/>
        <color theme="1"/>
        <rFont val="宋体"/>
        <family val="3"/>
        <charset val="134"/>
      </rPr>
      <t>年</t>
    </r>
  </si>
  <si>
    <t>S0059749</t>
  </si>
  <si>
    <t>G0000891</t>
  </si>
  <si>
    <t>DR001.IB</t>
  </si>
  <si>
    <t>LIUSDON.IR</t>
  </si>
  <si>
    <t>SHIBORON.IR</t>
  </si>
  <si>
    <t>510050.SH</t>
    <phoneticPr fontId="7" type="noConversion"/>
  </si>
  <si>
    <t>富时100</t>
    <phoneticPr fontId="7" type="noConversion"/>
  </si>
  <si>
    <t>道琼斯</t>
    <phoneticPr fontId="7" type="noConversion"/>
  </si>
  <si>
    <t>上证50ETF华夏</t>
  </si>
  <si>
    <t>上证50ETF华夏</t>
    <phoneticPr fontId="7" type="noConversion"/>
  </si>
  <si>
    <t>港股通-成交净买入(亿元,港元)</t>
    <phoneticPr fontId="7" type="noConversion"/>
  </si>
  <si>
    <t>南向-成交净买入(亿元,港元)</t>
    <phoneticPr fontId="7" type="noConversion"/>
  </si>
  <si>
    <t>A股总成交额（亿元）</t>
    <phoneticPr fontId="7" type="noConversion"/>
  </si>
  <si>
    <t>融资余额</t>
    <phoneticPr fontId="7" type="noConversion"/>
  </si>
  <si>
    <t>融券余额</t>
    <phoneticPr fontId="7" type="noConversion"/>
  </si>
  <si>
    <t>融资融券余额(沪深两市)</t>
    <phoneticPr fontId="7" type="noConversion"/>
  </si>
  <si>
    <t>两融余额占A股流通市值(%)</t>
    <phoneticPr fontId="7" type="noConversion"/>
  </si>
  <si>
    <r>
      <t>EDBclose</t>
    </r>
    <r>
      <rPr>
        <sz val="9"/>
        <color theme="1"/>
        <rFont val="等线"/>
        <family val="2"/>
        <charset val="134"/>
      </rPr>
      <t>（美元</t>
    </r>
    <r>
      <rPr>
        <sz val="9"/>
        <color theme="1"/>
        <rFont val="Arial"/>
        <family val="2"/>
      </rPr>
      <t xml:space="preserve"> / </t>
    </r>
    <r>
      <rPr>
        <sz val="9"/>
        <color theme="1"/>
        <rFont val="等线"/>
        <family val="2"/>
        <charset val="134"/>
      </rPr>
      <t>桶）</t>
    </r>
    <phoneticPr fontId="7" type="noConversion"/>
  </si>
  <si>
    <r>
      <t>EDBclose</t>
    </r>
    <r>
      <rPr>
        <sz val="9"/>
        <color theme="1"/>
        <rFont val="等线"/>
        <family val="2"/>
        <charset val="134"/>
      </rPr>
      <t>（美元</t>
    </r>
    <r>
      <rPr>
        <sz val="9"/>
        <color theme="1"/>
        <rFont val="Arial"/>
        <family val="2"/>
      </rPr>
      <t xml:space="preserve"> / </t>
    </r>
    <r>
      <rPr>
        <sz val="9"/>
        <color theme="1"/>
        <rFont val="等线"/>
        <family val="2"/>
        <charset val="134"/>
      </rPr>
      <t>盎司）</t>
    </r>
    <phoneticPr fontId="7" type="noConversion"/>
  </si>
  <si>
    <t>close</t>
    <phoneticPr fontId="7" type="noConversion"/>
  </si>
  <si>
    <r>
      <rPr>
        <sz val="9"/>
        <color theme="1"/>
        <rFont val="宋体"/>
        <family val="3"/>
        <charset val="134"/>
      </rPr>
      <t>收盘价</t>
    </r>
    <r>
      <rPr>
        <sz val="9"/>
        <color theme="1"/>
        <rFont val="等线"/>
        <family val="2"/>
        <charset val="134"/>
      </rPr>
      <t>（%）</t>
    </r>
    <phoneticPr fontId="7" type="noConversion"/>
  </si>
  <si>
    <t>EDBclose</t>
    <phoneticPr fontId="7" type="noConversion"/>
  </si>
  <si>
    <r>
      <rPr>
        <sz val="9"/>
        <color theme="1"/>
        <rFont val="宋体"/>
        <family val="3"/>
        <charset val="134"/>
      </rPr>
      <t>收盘价(元</t>
    </r>
    <r>
      <rPr>
        <sz val="9"/>
        <color theme="1"/>
        <rFont val="Arial"/>
        <family val="3"/>
      </rPr>
      <t xml:space="preserve"> / </t>
    </r>
    <r>
      <rPr>
        <sz val="9"/>
        <color theme="1"/>
        <rFont val="等线"/>
        <family val="3"/>
        <charset val="134"/>
      </rPr>
      <t>美元</t>
    </r>
    <r>
      <rPr>
        <sz val="9"/>
        <color theme="1"/>
        <rFont val="宋体"/>
        <family val="3"/>
        <charset val="134"/>
      </rPr>
      <t>)</t>
    </r>
    <phoneticPr fontId="7" type="noConversion"/>
  </si>
  <si>
    <t>SPX.GI</t>
    <phoneticPr fontId="7" type="noConversion"/>
  </si>
  <si>
    <t>DJI.GI</t>
    <phoneticPr fontId="7" type="noConversion"/>
  </si>
  <si>
    <t>FTSE.GI</t>
    <phoneticPr fontId="7" type="noConversion"/>
  </si>
  <si>
    <t>HSI.HI</t>
    <phoneticPr fontId="7" type="noConversion"/>
  </si>
  <si>
    <t>N225.GI</t>
    <phoneticPr fontId="7" type="noConversion"/>
  </si>
  <si>
    <t>000001.SH</t>
    <phoneticPr fontId="7" type="noConversion"/>
  </si>
  <si>
    <t>FCHI.GI</t>
    <phoneticPr fontId="7" type="noConversion"/>
  </si>
  <si>
    <t>GDAXI.GI</t>
    <phoneticPr fontId="7" type="noConversion"/>
  </si>
  <si>
    <t>KS11.GI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</si>
</sst>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yyyy\-mm\-dd"/>
    <numFmt numFmtId="177" formatCode="0.0000"/>
    <numFmt numFmtId="178" formatCode="#,##0.######"/>
    <numFmt numFmtId="179" formatCode="#,##0.0000_ "/>
    <numFmt numFmtId="180" formatCode="0.0000_ "/>
  </numFmts>
  <fonts count="13" x14ac:knownFonts="1">
    <font>
      <sz val="11"/>
      <color theme="1"/>
      <name val="宋体"/>
      <charset val="134"/>
      <scheme val="minor"/>
    </font>
    <font>
      <sz val="12"/>
      <name val="Calibri"/>
      <family val="2"/>
    </font>
    <font>
      <sz val="9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等线"/>
      <family val="2"/>
      <charset val="134"/>
    </font>
    <font>
      <sz val="9"/>
      <color theme="1"/>
      <name val="Arial"/>
      <family val="3"/>
      <charset val="134"/>
    </font>
    <font>
      <sz val="9"/>
      <color theme="1"/>
      <name val="Arial"/>
      <family val="3"/>
    </font>
    <font>
      <sz val="9"/>
      <color theme="1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43" fontId="4" fillId="0" borderId="0" applyFont="0" applyFill="0" applyBorder="0" applyAlignment="0" applyProtection="0">
      <alignment vertical="center"/>
    </xf>
  </cellStyleXfs>
  <cellXfs count="57">
    <xf numFmtId="0" fontId="0" fillId="0" borderId="0" xfId="0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6" fontId="0" fillId="3" borderId="0" xfId="0" applyNumberFormat="1" applyFill="1" applyAlignment="1">
      <alignment horizontal="right"/>
    </xf>
    <xf numFmtId="0" fontId="0" fillId="4" borderId="0" xfId="0" applyFill="1"/>
    <xf numFmtId="0" fontId="0" fillId="3" borderId="0" xfId="0" applyFill="1"/>
    <xf numFmtId="10" fontId="0" fillId="0" borderId="0" xfId="1" applyNumberFormat="1" applyFont="1" applyAlignment="1"/>
    <xf numFmtId="176" fontId="2" fillId="2" borderId="0" xfId="0" applyNumberFormat="1" applyFont="1" applyFill="1" applyAlignment="1">
      <alignment horizontal="right"/>
    </xf>
    <xf numFmtId="177" fontId="2" fillId="2" borderId="0" xfId="0" applyNumberFormat="1" applyFont="1" applyFill="1" applyAlignment="1">
      <alignment horizontal="right"/>
    </xf>
    <xf numFmtId="176" fontId="2" fillId="4" borderId="0" xfId="0" applyNumberFormat="1" applyFont="1" applyFill="1" applyAlignment="1">
      <alignment horizontal="right"/>
    </xf>
    <xf numFmtId="177" fontId="2" fillId="4" borderId="0" xfId="0" applyNumberFormat="1" applyFont="1" applyFill="1" applyAlignment="1">
      <alignment horizontal="right"/>
    </xf>
    <xf numFmtId="176" fontId="2" fillId="5" borderId="0" xfId="0" applyNumberFormat="1" applyFont="1" applyFill="1" applyAlignment="1">
      <alignment horizontal="right"/>
    </xf>
    <xf numFmtId="177" fontId="2" fillId="5" borderId="0" xfId="0" applyNumberFormat="1" applyFont="1" applyFill="1" applyAlignment="1">
      <alignment horizontal="right"/>
    </xf>
    <xf numFmtId="177" fontId="0" fillId="3" borderId="0" xfId="0" applyNumberFormat="1" applyFill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6" borderId="0" xfId="0" applyFill="1"/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3" fontId="0" fillId="4" borderId="0" xfId="0" applyNumberFormat="1" applyFill="1" applyAlignment="1">
      <alignment horizontal="right"/>
    </xf>
    <xf numFmtId="178" fontId="0" fillId="4" borderId="0" xfId="0" applyNumberFormat="1" applyFill="1" applyAlignment="1">
      <alignment horizontal="right"/>
    </xf>
    <xf numFmtId="3" fontId="0" fillId="5" borderId="0" xfId="0" applyNumberFormat="1" applyFill="1" applyAlignment="1">
      <alignment horizontal="right"/>
    </xf>
    <xf numFmtId="179" fontId="0" fillId="3" borderId="0" xfId="0" applyNumberFormat="1" applyFill="1"/>
    <xf numFmtId="179" fontId="0" fillId="0" borderId="0" xfId="0" applyNumberFormat="1"/>
    <xf numFmtId="0" fontId="0" fillId="4" borderId="0" xfId="0" applyFill="1" applyAlignment="1">
      <alignment horizontal="right"/>
    </xf>
    <xf numFmtId="49" fontId="0" fillId="4" borderId="0" xfId="0" applyNumberFormat="1" applyFill="1" applyAlignment="1">
      <alignment horizontal="right"/>
    </xf>
    <xf numFmtId="0" fontId="3" fillId="6" borderId="0" xfId="0" applyFont="1" applyFill="1"/>
    <xf numFmtId="3" fontId="0" fillId="6" borderId="0" xfId="0" applyNumberFormat="1" applyFill="1" applyAlignment="1">
      <alignment horizontal="right"/>
    </xf>
    <xf numFmtId="176" fontId="0" fillId="7" borderId="0" xfId="0" applyNumberFormat="1" applyFill="1" applyAlignment="1">
      <alignment horizontal="right"/>
    </xf>
    <xf numFmtId="178" fontId="0" fillId="7" borderId="0" xfId="0" applyNumberFormat="1" applyFill="1" applyAlignment="1">
      <alignment horizontal="right"/>
    </xf>
    <xf numFmtId="176" fontId="0" fillId="5" borderId="0" xfId="0" applyNumberFormat="1" applyFill="1" applyAlignment="1">
      <alignment horizontal="right"/>
    </xf>
    <xf numFmtId="178" fontId="0" fillId="5" borderId="0" xfId="0" applyNumberFormat="1" applyFill="1" applyAlignment="1">
      <alignment horizontal="right"/>
    </xf>
    <xf numFmtId="180" fontId="0" fillId="0" borderId="0" xfId="0" applyNumberFormat="1"/>
    <xf numFmtId="180" fontId="0" fillId="4" borderId="0" xfId="0" applyNumberFormat="1" applyFill="1"/>
    <xf numFmtId="0" fontId="0" fillId="5" borderId="0" xfId="0" applyFill="1"/>
    <xf numFmtId="180" fontId="0" fillId="5" borderId="0" xfId="0" applyNumberFormat="1" applyFill="1"/>
    <xf numFmtId="0" fontId="0" fillId="2" borderId="0" xfId="0" applyFill="1"/>
    <xf numFmtId="49" fontId="0" fillId="3" borderId="0" xfId="0" applyNumberFormat="1" applyFill="1" applyAlignment="1">
      <alignment horizontal="right"/>
    </xf>
    <xf numFmtId="49" fontId="8" fillId="3" borderId="0" xfId="0" applyNumberFormat="1" applyFont="1" applyFill="1" applyAlignment="1">
      <alignment horizontal="right"/>
    </xf>
    <xf numFmtId="0" fontId="3" fillId="0" borderId="0" xfId="0" applyFont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3" borderId="0" xfId="0" applyFont="1" applyFill="1"/>
    <xf numFmtId="1" fontId="0" fillId="0" borderId="0" xfId="0" applyNumberFormat="1"/>
    <xf numFmtId="0" fontId="3" fillId="4" borderId="0" xfId="0" applyFont="1" applyFill="1" applyAlignment="1">
      <alignment horizontal="right"/>
    </xf>
    <xf numFmtId="0" fontId="4" fillId="4" borderId="0" xfId="0" applyFont="1" applyFill="1"/>
    <xf numFmtId="0" fontId="4" fillId="0" borderId="0" xfId="0" applyFont="1"/>
    <xf numFmtId="0" fontId="10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0" fillId="3" borderId="0" xfId="0" applyFill="1" applyAlignment="1">
      <alignment horizontal="center" vertical="center"/>
    </xf>
    <xf numFmtId="0" fontId="2" fillId="0" borderId="0" xfId="0" applyNumberFormat="1" applyFont="1" applyAlignment="1">
      <alignment horizontal="right"/>
    </xf>
  </cellXfs>
  <cellStyles count="7">
    <cellStyle name="百分比" xfId="1" builtinId="5"/>
    <cellStyle name="百分比 3" xfId="2" xr:uid="{00000000-0005-0000-0000-000031000000}"/>
    <cellStyle name="常规" xfId="0" builtinId="0"/>
    <cellStyle name="常规 2" xfId="3" xr:uid="{00000000-0005-0000-0000-000032000000}"/>
    <cellStyle name="常规 3" xfId="4" xr:uid="{00000000-0005-0000-0000-000033000000}"/>
    <cellStyle name="常规 4" xfId="5" xr:uid="{00000000-0005-0000-0000-000034000000}"/>
    <cellStyle name="千位分隔 2" xfId="6" xr:uid="{00000000-0005-0000-0000-00003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Wind/Wind.NET.Client/WindNET/DataBrowse/XLA/WindFunc.xla" TargetMode="External"/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WSD"/>
      <definedName name="wset"/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R1537"/>
  <sheetViews>
    <sheetView tabSelected="1" topLeftCell="A48" zoomScale="118" zoomScaleNormal="118" workbookViewId="0">
      <selection activeCell="I99" sqref="I99"/>
    </sheetView>
  </sheetViews>
  <sheetFormatPr defaultColWidth="9" defaultRowHeight="13.5" x14ac:dyDescent="0.3"/>
  <cols>
    <col min="1" max="1" width="15" customWidth="1"/>
    <col min="2" max="2" width="13.796875" style="17" customWidth="1"/>
    <col min="3" max="3" width="11.1328125" style="17" bestFit="1" customWidth="1"/>
    <col min="4" max="4" width="12.9296875" customWidth="1"/>
    <col min="5" max="5" width="11.1328125" bestFit="1" customWidth="1"/>
    <col min="6" max="7" width="11.3984375" bestFit="1" customWidth="1"/>
    <col min="8" max="8" width="21.19921875" customWidth="1"/>
    <col min="9" max="9" width="11" customWidth="1"/>
    <col min="10" max="10" width="11.1328125" bestFit="1" customWidth="1"/>
    <col min="11" max="11" width="11" customWidth="1"/>
    <col min="12" max="13" width="11.1328125" bestFit="1" customWidth="1"/>
    <col min="14" max="14" width="10.06640625" bestFit="1" customWidth="1"/>
    <col min="15" max="17" width="11.1328125" bestFit="1" customWidth="1"/>
    <col min="18" max="18" width="12.86328125" bestFit="1" customWidth="1"/>
  </cols>
  <sheetData>
    <row r="1" spans="1:18" x14ac:dyDescent="0.3">
      <c r="B1" s="46" t="s">
        <v>133</v>
      </c>
      <c r="D1" s="46" t="s">
        <v>134</v>
      </c>
      <c r="F1" s="46" t="s">
        <v>135</v>
      </c>
      <c r="H1" s="46" t="s">
        <v>136</v>
      </c>
      <c r="I1" s="44"/>
      <c r="J1" s="46" t="s">
        <v>137</v>
      </c>
      <c r="K1" s="44"/>
      <c r="L1" s="46" t="s">
        <v>138</v>
      </c>
      <c r="M1" s="44"/>
      <c r="N1" s="46" t="s">
        <v>139</v>
      </c>
      <c r="O1" s="44"/>
      <c r="P1" s="46" t="s">
        <v>140</v>
      </c>
      <c r="Q1" s="44"/>
      <c r="R1" s="46" t="s">
        <v>141</v>
      </c>
    </row>
    <row r="2" spans="1:18" x14ac:dyDescent="0.3">
      <c r="A2" s="44" t="s">
        <v>1</v>
      </c>
      <c r="B2" s="44" t="s">
        <v>2</v>
      </c>
      <c r="D2" s="46" t="s">
        <v>117</v>
      </c>
      <c r="F2" s="46" t="s">
        <v>116</v>
      </c>
      <c r="H2" s="44" t="s">
        <v>7</v>
      </c>
      <c r="I2" s="44"/>
      <c r="J2" s="44" t="s">
        <v>5</v>
      </c>
      <c r="K2" s="44"/>
      <c r="L2" s="44" t="s">
        <v>9</v>
      </c>
      <c r="M2" s="44"/>
      <c r="N2" s="44" t="s">
        <v>3</v>
      </c>
      <c r="O2" s="44"/>
      <c r="P2" s="44" t="s">
        <v>4</v>
      </c>
      <c r="Q2" s="44"/>
      <c r="R2" s="44" t="s">
        <v>6</v>
      </c>
    </row>
    <row r="3" spans="1:18" x14ac:dyDescent="0.3">
      <c r="B3" s="45" t="s">
        <v>129</v>
      </c>
      <c r="D3" s="45" t="s">
        <v>129</v>
      </c>
      <c r="F3" s="45" t="s">
        <v>129</v>
      </c>
      <c r="H3" s="45" t="s">
        <v>129</v>
      </c>
      <c r="I3" s="45"/>
      <c r="J3" s="45" t="s">
        <v>129</v>
      </c>
      <c r="K3" s="45"/>
      <c r="L3" s="45" t="s">
        <v>129</v>
      </c>
      <c r="M3" s="45"/>
      <c r="N3" s="45" t="s">
        <v>129</v>
      </c>
      <c r="O3" s="45"/>
      <c r="P3" s="45" t="s">
        <v>129</v>
      </c>
      <c r="Q3" s="45"/>
      <c r="R3" s="45" t="s">
        <v>129</v>
      </c>
    </row>
    <row r="4" spans="1:18" x14ac:dyDescent="0.3">
      <c r="A4" s="4">
        <v>46027</v>
      </c>
      <c r="B4" s="5">
        <f>[1]!WSD("SPX.GI","close","2026-01-01","","TradingCalendar=SSE","rptType=1","ShowParams=Y","cols=1;rows=83")</f>
        <v>6902.05</v>
      </c>
      <c r="C4" s="4">
        <v>46027</v>
      </c>
      <c r="D4" s="5">
        <f>[1]!WSD("DJI.GI","close","2026-01-01","","TradingCalendar=SSE","rptType=1","ShowParams=Y","cols=1;rows=83")</f>
        <v>48977.18</v>
      </c>
      <c r="E4" s="4">
        <v>46027</v>
      </c>
      <c r="F4" s="5">
        <f>[1]!WSD("FTSE.GI","close","2026-01-01","","TradingCalendar=SSE","rptType=1","ShowParams=Y","cols=1;rows=83")</f>
        <v>10004.57</v>
      </c>
      <c r="G4" s="4">
        <v>46027</v>
      </c>
      <c r="H4" s="5">
        <f>[1]!WSD("HSI.HI","close","2026-01-01","","TradingCalendar=SSE","rptType=1","ShowParams=Y","cols=1;rows=83")</f>
        <v>26347.24</v>
      </c>
      <c r="I4" s="4">
        <v>46027</v>
      </c>
      <c r="J4" s="5">
        <f>[1]!WSD("N225.GI","close","2026-01-01","","TradingCalendar=SSE","rptType=1","ShowParams=Y","cols=1;rows=83")</f>
        <v>51832.800000000003</v>
      </c>
      <c r="K4" s="4">
        <v>46027</v>
      </c>
      <c r="L4" s="5">
        <f>[1]!WSD("000001.SH","close","2026-01-01","","TradingCalendar=SSE","rptType=1","ShowParams=Y","cols=1;rows=83")</f>
        <v>4023.4167000000002</v>
      </c>
      <c r="M4" s="4">
        <v>46027</v>
      </c>
      <c r="N4" s="5">
        <f>[1]!WSD("FCHI.GI","close","2026-01-01","","TradingCalendar=SSE","rptType=1","ShowParams=Y","cols=1;rows=83")</f>
        <v>8211.5</v>
      </c>
      <c r="O4" s="4">
        <v>46027</v>
      </c>
      <c r="P4" s="5" t="str">
        <f>[1]!WSD("GDAXI.GI","close","2026-01-01","","TradingCalendar=SSE","rptType=1","ShowParams=Y","cols=1;rows=82")</f>
        <v>Fetching...</v>
      </c>
      <c r="Q4" s="4">
        <v>46027</v>
      </c>
      <c r="R4" s="5">
        <f>[1]!WSD("KS11.GI","close","2026-01-01","","TradingCalendar=SSE","rptType=1","ShowParams=Y","cols=1;rows=83")</f>
        <v>4457.5200000000004</v>
      </c>
    </row>
    <row r="5" spans="1:18" x14ac:dyDescent="0.3">
      <c r="A5" s="4">
        <v>46028</v>
      </c>
      <c r="B5" s="5">
        <v>6944.82</v>
      </c>
      <c r="C5" s="4">
        <v>46028</v>
      </c>
      <c r="D5" s="5">
        <v>49462.080000000002</v>
      </c>
      <c r="E5" s="4">
        <v>46028</v>
      </c>
      <c r="F5" s="5">
        <v>10122.73</v>
      </c>
      <c r="G5" s="4">
        <v>46028</v>
      </c>
      <c r="H5" s="5">
        <v>26710.45</v>
      </c>
      <c r="I5" s="4">
        <v>46028</v>
      </c>
      <c r="J5" s="5">
        <v>52518.080000000002</v>
      </c>
      <c r="K5" s="4">
        <v>46028</v>
      </c>
      <c r="L5" s="5">
        <v>4083.6671999999999</v>
      </c>
      <c r="M5" s="4">
        <v>46028</v>
      </c>
      <c r="N5" s="5">
        <v>8237.43</v>
      </c>
      <c r="O5" s="4">
        <v>46028</v>
      </c>
      <c r="P5" s="5">
        <v>24892.2</v>
      </c>
      <c r="Q5" s="4">
        <v>46028</v>
      </c>
      <c r="R5" s="5">
        <v>4525.4799999999996</v>
      </c>
    </row>
    <row r="6" spans="1:18" x14ac:dyDescent="0.3">
      <c r="A6" s="4">
        <v>46029</v>
      </c>
      <c r="B6" s="5">
        <v>6920.93</v>
      </c>
      <c r="C6" s="4">
        <v>46029</v>
      </c>
      <c r="D6" s="5">
        <v>48996.08</v>
      </c>
      <c r="E6" s="4">
        <v>46029</v>
      </c>
      <c r="F6" s="5">
        <v>10048.209999999999</v>
      </c>
      <c r="G6" s="4">
        <v>46029</v>
      </c>
      <c r="H6" s="5">
        <v>26458.95</v>
      </c>
      <c r="I6" s="4">
        <v>46029</v>
      </c>
      <c r="J6" s="5">
        <v>51961.98</v>
      </c>
      <c r="K6" s="4">
        <v>46029</v>
      </c>
      <c r="L6" s="5">
        <v>4085.7723000000001</v>
      </c>
      <c r="M6" s="4">
        <v>46029</v>
      </c>
      <c r="N6" s="5">
        <v>8233.92</v>
      </c>
      <c r="O6" s="4">
        <v>46029</v>
      </c>
      <c r="P6" s="5">
        <v>25122.26</v>
      </c>
      <c r="Q6" s="4">
        <v>46029</v>
      </c>
      <c r="R6" s="5">
        <v>4551.0600000000004</v>
      </c>
    </row>
    <row r="7" spans="1:18" x14ac:dyDescent="0.3">
      <c r="A7" s="4">
        <v>46030</v>
      </c>
      <c r="B7" s="5">
        <v>6921.46</v>
      </c>
      <c r="C7" s="4">
        <v>46030</v>
      </c>
      <c r="D7" s="5">
        <v>49266.11</v>
      </c>
      <c r="E7" s="4">
        <v>46030</v>
      </c>
      <c r="F7" s="5">
        <v>10044.69</v>
      </c>
      <c r="G7" s="4">
        <v>46030</v>
      </c>
      <c r="H7" s="5">
        <v>26149.31</v>
      </c>
      <c r="I7" s="4">
        <v>46030</v>
      </c>
      <c r="J7" s="5">
        <v>51117.26</v>
      </c>
      <c r="K7" s="4">
        <v>46030</v>
      </c>
      <c r="L7" s="5">
        <v>4082.9787999999999</v>
      </c>
      <c r="M7" s="4">
        <v>46030</v>
      </c>
      <c r="N7" s="5">
        <v>8243.4699999999993</v>
      </c>
      <c r="O7" s="4">
        <v>46030</v>
      </c>
      <c r="P7" s="5">
        <v>25127.46</v>
      </c>
      <c r="Q7" s="4">
        <v>46030</v>
      </c>
      <c r="R7" s="5">
        <v>4552.37</v>
      </c>
    </row>
    <row r="8" spans="1:18" x14ac:dyDescent="0.3">
      <c r="A8" s="4">
        <v>46031</v>
      </c>
      <c r="B8" s="5">
        <v>6966.28</v>
      </c>
      <c r="C8" s="4">
        <v>46031</v>
      </c>
      <c r="D8" s="5">
        <v>49504.07</v>
      </c>
      <c r="E8" s="4">
        <v>46031</v>
      </c>
      <c r="F8" s="5">
        <v>10124.6</v>
      </c>
      <c r="G8" s="4">
        <v>46031</v>
      </c>
      <c r="H8" s="5">
        <v>26231.79</v>
      </c>
      <c r="I8" s="4">
        <v>46031</v>
      </c>
      <c r="J8" s="5">
        <v>51939.89</v>
      </c>
      <c r="K8" s="4">
        <v>46031</v>
      </c>
      <c r="L8" s="5">
        <v>4120.4260000000004</v>
      </c>
      <c r="M8" s="4">
        <v>46031</v>
      </c>
      <c r="N8" s="5">
        <v>8362.09</v>
      </c>
      <c r="O8" s="4">
        <v>46031</v>
      </c>
      <c r="P8" s="5">
        <v>25261.64</v>
      </c>
      <c r="Q8" s="4">
        <v>46031</v>
      </c>
      <c r="R8" s="5">
        <v>4586.32</v>
      </c>
    </row>
    <row r="9" spans="1:18" x14ac:dyDescent="0.3">
      <c r="A9" s="4">
        <v>46034</v>
      </c>
      <c r="B9" s="5">
        <v>6977.27</v>
      </c>
      <c r="C9" s="4">
        <v>46034</v>
      </c>
      <c r="D9" s="5">
        <v>49590.2</v>
      </c>
      <c r="E9" s="4">
        <v>46034</v>
      </c>
      <c r="F9" s="5">
        <v>10140.700000000001</v>
      </c>
      <c r="G9" s="4">
        <v>46034</v>
      </c>
      <c r="H9" s="5">
        <v>26608.48</v>
      </c>
      <c r="I9" s="4">
        <v>46034</v>
      </c>
      <c r="J9" s="5">
        <v>51939.89</v>
      </c>
      <c r="K9" s="4">
        <v>46034</v>
      </c>
      <c r="L9" s="5">
        <v>4165.2870000000003</v>
      </c>
      <c r="M9" s="4">
        <v>46034</v>
      </c>
      <c r="N9" s="5">
        <v>8358.76</v>
      </c>
      <c r="O9" s="4">
        <v>46034</v>
      </c>
      <c r="P9" s="5">
        <v>25405.34</v>
      </c>
      <c r="Q9" s="4">
        <v>46034</v>
      </c>
      <c r="R9" s="5">
        <v>4624.79</v>
      </c>
    </row>
    <row r="10" spans="1:18" x14ac:dyDescent="0.3">
      <c r="A10" s="4">
        <v>46035</v>
      </c>
      <c r="B10" s="5">
        <v>6963.74</v>
      </c>
      <c r="C10" s="4">
        <v>46035</v>
      </c>
      <c r="D10" s="5">
        <v>49191.99</v>
      </c>
      <c r="E10" s="4">
        <v>46035</v>
      </c>
      <c r="F10" s="5">
        <v>10137.35</v>
      </c>
      <c r="G10" s="4">
        <v>46035</v>
      </c>
      <c r="H10" s="5">
        <v>26848.47</v>
      </c>
      <c r="I10" s="4">
        <v>46035</v>
      </c>
      <c r="J10" s="5">
        <v>53549.16</v>
      </c>
      <c r="K10" s="4">
        <v>46035</v>
      </c>
      <c r="L10" s="5">
        <v>4138.7584999999999</v>
      </c>
      <c r="M10" s="4">
        <v>46035</v>
      </c>
      <c r="N10" s="5">
        <v>8347.2000000000007</v>
      </c>
      <c r="O10" s="4">
        <v>46035</v>
      </c>
      <c r="P10" s="5">
        <v>25420.66</v>
      </c>
      <c r="Q10" s="4">
        <v>46035</v>
      </c>
      <c r="R10" s="5">
        <v>4692.6400000000003</v>
      </c>
    </row>
    <row r="11" spans="1:18" x14ac:dyDescent="0.3">
      <c r="A11" s="4">
        <v>46036</v>
      </c>
      <c r="B11" s="5">
        <v>6926.6</v>
      </c>
      <c r="C11" s="4">
        <v>46036</v>
      </c>
      <c r="D11" s="5">
        <v>49149.63</v>
      </c>
      <c r="E11" s="4">
        <v>46036</v>
      </c>
      <c r="F11" s="5">
        <v>10184.35</v>
      </c>
      <c r="G11" s="4">
        <v>46036</v>
      </c>
      <c r="H11" s="5">
        <v>26999.81</v>
      </c>
      <c r="I11" s="4">
        <v>46036</v>
      </c>
      <c r="J11" s="5">
        <v>54341.23</v>
      </c>
      <c r="K11" s="4">
        <v>46036</v>
      </c>
      <c r="L11" s="5">
        <v>4126.0932000000003</v>
      </c>
      <c r="M11" s="4">
        <v>46036</v>
      </c>
      <c r="N11" s="5">
        <v>8330.9699999999993</v>
      </c>
      <c r="O11" s="4">
        <v>46036</v>
      </c>
      <c r="P11" s="5">
        <v>25286.240000000002</v>
      </c>
      <c r="Q11" s="4">
        <v>46036</v>
      </c>
      <c r="R11" s="5">
        <v>4723.1000000000004</v>
      </c>
    </row>
    <row r="12" spans="1:18" x14ac:dyDescent="0.3">
      <c r="A12" s="4">
        <v>46037</v>
      </c>
      <c r="B12" s="5">
        <v>6944.47</v>
      </c>
      <c r="C12" s="4">
        <v>46037</v>
      </c>
      <c r="D12" s="5">
        <v>49442.44</v>
      </c>
      <c r="E12" s="4">
        <v>46037</v>
      </c>
      <c r="F12" s="5">
        <v>10238.94</v>
      </c>
      <c r="G12" s="4">
        <v>46037</v>
      </c>
      <c r="H12" s="5">
        <v>26923.62</v>
      </c>
      <c r="I12" s="4">
        <v>46037</v>
      </c>
      <c r="J12" s="5">
        <v>54110.5</v>
      </c>
      <c r="K12" s="4">
        <v>46037</v>
      </c>
      <c r="L12" s="5">
        <v>4112.6012000000001</v>
      </c>
      <c r="M12" s="4">
        <v>46037</v>
      </c>
      <c r="N12" s="5">
        <v>8313.1200000000008</v>
      </c>
      <c r="O12" s="4">
        <v>46037</v>
      </c>
      <c r="P12" s="5">
        <v>25352.39</v>
      </c>
      <c r="Q12" s="4">
        <v>46037</v>
      </c>
      <c r="R12" s="5">
        <v>4797.55</v>
      </c>
    </row>
    <row r="13" spans="1:18" x14ac:dyDescent="0.3">
      <c r="A13" s="4">
        <v>46038</v>
      </c>
      <c r="B13" s="5">
        <v>6940.01</v>
      </c>
      <c r="C13" s="4">
        <v>46038</v>
      </c>
      <c r="D13" s="5">
        <v>49359.33</v>
      </c>
      <c r="E13" s="4">
        <v>46038</v>
      </c>
      <c r="F13" s="5">
        <v>10235.290000000001</v>
      </c>
      <c r="G13" s="4">
        <v>46038</v>
      </c>
      <c r="H13" s="5">
        <v>26844.959999999999</v>
      </c>
      <c r="I13" s="4">
        <v>46038</v>
      </c>
      <c r="J13" s="5">
        <v>53936.17</v>
      </c>
      <c r="K13" s="4">
        <v>46038</v>
      </c>
      <c r="L13" s="5">
        <v>4101.9126999999999</v>
      </c>
      <c r="M13" s="4">
        <v>46038</v>
      </c>
      <c r="N13" s="5">
        <v>8258.94</v>
      </c>
      <c r="O13" s="4">
        <v>46038</v>
      </c>
      <c r="P13" s="5">
        <v>25297.13</v>
      </c>
      <c r="Q13" s="4">
        <v>46038</v>
      </c>
      <c r="R13" s="5">
        <v>4840.74</v>
      </c>
    </row>
    <row r="14" spans="1:18" x14ac:dyDescent="0.3">
      <c r="A14" s="4">
        <v>46041</v>
      </c>
      <c r="B14" s="5">
        <v>6940.01</v>
      </c>
      <c r="C14" s="4">
        <v>46041</v>
      </c>
      <c r="D14" s="5">
        <v>49359.33</v>
      </c>
      <c r="E14" s="4">
        <v>46041</v>
      </c>
      <c r="F14" s="5">
        <v>10195.35</v>
      </c>
      <c r="G14" s="4">
        <v>46041</v>
      </c>
      <c r="H14" s="5">
        <v>26563.9</v>
      </c>
      <c r="I14" s="4">
        <v>46041</v>
      </c>
      <c r="J14" s="5">
        <v>53583.57</v>
      </c>
      <c r="K14" s="4">
        <v>46041</v>
      </c>
      <c r="L14" s="5">
        <v>4114.0001000000002</v>
      </c>
      <c r="M14" s="4">
        <v>46041</v>
      </c>
      <c r="N14" s="5">
        <v>8112.02</v>
      </c>
      <c r="O14" s="4">
        <v>46041</v>
      </c>
      <c r="P14" s="5">
        <v>24959.06</v>
      </c>
      <c r="Q14" s="4">
        <v>46041</v>
      </c>
      <c r="R14" s="5">
        <v>4904.66</v>
      </c>
    </row>
    <row r="15" spans="1:18" x14ac:dyDescent="0.3">
      <c r="A15" s="4">
        <v>46042</v>
      </c>
      <c r="B15" s="5">
        <v>6796.86</v>
      </c>
      <c r="C15" s="4">
        <v>46042</v>
      </c>
      <c r="D15" s="5">
        <v>48488.59</v>
      </c>
      <c r="E15" s="4">
        <v>46042</v>
      </c>
      <c r="F15" s="5">
        <v>10126.780000000001</v>
      </c>
      <c r="G15" s="4">
        <v>46042</v>
      </c>
      <c r="H15" s="5">
        <v>26487.51</v>
      </c>
      <c r="I15" s="4">
        <v>46042</v>
      </c>
      <c r="J15" s="5">
        <v>52991.1</v>
      </c>
      <c r="K15" s="4">
        <v>46042</v>
      </c>
      <c r="L15" s="5">
        <v>4113.6490000000003</v>
      </c>
      <c r="M15" s="4">
        <v>46042</v>
      </c>
      <c r="N15" s="5">
        <v>8062.58</v>
      </c>
      <c r="O15" s="4">
        <v>46042</v>
      </c>
      <c r="P15" s="5">
        <v>24703.119999999999</v>
      </c>
      <c r="Q15" s="4">
        <v>46042</v>
      </c>
      <c r="R15" s="5">
        <v>4885.75</v>
      </c>
    </row>
    <row r="16" spans="1:18" x14ac:dyDescent="0.3">
      <c r="A16" s="4">
        <v>46043</v>
      </c>
      <c r="B16" s="5">
        <v>6875.62</v>
      </c>
      <c r="C16" s="4">
        <v>46043</v>
      </c>
      <c r="D16" s="5">
        <v>49077.23</v>
      </c>
      <c r="E16" s="4">
        <v>46043</v>
      </c>
      <c r="F16" s="5">
        <v>10138.09</v>
      </c>
      <c r="G16" s="4">
        <v>46043</v>
      </c>
      <c r="H16" s="5">
        <v>26585.06</v>
      </c>
      <c r="I16" s="4">
        <v>46043</v>
      </c>
      <c r="J16" s="5">
        <v>52774.64</v>
      </c>
      <c r="K16" s="4">
        <v>46043</v>
      </c>
      <c r="L16" s="5">
        <v>4116.9399999999996</v>
      </c>
      <c r="M16" s="4">
        <v>46043</v>
      </c>
      <c r="N16" s="5">
        <v>8069.17</v>
      </c>
      <c r="O16" s="4">
        <v>46043</v>
      </c>
      <c r="P16" s="5">
        <v>24560.98</v>
      </c>
      <c r="Q16" s="4">
        <v>46043</v>
      </c>
      <c r="R16" s="5">
        <v>4909.93</v>
      </c>
    </row>
    <row r="17" spans="1:18" x14ac:dyDescent="0.3">
      <c r="A17" s="4">
        <v>46044</v>
      </c>
      <c r="B17" s="5">
        <v>6913.35</v>
      </c>
      <c r="C17" s="4">
        <v>46044</v>
      </c>
      <c r="D17" s="5">
        <v>49384.01</v>
      </c>
      <c r="E17" s="4">
        <v>46044</v>
      </c>
      <c r="F17" s="5">
        <v>10150.049999999999</v>
      </c>
      <c r="G17" s="4">
        <v>46044</v>
      </c>
      <c r="H17" s="5">
        <v>26629.96</v>
      </c>
      <c r="I17" s="4">
        <v>46044</v>
      </c>
      <c r="J17" s="5">
        <v>53688.89</v>
      </c>
      <c r="K17" s="4">
        <v>46044</v>
      </c>
      <c r="L17" s="5">
        <v>4122.576</v>
      </c>
      <c r="M17" s="4">
        <v>46044</v>
      </c>
      <c r="N17" s="5">
        <v>8148.89</v>
      </c>
      <c r="O17" s="4">
        <v>46044</v>
      </c>
      <c r="P17" s="5">
        <v>24856.47</v>
      </c>
      <c r="Q17" s="4">
        <v>46044</v>
      </c>
      <c r="R17" s="5">
        <v>4952.53</v>
      </c>
    </row>
    <row r="18" spans="1:18" x14ac:dyDescent="0.3">
      <c r="A18" s="4">
        <v>46045</v>
      </c>
      <c r="B18" s="5">
        <v>6915.61</v>
      </c>
      <c r="C18" s="4">
        <v>46045</v>
      </c>
      <c r="D18" s="5">
        <v>49098.71</v>
      </c>
      <c r="E18" s="4">
        <v>46045</v>
      </c>
      <c r="F18" s="5">
        <v>10143.44</v>
      </c>
      <c r="G18" s="4">
        <v>46045</v>
      </c>
      <c r="H18" s="5">
        <v>26749.51</v>
      </c>
      <c r="I18" s="4">
        <v>46045</v>
      </c>
      <c r="J18" s="5">
        <v>53846.87</v>
      </c>
      <c r="K18" s="4">
        <v>46045</v>
      </c>
      <c r="L18" s="5">
        <v>4136.1642000000002</v>
      </c>
      <c r="M18" s="4">
        <v>46045</v>
      </c>
      <c r="N18" s="5">
        <v>8143.05</v>
      </c>
      <c r="O18" s="4">
        <v>46045</v>
      </c>
      <c r="P18" s="5">
        <v>24900.71</v>
      </c>
      <c r="Q18" s="4">
        <v>46045</v>
      </c>
      <c r="R18" s="5">
        <v>4990.07</v>
      </c>
    </row>
    <row r="19" spans="1:18" x14ac:dyDescent="0.3">
      <c r="A19" s="4">
        <v>46048</v>
      </c>
      <c r="B19" s="5">
        <v>6950.23</v>
      </c>
      <c r="C19" s="4">
        <v>46048</v>
      </c>
      <c r="D19" s="5">
        <v>49412.4</v>
      </c>
      <c r="E19" s="4">
        <v>46048</v>
      </c>
      <c r="F19" s="5">
        <v>10148.85</v>
      </c>
      <c r="G19" s="4">
        <v>46048</v>
      </c>
      <c r="H19" s="5">
        <v>26765.52</v>
      </c>
      <c r="I19" s="4">
        <v>46048</v>
      </c>
      <c r="J19" s="5">
        <v>52885.25</v>
      </c>
      <c r="K19" s="4">
        <v>46048</v>
      </c>
      <c r="L19" s="5">
        <v>4132.6052</v>
      </c>
      <c r="M19" s="4">
        <v>46048</v>
      </c>
      <c r="N19" s="5">
        <v>8131.15</v>
      </c>
      <c r="O19" s="4">
        <v>46048</v>
      </c>
      <c r="P19" s="5">
        <v>24933.08</v>
      </c>
      <c r="Q19" s="4">
        <v>46048</v>
      </c>
      <c r="R19" s="5">
        <v>4949.59</v>
      </c>
    </row>
    <row r="20" spans="1:18" x14ac:dyDescent="0.3">
      <c r="A20" s="4">
        <v>46049</v>
      </c>
      <c r="B20" s="5">
        <v>6978.6</v>
      </c>
      <c r="C20" s="4">
        <v>46049</v>
      </c>
      <c r="D20" s="5">
        <v>49003.41</v>
      </c>
      <c r="E20" s="4">
        <v>46049</v>
      </c>
      <c r="F20" s="5">
        <v>10207.799999999999</v>
      </c>
      <c r="G20" s="4">
        <v>46049</v>
      </c>
      <c r="H20" s="5">
        <v>27126.95</v>
      </c>
      <c r="I20" s="4">
        <v>46049</v>
      </c>
      <c r="J20" s="5">
        <v>53333.54</v>
      </c>
      <c r="K20" s="4">
        <v>46049</v>
      </c>
      <c r="L20" s="5">
        <v>4139.9040999999997</v>
      </c>
      <c r="M20" s="4">
        <v>46049</v>
      </c>
      <c r="N20" s="5">
        <v>8152.82</v>
      </c>
      <c r="O20" s="4">
        <v>46049</v>
      </c>
      <c r="P20" s="5">
        <v>24894.44</v>
      </c>
      <c r="Q20" s="4">
        <v>46049</v>
      </c>
      <c r="R20" s="5">
        <v>5084.8500000000004</v>
      </c>
    </row>
    <row r="21" spans="1:18" x14ac:dyDescent="0.3">
      <c r="A21" s="4">
        <v>46050</v>
      </c>
      <c r="B21" s="5">
        <v>6978.03</v>
      </c>
      <c r="C21" s="4">
        <v>46050</v>
      </c>
      <c r="D21" s="5">
        <v>49015.6</v>
      </c>
      <c r="E21" s="4">
        <v>46050</v>
      </c>
      <c r="F21" s="5">
        <v>10154.43</v>
      </c>
      <c r="G21" s="4">
        <v>46050</v>
      </c>
      <c r="H21" s="5">
        <v>27826.91</v>
      </c>
      <c r="I21" s="4">
        <v>46050</v>
      </c>
      <c r="J21" s="5">
        <v>53358.71</v>
      </c>
      <c r="K21" s="4">
        <v>46050</v>
      </c>
      <c r="L21" s="5">
        <v>4151.2377999999999</v>
      </c>
      <c r="M21" s="4">
        <v>46050</v>
      </c>
      <c r="N21" s="5">
        <v>8066.68</v>
      </c>
      <c r="O21" s="4">
        <v>46050</v>
      </c>
      <c r="P21" s="5">
        <v>24822.79</v>
      </c>
      <c r="Q21" s="4">
        <v>46050</v>
      </c>
      <c r="R21" s="5">
        <v>5170.8100000000004</v>
      </c>
    </row>
    <row r="22" spans="1:18" x14ac:dyDescent="0.3">
      <c r="A22" s="4">
        <v>46051</v>
      </c>
      <c r="B22" s="5">
        <v>6969.01</v>
      </c>
      <c r="C22" s="4">
        <v>46051</v>
      </c>
      <c r="D22" s="5">
        <v>49071.56</v>
      </c>
      <c r="E22" s="4">
        <v>46051</v>
      </c>
      <c r="F22" s="5">
        <v>10171.76</v>
      </c>
      <c r="G22" s="4">
        <v>46051</v>
      </c>
      <c r="H22" s="5">
        <v>27968.09</v>
      </c>
      <c r="I22" s="4">
        <v>46051</v>
      </c>
      <c r="J22" s="5">
        <v>53375.6</v>
      </c>
      <c r="K22" s="4">
        <v>46051</v>
      </c>
      <c r="L22" s="5">
        <v>4157.9844999999996</v>
      </c>
      <c r="M22" s="4">
        <v>46051</v>
      </c>
      <c r="N22" s="5">
        <v>8071.36</v>
      </c>
      <c r="O22" s="4">
        <v>46051</v>
      </c>
      <c r="P22" s="5">
        <v>24309.46</v>
      </c>
      <c r="Q22" s="4">
        <v>46051</v>
      </c>
      <c r="R22" s="5">
        <v>5221.25</v>
      </c>
    </row>
    <row r="23" spans="1:18" x14ac:dyDescent="0.3">
      <c r="A23" s="4">
        <v>46052</v>
      </c>
      <c r="B23" s="5">
        <v>6939.03</v>
      </c>
      <c r="C23" s="4">
        <v>46052</v>
      </c>
      <c r="D23" s="5">
        <v>48892.47</v>
      </c>
      <c r="E23" s="4">
        <v>46052</v>
      </c>
      <c r="F23" s="5">
        <v>10223.540000000001</v>
      </c>
      <c r="G23" s="4">
        <v>46052</v>
      </c>
      <c r="H23" s="5">
        <v>27387.11</v>
      </c>
      <c r="I23" s="4">
        <v>46052</v>
      </c>
      <c r="J23" s="5">
        <v>53322.85</v>
      </c>
      <c r="K23" s="4">
        <v>46052</v>
      </c>
      <c r="L23" s="5">
        <v>4117.9476000000004</v>
      </c>
      <c r="M23" s="4">
        <v>46052</v>
      </c>
      <c r="N23" s="5">
        <v>8126.53</v>
      </c>
      <c r="O23" s="4">
        <v>46052</v>
      </c>
      <c r="P23" s="5">
        <v>24538.81</v>
      </c>
      <c r="Q23" s="4">
        <v>46052</v>
      </c>
      <c r="R23" s="5">
        <v>5224.3599999999997</v>
      </c>
    </row>
    <row r="24" spans="1:18" x14ac:dyDescent="0.3">
      <c r="A24" s="4">
        <v>46055</v>
      </c>
      <c r="B24" s="5">
        <v>6976.44</v>
      </c>
      <c r="C24" s="4">
        <v>46055</v>
      </c>
      <c r="D24" s="5">
        <v>49407.66</v>
      </c>
      <c r="E24" s="4">
        <v>46055</v>
      </c>
      <c r="F24" s="5">
        <v>10341.56</v>
      </c>
      <c r="G24" s="4">
        <v>46055</v>
      </c>
      <c r="H24" s="5">
        <v>26775.57</v>
      </c>
      <c r="I24" s="4">
        <v>46055</v>
      </c>
      <c r="J24" s="5">
        <v>52655.18</v>
      </c>
      <c r="K24" s="4">
        <v>46055</v>
      </c>
      <c r="L24" s="5">
        <v>4015.7464</v>
      </c>
      <c r="M24" s="4">
        <v>46055</v>
      </c>
      <c r="N24" s="5">
        <v>8181.17</v>
      </c>
      <c r="O24" s="4">
        <v>46055</v>
      </c>
      <c r="P24" s="5">
        <v>24797.52</v>
      </c>
      <c r="Q24" s="4">
        <v>46055</v>
      </c>
      <c r="R24" s="5">
        <v>4949.67</v>
      </c>
    </row>
    <row r="25" spans="1:18" x14ac:dyDescent="0.3">
      <c r="A25" s="4">
        <v>46056</v>
      </c>
      <c r="B25" s="5">
        <v>6917.81</v>
      </c>
      <c r="C25" s="4">
        <v>46056</v>
      </c>
      <c r="D25" s="5">
        <v>49240.99</v>
      </c>
      <c r="E25" s="4">
        <v>46056</v>
      </c>
      <c r="F25" s="5">
        <v>10314.59</v>
      </c>
      <c r="G25" s="4">
        <v>46056</v>
      </c>
      <c r="H25" s="5">
        <v>26834.77</v>
      </c>
      <c r="I25" s="4">
        <v>46056</v>
      </c>
      <c r="J25" s="5">
        <v>54720.66</v>
      </c>
      <c r="K25" s="4">
        <v>46056</v>
      </c>
      <c r="L25" s="5">
        <v>4067.7379000000001</v>
      </c>
      <c r="M25" s="4">
        <v>46056</v>
      </c>
      <c r="N25" s="5">
        <v>8179.5</v>
      </c>
      <c r="O25" s="4">
        <v>46056</v>
      </c>
      <c r="P25" s="5">
        <v>24780.79</v>
      </c>
      <c r="Q25" s="4">
        <v>46056</v>
      </c>
      <c r="R25" s="5">
        <v>5288.08</v>
      </c>
    </row>
    <row r="26" spans="1:18" x14ac:dyDescent="0.3">
      <c r="A26" s="4">
        <v>46057</v>
      </c>
      <c r="B26" s="5">
        <v>6882.72</v>
      </c>
      <c r="C26" s="4">
        <v>46057</v>
      </c>
      <c r="D26" s="5">
        <v>49501.3</v>
      </c>
      <c r="E26" s="4">
        <v>46057</v>
      </c>
      <c r="F26" s="5">
        <v>10402.34</v>
      </c>
      <c r="G26" s="4">
        <v>46057</v>
      </c>
      <c r="H26" s="5">
        <v>26847.32</v>
      </c>
      <c r="I26" s="4">
        <v>46057</v>
      </c>
      <c r="J26" s="5">
        <v>54293.36</v>
      </c>
      <c r="K26" s="4">
        <v>46057</v>
      </c>
      <c r="L26" s="5">
        <v>4102.2020000000002</v>
      </c>
      <c r="M26" s="4">
        <v>46057</v>
      </c>
      <c r="N26" s="5">
        <v>8262.16</v>
      </c>
      <c r="O26" s="4">
        <v>46057</v>
      </c>
      <c r="P26" s="5">
        <v>24603.040000000001</v>
      </c>
      <c r="Q26" s="4">
        <v>46057</v>
      </c>
      <c r="R26" s="5">
        <v>5371.1</v>
      </c>
    </row>
    <row r="27" spans="1:18" x14ac:dyDescent="0.3">
      <c r="A27" s="4">
        <v>46058</v>
      </c>
      <c r="B27" s="5">
        <v>6798.4</v>
      </c>
      <c r="C27" s="4">
        <v>46058</v>
      </c>
      <c r="D27" s="5">
        <v>48908.72</v>
      </c>
      <c r="E27" s="4">
        <v>46058</v>
      </c>
      <c r="F27" s="5">
        <v>10309.219999999999</v>
      </c>
      <c r="G27" s="4">
        <v>46058</v>
      </c>
      <c r="H27" s="5">
        <v>26885.24</v>
      </c>
      <c r="I27" s="4">
        <v>46058</v>
      </c>
      <c r="J27" s="5">
        <v>53818.04</v>
      </c>
      <c r="K27" s="4">
        <v>46058</v>
      </c>
      <c r="L27" s="5">
        <v>4075.9167000000002</v>
      </c>
      <c r="M27" s="4">
        <v>46058</v>
      </c>
      <c r="N27" s="5">
        <v>8238.17</v>
      </c>
      <c r="O27" s="4">
        <v>46058</v>
      </c>
      <c r="P27" s="5">
        <v>24491.06</v>
      </c>
      <c r="Q27" s="4">
        <v>46058</v>
      </c>
      <c r="R27" s="5">
        <v>5163.57</v>
      </c>
    </row>
    <row r="28" spans="1:18" x14ac:dyDescent="0.3">
      <c r="A28" s="4">
        <v>46059</v>
      </c>
      <c r="B28" s="5">
        <v>6932.3</v>
      </c>
      <c r="C28" s="4">
        <v>46059</v>
      </c>
      <c r="D28" s="5">
        <v>50115.67</v>
      </c>
      <c r="E28" s="4">
        <v>46059</v>
      </c>
      <c r="F28" s="5">
        <v>10369.75</v>
      </c>
      <c r="G28" s="4">
        <v>46059</v>
      </c>
      <c r="H28" s="5">
        <v>26559.95</v>
      </c>
      <c r="I28" s="4">
        <v>46059</v>
      </c>
      <c r="J28" s="5">
        <v>54253.68</v>
      </c>
      <c r="K28" s="4">
        <v>46059</v>
      </c>
      <c r="L28" s="5">
        <v>4065.5834</v>
      </c>
      <c r="M28" s="4">
        <v>46059</v>
      </c>
      <c r="N28" s="5">
        <v>8273.84</v>
      </c>
      <c r="O28" s="4">
        <v>46059</v>
      </c>
      <c r="P28" s="5">
        <v>24721.46</v>
      </c>
      <c r="Q28" s="4">
        <v>46059</v>
      </c>
      <c r="R28" s="5">
        <v>5089.1400000000003</v>
      </c>
    </row>
    <row r="29" spans="1:18" x14ac:dyDescent="0.3">
      <c r="A29" s="4">
        <v>46062</v>
      </c>
      <c r="B29" s="5">
        <v>6964.82</v>
      </c>
      <c r="C29" s="4">
        <v>46062</v>
      </c>
      <c r="D29" s="5">
        <v>50135.87</v>
      </c>
      <c r="E29" s="4">
        <v>46062</v>
      </c>
      <c r="F29" s="5">
        <v>10386.23</v>
      </c>
      <c r="G29" s="4">
        <v>46062</v>
      </c>
      <c r="H29" s="5">
        <v>27027.16</v>
      </c>
      <c r="I29" s="4">
        <v>46062</v>
      </c>
      <c r="J29" s="5">
        <v>56363.94</v>
      </c>
      <c r="K29" s="4">
        <v>46062</v>
      </c>
      <c r="L29" s="5">
        <v>4123.0897000000004</v>
      </c>
      <c r="M29" s="4">
        <v>46062</v>
      </c>
      <c r="N29" s="5">
        <v>8323.2800000000007</v>
      </c>
      <c r="O29" s="4">
        <v>46062</v>
      </c>
      <c r="P29" s="5">
        <v>25014.87</v>
      </c>
      <c r="Q29" s="4">
        <v>46062</v>
      </c>
      <c r="R29" s="5">
        <v>5298.04</v>
      </c>
    </row>
    <row r="30" spans="1:18" x14ac:dyDescent="0.3">
      <c r="A30" s="4">
        <v>46063</v>
      </c>
      <c r="B30" s="5">
        <v>6941.81</v>
      </c>
      <c r="C30" s="4">
        <v>46063</v>
      </c>
      <c r="D30" s="5">
        <v>50188.14</v>
      </c>
      <c r="E30" s="4">
        <v>46063</v>
      </c>
      <c r="F30" s="5">
        <v>10353.84</v>
      </c>
      <c r="G30" s="4">
        <v>46063</v>
      </c>
      <c r="H30" s="5">
        <v>27183.15</v>
      </c>
      <c r="I30" s="4">
        <v>46063</v>
      </c>
      <c r="J30" s="5">
        <v>57650.54</v>
      </c>
      <c r="K30" s="4">
        <v>46063</v>
      </c>
      <c r="L30" s="5">
        <v>4128.3730999999998</v>
      </c>
      <c r="M30" s="4">
        <v>46063</v>
      </c>
      <c r="N30" s="5">
        <v>8327.8799999999992</v>
      </c>
      <c r="O30" s="4">
        <v>46063</v>
      </c>
      <c r="P30" s="5">
        <v>24987.85</v>
      </c>
      <c r="Q30" s="4">
        <v>46063</v>
      </c>
      <c r="R30" s="5">
        <v>5301.69</v>
      </c>
    </row>
    <row r="31" spans="1:18" x14ac:dyDescent="0.3">
      <c r="A31" s="4">
        <v>46064</v>
      </c>
      <c r="B31" s="5">
        <v>6941.47</v>
      </c>
      <c r="C31" s="4">
        <v>46064</v>
      </c>
      <c r="D31" s="5">
        <v>50121.4</v>
      </c>
      <c r="E31" s="4">
        <v>46064</v>
      </c>
      <c r="F31" s="5">
        <v>10472.11</v>
      </c>
      <c r="G31" s="4">
        <v>46064</v>
      </c>
      <c r="H31" s="5">
        <v>27266.38</v>
      </c>
      <c r="I31" s="4">
        <v>46064</v>
      </c>
      <c r="J31" s="5">
        <v>57650.54</v>
      </c>
      <c r="K31" s="4">
        <v>46064</v>
      </c>
      <c r="L31" s="5">
        <v>4131.9849999999997</v>
      </c>
      <c r="M31" s="4">
        <v>46064</v>
      </c>
      <c r="N31" s="5">
        <v>8313.24</v>
      </c>
      <c r="O31" s="4">
        <v>46064</v>
      </c>
      <c r="P31" s="5">
        <v>24856.15</v>
      </c>
      <c r="Q31" s="4">
        <v>46064</v>
      </c>
      <c r="R31" s="5">
        <v>5354.49</v>
      </c>
    </row>
    <row r="32" spans="1:18" x14ac:dyDescent="0.3">
      <c r="A32" s="4">
        <v>46065</v>
      </c>
      <c r="B32" s="5">
        <v>6832.76</v>
      </c>
      <c r="C32" s="4">
        <v>46065</v>
      </c>
      <c r="D32" s="5">
        <v>49451.98</v>
      </c>
      <c r="E32" s="4">
        <v>46065</v>
      </c>
      <c r="F32" s="5">
        <v>10402.44</v>
      </c>
      <c r="G32" s="4">
        <v>46065</v>
      </c>
      <c r="H32" s="5">
        <v>27032.54</v>
      </c>
      <c r="I32" s="4">
        <v>46065</v>
      </c>
      <c r="J32" s="5">
        <v>57639.839999999997</v>
      </c>
      <c r="K32" s="4">
        <v>46065</v>
      </c>
      <c r="L32" s="5">
        <v>4134.0177999999996</v>
      </c>
      <c r="M32" s="4">
        <v>46065</v>
      </c>
      <c r="N32" s="5">
        <v>8340.56</v>
      </c>
      <c r="O32" s="4">
        <v>46065</v>
      </c>
      <c r="P32" s="5">
        <v>24852.69</v>
      </c>
      <c r="Q32" s="4">
        <v>46065</v>
      </c>
      <c r="R32" s="5">
        <v>5522.27</v>
      </c>
    </row>
    <row r="33" spans="1:18" x14ac:dyDescent="0.3">
      <c r="A33" s="4">
        <v>46066</v>
      </c>
      <c r="B33" s="5">
        <v>6836.17</v>
      </c>
      <c r="C33" s="4">
        <v>46066</v>
      </c>
      <c r="D33" s="5">
        <v>49500.93</v>
      </c>
      <c r="E33" s="4">
        <v>46066</v>
      </c>
      <c r="F33" s="5">
        <v>10446.35</v>
      </c>
      <c r="G33" s="4">
        <v>46066</v>
      </c>
      <c r="H33" s="5">
        <v>26567.119999999999</v>
      </c>
      <c r="I33" s="4">
        <v>46066</v>
      </c>
      <c r="J33" s="5">
        <v>56941.97</v>
      </c>
      <c r="K33" s="4">
        <v>46066</v>
      </c>
      <c r="L33" s="5">
        <v>4082.0726</v>
      </c>
      <c r="M33" s="4">
        <v>46066</v>
      </c>
      <c r="N33" s="5">
        <v>8311.74</v>
      </c>
      <c r="O33" s="4">
        <v>46066</v>
      </c>
      <c r="P33" s="5">
        <v>24914.880000000001</v>
      </c>
      <c r="Q33" s="4">
        <v>46066</v>
      </c>
      <c r="R33" s="5">
        <v>5507.01</v>
      </c>
    </row>
    <row r="34" spans="1:18" x14ac:dyDescent="0.3">
      <c r="A34" s="4">
        <v>46077</v>
      </c>
      <c r="B34" s="5">
        <v>6890.07</v>
      </c>
      <c r="C34" s="4">
        <v>46077</v>
      </c>
      <c r="D34" s="5">
        <v>49174.5</v>
      </c>
      <c r="E34" s="4">
        <v>46077</v>
      </c>
      <c r="F34" s="5">
        <v>10680.59</v>
      </c>
      <c r="G34" s="4">
        <v>46077</v>
      </c>
      <c r="H34" s="5">
        <v>26590.32</v>
      </c>
      <c r="I34" s="4">
        <v>46077</v>
      </c>
      <c r="J34" s="5">
        <v>57321.09</v>
      </c>
      <c r="K34" s="4">
        <v>46077</v>
      </c>
      <c r="L34" s="5">
        <v>4117.4089000000004</v>
      </c>
      <c r="M34" s="4">
        <v>46077</v>
      </c>
      <c r="N34" s="5">
        <v>8519.2099999999991</v>
      </c>
      <c r="O34" s="4">
        <v>46077</v>
      </c>
      <c r="P34" s="5">
        <v>24986.25</v>
      </c>
      <c r="Q34" s="4">
        <v>46077</v>
      </c>
      <c r="R34" s="5">
        <v>5969.64</v>
      </c>
    </row>
    <row r="35" spans="1:18" x14ac:dyDescent="0.3">
      <c r="A35" s="4">
        <v>46078</v>
      </c>
      <c r="B35" s="5">
        <v>6946.13</v>
      </c>
      <c r="C35" s="4">
        <v>46078</v>
      </c>
      <c r="D35" s="5">
        <v>49482.15</v>
      </c>
      <c r="E35" s="4">
        <v>46078</v>
      </c>
      <c r="F35" s="5">
        <v>10806.41</v>
      </c>
      <c r="G35" s="4">
        <v>46078</v>
      </c>
      <c r="H35" s="5">
        <v>26765.72</v>
      </c>
      <c r="I35" s="4">
        <v>46078</v>
      </c>
      <c r="J35" s="5">
        <v>58583.12</v>
      </c>
      <c r="K35" s="4">
        <v>46078</v>
      </c>
      <c r="L35" s="5">
        <v>4147.2304999999997</v>
      </c>
      <c r="M35" s="4">
        <v>46078</v>
      </c>
      <c r="N35" s="5">
        <v>8559.07</v>
      </c>
      <c r="O35" s="4">
        <v>46078</v>
      </c>
      <c r="P35" s="5">
        <v>25175.94</v>
      </c>
      <c r="Q35" s="4">
        <v>46078</v>
      </c>
      <c r="R35" s="5">
        <v>6083.86</v>
      </c>
    </row>
    <row r="36" spans="1:18" x14ac:dyDescent="0.3">
      <c r="A36" s="4">
        <v>46079</v>
      </c>
      <c r="B36" s="5">
        <v>6908.86</v>
      </c>
      <c r="C36" s="4">
        <v>46079</v>
      </c>
      <c r="D36" s="5">
        <v>49499.199999999997</v>
      </c>
      <c r="E36" s="4">
        <v>46079</v>
      </c>
      <c r="F36" s="5">
        <v>10846.7</v>
      </c>
      <c r="G36" s="4">
        <v>46079</v>
      </c>
      <c r="H36" s="5">
        <v>26381.02</v>
      </c>
      <c r="I36" s="4">
        <v>46079</v>
      </c>
      <c r="J36" s="5">
        <v>58753.39</v>
      </c>
      <c r="K36" s="4">
        <v>46079</v>
      </c>
      <c r="L36" s="5">
        <v>4146.6310999999996</v>
      </c>
      <c r="M36" s="4">
        <v>46079</v>
      </c>
      <c r="N36" s="5">
        <v>8620.93</v>
      </c>
      <c r="O36" s="4">
        <v>46079</v>
      </c>
      <c r="P36" s="5">
        <v>25289.02</v>
      </c>
      <c r="Q36" s="4">
        <v>46079</v>
      </c>
      <c r="R36" s="5">
        <v>6307.27</v>
      </c>
    </row>
    <row r="37" spans="1:18" x14ac:dyDescent="0.3">
      <c r="A37" s="4">
        <v>46080</v>
      </c>
      <c r="B37" s="5">
        <v>6878.88</v>
      </c>
      <c r="C37" s="4">
        <v>46080</v>
      </c>
      <c r="D37" s="5">
        <v>48977.919999999998</v>
      </c>
      <c r="E37" s="4">
        <v>46080</v>
      </c>
      <c r="F37" s="5">
        <v>10910.55</v>
      </c>
      <c r="G37" s="4">
        <v>46080</v>
      </c>
      <c r="H37" s="5">
        <v>26630.54</v>
      </c>
      <c r="I37" s="4">
        <v>46080</v>
      </c>
      <c r="J37" s="5">
        <v>58850.27</v>
      </c>
      <c r="K37" s="4">
        <v>46080</v>
      </c>
      <c r="L37" s="5">
        <v>4162.8815000000004</v>
      </c>
      <c r="M37" s="4">
        <v>46080</v>
      </c>
      <c r="N37" s="5">
        <v>8580.75</v>
      </c>
      <c r="O37" s="4">
        <v>46080</v>
      </c>
      <c r="P37" s="5">
        <v>25284.26</v>
      </c>
      <c r="Q37" s="4">
        <v>46080</v>
      </c>
      <c r="R37" s="5">
        <v>6244.13</v>
      </c>
    </row>
    <row r="38" spans="1:18" x14ac:dyDescent="0.3">
      <c r="A38" s="4">
        <v>46083</v>
      </c>
      <c r="B38" s="5">
        <v>6881.62</v>
      </c>
      <c r="C38" s="4">
        <v>46083</v>
      </c>
      <c r="D38" s="5">
        <v>48904.78</v>
      </c>
      <c r="E38" s="4">
        <v>46083</v>
      </c>
      <c r="F38" s="5">
        <v>10780.11</v>
      </c>
      <c r="G38" s="4">
        <v>46083</v>
      </c>
      <c r="H38" s="5">
        <v>26059.85</v>
      </c>
      <c r="I38" s="4">
        <v>46083</v>
      </c>
      <c r="J38" s="5">
        <v>58057.24</v>
      </c>
      <c r="K38" s="4">
        <v>46083</v>
      </c>
      <c r="L38" s="5">
        <v>4182.5909000000001</v>
      </c>
      <c r="M38" s="4">
        <v>46083</v>
      </c>
      <c r="N38" s="5">
        <v>8394.32</v>
      </c>
      <c r="O38" s="4">
        <v>46083</v>
      </c>
      <c r="P38" s="5">
        <v>24638</v>
      </c>
      <c r="Q38" s="4">
        <v>46083</v>
      </c>
      <c r="R38" s="5">
        <v>6244.13</v>
      </c>
    </row>
    <row r="39" spans="1:18" x14ac:dyDescent="0.3">
      <c r="A39" s="4">
        <v>46084</v>
      </c>
      <c r="B39" s="5">
        <v>6816.63</v>
      </c>
      <c r="C39" s="4">
        <v>46084</v>
      </c>
      <c r="D39" s="5">
        <v>48501.27</v>
      </c>
      <c r="E39" s="4">
        <v>46084</v>
      </c>
      <c r="F39" s="5">
        <v>10484.129999999999</v>
      </c>
      <c r="G39" s="4">
        <v>46084</v>
      </c>
      <c r="H39" s="5">
        <v>25768.080000000002</v>
      </c>
      <c r="I39" s="4">
        <v>46084</v>
      </c>
      <c r="J39" s="5">
        <v>56279.05</v>
      </c>
      <c r="K39" s="4">
        <v>46084</v>
      </c>
      <c r="L39" s="5">
        <v>4122.6760000000004</v>
      </c>
      <c r="M39" s="4">
        <v>46084</v>
      </c>
      <c r="N39" s="5">
        <v>8103.84</v>
      </c>
      <c r="O39" s="4">
        <v>46084</v>
      </c>
      <c r="P39" s="5">
        <v>23790.65</v>
      </c>
      <c r="Q39" s="4">
        <v>46084</v>
      </c>
      <c r="R39" s="5">
        <v>5791.91</v>
      </c>
    </row>
    <row r="40" spans="1:18" x14ac:dyDescent="0.3">
      <c r="A40" s="4">
        <v>46085</v>
      </c>
      <c r="B40" s="5">
        <v>6869.5</v>
      </c>
      <c r="C40" s="4">
        <v>46085</v>
      </c>
      <c r="D40" s="5">
        <v>48739.41</v>
      </c>
      <c r="E40" s="4">
        <v>46085</v>
      </c>
      <c r="F40" s="5">
        <v>10567.65</v>
      </c>
      <c r="G40" s="4">
        <v>46085</v>
      </c>
      <c r="H40" s="5">
        <v>25249.48</v>
      </c>
      <c r="I40" s="4">
        <v>46085</v>
      </c>
      <c r="J40" s="5">
        <v>54245.54</v>
      </c>
      <c r="K40" s="4">
        <v>46085</v>
      </c>
      <c r="L40" s="5">
        <v>4082.4740000000002</v>
      </c>
      <c r="M40" s="4">
        <v>46085</v>
      </c>
      <c r="N40" s="5">
        <v>8167.73</v>
      </c>
      <c r="O40" s="4">
        <v>46085</v>
      </c>
      <c r="P40" s="5">
        <v>24205.360000000001</v>
      </c>
      <c r="Q40" s="4">
        <v>46085</v>
      </c>
      <c r="R40" s="5">
        <v>5093.54</v>
      </c>
    </row>
    <row r="41" spans="1:18" x14ac:dyDescent="0.3">
      <c r="A41" s="4">
        <v>46086</v>
      </c>
      <c r="B41" s="5">
        <v>6830.71</v>
      </c>
      <c r="C41" s="4">
        <v>46086</v>
      </c>
      <c r="D41" s="5">
        <v>47954.74</v>
      </c>
      <c r="E41" s="4">
        <v>46086</v>
      </c>
      <c r="F41" s="5">
        <v>10413.94</v>
      </c>
      <c r="G41" s="4">
        <v>46086</v>
      </c>
      <c r="H41" s="5">
        <v>25321.34</v>
      </c>
      <c r="I41" s="4">
        <v>46086</v>
      </c>
      <c r="J41" s="5">
        <v>55278.06</v>
      </c>
      <c r="K41" s="4">
        <v>46086</v>
      </c>
      <c r="L41" s="5">
        <v>4108.567</v>
      </c>
      <c r="M41" s="4">
        <v>46086</v>
      </c>
      <c r="N41" s="5">
        <v>8045.8</v>
      </c>
      <c r="O41" s="4">
        <v>46086</v>
      </c>
      <c r="P41" s="5">
        <v>23815.75</v>
      </c>
      <c r="Q41" s="4">
        <v>46086</v>
      </c>
      <c r="R41" s="5">
        <v>5583.9</v>
      </c>
    </row>
    <row r="42" spans="1:18" x14ac:dyDescent="0.3">
      <c r="A42" s="4">
        <v>46087</v>
      </c>
      <c r="B42" s="5">
        <v>6740.02</v>
      </c>
      <c r="C42" s="4">
        <v>46087</v>
      </c>
      <c r="D42" s="5">
        <v>47501.55</v>
      </c>
      <c r="E42" s="4">
        <v>46087</v>
      </c>
      <c r="F42" s="5">
        <v>10284.75</v>
      </c>
      <c r="G42" s="4">
        <v>46087</v>
      </c>
      <c r="H42" s="5">
        <v>25757.29</v>
      </c>
      <c r="I42" s="4">
        <v>46087</v>
      </c>
      <c r="J42" s="5">
        <v>55620.84</v>
      </c>
      <c r="K42" s="4">
        <v>46087</v>
      </c>
      <c r="L42" s="5">
        <v>4124.1940000000004</v>
      </c>
      <c r="M42" s="4">
        <v>46087</v>
      </c>
      <c r="N42" s="5">
        <v>7993.49</v>
      </c>
      <c r="O42" s="4">
        <v>46087</v>
      </c>
      <c r="P42" s="5">
        <v>23591.03</v>
      </c>
      <c r="Q42" s="4">
        <v>46087</v>
      </c>
      <c r="R42" s="5">
        <v>5584.87</v>
      </c>
    </row>
    <row r="43" spans="1:18" x14ac:dyDescent="0.3">
      <c r="A43" s="4">
        <v>46090</v>
      </c>
      <c r="B43" s="5">
        <v>6795.99</v>
      </c>
      <c r="C43" s="4">
        <v>46090</v>
      </c>
      <c r="D43" s="5">
        <v>47740.800000000003</v>
      </c>
      <c r="E43" s="4">
        <v>46090</v>
      </c>
      <c r="F43" s="5">
        <v>10249.52</v>
      </c>
      <c r="G43" s="4">
        <v>46090</v>
      </c>
      <c r="H43" s="5">
        <v>25408.46</v>
      </c>
      <c r="I43" s="4">
        <v>46090</v>
      </c>
      <c r="J43" s="5">
        <v>52728.72</v>
      </c>
      <c r="K43" s="4">
        <v>46090</v>
      </c>
      <c r="L43" s="5">
        <v>4096.6022999999996</v>
      </c>
      <c r="M43" s="4">
        <v>46090</v>
      </c>
      <c r="N43" s="5">
        <v>7915.36</v>
      </c>
      <c r="O43" s="4">
        <v>46090</v>
      </c>
      <c r="P43" s="5">
        <v>23409.37</v>
      </c>
      <c r="Q43" s="4">
        <v>46090</v>
      </c>
      <c r="R43" s="5">
        <v>5251.87</v>
      </c>
    </row>
    <row r="44" spans="1:18" x14ac:dyDescent="0.3">
      <c r="A44" s="4">
        <v>46091</v>
      </c>
      <c r="B44" s="5">
        <v>6781.48</v>
      </c>
      <c r="C44" s="4">
        <v>46091</v>
      </c>
      <c r="D44" s="5">
        <v>47706.51</v>
      </c>
      <c r="E44" s="4">
        <v>46091</v>
      </c>
      <c r="F44" s="5">
        <v>10412.24</v>
      </c>
      <c r="G44" s="4">
        <v>46091</v>
      </c>
      <c r="H44" s="5">
        <v>25959.9</v>
      </c>
      <c r="I44" s="4">
        <v>46091</v>
      </c>
      <c r="J44" s="5">
        <v>54248.39</v>
      </c>
      <c r="K44" s="4">
        <v>46091</v>
      </c>
      <c r="L44" s="5">
        <v>4123.1379999999999</v>
      </c>
      <c r="M44" s="4">
        <v>46091</v>
      </c>
      <c r="N44" s="5">
        <v>8057.36</v>
      </c>
      <c r="O44" s="4">
        <v>46091</v>
      </c>
      <c r="P44" s="5">
        <v>23968.63</v>
      </c>
      <c r="Q44" s="4">
        <v>46091</v>
      </c>
      <c r="R44" s="5">
        <v>5532.59</v>
      </c>
    </row>
    <row r="45" spans="1:18" x14ac:dyDescent="0.3">
      <c r="A45" s="4">
        <v>46092</v>
      </c>
      <c r="B45" s="5">
        <v>6775.8</v>
      </c>
      <c r="C45" s="4">
        <v>46092</v>
      </c>
      <c r="D45" s="5">
        <v>47417.27</v>
      </c>
      <c r="E45" s="4">
        <v>46092</v>
      </c>
      <c r="F45" s="5">
        <v>10353.77</v>
      </c>
      <c r="G45" s="4">
        <v>46092</v>
      </c>
      <c r="H45" s="5">
        <v>25898.76</v>
      </c>
      <c r="I45" s="4">
        <v>46092</v>
      </c>
      <c r="J45" s="5">
        <v>55025.37</v>
      </c>
      <c r="K45" s="4">
        <v>46092</v>
      </c>
      <c r="L45" s="5">
        <v>4133.4331000000002</v>
      </c>
      <c r="M45" s="4">
        <v>46092</v>
      </c>
      <c r="N45" s="5">
        <v>8041.81</v>
      </c>
      <c r="O45" s="4">
        <v>46092</v>
      </c>
      <c r="P45" s="5">
        <v>23640.03</v>
      </c>
      <c r="Q45" s="4">
        <v>46092</v>
      </c>
      <c r="R45" s="5">
        <v>5609.95</v>
      </c>
    </row>
    <row r="46" spans="1:18" x14ac:dyDescent="0.3">
      <c r="A46" s="4">
        <v>46093</v>
      </c>
      <c r="B46" s="5">
        <v>6672.62</v>
      </c>
      <c r="C46" s="4">
        <v>46093</v>
      </c>
      <c r="D46" s="5">
        <v>46677.85</v>
      </c>
      <c r="E46" s="4">
        <v>46093</v>
      </c>
      <c r="F46" s="5">
        <v>10305.15</v>
      </c>
      <c r="G46" s="4">
        <v>46093</v>
      </c>
      <c r="H46" s="5">
        <v>25716.76</v>
      </c>
      <c r="I46" s="4">
        <v>46093</v>
      </c>
      <c r="J46" s="5">
        <v>54452.959999999999</v>
      </c>
      <c r="K46" s="4">
        <v>46093</v>
      </c>
      <c r="L46" s="5">
        <v>4129.1026000000002</v>
      </c>
      <c r="M46" s="4">
        <v>46093</v>
      </c>
      <c r="N46" s="5">
        <v>7984.44</v>
      </c>
      <c r="O46" s="4">
        <v>46093</v>
      </c>
      <c r="P46" s="5">
        <v>23589.65</v>
      </c>
      <c r="Q46" s="4">
        <v>46093</v>
      </c>
      <c r="R46" s="5">
        <v>5583.25</v>
      </c>
    </row>
    <row r="47" spans="1:18" x14ac:dyDescent="0.3">
      <c r="A47" s="4">
        <v>46094</v>
      </c>
      <c r="B47" s="5">
        <v>6632.19</v>
      </c>
      <c r="C47" s="4">
        <v>46094</v>
      </c>
      <c r="D47" s="5">
        <v>46558.47</v>
      </c>
      <c r="E47" s="4">
        <v>46094</v>
      </c>
      <c r="F47" s="5">
        <v>10261.15</v>
      </c>
      <c r="G47" s="4">
        <v>46094</v>
      </c>
      <c r="H47" s="5">
        <v>25465.599999999999</v>
      </c>
      <c r="I47" s="4">
        <v>46094</v>
      </c>
      <c r="J47" s="5">
        <v>53819.61</v>
      </c>
      <c r="K47" s="4">
        <v>46094</v>
      </c>
      <c r="L47" s="5">
        <v>4095.4485</v>
      </c>
      <c r="M47" s="4">
        <v>46094</v>
      </c>
      <c r="N47" s="5">
        <v>7911.53</v>
      </c>
      <c r="O47" s="4">
        <v>46094</v>
      </c>
      <c r="P47" s="5">
        <v>23447.29</v>
      </c>
      <c r="Q47" s="4">
        <v>46094</v>
      </c>
      <c r="R47" s="5">
        <v>5487.24</v>
      </c>
    </row>
    <row r="48" spans="1:18" x14ac:dyDescent="0.3">
      <c r="A48" s="4">
        <v>46097</v>
      </c>
      <c r="B48" s="5">
        <v>6699.38</v>
      </c>
      <c r="C48" s="4">
        <v>46097</v>
      </c>
      <c r="D48" s="5">
        <v>46946.41</v>
      </c>
      <c r="E48" s="4">
        <v>46097</v>
      </c>
      <c r="F48" s="5">
        <v>10317.69</v>
      </c>
      <c r="G48" s="4">
        <v>46097</v>
      </c>
      <c r="H48" s="5">
        <v>25834.02</v>
      </c>
      <c r="I48" s="4">
        <v>46097</v>
      </c>
      <c r="J48" s="5">
        <v>53751.15</v>
      </c>
      <c r="K48" s="4">
        <v>46097</v>
      </c>
      <c r="L48" s="5">
        <v>4084.7858000000001</v>
      </c>
      <c r="M48" s="4">
        <v>46097</v>
      </c>
      <c r="N48" s="5">
        <v>7935.97</v>
      </c>
      <c r="O48" s="4">
        <v>46097</v>
      </c>
      <c r="P48" s="5">
        <v>23564.01</v>
      </c>
      <c r="Q48" s="4">
        <v>46097</v>
      </c>
      <c r="R48" s="5">
        <v>5549.85</v>
      </c>
    </row>
    <row r="49" spans="1:18" x14ac:dyDescent="0.3">
      <c r="A49" s="4">
        <v>46098</v>
      </c>
      <c r="B49" s="5">
        <v>6716.09</v>
      </c>
      <c r="C49" s="4">
        <v>46098</v>
      </c>
      <c r="D49" s="5">
        <v>46993.26</v>
      </c>
      <c r="E49" s="4">
        <v>46098</v>
      </c>
      <c r="F49" s="5">
        <v>10403.6</v>
      </c>
      <c r="G49" s="4">
        <v>46098</v>
      </c>
      <c r="H49" s="5">
        <v>25868.54</v>
      </c>
      <c r="I49" s="4">
        <v>46098</v>
      </c>
      <c r="J49" s="5">
        <v>53700.39</v>
      </c>
      <c r="K49" s="4">
        <v>46098</v>
      </c>
      <c r="L49" s="5">
        <v>4049.9072999999999</v>
      </c>
      <c r="M49" s="4">
        <v>46098</v>
      </c>
      <c r="N49" s="5">
        <v>7974.49</v>
      </c>
      <c r="O49" s="4">
        <v>46098</v>
      </c>
      <c r="P49" s="5">
        <v>23730.92</v>
      </c>
      <c r="Q49" s="4">
        <v>46098</v>
      </c>
      <c r="R49" s="5">
        <v>5640.48</v>
      </c>
    </row>
    <row r="50" spans="1:18" x14ac:dyDescent="0.3">
      <c r="A50" s="4">
        <v>46099</v>
      </c>
      <c r="B50" s="5">
        <v>6624.7</v>
      </c>
      <c r="C50" s="4">
        <v>46099</v>
      </c>
      <c r="D50" s="5">
        <v>46225.15</v>
      </c>
      <c r="E50" s="4">
        <v>46099</v>
      </c>
      <c r="F50" s="5">
        <v>10305.290000000001</v>
      </c>
      <c r="G50" s="4">
        <v>46099</v>
      </c>
      <c r="H50" s="5">
        <v>26025.42</v>
      </c>
      <c r="I50" s="4">
        <v>46099</v>
      </c>
      <c r="J50" s="5">
        <v>55239.4</v>
      </c>
      <c r="K50" s="4">
        <v>46099</v>
      </c>
      <c r="L50" s="5">
        <v>4062.9843999999998</v>
      </c>
      <c r="M50" s="4">
        <v>46099</v>
      </c>
      <c r="N50" s="5">
        <v>7969.88</v>
      </c>
      <c r="O50" s="4">
        <v>46099</v>
      </c>
      <c r="P50" s="5">
        <v>23502.25</v>
      </c>
      <c r="Q50" s="4">
        <v>46099</v>
      </c>
      <c r="R50" s="5">
        <v>5925.03</v>
      </c>
    </row>
    <row r="51" spans="1:18" x14ac:dyDescent="0.3">
      <c r="A51" s="4">
        <v>46100</v>
      </c>
      <c r="B51" s="5">
        <v>6606.49</v>
      </c>
      <c r="C51" s="4">
        <v>46100</v>
      </c>
      <c r="D51" s="5">
        <v>46021.43</v>
      </c>
      <c r="E51" s="4">
        <v>46100</v>
      </c>
      <c r="F51" s="5">
        <v>10063.5</v>
      </c>
      <c r="G51" s="4">
        <v>46100</v>
      </c>
      <c r="H51" s="5">
        <v>25500.58</v>
      </c>
      <c r="I51" s="4">
        <v>46100</v>
      </c>
      <c r="J51" s="5">
        <v>53372.53</v>
      </c>
      <c r="K51" s="4">
        <v>46100</v>
      </c>
      <c r="L51" s="5">
        <v>4006.5522999999998</v>
      </c>
      <c r="M51" s="4">
        <v>46100</v>
      </c>
      <c r="N51" s="5">
        <v>7807.87</v>
      </c>
      <c r="O51" s="4">
        <v>46100</v>
      </c>
      <c r="P51" s="5">
        <v>22839.56</v>
      </c>
      <c r="Q51" s="4">
        <v>46100</v>
      </c>
      <c r="R51" s="5">
        <v>5763.22</v>
      </c>
    </row>
    <row r="52" spans="1:18" x14ac:dyDescent="0.3">
      <c r="A52" s="4">
        <v>46101</v>
      </c>
      <c r="B52" s="5">
        <v>6506.48</v>
      </c>
      <c r="C52" s="4">
        <v>46101</v>
      </c>
      <c r="D52" s="5">
        <v>45577.47</v>
      </c>
      <c r="E52" s="4">
        <v>46101</v>
      </c>
      <c r="F52" s="5">
        <v>9918.33</v>
      </c>
      <c r="G52" s="4">
        <v>46101</v>
      </c>
      <c r="H52" s="5">
        <v>25277.32</v>
      </c>
      <c r="I52" s="4">
        <v>46101</v>
      </c>
      <c r="J52" s="5">
        <v>53372.53</v>
      </c>
      <c r="K52" s="4">
        <v>46101</v>
      </c>
      <c r="L52" s="5">
        <v>3957.0527000000002</v>
      </c>
      <c r="M52" s="4">
        <v>46101</v>
      </c>
      <c r="N52" s="5">
        <v>7665.62</v>
      </c>
      <c r="O52" s="4">
        <v>46101</v>
      </c>
      <c r="P52" s="5">
        <v>22380.19</v>
      </c>
      <c r="Q52" s="4">
        <v>46101</v>
      </c>
      <c r="R52" s="5">
        <v>5781.2</v>
      </c>
    </row>
    <row r="53" spans="1:18" x14ac:dyDescent="0.3">
      <c r="A53" s="4">
        <v>46104</v>
      </c>
      <c r="B53" s="5">
        <v>6581</v>
      </c>
      <c r="C53" s="4">
        <v>46104</v>
      </c>
      <c r="D53" s="5">
        <v>46208.47</v>
      </c>
      <c r="E53" s="4">
        <v>46104</v>
      </c>
      <c r="F53" s="5">
        <v>9894.15</v>
      </c>
      <c r="G53" s="4">
        <v>46104</v>
      </c>
      <c r="H53" s="5">
        <v>24382.47</v>
      </c>
      <c r="I53" s="4">
        <v>46104</v>
      </c>
      <c r="J53" s="5">
        <v>51515.49</v>
      </c>
      <c r="K53" s="4">
        <v>46104</v>
      </c>
      <c r="L53" s="5">
        <v>3813.2829000000002</v>
      </c>
      <c r="M53" s="4">
        <v>46104</v>
      </c>
      <c r="N53" s="5">
        <v>7726.2</v>
      </c>
      <c r="O53" s="4">
        <v>46104</v>
      </c>
      <c r="P53" s="5">
        <v>22653.86</v>
      </c>
      <c r="Q53" s="4">
        <v>46104</v>
      </c>
      <c r="R53" s="5">
        <v>5405.75</v>
      </c>
    </row>
    <row r="54" spans="1:18" x14ac:dyDescent="0.3">
      <c r="A54" s="4">
        <v>46105</v>
      </c>
      <c r="B54" s="5">
        <v>6556.37</v>
      </c>
      <c r="C54" s="4">
        <v>46105</v>
      </c>
      <c r="D54" s="5">
        <v>46124.06</v>
      </c>
      <c r="E54" s="4">
        <v>46105</v>
      </c>
      <c r="F54" s="5">
        <v>9965.16</v>
      </c>
      <c r="G54" s="4">
        <v>46105</v>
      </c>
      <c r="H54" s="5">
        <v>25063.71</v>
      </c>
      <c r="I54" s="4">
        <v>46105</v>
      </c>
      <c r="J54" s="5">
        <v>52252.28</v>
      </c>
      <c r="K54" s="4">
        <v>46105</v>
      </c>
      <c r="L54" s="5">
        <v>3881.2797</v>
      </c>
      <c r="M54" s="4">
        <v>46105</v>
      </c>
      <c r="N54" s="5">
        <v>7743.92</v>
      </c>
      <c r="O54" s="4">
        <v>46105</v>
      </c>
      <c r="P54" s="5">
        <v>22636.91</v>
      </c>
      <c r="Q54" s="4">
        <v>46105</v>
      </c>
      <c r="R54" s="5">
        <v>5553.92</v>
      </c>
    </row>
    <row r="55" spans="1:18" x14ac:dyDescent="0.3">
      <c r="A55" s="4">
        <v>46106</v>
      </c>
      <c r="B55" s="5">
        <v>6591.9</v>
      </c>
      <c r="C55" s="4">
        <v>46106</v>
      </c>
      <c r="D55" s="5">
        <v>46429.49</v>
      </c>
      <c r="E55" s="4">
        <v>46106</v>
      </c>
      <c r="F55" s="5">
        <v>10106.84</v>
      </c>
      <c r="G55" s="4">
        <v>46106</v>
      </c>
      <c r="H55" s="5">
        <v>25335.95</v>
      </c>
      <c r="I55" s="4">
        <v>46106</v>
      </c>
      <c r="J55" s="5">
        <v>53749.62</v>
      </c>
      <c r="K55" s="4">
        <v>46106</v>
      </c>
      <c r="L55" s="5">
        <v>3931.8375000000001</v>
      </c>
      <c r="M55" s="4">
        <v>46106</v>
      </c>
      <c r="N55" s="5">
        <v>7846.55</v>
      </c>
      <c r="O55" s="4">
        <v>46106</v>
      </c>
      <c r="P55" s="5">
        <v>22957.08</v>
      </c>
      <c r="Q55" s="4">
        <v>46106</v>
      </c>
      <c r="R55" s="5">
        <v>5642.21</v>
      </c>
    </row>
    <row r="56" spans="1:18" x14ac:dyDescent="0.3">
      <c r="A56" s="4">
        <v>46107</v>
      </c>
      <c r="B56" s="5">
        <v>6477.16</v>
      </c>
      <c r="C56" s="4">
        <v>46107</v>
      </c>
      <c r="D56" s="5">
        <v>45960.11</v>
      </c>
      <c r="E56" s="4">
        <v>46107</v>
      </c>
      <c r="F56" s="5">
        <v>9972.17</v>
      </c>
      <c r="G56" s="4">
        <v>46107</v>
      </c>
      <c r="H56" s="5">
        <v>24856.43</v>
      </c>
      <c r="I56" s="4">
        <v>46107</v>
      </c>
      <c r="J56" s="5">
        <v>53603.65</v>
      </c>
      <c r="K56" s="4">
        <v>46107</v>
      </c>
      <c r="L56" s="5">
        <v>3889.0835000000002</v>
      </c>
      <c r="M56" s="4">
        <v>46107</v>
      </c>
      <c r="N56" s="5">
        <v>7769.31</v>
      </c>
      <c r="O56" s="4">
        <v>46107</v>
      </c>
      <c r="P56" s="5">
        <v>22612.97</v>
      </c>
      <c r="Q56" s="4">
        <v>46107</v>
      </c>
      <c r="R56" s="5">
        <v>5460.46</v>
      </c>
    </row>
    <row r="57" spans="1:18" x14ac:dyDescent="0.3">
      <c r="A57" s="4">
        <v>46108</v>
      </c>
      <c r="B57" s="5">
        <v>6368.85</v>
      </c>
      <c r="C57" s="4">
        <v>46108</v>
      </c>
      <c r="D57" s="5">
        <v>45166.64</v>
      </c>
      <c r="E57" s="4">
        <v>46108</v>
      </c>
      <c r="F57" s="5">
        <v>9967.35</v>
      </c>
      <c r="G57" s="4">
        <v>46108</v>
      </c>
      <c r="H57" s="5">
        <v>24951.88</v>
      </c>
      <c r="I57" s="4">
        <v>46108</v>
      </c>
      <c r="J57" s="5">
        <v>53373.07</v>
      </c>
      <c r="K57" s="4">
        <v>46108</v>
      </c>
      <c r="L57" s="5">
        <v>3913.7238000000002</v>
      </c>
      <c r="M57" s="4">
        <v>46108</v>
      </c>
      <c r="N57" s="5">
        <v>7701.95</v>
      </c>
      <c r="O57" s="4">
        <v>46108</v>
      </c>
      <c r="P57" s="5">
        <v>22300.75</v>
      </c>
      <c r="Q57" s="4">
        <v>46108</v>
      </c>
      <c r="R57" s="5">
        <v>5438.87</v>
      </c>
    </row>
    <row r="58" spans="1:18" x14ac:dyDescent="0.3">
      <c r="A58" s="4">
        <v>46111</v>
      </c>
      <c r="B58" s="5">
        <v>6343.72</v>
      </c>
      <c r="C58" s="4">
        <v>46111</v>
      </c>
      <c r="D58" s="5">
        <v>45216.14</v>
      </c>
      <c r="E58" s="4">
        <v>46111</v>
      </c>
      <c r="F58" s="5">
        <v>10127.959999999999</v>
      </c>
      <c r="G58" s="4">
        <v>46111</v>
      </c>
      <c r="H58" s="5">
        <v>24750.79</v>
      </c>
      <c r="I58" s="4">
        <v>46111</v>
      </c>
      <c r="J58" s="5">
        <v>51885.85</v>
      </c>
      <c r="K58" s="4">
        <v>46111</v>
      </c>
      <c r="L58" s="5">
        <v>3923.2869000000001</v>
      </c>
      <c r="M58" s="4">
        <v>46111</v>
      </c>
      <c r="N58" s="5">
        <v>7772.45</v>
      </c>
      <c r="O58" s="4">
        <v>46111</v>
      </c>
      <c r="P58" s="5">
        <v>22562.880000000001</v>
      </c>
      <c r="Q58" s="4">
        <v>46111</v>
      </c>
      <c r="R58" s="5">
        <v>5277.3</v>
      </c>
    </row>
    <row r="59" spans="1:18" x14ac:dyDescent="0.3">
      <c r="A59" s="4">
        <v>46112</v>
      </c>
      <c r="B59" s="5">
        <v>6528.52</v>
      </c>
      <c r="C59" s="4">
        <v>46112</v>
      </c>
      <c r="D59" s="5">
        <v>46341.51</v>
      </c>
      <c r="E59" s="4">
        <v>46112</v>
      </c>
      <c r="F59" s="5">
        <v>10176.450000000001</v>
      </c>
      <c r="G59" s="4">
        <v>46112</v>
      </c>
      <c r="H59" s="5">
        <v>24788.14</v>
      </c>
      <c r="I59" s="4">
        <v>46112</v>
      </c>
      <c r="J59" s="5">
        <v>51063.72</v>
      </c>
      <c r="K59" s="4">
        <v>46112</v>
      </c>
      <c r="L59" s="5">
        <v>3891.8604999999998</v>
      </c>
      <c r="M59" s="4">
        <v>46112</v>
      </c>
      <c r="N59" s="5">
        <v>7816.94</v>
      </c>
      <c r="O59" s="4">
        <v>46112</v>
      </c>
      <c r="P59" s="5">
        <v>22680.04</v>
      </c>
      <c r="Q59" s="4">
        <v>46112</v>
      </c>
      <c r="R59" s="5">
        <v>5052.46</v>
      </c>
    </row>
    <row r="60" spans="1:18" x14ac:dyDescent="0.3">
      <c r="A60" s="4">
        <v>46113</v>
      </c>
      <c r="B60" s="5">
        <v>6575.32</v>
      </c>
      <c r="C60" s="4">
        <v>46113</v>
      </c>
      <c r="D60" s="5">
        <v>46565.74</v>
      </c>
      <c r="E60" s="4">
        <v>46113</v>
      </c>
      <c r="F60" s="5">
        <v>10364.790000000001</v>
      </c>
      <c r="G60" s="4">
        <v>46113</v>
      </c>
      <c r="H60" s="5">
        <v>25294.03</v>
      </c>
      <c r="I60" s="4">
        <v>46113</v>
      </c>
      <c r="J60" s="5">
        <v>53739.68</v>
      </c>
      <c r="K60" s="4">
        <v>46113</v>
      </c>
      <c r="L60" s="5">
        <v>3948.5520999999999</v>
      </c>
      <c r="M60" s="4">
        <v>46113</v>
      </c>
      <c r="N60" s="5">
        <v>7981.27</v>
      </c>
      <c r="O60" s="4">
        <v>46113</v>
      </c>
      <c r="P60" s="5">
        <v>23298.89</v>
      </c>
      <c r="Q60" s="4">
        <v>46113</v>
      </c>
      <c r="R60" s="5">
        <v>5478.7</v>
      </c>
    </row>
    <row r="61" spans="1:18" x14ac:dyDescent="0.3">
      <c r="A61" s="4">
        <v>46114</v>
      </c>
      <c r="B61" s="5">
        <v>6582.69</v>
      </c>
      <c r="C61" s="4">
        <v>46114</v>
      </c>
      <c r="D61" s="5">
        <v>46504.67</v>
      </c>
      <c r="E61" s="4">
        <v>46114</v>
      </c>
      <c r="F61" s="5">
        <v>10436.290000000001</v>
      </c>
      <c r="G61" s="4">
        <v>46114</v>
      </c>
      <c r="H61" s="5">
        <v>25116.53</v>
      </c>
      <c r="I61" s="4">
        <v>46114</v>
      </c>
      <c r="J61" s="5">
        <v>52463.27</v>
      </c>
      <c r="K61" s="4">
        <v>46114</v>
      </c>
      <c r="L61" s="5">
        <v>3919.2851999999998</v>
      </c>
      <c r="M61" s="4">
        <v>46114</v>
      </c>
      <c r="N61" s="5">
        <v>7962.39</v>
      </c>
      <c r="O61" s="4">
        <v>46114</v>
      </c>
      <c r="P61" s="5">
        <v>23168.080000000002</v>
      </c>
      <c r="Q61" s="4">
        <v>46114</v>
      </c>
      <c r="R61" s="5">
        <v>5234.05</v>
      </c>
    </row>
    <row r="62" spans="1:18" x14ac:dyDescent="0.3">
      <c r="A62" s="4">
        <v>46115</v>
      </c>
      <c r="B62" s="5">
        <v>6582.69</v>
      </c>
      <c r="C62" s="4">
        <v>46115</v>
      </c>
      <c r="D62" s="5">
        <v>46504.67</v>
      </c>
      <c r="E62" s="4">
        <v>46115</v>
      </c>
      <c r="F62" s="5">
        <v>10436.290000000001</v>
      </c>
      <c r="G62" s="4">
        <v>46115</v>
      </c>
      <c r="H62" s="5">
        <v>25116.53</v>
      </c>
      <c r="I62" s="4">
        <v>46115</v>
      </c>
      <c r="J62" s="5">
        <v>53123.49</v>
      </c>
      <c r="K62" s="4">
        <v>46115</v>
      </c>
      <c r="L62" s="5">
        <v>3880.0967000000001</v>
      </c>
      <c r="M62" s="4">
        <v>46115</v>
      </c>
      <c r="N62" s="5">
        <v>7962.39</v>
      </c>
      <c r="O62" s="4">
        <v>46115</v>
      </c>
      <c r="P62" s="5">
        <v>23168.080000000002</v>
      </c>
      <c r="Q62" s="4">
        <v>46115</v>
      </c>
      <c r="R62" s="5">
        <v>5377.3</v>
      </c>
    </row>
    <row r="63" spans="1:18" x14ac:dyDescent="0.3">
      <c r="A63" s="4">
        <v>46119</v>
      </c>
      <c r="B63" s="5">
        <v>6616.85</v>
      </c>
      <c r="C63" s="4">
        <v>46119</v>
      </c>
      <c r="D63" s="5">
        <v>46584.46</v>
      </c>
      <c r="E63" s="4">
        <v>46119</v>
      </c>
      <c r="F63" s="5">
        <v>10348.790000000001</v>
      </c>
      <c r="G63" s="4">
        <v>46119</v>
      </c>
      <c r="H63" s="5">
        <v>25116.53</v>
      </c>
      <c r="I63" s="4">
        <v>46119</v>
      </c>
      <c r="J63" s="5">
        <v>53429.56</v>
      </c>
      <c r="K63" s="4">
        <v>46119</v>
      </c>
      <c r="L63" s="5">
        <v>3890.1644999999999</v>
      </c>
      <c r="M63" s="4">
        <v>46119</v>
      </c>
      <c r="N63" s="5">
        <v>7908.74</v>
      </c>
      <c r="O63" s="4">
        <v>46119</v>
      </c>
      <c r="P63" s="5">
        <v>22921.59</v>
      </c>
      <c r="Q63" s="4">
        <v>46119</v>
      </c>
      <c r="R63" s="5">
        <v>5494.78</v>
      </c>
    </row>
    <row r="64" spans="1:18" x14ac:dyDescent="0.3">
      <c r="A64" s="4">
        <v>46120</v>
      </c>
      <c r="B64" s="5">
        <v>6782.81</v>
      </c>
      <c r="C64" s="4">
        <v>46120</v>
      </c>
      <c r="D64" s="5">
        <v>47909.919999999998</v>
      </c>
      <c r="E64" s="4">
        <v>46120</v>
      </c>
      <c r="F64" s="5">
        <v>10608.88</v>
      </c>
      <c r="G64" s="4">
        <v>46120</v>
      </c>
      <c r="H64" s="5">
        <v>25893.02</v>
      </c>
      <c r="I64" s="4">
        <v>46120</v>
      </c>
      <c r="J64" s="5">
        <v>56308.42</v>
      </c>
      <c r="K64" s="4">
        <v>46120</v>
      </c>
      <c r="L64" s="5">
        <v>3994.9974999999999</v>
      </c>
      <c r="M64" s="4">
        <v>46120</v>
      </c>
      <c r="N64" s="5">
        <v>8263.8700000000008</v>
      </c>
      <c r="O64" s="4">
        <v>46120</v>
      </c>
      <c r="P64" s="5">
        <v>24080.63</v>
      </c>
      <c r="Q64" s="4">
        <v>46120</v>
      </c>
      <c r="R64" s="5">
        <v>5872.34</v>
      </c>
    </row>
    <row r="65" spans="1:18" x14ac:dyDescent="0.3">
      <c r="A65" s="4">
        <v>46121</v>
      </c>
      <c r="B65" s="5">
        <v>6824.66</v>
      </c>
      <c r="C65" s="4">
        <v>46121</v>
      </c>
      <c r="D65" s="5">
        <v>48185.8</v>
      </c>
      <c r="E65" s="4">
        <v>46121</v>
      </c>
      <c r="F65" s="5">
        <v>10603.48</v>
      </c>
      <c r="G65" s="4">
        <v>46121</v>
      </c>
      <c r="H65" s="5">
        <v>25752.400000000001</v>
      </c>
      <c r="I65" s="4">
        <v>46121</v>
      </c>
      <c r="J65" s="5">
        <v>55895.32</v>
      </c>
      <c r="K65" s="4">
        <v>46121</v>
      </c>
      <c r="L65" s="5">
        <v>3966.1712000000002</v>
      </c>
      <c r="M65" s="4">
        <v>46121</v>
      </c>
      <c r="N65" s="5">
        <v>8245.7999999999993</v>
      </c>
      <c r="O65" s="4">
        <v>46121</v>
      </c>
      <c r="P65" s="5">
        <v>23806.99</v>
      </c>
      <c r="Q65" s="4">
        <v>46121</v>
      </c>
      <c r="R65" s="5">
        <v>5778.01</v>
      </c>
    </row>
    <row r="66" spans="1:18" x14ac:dyDescent="0.3">
      <c r="A66" s="4">
        <v>46122</v>
      </c>
      <c r="B66" s="5">
        <v>6816.89</v>
      </c>
      <c r="C66" s="4">
        <v>46122</v>
      </c>
      <c r="D66" s="5">
        <v>47916.57</v>
      </c>
      <c r="E66" s="4">
        <v>46122</v>
      </c>
      <c r="F66" s="5">
        <v>10600.53</v>
      </c>
      <c r="G66" s="4">
        <v>46122</v>
      </c>
      <c r="H66" s="5">
        <v>25893.54</v>
      </c>
      <c r="I66" s="4">
        <v>46122</v>
      </c>
      <c r="J66" s="5">
        <v>56924.11</v>
      </c>
      <c r="K66" s="4">
        <v>46122</v>
      </c>
      <c r="L66" s="5">
        <v>3986.2247000000002</v>
      </c>
      <c r="M66" s="4">
        <v>46122</v>
      </c>
      <c r="N66" s="5">
        <v>8259.6</v>
      </c>
      <c r="O66" s="4">
        <v>46122</v>
      </c>
      <c r="P66" s="5">
        <v>23803.95</v>
      </c>
      <c r="Q66" s="4">
        <v>46122</v>
      </c>
      <c r="R66" s="5">
        <v>5858.87</v>
      </c>
    </row>
    <row r="67" spans="1:18" x14ac:dyDescent="0.3">
      <c r="A67" s="4">
        <v>46125</v>
      </c>
      <c r="B67" s="5">
        <v>6886.24</v>
      </c>
      <c r="C67" s="4">
        <v>46125</v>
      </c>
      <c r="D67" s="5">
        <v>48218.25</v>
      </c>
      <c r="E67" s="4">
        <v>46125</v>
      </c>
      <c r="F67" s="5">
        <v>10582.96</v>
      </c>
      <c r="G67" s="4">
        <v>46125</v>
      </c>
      <c r="H67" s="5">
        <v>25660.85</v>
      </c>
      <c r="I67" s="4">
        <v>46125</v>
      </c>
      <c r="J67" s="5">
        <v>56502.77</v>
      </c>
      <c r="K67" s="4">
        <v>46125</v>
      </c>
      <c r="L67" s="5">
        <v>3988.558</v>
      </c>
      <c r="M67" s="4">
        <v>46125</v>
      </c>
      <c r="N67" s="5">
        <v>8235.98</v>
      </c>
      <c r="O67" s="4">
        <v>46125</v>
      </c>
      <c r="P67" s="5">
        <v>23742.44</v>
      </c>
      <c r="Q67" s="4">
        <v>46125</v>
      </c>
      <c r="R67" s="5">
        <v>5808.62</v>
      </c>
    </row>
    <row r="68" spans="1:18" x14ac:dyDescent="0.3">
      <c r="A68" s="4">
        <v>46126</v>
      </c>
      <c r="B68" s="5">
        <v>6967.38</v>
      </c>
      <c r="C68" s="4">
        <v>46126</v>
      </c>
      <c r="D68" s="5">
        <v>48535.99</v>
      </c>
      <c r="E68" s="4">
        <v>46126</v>
      </c>
      <c r="F68" s="5">
        <v>10609.06</v>
      </c>
      <c r="G68" s="4">
        <v>46126</v>
      </c>
      <c r="H68" s="5">
        <v>25872.32</v>
      </c>
      <c r="I68" s="4">
        <v>46126</v>
      </c>
      <c r="J68" s="5">
        <v>57877.39</v>
      </c>
      <c r="K68" s="4">
        <v>46126</v>
      </c>
      <c r="L68" s="5">
        <v>4026.6255999999998</v>
      </c>
      <c r="M68" s="4">
        <v>46126</v>
      </c>
      <c r="N68" s="5">
        <v>8327.86</v>
      </c>
      <c r="O68" s="4">
        <v>46126</v>
      </c>
      <c r="P68" s="5">
        <v>24044.22</v>
      </c>
      <c r="Q68" s="4">
        <v>46126</v>
      </c>
      <c r="R68" s="5">
        <v>5967.75</v>
      </c>
    </row>
    <row r="69" spans="1:18" x14ac:dyDescent="0.3">
      <c r="A69" s="4">
        <v>46127</v>
      </c>
      <c r="B69" s="5">
        <v>7022.95</v>
      </c>
      <c r="C69" s="4">
        <v>46127</v>
      </c>
      <c r="D69" s="5">
        <v>48463.72</v>
      </c>
      <c r="E69" s="4">
        <v>46127</v>
      </c>
      <c r="F69" s="5">
        <v>10559.58</v>
      </c>
      <c r="G69" s="4">
        <v>46127</v>
      </c>
      <c r="H69" s="5">
        <v>25947.32</v>
      </c>
      <c r="I69" s="4">
        <v>46127</v>
      </c>
      <c r="J69" s="5">
        <v>58134.239999999998</v>
      </c>
      <c r="K69" s="4">
        <v>46127</v>
      </c>
      <c r="L69" s="5">
        <v>4027.2094999999999</v>
      </c>
      <c r="M69" s="4">
        <v>46127</v>
      </c>
      <c r="N69" s="5">
        <v>8274.57</v>
      </c>
      <c r="O69" s="4">
        <v>46127</v>
      </c>
      <c r="P69" s="5">
        <v>24066.7</v>
      </c>
      <c r="Q69" s="4">
        <v>46127</v>
      </c>
      <c r="R69" s="5">
        <v>6091.39</v>
      </c>
    </row>
    <row r="70" spans="1:18" x14ac:dyDescent="0.3">
      <c r="A70" s="4">
        <v>46128</v>
      </c>
      <c r="B70" s="5">
        <v>7041.28</v>
      </c>
      <c r="C70" s="4">
        <v>46128</v>
      </c>
      <c r="D70" s="5">
        <v>48578.720000000001</v>
      </c>
      <c r="E70" s="4">
        <v>46128</v>
      </c>
      <c r="F70" s="5">
        <v>10589.99</v>
      </c>
      <c r="G70" s="4">
        <v>46128</v>
      </c>
      <c r="H70" s="5">
        <v>26394.26</v>
      </c>
      <c r="I70" s="4">
        <v>46128</v>
      </c>
      <c r="J70" s="5">
        <v>59518.34</v>
      </c>
      <c r="K70" s="4">
        <v>46128</v>
      </c>
      <c r="L70" s="5">
        <v>4055.5468000000001</v>
      </c>
      <c r="M70" s="4">
        <v>46128</v>
      </c>
      <c r="N70" s="5">
        <v>8262.7000000000007</v>
      </c>
      <c r="O70" s="4">
        <v>46128</v>
      </c>
      <c r="P70" s="5">
        <v>24154.47</v>
      </c>
      <c r="Q70" s="4">
        <v>46128</v>
      </c>
      <c r="R70" s="5">
        <v>6226.05</v>
      </c>
    </row>
    <row r="71" spans="1:18" x14ac:dyDescent="0.3">
      <c r="A71" s="4">
        <v>46129</v>
      </c>
      <c r="B71" s="5">
        <v>7126.06</v>
      </c>
      <c r="C71" s="4">
        <v>46129</v>
      </c>
      <c r="D71" s="5">
        <v>49447.43</v>
      </c>
      <c r="E71" s="4">
        <v>46129</v>
      </c>
      <c r="F71" s="5">
        <v>10667.63</v>
      </c>
      <c r="G71" s="4">
        <v>46129</v>
      </c>
      <c r="H71" s="5">
        <v>26160.33</v>
      </c>
      <c r="I71" s="4">
        <v>46129</v>
      </c>
      <c r="J71" s="5">
        <v>58475.9</v>
      </c>
      <c r="K71" s="4">
        <v>46129</v>
      </c>
      <c r="L71" s="5">
        <v>4051.4254000000001</v>
      </c>
      <c r="M71" s="4">
        <v>46129</v>
      </c>
      <c r="N71" s="5">
        <v>8425.1299999999992</v>
      </c>
      <c r="O71" s="4">
        <v>46129</v>
      </c>
      <c r="P71" s="5">
        <v>24702.240000000002</v>
      </c>
      <c r="Q71" s="4">
        <v>46129</v>
      </c>
      <c r="R71" s="5">
        <v>6191.92</v>
      </c>
    </row>
    <row r="72" spans="1:18" x14ac:dyDescent="0.3">
      <c r="A72" s="4">
        <v>46132</v>
      </c>
      <c r="B72" s="5">
        <v>7109.14</v>
      </c>
      <c r="C72" s="4">
        <v>46132</v>
      </c>
      <c r="D72" s="5">
        <v>49442.559999999998</v>
      </c>
      <c r="E72" s="4">
        <v>46132</v>
      </c>
      <c r="F72" s="5">
        <v>10609.08</v>
      </c>
      <c r="G72" s="4">
        <v>46132</v>
      </c>
      <c r="H72" s="5">
        <v>26361.07</v>
      </c>
      <c r="I72" s="4">
        <v>46132</v>
      </c>
      <c r="J72" s="5">
        <v>58824.89</v>
      </c>
      <c r="K72" s="4">
        <v>46132</v>
      </c>
      <c r="L72" s="5">
        <v>4082.1271000000002</v>
      </c>
      <c r="M72" s="4">
        <v>46132</v>
      </c>
      <c r="N72" s="5">
        <v>8331.0499999999993</v>
      </c>
      <c r="O72" s="4">
        <v>46132</v>
      </c>
      <c r="P72" s="5">
        <v>24417.8</v>
      </c>
      <c r="Q72" s="4">
        <v>46132</v>
      </c>
      <c r="R72" s="5">
        <v>6219.09</v>
      </c>
    </row>
    <row r="73" spans="1:18" x14ac:dyDescent="0.3">
      <c r="A73" s="4">
        <v>46133</v>
      </c>
      <c r="B73" s="5">
        <v>7064.01</v>
      </c>
      <c r="C73" s="4">
        <v>46133</v>
      </c>
      <c r="D73" s="5">
        <v>49149.38</v>
      </c>
      <c r="E73" s="4">
        <v>46133</v>
      </c>
      <c r="F73" s="5">
        <v>10498.09</v>
      </c>
      <c r="G73" s="4">
        <v>46133</v>
      </c>
      <c r="H73" s="5">
        <v>26487.48</v>
      </c>
      <c r="I73" s="4">
        <v>46133</v>
      </c>
      <c r="J73" s="5">
        <v>59349.17</v>
      </c>
      <c r="K73" s="4">
        <v>46133</v>
      </c>
      <c r="L73" s="5">
        <v>4085.0765999999999</v>
      </c>
      <c r="M73" s="4">
        <v>46133</v>
      </c>
      <c r="N73" s="5">
        <v>8235.7199999999993</v>
      </c>
      <c r="O73" s="4">
        <v>46133</v>
      </c>
      <c r="P73" s="5">
        <v>24270.87</v>
      </c>
      <c r="Q73" s="4">
        <v>46133</v>
      </c>
      <c r="R73" s="5">
        <v>6388.47</v>
      </c>
    </row>
    <row r="74" spans="1:18" x14ac:dyDescent="0.3">
      <c r="A74" s="4">
        <v>46134</v>
      </c>
      <c r="B74" s="5">
        <v>7137.9</v>
      </c>
      <c r="C74" s="4">
        <v>46134</v>
      </c>
      <c r="D74" s="5">
        <v>49490.03</v>
      </c>
      <c r="E74" s="4">
        <v>46134</v>
      </c>
      <c r="F74" s="5">
        <v>10476.459999999999</v>
      </c>
      <c r="G74" s="4">
        <v>46134</v>
      </c>
      <c r="H74" s="5">
        <v>26163.24</v>
      </c>
      <c r="I74" s="4">
        <v>46134</v>
      </c>
      <c r="J74" s="5">
        <v>59585.86</v>
      </c>
      <c r="K74" s="4">
        <v>46134</v>
      </c>
      <c r="L74" s="5">
        <v>4106.2581</v>
      </c>
      <c r="M74" s="4">
        <v>46134</v>
      </c>
      <c r="N74" s="5">
        <v>8156.43</v>
      </c>
      <c r="O74" s="4">
        <v>46134</v>
      </c>
      <c r="P74" s="5">
        <v>24194.9</v>
      </c>
      <c r="Q74" s="4">
        <v>46134</v>
      </c>
      <c r="R74" s="5">
        <v>6417.93</v>
      </c>
    </row>
    <row r="75" spans="1:18" x14ac:dyDescent="0.3">
      <c r="A75" s="4">
        <v>46135</v>
      </c>
      <c r="B75" s="5">
        <v>7108.4</v>
      </c>
      <c r="C75" s="4">
        <v>46135</v>
      </c>
      <c r="D75" s="5">
        <v>49310.32</v>
      </c>
      <c r="E75" s="4">
        <v>46135</v>
      </c>
      <c r="F75" s="5">
        <v>10457.01</v>
      </c>
      <c r="G75" s="4">
        <v>46135</v>
      </c>
      <c r="H75" s="5">
        <v>25915.200000000001</v>
      </c>
      <c r="I75" s="4">
        <v>46135</v>
      </c>
      <c r="J75" s="5">
        <v>59140.23</v>
      </c>
      <c r="K75" s="4">
        <v>46135</v>
      </c>
      <c r="L75" s="5">
        <v>4093.2501000000002</v>
      </c>
      <c r="M75" s="4">
        <v>46135</v>
      </c>
      <c r="N75" s="5">
        <v>8227.32</v>
      </c>
      <c r="O75" s="4">
        <v>46135</v>
      </c>
      <c r="P75" s="5">
        <v>24155.45</v>
      </c>
      <c r="Q75" s="4">
        <v>46135</v>
      </c>
      <c r="R75" s="5">
        <v>6475.81</v>
      </c>
    </row>
    <row r="76" spans="1:18" x14ac:dyDescent="0.3">
      <c r="A76" s="4">
        <v>46136</v>
      </c>
      <c r="B76" s="5">
        <v>7165.08</v>
      </c>
      <c r="C76" s="4">
        <v>46136</v>
      </c>
      <c r="D76" s="5">
        <v>49230.71</v>
      </c>
      <c r="E76" s="4">
        <v>46136</v>
      </c>
      <c r="F76" s="5">
        <v>10379.08</v>
      </c>
      <c r="G76" s="4">
        <v>46136</v>
      </c>
      <c r="H76" s="5">
        <v>25978.07</v>
      </c>
      <c r="I76" s="4">
        <v>46136</v>
      </c>
      <c r="J76" s="5">
        <v>59716.18</v>
      </c>
      <c r="K76" s="4">
        <v>46136</v>
      </c>
      <c r="L76" s="5">
        <v>4079.9004</v>
      </c>
      <c r="M76" s="4">
        <v>46136</v>
      </c>
      <c r="N76" s="5">
        <v>8157.82</v>
      </c>
      <c r="O76" s="4">
        <v>46136</v>
      </c>
      <c r="P76" s="5">
        <v>24128.98</v>
      </c>
      <c r="Q76" s="4">
        <v>46136</v>
      </c>
      <c r="R76" s="5">
        <v>6475.63</v>
      </c>
    </row>
    <row r="77" spans="1:18" x14ac:dyDescent="0.3">
      <c r="A77" s="4">
        <v>46139</v>
      </c>
      <c r="B77" s="5">
        <v>7173.91</v>
      </c>
      <c r="C77" s="4">
        <v>46139</v>
      </c>
      <c r="D77" s="5">
        <v>49167.79</v>
      </c>
      <c r="E77" s="4">
        <v>46139</v>
      </c>
      <c r="F77" s="5">
        <v>10321.09</v>
      </c>
      <c r="G77" s="4">
        <v>46139</v>
      </c>
      <c r="H77" s="5">
        <v>25925.65</v>
      </c>
      <c r="I77" s="4">
        <v>46139</v>
      </c>
      <c r="J77" s="5">
        <v>60537.36</v>
      </c>
      <c r="K77" s="4">
        <v>46139</v>
      </c>
      <c r="L77" s="5">
        <v>4086.3442</v>
      </c>
      <c r="M77" s="4">
        <v>46139</v>
      </c>
      <c r="N77" s="5">
        <v>8141.92</v>
      </c>
      <c r="O77" s="4">
        <v>46139</v>
      </c>
      <c r="P77" s="5">
        <v>24083.53</v>
      </c>
      <c r="Q77" s="4">
        <v>46139</v>
      </c>
      <c r="R77" s="5">
        <v>6615.03</v>
      </c>
    </row>
    <row r="78" spans="1:18" x14ac:dyDescent="0.3">
      <c r="A78" s="4">
        <v>46140</v>
      </c>
      <c r="B78" s="5">
        <v>7138.8</v>
      </c>
      <c r="C78" s="4">
        <v>46140</v>
      </c>
      <c r="D78" s="5">
        <v>49141.93</v>
      </c>
      <c r="E78" s="4">
        <v>46140</v>
      </c>
      <c r="F78" s="5">
        <v>10332.790000000001</v>
      </c>
      <c r="G78" s="4">
        <v>46140</v>
      </c>
      <c r="H78" s="5">
        <v>25679.78</v>
      </c>
      <c r="I78" s="4">
        <v>46140</v>
      </c>
      <c r="J78" s="5">
        <v>59917.46</v>
      </c>
      <c r="K78" s="4">
        <v>46140</v>
      </c>
      <c r="L78" s="5">
        <v>4078.6374000000001</v>
      </c>
      <c r="M78" s="4">
        <v>46140</v>
      </c>
      <c r="N78" s="5">
        <v>8104.09</v>
      </c>
      <c r="O78" s="4">
        <v>46140</v>
      </c>
      <c r="P78" s="5">
        <v>24018.26</v>
      </c>
      <c r="Q78" s="4">
        <v>46140</v>
      </c>
      <c r="R78" s="5">
        <v>6641.02</v>
      </c>
    </row>
    <row r="79" spans="1:18" x14ac:dyDescent="0.3">
      <c r="A79" s="4">
        <v>46141</v>
      </c>
      <c r="B79" s="5">
        <v>7135.95</v>
      </c>
      <c r="C79" s="4">
        <v>46141</v>
      </c>
      <c r="D79" s="5">
        <v>48861.81</v>
      </c>
      <c r="E79" s="4">
        <v>46141</v>
      </c>
      <c r="F79" s="5">
        <v>10213.11</v>
      </c>
      <c r="G79" s="4">
        <v>46141</v>
      </c>
      <c r="H79" s="5">
        <v>26111.84</v>
      </c>
      <c r="I79" s="4">
        <v>46141</v>
      </c>
      <c r="J79" s="5">
        <v>59917.46</v>
      </c>
      <c r="K79" s="4">
        <v>46141</v>
      </c>
      <c r="L79" s="5">
        <v>4107.5144</v>
      </c>
      <c r="M79" s="4">
        <v>46141</v>
      </c>
      <c r="N79" s="5">
        <v>8072.13</v>
      </c>
      <c r="O79" s="4">
        <v>46141</v>
      </c>
      <c r="P79" s="5">
        <v>23954.560000000001</v>
      </c>
      <c r="Q79" s="4">
        <v>46141</v>
      </c>
      <c r="R79" s="5">
        <v>6690.9</v>
      </c>
    </row>
    <row r="80" spans="1:18" x14ac:dyDescent="0.3">
      <c r="A80" s="4">
        <v>46142</v>
      </c>
      <c r="B80" s="5">
        <v>7209.01</v>
      </c>
      <c r="C80" s="4">
        <v>46142</v>
      </c>
      <c r="D80" s="5">
        <v>49652.14</v>
      </c>
      <c r="E80" s="4">
        <v>46142</v>
      </c>
      <c r="F80" s="5">
        <v>10378.82</v>
      </c>
      <c r="G80" s="4">
        <v>46142</v>
      </c>
      <c r="H80" s="5">
        <v>25776.53</v>
      </c>
      <c r="I80" s="4">
        <v>46142</v>
      </c>
      <c r="J80" s="5">
        <v>59284.92</v>
      </c>
      <c r="K80" s="4">
        <v>46142</v>
      </c>
      <c r="L80" s="5">
        <v>4112.1593000000003</v>
      </c>
      <c r="M80" s="4">
        <v>46142</v>
      </c>
      <c r="N80" s="5">
        <v>8114.84</v>
      </c>
      <c r="O80" s="4">
        <v>46142</v>
      </c>
      <c r="P80" s="5">
        <v>24292.38</v>
      </c>
      <c r="Q80" s="4">
        <v>46142</v>
      </c>
      <c r="R80" s="5">
        <v>6598.87</v>
      </c>
    </row>
    <row r="81" spans="1:18" x14ac:dyDescent="0.3">
      <c r="A81" s="4">
        <v>46148</v>
      </c>
      <c r="B81" s="5">
        <v>7365.12</v>
      </c>
      <c r="C81" s="4">
        <v>46148</v>
      </c>
      <c r="D81" s="5">
        <v>49910.59</v>
      </c>
      <c r="E81" s="4">
        <v>46148</v>
      </c>
      <c r="F81" s="5">
        <v>10438.66</v>
      </c>
      <c r="G81" s="4">
        <v>46148</v>
      </c>
      <c r="H81" s="5">
        <v>26213.78</v>
      </c>
      <c r="I81" s="4">
        <v>46148</v>
      </c>
      <c r="J81" s="5">
        <v>59513.120000000003</v>
      </c>
      <c r="K81" s="4">
        <v>46148</v>
      </c>
      <c r="L81" s="5">
        <v>4160.1737000000003</v>
      </c>
      <c r="M81" s="4">
        <v>46148</v>
      </c>
      <c r="N81" s="5">
        <v>8299.42</v>
      </c>
      <c r="O81" s="4">
        <v>46148</v>
      </c>
      <c r="P81" s="5">
        <v>24918.69</v>
      </c>
      <c r="Q81" s="4">
        <v>46148</v>
      </c>
      <c r="R81" s="5">
        <v>7384.56</v>
      </c>
    </row>
    <row r="82" spans="1:18" x14ac:dyDescent="0.3">
      <c r="A82" s="4">
        <v>46149</v>
      </c>
      <c r="B82" s="5">
        <v>7337.11</v>
      </c>
      <c r="C82" s="4">
        <v>46149</v>
      </c>
      <c r="D82" s="5">
        <v>49596.97</v>
      </c>
      <c r="E82" s="4">
        <v>46149</v>
      </c>
      <c r="F82" s="5">
        <v>10276.950000000001</v>
      </c>
      <c r="G82" s="4">
        <v>46149</v>
      </c>
      <c r="H82" s="5">
        <v>26626.28</v>
      </c>
      <c r="I82" s="4">
        <v>46149</v>
      </c>
      <c r="J82" s="5">
        <v>62833.84</v>
      </c>
      <c r="K82" s="4">
        <v>46149</v>
      </c>
      <c r="L82" s="5">
        <v>4180.0922</v>
      </c>
      <c r="M82" s="4">
        <v>46149</v>
      </c>
      <c r="N82" s="5">
        <v>8202.08</v>
      </c>
      <c r="O82" s="4">
        <v>46149</v>
      </c>
      <c r="P82" s="5">
        <v>24663.61</v>
      </c>
      <c r="Q82" s="4">
        <v>46149</v>
      </c>
      <c r="R82" s="5">
        <v>7490.05</v>
      </c>
    </row>
    <row r="83" spans="1:18" x14ac:dyDescent="0.3">
      <c r="A83" s="4">
        <v>46150</v>
      </c>
      <c r="B83" s="5">
        <v>7398.93</v>
      </c>
      <c r="C83" s="4">
        <v>46150</v>
      </c>
      <c r="D83" s="5">
        <v>49609.16</v>
      </c>
      <c r="E83" s="4">
        <v>46150</v>
      </c>
      <c r="F83" s="5">
        <v>10233.07</v>
      </c>
      <c r="G83" s="4">
        <v>46150</v>
      </c>
      <c r="H83" s="5">
        <v>26393.71</v>
      </c>
      <c r="I83" s="4">
        <v>46150</v>
      </c>
      <c r="J83" s="5">
        <v>62713.65</v>
      </c>
      <c r="K83" s="4">
        <v>46150</v>
      </c>
      <c r="L83" s="5">
        <v>4179.9524000000001</v>
      </c>
      <c r="M83" s="4">
        <v>46150</v>
      </c>
      <c r="N83" s="5">
        <v>8112.57</v>
      </c>
      <c r="O83" s="4">
        <v>46150</v>
      </c>
      <c r="P83" s="5">
        <v>24338.63</v>
      </c>
      <c r="Q83" s="4">
        <v>46150</v>
      </c>
      <c r="R83" s="5">
        <v>7498</v>
      </c>
    </row>
    <row r="84" spans="1:18" x14ac:dyDescent="0.3">
      <c r="A84" s="4">
        <v>46153</v>
      </c>
      <c r="B84" s="5">
        <v>7412.84</v>
      </c>
      <c r="C84" s="4">
        <v>46153</v>
      </c>
      <c r="D84" s="5">
        <v>49704.47</v>
      </c>
      <c r="E84" s="4">
        <v>46153</v>
      </c>
      <c r="F84" s="5">
        <v>10269.43</v>
      </c>
      <c r="G84" s="4">
        <v>46153</v>
      </c>
      <c r="H84" s="5">
        <v>26406.84</v>
      </c>
      <c r="I84" s="4">
        <v>46153</v>
      </c>
      <c r="J84" s="5">
        <v>62417.88</v>
      </c>
      <c r="K84" s="4">
        <v>46153</v>
      </c>
      <c r="L84" s="5">
        <v>4225.0207</v>
      </c>
      <c r="M84" s="4">
        <v>46153</v>
      </c>
      <c r="N84" s="5">
        <v>8056.38</v>
      </c>
      <c r="O84" s="4">
        <v>46153</v>
      </c>
      <c r="P84" s="5">
        <v>24350.28</v>
      </c>
      <c r="Q84" s="4">
        <v>46153</v>
      </c>
      <c r="R84" s="5">
        <v>7822.24</v>
      </c>
    </row>
    <row r="85" spans="1:18" x14ac:dyDescent="0.3">
      <c r="A85" s="4">
        <v>46154</v>
      </c>
      <c r="B85" s="5">
        <v>7400.96</v>
      </c>
      <c r="C85" s="4">
        <v>46154</v>
      </c>
      <c r="D85" s="5">
        <v>49760.56</v>
      </c>
      <c r="E85" s="4">
        <v>46154</v>
      </c>
      <c r="F85" s="5">
        <v>10265.32</v>
      </c>
      <c r="G85" s="4">
        <v>46154</v>
      </c>
      <c r="H85" s="5">
        <v>26347.91</v>
      </c>
      <c r="I85" s="4">
        <v>46154</v>
      </c>
      <c r="J85" s="5">
        <v>62742.57</v>
      </c>
      <c r="K85" s="4">
        <v>46154</v>
      </c>
      <c r="L85" s="5">
        <v>4214.4890999999998</v>
      </c>
      <c r="M85" s="4">
        <v>46154</v>
      </c>
      <c r="N85" s="5">
        <v>7979.92</v>
      </c>
      <c r="O85" s="4">
        <v>46154</v>
      </c>
      <c r="P85" s="5">
        <v>24350.28</v>
      </c>
      <c r="Q85" s="4">
        <v>46154</v>
      </c>
      <c r="R85" s="5">
        <v>7643.15</v>
      </c>
    </row>
    <row r="86" spans="1:18" x14ac:dyDescent="0.3">
      <c r="A86" s="4">
        <v>46155</v>
      </c>
      <c r="B86" s="5">
        <v>7400.96</v>
      </c>
      <c r="C86" s="4">
        <v>46155</v>
      </c>
      <c r="D86" s="5">
        <v>49760.56</v>
      </c>
      <c r="E86" s="4">
        <v>46155</v>
      </c>
      <c r="F86" s="5">
        <v>10265.32</v>
      </c>
      <c r="G86" s="4">
        <v>46155</v>
      </c>
      <c r="H86" s="5">
        <v>26347.91</v>
      </c>
      <c r="I86" s="4">
        <v>46155</v>
      </c>
      <c r="J86" s="5">
        <v>62742.57</v>
      </c>
      <c r="K86" s="4">
        <v>46155</v>
      </c>
      <c r="L86" s="5">
        <v>4214.4890999999998</v>
      </c>
      <c r="M86" s="4">
        <v>46155</v>
      </c>
      <c r="N86" s="5">
        <v>7979.92</v>
      </c>
      <c r="Q86" s="4">
        <v>46155</v>
      </c>
      <c r="R86" s="5">
        <v>7643.15</v>
      </c>
    </row>
    <row r="87" spans="1:18" x14ac:dyDescent="0.3">
      <c r="A87" s="4"/>
      <c r="B87" s="5"/>
    </row>
    <row r="88" spans="1:18" x14ac:dyDescent="0.3">
      <c r="A88" s="4"/>
      <c r="B88" s="5"/>
    </row>
    <row r="89" spans="1:18" x14ac:dyDescent="0.3">
      <c r="A89" s="4"/>
      <c r="B89" s="5"/>
    </row>
    <row r="90" spans="1:18" x14ac:dyDescent="0.3">
      <c r="A90" s="4"/>
      <c r="B90" s="5"/>
    </row>
    <row r="91" spans="1:18" x14ac:dyDescent="0.3">
      <c r="A91" s="4"/>
      <c r="B91" s="5"/>
    </row>
    <row r="92" spans="1:18" x14ac:dyDescent="0.3">
      <c r="A92" s="4"/>
      <c r="B92" s="5"/>
    </row>
    <row r="93" spans="1:18" x14ac:dyDescent="0.3">
      <c r="A93" s="4"/>
      <c r="B93" s="5"/>
    </row>
    <row r="94" spans="1:18" x14ac:dyDescent="0.3">
      <c r="A94" s="4"/>
      <c r="B94" s="5"/>
    </row>
    <row r="95" spans="1:18" x14ac:dyDescent="0.3">
      <c r="A95" s="4"/>
      <c r="B95" s="5"/>
    </row>
    <row r="96" spans="1:18" x14ac:dyDescent="0.3">
      <c r="A96" s="4"/>
      <c r="B96" s="5"/>
    </row>
    <row r="97" spans="1:2" x14ac:dyDescent="0.3">
      <c r="A97" s="4"/>
      <c r="B97" s="5"/>
    </row>
    <row r="98" spans="1:2" x14ac:dyDescent="0.3">
      <c r="A98" s="4"/>
      <c r="B98" s="5"/>
    </row>
    <row r="99" spans="1:2" x14ac:dyDescent="0.3">
      <c r="A99" s="4"/>
      <c r="B99" s="5"/>
    </row>
    <row r="100" spans="1:2" x14ac:dyDescent="0.3">
      <c r="A100" s="4"/>
      <c r="B100" s="5"/>
    </row>
    <row r="101" spans="1:2" x14ac:dyDescent="0.3">
      <c r="A101" s="4"/>
      <c r="B101" s="5"/>
    </row>
    <row r="102" spans="1:2" x14ac:dyDescent="0.3">
      <c r="A102" s="4"/>
      <c r="B102" s="5"/>
    </row>
    <row r="103" spans="1:2" x14ac:dyDescent="0.3">
      <c r="A103" s="4"/>
      <c r="B103" s="5"/>
    </row>
    <row r="104" spans="1:2" x14ac:dyDescent="0.3">
      <c r="A104" s="4"/>
      <c r="B104" s="5"/>
    </row>
    <row r="105" spans="1:2" x14ac:dyDescent="0.3">
      <c r="A105" s="4"/>
      <c r="B105" s="5"/>
    </row>
    <row r="106" spans="1:2" x14ac:dyDescent="0.3">
      <c r="A106" s="4"/>
      <c r="B106" s="5"/>
    </row>
    <row r="107" spans="1:2" x14ac:dyDescent="0.3">
      <c r="A107" s="4"/>
      <c r="B107" s="5"/>
    </row>
    <row r="108" spans="1:2" x14ac:dyDescent="0.3">
      <c r="A108" s="4"/>
      <c r="B108" s="5"/>
    </row>
    <row r="109" spans="1:2" x14ac:dyDescent="0.3">
      <c r="A109" s="4"/>
      <c r="B109" s="5"/>
    </row>
    <row r="110" spans="1:2" x14ac:dyDescent="0.3">
      <c r="A110" s="4"/>
      <c r="B110" s="5"/>
    </row>
    <row r="111" spans="1:2" x14ac:dyDescent="0.3">
      <c r="A111" s="4"/>
      <c r="B111" s="5"/>
    </row>
    <row r="112" spans="1:2" x14ac:dyDescent="0.3">
      <c r="A112" s="4"/>
      <c r="B112" s="5"/>
    </row>
    <row r="113" spans="1:2" x14ac:dyDescent="0.3">
      <c r="A113" s="4"/>
      <c r="B113" s="5"/>
    </row>
    <row r="114" spans="1:2" x14ac:dyDescent="0.3">
      <c r="A114" s="4"/>
      <c r="B114" s="5"/>
    </row>
    <row r="115" spans="1:2" x14ac:dyDescent="0.3">
      <c r="A115" s="4"/>
      <c r="B115" s="5"/>
    </row>
    <row r="116" spans="1:2" x14ac:dyDescent="0.3">
      <c r="A116" s="4"/>
      <c r="B116" s="5"/>
    </row>
    <row r="117" spans="1:2" x14ac:dyDescent="0.3">
      <c r="A117" s="4"/>
      <c r="B117" s="5"/>
    </row>
    <row r="118" spans="1:2" x14ac:dyDescent="0.3">
      <c r="A118" s="4"/>
      <c r="B118" s="5"/>
    </row>
    <row r="119" spans="1:2" x14ac:dyDescent="0.3">
      <c r="A119" s="4"/>
      <c r="B119" s="5"/>
    </row>
    <row r="120" spans="1:2" x14ac:dyDescent="0.3">
      <c r="A120" s="4"/>
      <c r="B120" s="5"/>
    </row>
    <row r="121" spans="1:2" x14ac:dyDescent="0.3">
      <c r="A121" s="4"/>
      <c r="B121" s="5"/>
    </row>
    <row r="122" spans="1:2" x14ac:dyDescent="0.3">
      <c r="A122" s="4"/>
      <c r="B122" s="5"/>
    </row>
    <row r="123" spans="1:2" x14ac:dyDescent="0.3">
      <c r="A123" s="4"/>
      <c r="B123" s="5"/>
    </row>
    <row r="124" spans="1:2" x14ac:dyDescent="0.3">
      <c r="A124" s="4"/>
      <c r="B124" s="5"/>
    </row>
    <row r="125" spans="1:2" x14ac:dyDescent="0.3">
      <c r="A125" s="4"/>
      <c r="B125" s="5"/>
    </row>
    <row r="126" spans="1:2" x14ac:dyDescent="0.3">
      <c r="A126" s="4"/>
      <c r="B126" s="5"/>
    </row>
    <row r="127" spans="1:2" x14ac:dyDescent="0.3">
      <c r="A127" s="4"/>
      <c r="B127" s="5"/>
    </row>
    <row r="128" spans="1:2" x14ac:dyDescent="0.3">
      <c r="A128" s="4"/>
      <c r="B128" s="5"/>
    </row>
    <row r="129" spans="1:2" x14ac:dyDescent="0.3">
      <c r="A129" s="4"/>
      <c r="B129" s="5"/>
    </row>
    <row r="130" spans="1:2" x14ac:dyDescent="0.3">
      <c r="A130" s="4"/>
      <c r="B130" s="5"/>
    </row>
    <row r="131" spans="1:2" x14ac:dyDescent="0.3">
      <c r="A131" s="4"/>
      <c r="B131" s="5"/>
    </row>
    <row r="132" spans="1:2" x14ac:dyDescent="0.3">
      <c r="A132" s="4"/>
      <c r="B132" s="5"/>
    </row>
    <row r="133" spans="1:2" x14ac:dyDescent="0.3">
      <c r="A133" s="4"/>
      <c r="B133" s="5"/>
    </row>
    <row r="134" spans="1:2" x14ac:dyDescent="0.3">
      <c r="A134" s="4"/>
      <c r="B134" s="5"/>
    </row>
    <row r="135" spans="1:2" x14ac:dyDescent="0.3">
      <c r="A135" s="4"/>
      <c r="B135" s="5"/>
    </row>
    <row r="136" spans="1:2" x14ac:dyDescent="0.3">
      <c r="A136" s="4"/>
      <c r="B136" s="5"/>
    </row>
    <row r="137" spans="1:2" x14ac:dyDescent="0.3">
      <c r="A137" s="4"/>
      <c r="B137" s="5"/>
    </row>
    <row r="138" spans="1:2" x14ac:dyDescent="0.3">
      <c r="A138" s="4"/>
      <c r="B138" s="5"/>
    </row>
    <row r="139" spans="1:2" x14ac:dyDescent="0.3">
      <c r="A139" s="4"/>
      <c r="B139" s="5"/>
    </row>
    <row r="140" spans="1:2" x14ac:dyDescent="0.3">
      <c r="A140" s="4"/>
      <c r="B140" s="5"/>
    </row>
    <row r="141" spans="1:2" x14ac:dyDescent="0.3">
      <c r="A141" s="4"/>
      <c r="B141" s="5"/>
    </row>
    <row r="142" spans="1:2" x14ac:dyDescent="0.3">
      <c r="A142" s="4"/>
      <c r="B142" s="5"/>
    </row>
    <row r="143" spans="1:2" x14ac:dyDescent="0.3">
      <c r="A143" s="4"/>
      <c r="B143" s="5"/>
    </row>
    <row r="144" spans="1:2" x14ac:dyDescent="0.3">
      <c r="A144" s="4"/>
      <c r="B144" s="5"/>
    </row>
    <row r="145" spans="1:2" x14ac:dyDescent="0.3">
      <c r="A145" s="4"/>
      <c r="B145" s="5"/>
    </row>
    <row r="146" spans="1:2" x14ac:dyDescent="0.3">
      <c r="A146" s="4"/>
      <c r="B146" s="5"/>
    </row>
    <row r="147" spans="1:2" x14ac:dyDescent="0.3">
      <c r="A147" s="4"/>
      <c r="B147" s="5"/>
    </row>
    <row r="148" spans="1:2" x14ac:dyDescent="0.3">
      <c r="A148" s="4"/>
      <c r="B148" s="5"/>
    </row>
    <row r="149" spans="1:2" x14ac:dyDescent="0.3">
      <c r="A149" s="4"/>
      <c r="B149" s="5"/>
    </row>
    <row r="150" spans="1:2" x14ac:dyDescent="0.3">
      <c r="A150" s="4"/>
      <c r="B150" s="5"/>
    </row>
    <row r="151" spans="1:2" x14ac:dyDescent="0.3">
      <c r="A151" s="4"/>
      <c r="B151" s="5"/>
    </row>
    <row r="152" spans="1:2" x14ac:dyDescent="0.3">
      <c r="A152" s="4"/>
      <c r="B152" s="5"/>
    </row>
    <row r="153" spans="1:2" x14ac:dyDescent="0.3">
      <c r="A153" s="4"/>
      <c r="B153" s="5"/>
    </row>
    <row r="154" spans="1:2" x14ac:dyDescent="0.3">
      <c r="A154" s="4"/>
      <c r="B154" s="5"/>
    </row>
    <row r="155" spans="1:2" x14ac:dyDescent="0.3">
      <c r="A155" s="4"/>
      <c r="B155" s="5"/>
    </row>
    <row r="156" spans="1:2" x14ac:dyDescent="0.3">
      <c r="A156" s="4"/>
      <c r="B156" s="5"/>
    </row>
    <row r="157" spans="1:2" x14ac:dyDescent="0.3">
      <c r="A157" s="4"/>
      <c r="B157" s="5"/>
    </row>
    <row r="158" spans="1:2" x14ac:dyDescent="0.3">
      <c r="A158" s="4"/>
      <c r="B158" s="5"/>
    </row>
    <row r="159" spans="1:2" x14ac:dyDescent="0.3">
      <c r="A159" s="4"/>
      <c r="B159" s="5"/>
    </row>
    <row r="160" spans="1:2" x14ac:dyDescent="0.3">
      <c r="A160" s="4"/>
      <c r="B160" s="5"/>
    </row>
    <row r="161" spans="1:2" x14ac:dyDescent="0.3">
      <c r="A161" s="4"/>
      <c r="B161" s="5"/>
    </row>
    <row r="162" spans="1:2" x14ac:dyDescent="0.3">
      <c r="A162" s="4"/>
      <c r="B162" s="5"/>
    </row>
    <row r="163" spans="1:2" x14ac:dyDescent="0.3">
      <c r="A163" s="4"/>
      <c r="B163" s="5"/>
    </row>
    <row r="164" spans="1:2" x14ac:dyDescent="0.3">
      <c r="A164" s="4"/>
      <c r="B164" s="5"/>
    </row>
    <row r="165" spans="1:2" x14ac:dyDescent="0.3">
      <c r="A165" s="4"/>
      <c r="B165" s="5"/>
    </row>
    <row r="166" spans="1:2" x14ac:dyDescent="0.3">
      <c r="A166" s="4"/>
      <c r="B166" s="5"/>
    </row>
    <row r="167" spans="1:2" x14ac:dyDescent="0.3">
      <c r="A167" s="4"/>
      <c r="B167" s="5"/>
    </row>
    <row r="168" spans="1:2" x14ac:dyDescent="0.3">
      <c r="A168" s="4"/>
      <c r="B168" s="5"/>
    </row>
    <row r="169" spans="1:2" x14ac:dyDescent="0.3">
      <c r="A169" s="4"/>
      <c r="B169" s="5"/>
    </row>
    <row r="170" spans="1:2" x14ac:dyDescent="0.3">
      <c r="A170" s="4"/>
      <c r="B170" s="5"/>
    </row>
    <row r="171" spans="1:2" x14ac:dyDescent="0.3">
      <c r="A171" s="4"/>
      <c r="B171" s="5"/>
    </row>
    <row r="172" spans="1:2" x14ac:dyDescent="0.3">
      <c r="A172" s="4"/>
      <c r="B172" s="5"/>
    </row>
    <row r="173" spans="1:2" x14ac:dyDescent="0.3">
      <c r="A173" s="4"/>
      <c r="B173" s="5"/>
    </row>
    <row r="174" spans="1:2" x14ac:dyDescent="0.3">
      <c r="A174" s="4"/>
      <c r="B174" s="5"/>
    </row>
    <row r="175" spans="1:2" x14ac:dyDescent="0.3">
      <c r="A175" s="4"/>
      <c r="B175" s="5"/>
    </row>
    <row r="176" spans="1:2" x14ac:dyDescent="0.3">
      <c r="A176" s="4"/>
      <c r="B176" s="5"/>
    </row>
    <row r="177" spans="1:2" x14ac:dyDescent="0.3">
      <c r="A177" s="4"/>
      <c r="B177" s="5"/>
    </row>
    <row r="178" spans="1:2" x14ac:dyDescent="0.3">
      <c r="A178" s="4"/>
      <c r="B178" s="5"/>
    </row>
    <row r="179" spans="1:2" x14ac:dyDescent="0.3">
      <c r="A179" s="4"/>
      <c r="B179" s="5"/>
    </row>
    <row r="180" spans="1:2" x14ac:dyDescent="0.3">
      <c r="A180" s="4"/>
      <c r="B180" s="5"/>
    </row>
    <row r="181" spans="1:2" x14ac:dyDescent="0.3">
      <c r="A181" s="4"/>
      <c r="B181" s="5"/>
    </row>
    <row r="182" spans="1:2" x14ac:dyDescent="0.3">
      <c r="A182" s="4"/>
      <c r="B182" s="5"/>
    </row>
    <row r="183" spans="1:2" x14ac:dyDescent="0.3">
      <c r="A183" s="4"/>
      <c r="B183" s="5"/>
    </row>
    <row r="184" spans="1:2" x14ac:dyDescent="0.3">
      <c r="A184" s="4"/>
      <c r="B184" s="5"/>
    </row>
    <row r="185" spans="1:2" x14ac:dyDescent="0.3">
      <c r="A185" s="4"/>
      <c r="B185" s="5"/>
    </row>
    <row r="186" spans="1:2" x14ac:dyDescent="0.3">
      <c r="A186" s="4"/>
      <c r="B186" s="5"/>
    </row>
    <row r="187" spans="1:2" x14ac:dyDescent="0.3">
      <c r="A187" s="4"/>
      <c r="B187" s="5"/>
    </row>
    <row r="188" spans="1:2" x14ac:dyDescent="0.3">
      <c r="A188" s="4"/>
      <c r="B188" s="5"/>
    </row>
    <row r="189" spans="1:2" x14ac:dyDescent="0.3">
      <c r="A189" s="4"/>
      <c r="B189" s="5"/>
    </row>
    <row r="190" spans="1:2" x14ac:dyDescent="0.3">
      <c r="A190" s="4"/>
      <c r="B190" s="5"/>
    </row>
    <row r="191" spans="1:2" x14ac:dyDescent="0.3">
      <c r="A191" s="4"/>
      <c r="B191" s="5"/>
    </row>
    <row r="192" spans="1:2" x14ac:dyDescent="0.3">
      <c r="A192" s="4"/>
      <c r="B192" s="5"/>
    </row>
    <row r="193" spans="1:2" x14ac:dyDescent="0.3">
      <c r="A193" s="4"/>
      <c r="B193" s="5"/>
    </row>
    <row r="194" spans="1:2" x14ac:dyDescent="0.3">
      <c r="A194" s="4"/>
      <c r="B194" s="5"/>
    </row>
    <row r="195" spans="1:2" x14ac:dyDescent="0.3">
      <c r="A195" s="4"/>
      <c r="B195" s="5"/>
    </row>
    <row r="196" spans="1:2" x14ac:dyDescent="0.3">
      <c r="A196" s="4"/>
      <c r="B196" s="5"/>
    </row>
    <row r="197" spans="1:2" x14ac:dyDescent="0.3">
      <c r="A197" s="4"/>
      <c r="B197" s="5"/>
    </row>
    <row r="198" spans="1:2" x14ac:dyDescent="0.3">
      <c r="A198" s="4"/>
      <c r="B198" s="5"/>
    </row>
    <row r="199" spans="1:2" x14ac:dyDescent="0.3">
      <c r="A199" s="4"/>
      <c r="B199" s="5"/>
    </row>
    <row r="200" spans="1:2" x14ac:dyDescent="0.3">
      <c r="A200" s="4"/>
      <c r="B200" s="5"/>
    </row>
    <row r="201" spans="1:2" x14ac:dyDescent="0.3">
      <c r="A201" s="4"/>
      <c r="B201" s="5"/>
    </row>
    <row r="202" spans="1:2" x14ac:dyDescent="0.3">
      <c r="A202" s="4"/>
      <c r="B202" s="5"/>
    </row>
    <row r="203" spans="1:2" x14ac:dyDescent="0.3">
      <c r="A203" s="4"/>
      <c r="B203" s="5"/>
    </row>
    <row r="204" spans="1:2" x14ac:dyDescent="0.3">
      <c r="A204" s="4"/>
      <c r="B204" s="5"/>
    </row>
    <row r="205" spans="1:2" x14ac:dyDescent="0.3">
      <c r="A205" s="4"/>
      <c r="B205" s="5"/>
    </row>
    <row r="206" spans="1:2" x14ac:dyDescent="0.3">
      <c r="A206" s="4"/>
      <c r="B206" s="5"/>
    </row>
    <row r="207" spans="1:2" x14ac:dyDescent="0.3">
      <c r="A207" s="4"/>
      <c r="B207" s="5"/>
    </row>
    <row r="208" spans="1:2" x14ac:dyDescent="0.3">
      <c r="A208" s="4"/>
      <c r="B208" s="5"/>
    </row>
    <row r="209" spans="1:2" x14ac:dyDescent="0.3">
      <c r="A209" s="4"/>
      <c r="B209" s="5"/>
    </row>
    <row r="210" spans="1:2" x14ac:dyDescent="0.3">
      <c r="A210" s="4"/>
      <c r="B210" s="5"/>
    </row>
    <row r="211" spans="1:2" x14ac:dyDescent="0.3">
      <c r="A211" s="4"/>
      <c r="B211" s="5"/>
    </row>
    <row r="212" spans="1:2" x14ac:dyDescent="0.3">
      <c r="A212" s="4"/>
      <c r="B212" s="5"/>
    </row>
    <row r="213" spans="1:2" x14ac:dyDescent="0.3">
      <c r="A213" s="4"/>
      <c r="B213" s="5"/>
    </row>
    <row r="214" spans="1:2" x14ac:dyDescent="0.3">
      <c r="A214" s="4"/>
      <c r="B214" s="5"/>
    </row>
    <row r="215" spans="1:2" x14ac:dyDescent="0.3">
      <c r="A215" s="4"/>
      <c r="B215" s="5"/>
    </row>
    <row r="216" spans="1:2" x14ac:dyDescent="0.3">
      <c r="A216" s="4"/>
      <c r="B216" s="5"/>
    </row>
    <row r="217" spans="1:2" x14ac:dyDescent="0.3">
      <c r="A217" s="4"/>
      <c r="B217" s="5"/>
    </row>
    <row r="218" spans="1:2" x14ac:dyDescent="0.3">
      <c r="A218" s="4"/>
      <c r="B218" s="5"/>
    </row>
    <row r="219" spans="1:2" x14ac:dyDescent="0.3">
      <c r="A219" s="4"/>
      <c r="B219" s="5"/>
    </row>
    <row r="220" spans="1:2" x14ac:dyDescent="0.3">
      <c r="A220" s="4"/>
      <c r="B220" s="5"/>
    </row>
    <row r="221" spans="1:2" x14ac:dyDescent="0.3">
      <c r="A221" s="4"/>
      <c r="B221" s="5"/>
    </row>
    <row r="222" spans="1:2" x14ac:dyDescent="0.3">
      <c r="A222" s="4"/>
      <c r="B222" s="5"/>
    </row>
    <row r="223" spans="1:2" x14ac:dyDescent="0.3">
      <c r="A223" s="4"/>
      <c r="B223" s="5"/>
    </row>
    <row r="224" spans="1:2" x14ac:dyDescent="0.3">
      <c r="A224" s="4"/>
      <c r="B224" s="5"/>
    </row>
    <row r="225" spans="1:2" x14ac:dyDescent="0.3">
      <c r="A225" s="4"/>
      <c r="B225" s="5"/>
    </row>
    <row r="226" spans="1:2" x14ac:dyDescent="0.3">
      <c r="A226" s="4"/>
      <c r="B226" s="5"/>
    </row>
    <row r="227" spans="1:2" x14ac:dyDescent="0.3">
      <c r="A227" s="4"/>
      <c r="B227" s="5"/>
    </row>
    <row r="228" spans="1:2" x14ac:dyDescent="0.3">
      <c r="A228" s="4"/>
      <c r="B228" s="5"/>
    </row>
    <row r="229" spans="1:2" x14ac:dyDescent="0.3">
      <c r="A229" s="4"/>
      <c r="B229" s="5"/>
    </row>
    <row r="230" spans="1:2" x14ac:dyDescent="0.3">
      <c r="A230" s="4"/>
      <c r="B230" s="5"/>
    </row>
    <row r="231" spans="1:2" x14ac:dyDescent="0.3">
      <c r="A231" s="4"/>
      <c r="B231" s="5"/>
    </row>
    <row r="232" spans="1:2" x14ac:dyDescent="0.3">
      <c r="A232" s="4"/>
      <c r="B232" s="5"/>
    </row>
    <row r="233" spans="1:2" x14ac:dyDescent="0.3">
      <c r="A233" s="4"/>
      <c r="B233" s="5"/>
    </row>
    <row r="234" spans="1:2" x14ac:dyDescent="0.3">
      <c r="A234" s="4"/>
      <c r="B234" s="5"/>
    </row>
    <row r="235" spans="1:2" x14ac:dyDescent="0.3">
      <c r="A235" s="4"/>
      <c r="B235" s="5"/>
    </row>
    <row r="236" spans="1:2" x14ac:dyDescent="0.3">
      <c r="A236" s="4"/>
      <c r="B236" s="5"/>
    </row>
    <row r="237" spans="1:2" x14ac:dyDescent="0.3">
      <c r="A237" s="4"/>
      <c r="B237" s="5"/>
    </row>
    <row r="238" spans="1:2" x14ac:dyDescent="0.3">
      <c r="A238" s="4"/>
      <c r="B238" s="5"/>
    </row>
    <row r="239" spans="1:2" x14ac:dyDescent="0.3">
      <c r="A239" s="4"/>
      <c r="B239" s="5"/>
    </row>
    <row r="240" spans="1:2" x14ac:dyDescent="0.3">
      <c r="A240" s="4"/>
      <c r="B240" s="5"/>
    </row>
    <row r="241" spans="1:2" x14ac:dyDescent="0.3">
      <c r="A241" s="4"/>
      <c r="B241" s="5"/>
    </row>
    <row r="242" spans="1:2" x14ac:dyDescent="0.3">
      <c r="A242" s="4"/>
      <c r="B242" s="5"/>
    </row>
    <row r="243" spans="1:2" x14ac:dyDescent="0.3">
      <c r="A243" s="4"/>
      <c r="B243" s="5"/>
    </row>
    <row r="244" spans="1:2" x14ac:dyDescent="0.3">
      <c r="A244" s="4"/>
      <c r="B244" s="5"/>
    </row>
    <row r="245" spans="1:2" x14ac:dyDescent="0.3">
      <c r="A245" s="4"/>
      <c r="B245" s="5"/>
    </row>
    <row r="246" spans="1:2" x14ac:dyDescent="0.3">
      <c r="A246" s="4"/>
      <c r="B246" s="5"/>
    </row>
    <row r="247" spans="1:2" x14ac:dyDescent="0.3">
      <c r="A247" s="4"/>
      <c r="B247" s="5"/>
    </row>
    <row r="248" spans="1:2" x14ac:dyDescent="0.3">
      <c r="A248" s="4"/>
      <c r="B248" s="5"/>
    </row>
    <row r="249" spans="1:2" x14ac:dyDescent="0.3">
      <c r="A249" s="4"/>
      <c r="B249" s="5"/>
    </row>
    <row r="250" spans="1:2" x14ac:dyDescent="0.3">
      <c r="A250" s="4"/>
      <c r="B250" s="5"/>
    </row>
    <row r="251" spans="1:2" x14ac:dyDescent="0.3">
      <c r="A251" s="4"/>
      <c r="B251" s="5"/>
    </row>
    <row r="252" spans="1:2" x14ac:dyDescent="0.3">
      <c r="A252" s="4"/>
      <c r="B252" s="5"/>
    </row>
    <row r="253" spans="1:2" x14ac:dyDescent="0.3">
      <c r="A253" s="4"/>
      <c r="B253" s="5"/>
    </row>
    <row r="254" spans="1:2" x14ac:dyDescent="0.3">
      <c r="A254" s="4"/>
      <c r="B254" s="5"/>
    </row>
    <row r="255" spans="1:2" x14ac:dyDescent="0.3">
      <c r="A255" s="4"/>
      <c r="B255" s="5"/>
    </row>
    <row r="256" spans="1:2" x14ac:dyDescent="0.3">
      <c r="A256" s="4"/>
      <c r="B256" s="5"/>
    </row>
    <row r="257" spans="1:2" x14ac:dyDescent="0.3">
      <c r="A257" s="4"/>
      <c r="B257" s="5"/>
    </row>
    <row r="258" spans="1:2" x14ac:dyDescent="0.3">
      <c r="A258" s="4"/>
      <c r="B258" s="5"/>
    </row>
    <row r="259" spans="1:2" x14ac:dyDescent="0.3">
      <c r="A259" s="4"/>
      <c r="B259" s="5"/>
    </row>
    <row r="260" spans="1:2" x14ac:dyDescent="0.3">
      <c r="A260" s="4"/>
      <c r="B260" s="5"/>
    </row>
    <row r="261" spans="1:2" x14ac:dyDescent="0.3">
      <c r="A261" s="4"/>
      <c r="B261" s="5"/>
    </row>
    <row r="262" spans="1:2" x14ac:dyDescent="0.3">
      <c r="A262" s="4"/>
      <c r="B262" s="5"/>
    </row>
    <row r="263" spans="1:2" x14ac:dyDescent="0.3">
      <c r="A263" s="4"/>
      <c r="B263" s="5"/>
    </row>
    <row r="264" spans="1:2" x14ac:dyDescent="0.3">
      <c r="A264" s="4"/>
      <c r="B264" s="5"/>
    </row>
    <row r="265" spans="1:2" x14ac:dyDescent="0.3">
      <c r="A265" s="4"/>
      <c r="B265" s="5"/>
    </row>
    <row r="266" spans="1:2" x14ac:dyDescent="0.3">
      <c r="A266" s="4"/>
      <c r="B266" s="5"/>
    </row>
    <row r="267" spans="1:2" x14ac:dyDescent="0.3">
      <c r="A267" s="4"/>
      <c r="B267" s="5"/>
    </row>
    <row r="268" spans="1:2" x14ac:dyDescent="0.3">
      <c r="A268" s="4"/>
      <c r="B268" s="5"/>
    </row>
    <row r="269" spans="1:2" x14ac:dyDescent="0.3">
      <c r="A269" s="4"/>
      <c r="B269" s="5"/>
    </row>
    <row r="270" spans="1:2" x14ac:dyDescent="0.3">
      <c r="A270" s="4"/>
      <c r="B270" s="5"/>
    </row>
    <row r="271" spans="1:2" x14ac:dyDescent="0.3">
      <c r="A271" s="4"/>
      <c r="B271" s="5"/>
    </row>
    <row r="272" spans="1:2" x14ac:dyDescent="0.3">
      <c r="A272" s="4"/>
      <c r="B272" s="5"/>
    </row>
    <row r="273" spans="1:2" x14ac:dyDescent="0.3">
      <c r="A273" s="4"/>
      <c r="B273" s="5"/>
    </row>
    <row r="274" spans="1:2" x14ac:dyDescent="0.3">
      <c r="A274" s="4"/>
      <c r="B274" s="5"/>
    </row>
    <row r="275" spans="1:2" x14ac:dyDescent="0.3">
      <c r="A275" s="4"/>
      <c r="B275" s="5"/>
    </row>
    <row r="276" spans="1:2" x14ac:dyDescent="0.3">
      <c r="A276" s="4"/>
      <c r="B276" s="5"/>
    </row>
    <row r="277" spans="1:2" x14ac:dyDescent="0.3">
      <c r="A277" s="4"/>
      <c r="B277" s="5"/>
    </row>
    <row r="278" spans="1:2" x14ac:dyDescent="0.3">
      <c r="A278" s="4"/>
      <c r="B278" s="5"/>
    </row>
    <row r="279" spans="1:2" x14ac:dyDescent="0.3">
      <c r="A279" s="4"/>
      <c r="B279" s="5"/>
    </row>
    <row r="280" spans="1:2" x14ac:dyDescent="0.3">
      <c r="A280" s="4"/>
      <c r="B280" s="5"/>
    </row>
    <row r="281" spans="1:2" x14ac:dyDescent="0.3">
      <c r="A281" s="4"/>
      <c r="B281" s="5"/>
    </row>
    <row r="282" spans="1:2" x14ac:dyDescent="0.3">
      <c r="A282" s="4"/>
      <c r="B282" s="5"/>
    </row>
    <row r="283" spans="1:2" x14ac:dyDescent="0.3">
      <c r="A283" s="4"/>
      <c r="B283" s="5"/>
    </row>
    <row r="284" spans="1:2" x14ac:dyDescent="0.3">
      <c r="A284" s="4"/>
      <c r="B284" s="5"/>
    </row>
    <row r="285" spans="1:2" x14ac:dyDescent="0.3">
      <c r="A285" s="4"/>
      <c r="B285" s="5"/>
    </row>
    <row r="286" spans="1:2" x14ac:dyDescent="0.3">
      <c r="A286" s="4"/>
      <c r="B286" s="5"/>
    </row>
    <row r="287" spans="1:2" x14ac:dyDescent="0.3">
      <c r="A287" s="4"/>
      <c r="B287" s="5"/>
    </row>
    <row r="288" spans="1:2" x14ac:dyDescent="0.3">
      <c r="A288" s="4"/>
      <c r="B288" s="5"/>
    </row>
    <row r="289" spans="1:2" x14ac:dyDescent="0.3">
      <c r="A289" s="4"/>
      <c r="B289" s="5"/>
    </row>
    <row r="290" spans="1:2" x14ac:dyDescent="0.3">
      <c r="A290" s="4"/>
      <c r="B290" s="5"/>
    </row>
    <row r="291" spans="1:2" x14ac:dyDescent="0.3">
      <c r="A291" s="4"/>
      <c r="B291" s="5"/>
    </row>
    <row r="292" spans="1:2" x14ac:dyDescent="0.3">
      <c r="A292" s="4"/>
      <c r="B292" s="5"/>
    </row>
    <row r="293" spans="1:2" x14ac:dyDescent="0.3">
      <c r="A293" s="4"/>
      <c r="B293" s="5"/>
    </row>
    <row r="294" spans="1:2" x14ac:dyDescent="0.3">
      <c r="A294" s="4"/>
      <c r="B294" s="5"/>
    </row>
    <row r="295" spans="1:2" x14ac:dyDescent="0.3">
      <c r="A295" s="4"/>
      <c r="B295" s="5"/>
    </row>
    <row r="296" spans="1:2" x14ac:dyDescent="0.3">
      <c r="A296" s="4"/>
      <c r="B296" s="5"/>
    </row>
    <row r="297" spans="1:2" x14ac:dyDescent="0.3">
      <c r="A297" s="4"/>
      <c r="B297" s="5"/>
    </row>
    <row r="298" spans="1:2" x14ac:dyDescent="0.3">
      <c r="A298" s="4"/>
      <c r="B298" s="5"/>
    </row>
    <row r="299" spans="1:2" x14ac:dyDescent="0.3">
      <c r="A299" s="4"/>
      <c r="B299" s="5"/>
    </row>
    <row r="300" spans="1:2" x14ac:dyDescent="0.3">
      <c r="A300" s="4"/>
      <c r="B300" s="5"/>
    </row>
    <row r="301" spans="1:2" x14ac:dyDescent="0.3">
      <c r="A301" s="4"/>
      <c r="B301" s="5"/>
    </row>
    <row r="302" spans="1:2" x14ac:dyDescent="0.3">
      <c r="A302" s="4"/>
      <c r="B302" s="5"/>
    </row>
    <row r="303" spans="1:2" x14ac:dyDescent="0.3">
      <c r="A303" s="4"/>
      <c r="B303" s="5"/>
    </row>
    <row r="304" spans="1:2" x14ac:dyDescent="0.3">
      <c r="A304" s="4"/>
      <c r="B304" s="5"/>
    </row>
    <row r="305" spans="1:2" x14ac:dyDescent="0.3">
      <c r="A305" s="4"/>
      <c r="B305" s="5"/>
    </row>
    <row r="306" spans="1:2" x14ac:dyDescent="0.3">
      <c r="A306" s="4"/>
      <c r="B306" s="5"/>
    </row>
    <row r="307" spans="1:2" x14ac:dyDescent="0.3">
      <c r="A307" s="4"/>
      <c r="B307" s="5"/>
    </row>
    <row r="308" spans="1:2" x14ac:dyDescent="0.3">
      <c r="A308" s="4"/>
      <c r="B308" s="5"/>
    </row>
    <row r="309" spans="1:2" x14ac:dyDescent="0.3">
      <c r="A309" s="4"/>
      <c r="B309" s="5"/>
    </row>
    <row r="310" spans="1:2" x14ac:dyDescent="0.3">
      <c r="A310" s="4"/>
      <c r="B310" s="5"/>
    </row>
    <row r="311" spans="1:2" x14ac:dyDescent="0.3">
      <c r="A311" s="4"/>
      <c r="B311" s="5"/>
    </row>
    <row r="312" spans="1:2" x14ac:dyDescent="0.3">
      <c r="A312" s="4"/>
      <c r="B312" s="5"/>
    </row>
    <row r="313" spans="1:2" x14ac:dyDescent="0.3">
      <c r="A313" s="4"/>
      <c r="B313" s="5"/>
    </row>
    <row r="314" spans="1:2" x14ac:dyDescent="0.3">
      <c r="A314" s="4"/>
      <c r="B314" s="5"/>
    </row>
    <row r="315" spans="1:2" x14ac:dyDescent="0.3">
      <c r="A315" s="4"/>
      <c r="B315" s="5"/>
    </row>
    <row r="316" spans="1:2" x14ac:dyDescent="0.3">
      <c r="A316" s="4"/>
      <c r="B316" s="5"/>
    </row>
    <row r="317" spans="1:2" x14ac:dyDescent="0.3">
      <c r="A317" s="4"/>
      <c r="B317" s="5"/>
    </row>
    <row r="318" spans="1:2" x14ac:dyDescent="0.3">
      <c r="A318" s="4"/>
      <c r="B318" s="5"/>
    </row>
    <row r="319" spans="1:2" x14ac:dyDescent="0.3">
      <c r="A319" s="4"/>
      <c r="B319" s="5"/>
    </row>
    <row r="320" spans="1:2" x14ac:dyDescent="0.3">
      <c r="A320" s="4"/>
      <c r="B320" s="5"/>
    </row>
    <row r="321" spans="1:2" x14ac:dyDescent="0.3">
      <c r="A321" s="4"/>
      <c r="B321" s="5"/>
    </row>
    <row r="322" spans="1:2" x14ac:dyDescent="0.3">
      <c r="A322" s="4"/>
      <c r="B322" s="5"/>
    </row>
    <row r="323" spans="1:2" x14ac:dyDescent="0.3">
      <c r="A323" s="4"/>
      <c r="B323" s="5"/>
    </row>
    <row r="324" spans="1:2" x14ac:dyDescent="0.3">
      <c r="A324" s="4"/>
      <c r="B324" s="5"/>
    </row>
    <row r="325" spans="1:2" x14ac:dyDescent="0.3">
      <c r="A325" s="4"/>
      <c r="B325" s="5"/>
    </row>
    <row r="326" spans="1:2" x14ac:dyDescent="0.3">
      <c r="A326" s="4"/>
      <c r="B326" s="5"/>
    </row>
    <row r="327" spans="1:2" x14ac:dyDescent="0.3">
      <c r="A327" s="4"/>
      <c r="B327" s="5"/>
    </row>
    <row r="328" spans="1:2" x14ac:dyDescent="0.3">
      <c r="A328" s="4"/>
      <c r="B328" s="5"/>
    </row>
    <row r="329" spans="1:2" x14ac:dyDescent="0.3">
      <c r="A329" s="4"/>
      <c r="B329" s="5"/>
    </row>
    <row r="330" spans="1:2" x14ac:dyDescent="0.3">
      <c r="A330" s="4"/>
      <c r="B330" s="5"/>
    </row>
    <row r="331" spans="1:2" x14ac:dyDescent="0.3">
      <c r="A331" s="4"/>
      <c r="B331" s="5"/>
    </row>
    <row r="332" spans="1:2" x14ac:dyDescent="0.3">
      <c r="A332" s="4"/>
      <c r="B332" s="5"/>
    </row>
    <row r="333" spans="1:2" x14ac:dyDescent="0.3">
      <c r="A333" s="4"/>
      <c r="B333" s="5"/>
    </row>
    <row r="334" spans="1:2" x14ac:dyDescent="0.3">
      <c r="A334" s="4"/>
      <c r="B334" s="5"/>
    </row>
    <row r="335" spans="1:2" x14ac:dyDescent="0.3">
      <c r="A335" s="4"/>
      <c r="B335" s="5"/>
    </row>
    <row r="336" spans="1:2" x14ac:dyDescent="0.3">
      <c r="A336" s="4"/>
      <c r="B336" s="5"/>
    </row>
    <row r="337" spans="1:2" x14ac:dyDescent="0.3">
      <c r="A337" s="4"/>
      <c r="B337" s="5"/>
    </row>
    <row r="338" spans="1:2" x14ac:dyDescent="0.3">
      <c r="A338" s="4"/>
      <c r="B338" s="5"/>
    </row>
    <row r="339" spans="1:2" x14ac:dyDescent="0.3">
      <c r="A339" s="4"/>
      <c r="B339" s="5"/>
    </row>
    <row r="340" spans="1:2" x14ac:dyDescent="0.3">
      <c r="A340" s="4"/>
      <c r="B340" s="5"/>
    </row>
    <row r="341" spans="1:2" x14ac:dyDescent="0.3">
      <c r="A341" s="4"/>
      <c r="B341" s="5"/>
    </row>
    <row r="342" spans="1:2" x14ac:dyDescent="0.3">
      <c r="A342" s="4"/>
      <c r="B342" s="5"/>
    </row>
    <row r="343" spans="1:2" x14ac:dyDescent="0.3">
      <c r="A343" s="4"/>
      <c r="B343" s="5"/>
    </row>
    <row r="344" spans="1:2" x14ac:dyDescent="0.3">
      <c r="A344" s="4"/>
      <c r="B344" s="5"/>
    </row>
    <row r="345" spans="1:2" x14ac:dyDescent="0.3">
      <c r="A345" s="4"/>
      <c r="B345" s="5"/>
    </row>
    <row r="346" spans="1:2" x14ac:dyDescent="0.3">
      <c r="A346" s="4"/>
      <c r="B346" s="5"/>
    </row>
    <row r="347" spans="1:2" x14ac:dyDescent="0.3">
      <c r="A347" s="4"/>
      <c r="B347" s="5"/>
    </row>
    <row r="348" spans="1:2" x14ac:dyDescent="0.3">
      <c r="A348" s="4"/>
      <c r="B348" s="5"/>
    </row>
    <row r="349" spans="1:2" x14ac:dyDescent="0.3">
      <c r="A349" s="4"/>
      <c r="B349" s="5"/>
    </row>
    <row r="350" spans="1:2" x14ac:dyDescent="0.3">
      <c r="A350" s="4"/>
      <c r="B350" s="5"/>
    </row>
    <row r="351" spans="1:2" x14ac:dyDescent="0.3">
      <c r="A351" s="4"/>
      <c r="B351" s="5"/>
    </row>
    <row r="352" spans="1:2" x14ac:dyDescent="0.3">
      <c r="A352" s="4"/>
      <c r="B352" s="5"/>
    </row>
    <row r="353" spans="1:2" x14ac:dyDescent="0.3">
      <c r="A353" s="4"/>
      <c r="B353" s="5"/>
    </row>
    <row r="354" spans="1:2" x14ac:dyDescent="0.3">
      <c r="A354" s="4"/>
      <c r="B354" s="5"/>
    </row>
    <row r="355" spans="1:2" x14ac:dyDescent="0.3">
      <c r="A355" s="4"/>
      <c r="B355" s="5"/>
    </row>
    <row r="356" spans="1:2" x14ac:dyDescent="0.3">
      <c r="A356" s="4"/>
      <c r="B356" s="5"/>
    </row>
    <row r="357" spans="1:2" x14ac:dyDescent="0.3">
      <c r="A357" s="4"/>
      <c r="B357" s="5"/>
    </row>
    <row r="358" spans="1:2" x14ac:dyDescent="0.3">
      <c r="A358" s="4"/>
      <c r="B358" s="5"/>
    </row>
    <row r="359" spans="1:2" x14ac:dyDescent="0.3">
      <c r="A359" s="4"/>
      <c r="B359" s="5"/>
    </row>
    <row r="360" spans="1:2" x14ac:dyDescent="0.3">
      <c r="A360" s="4"/>
      <c r="B360" s="5"/>
    </row>
    <row r="361" spans="1:2" x14ac:dyDescent="0.3">
      <c r="A361" s="4"/>
      <c r="B361" s="5"/>
    </row>
    <row r="362" spans="1:2" x14ac:dyDescent="0.3">
      <c r="A362" s="4"/>
      <c r="B362" s="5"/>
    </row>
    <row r="363" spans="1:2" x14ac:dyDescent="0.3">
      <c r="A363" s="4"/>
      <c r="B363" s="5"/>
    </row>
    <row r="364" spans="1:2" x14ac:dyDescent="0.3">
      <c r="A364" s="4"/>
      <c r="B364" s="5"/>
    </row>
    <row r="365" spans="1:2" x14ac:dyDescent="0.3">
      <c r="A365" s="4"/>
      <c r="B365" s="5"/>
    </row>
    <row r="366" spans="1:2" x14ac:dyDescent="0.3">
      <c r="A366" s="4"/>
      <c r="B366" s="5"/>
    </row>
    <row r="367" spans="1:2" x14ac:dyDescent="0.3">
      <c r="A367" s="4"/>
      <c r="B367" s="5"/>
    </row>
    <row r="368" spans="1:2" x14ac:dyDescent="0.3">
      <c r="A368" s="4"/>
      <c r="B368" s="5"/>
    </row>
    <row r="369" spans="1:2" x14ac:dyDescent="0.3">
      <c r="A369" s="4"/>
      <c r="B369" s="5"/>
    </row>
    <row r="370" spans="1:2" x14ac:dyDescent="0.3">
      <c r="A370" s="4"/>
      <c r="B370" s="5"/>
    </row>
    <row r="371" spans="1:2" x14ac:dyDescent="0.3">
      <c r="A371" s="4"/>
      <c r="B371" s="5"/>
    </row>
    <row r="372" spans="1:2" x14ac:dyDescent="0.3">
      <c r="A372" s="4"/>
      <c r="B372" s="5"/>
    </row>
    <row r="373" spans="1:2" x14ac:dyDescent="0.3">
      <c r="A373" s="4"/>
      <c r="B373" s="5"/>
    </row>
    <row r="374" spans="1:2" x14ac:dyDescent="0.3">
      <c r="A374" s="4"/>
      <c r="B374" s="5"/>
    </row>
    <row r="375" spans="1:2" x14ac:dyDescent="0.3">
      <c r="A375" s="4"/>
      <c r="B375" s="5"/>
    </row>
    <row r="376" spans="1:2" x14ac:dyDescent="0.3">
      <c r="A376" s="4"/>
      <c r="B376" s="5"/>
    </row>
    <row r="377" spans="1:2" x14ac:dyDescent="0.3">
      <c r="A377" s="4"/>
      <c r="B377" s="5"/>
    </row>
    <row r="378" spans="1:2" x14ac:dyDescent="0.3">
      <c r="A378" s="4"/>
      <c r="B378" s="5"/>
    </row>
    <row r="379" spans="1:2" x14ac:dyDescent="0.3">
      <c r="A379" s="4"/>
      <c r="B379" s="5"/>
    </row>
    <row r="380" spans="1:2" x14ac:dyDescent="0.3">
      <c r="A380" s="4"/>
      <c r="B380" s="5"/>
    </row>
    <row r="381" spans="1:2" x14ac:dyDescent="0.3">
      <c r="A381" s="4"/>
      <c r="B381" s="5"/>
    </row>
    <row r="382" spans="1:2" x14ac:dyDescent="0.3">
      <c r="A382" s="4"/>
      <c r="B382" s="5"/>
    </row>
    <row r="383" spans="1:2" x14ac:dyDescent="0.3">
      <c r="A383" s="4"/>
      <c r="B383" s="5"/>
    </row>
    <row r="384" spans="1:2" x14ac:dyDescent="0.3">
      <c r="A384" s="4"/>
      <c r="B384" s="5"/>
    </row>
    <row r="385" spans="1:2" x14ac:dyDescent="0.3">
      <c r="A385" s="4"/>
      <c r="B385" s="5"/>
    </row>
    <row r="386" spans="1:2" x14ac:dyDescent="0.3">
      <c r="A386" s="4"/>
      <c r="B386" s="5"/>
    </row>
    <row r="387" spans="1:2" x14ac:dyDescent="0.3">
      <c r="A387" s="4"/>
      <c r="B387" s="5"/>
    </row>
    <row r="388" spans="1:2" x14ac:dyDescent="0.3">
      <c r="A388" s="4"/>
      <c r="B388" s="5"/>
    </row>
    <row r="389" spans="1:2" x14ac:dyDescent="0.3">
      <c r="A389" s="4"/>
      <c r="B389" s="5"/>
    </row>
    <row r="390" spans="1:2" x14ac:dyDescent="0.3">
      <c r="A390" s="4"/>
      <c r="B390" s="5"/>
    </row>
    <row r="391" spans="1:2" x14ac:dyDescent="0.3">
      <c r="A391" s="4"/>
      <c r="B391" s="5"/>
    </row>
    <row r="392" spans="1:2" x14ac:dyDescent="0.3">
      <c r="A392" s="4"/>
      <c r="B392" s="5"/>
    </row>
    <row r="393" spans="1:2" x14ac:dyDescent="0.3">
      <c r="A393" s="4"/>
      <c r="B393" s="5"/>
    </row>
    <row r="394" spans="1:2" x14ac:dyDescent="0.3">
      <c r="A394" s="4"/>
      <c r="B394" s="5"/>
    </row>
    <row r="395" spans="1:2" x14ac:dyDescent="0.3">
      <c r="A395" s="4"/>
      <c r="B395" s="5"/>
    </row>
    <row r="396" spans="1:2" x14ac:dyDescent="0.3">
      <c r="A396" s="4"/>
      <c r="B396" s="5"/>
    </row>
    <row r="397" spans="1:2" x14ac:dyDescent="0.3">
      <c r="A397" s="4"/>
      <c r="B397" s="5"/>
    </row>
    <row r="398" spans="1:2" x14ac:dyDescent="0.3">
      <c r="A398" s="4"/>
      <c r="B398" s="5"/>
    </row>
    <row r="399" spans="1:2" x14ac:dyDescent="0.3">
      <c r="A399" s="4"/>
      <c r="B399" s="5"/>
    </row>
    <row r="400" spans="1:2" x14ac:dyDescent="0.3">
      <c r="A400" s="4"/>
      <c r="B400" s="5"/>
    </row>
    <row r="401" spans="1:2" x14ac:dyDescent="0.3">
      <c r="A401" s="4"/>
      <c r="B401" s="5"/>
    </row>
    <row r="402" spans="1:2" x14ac:dyDescent="0.3">
      <c r="A402" s="4"/>
      <c r="B402" s="5"/>
    </row>
    <row r="403" spans="1:2" x14ac:dyDescent="0.3">
      <c r="A403" s="4"/>
      <c r="B403" s="5"/>
    </row>
    <row r="404" spans="1:2" x14ac:dyDescent="0.3">
      <c r="A404" s="4"/>
      <c r="B404" s="5"/>
    </row>
    <row r="405" spans="1:2" x14ac:dyDescent="0.3">
      <c r="A405" s="4"/>
      <c r="B405" s="5"/>
    </row>
    <row r="406" spans="1:2" x14ac:dyDescent="0.3">
      <c r="A406" s="4"/>
      <c r="B406" s="5"/>
    </row>
    <row r="407" spans="1:2" x14ac:dyDescent="0.3">
      <c r="A407" s="4"/>
      <c r="B407" s="5"/>
    </row>
    <row r="408" spans="1:2" x14ac:dyDescent="0.3">
      <c r="A408" s="4"/>
      <c r="B408" s="5"/>
    </row>
    <row r="409" spans="1:2" x14ac:dyDescent="0.3">
      <c r="A409" s="4"/>
      <c r="B409" s="5"/>
    </row>
    <row r="410" spans="1:2" x14ac:dyDescent="0.3">
      <c r="A410" s="4"/>
      <c r="B410" s="5"/>
    </row>
    <row r="411" spans="1:2" x14ac:dyDescent="0.3">
      <c r="A411" s="4"/>
      <c r="B411" s="5"/>
    </row>
    <row r="412" spans="1:2" x14ac:dyDescent="0.3">
      <c r="A412" s="4"/>
      <c r="B412" s="5"/>
    </row>
    <row r="413" spans="1:2" x14ac:dyDescent="0.3">
      <c r="A413" s="4"/>
      <c r="B413" s="5"/>
    </row>
    <row r="414" spans="1:2" x14ac:dyDescent="0.3">
      <c r="A414" s="4"/>
      <c r="B414" s="5"/>
    </row>
    <row r="415" spans="1:2" x14ac:dyDescent="0.3">
      <c r="A415" s="4"/>
      <c r="B415" s="5"/>
    </row>
    <row r="416" spans="1:2" x14ac:dyDescent="0.3">
      <c r="A416" s="4"/>
      <c r="B416" s="5"/>
    </row>
    <row r="417" spans="1:2" x14ac:dyDescent="0.3">
      <c r="A417" s="4"/>
      <c r="B417" s="5"/>
    </row>
    <row r="418" spans="1:2" x14ac:dyDescent="0.3">
      <c r="A418" s="4"/>
      <c r="B418" s="5"/>
    </row>
    <row r="419" spans="1:2" x14ac:dyDescent="0.3">
      <c r="A419" s="4"/>
      <c r="B419" s="5"/>
    </row>
    <row r="420" spans="1:2" x14ac:dyDescent="0.3">
      <c r="A420" s="4"/>
      <c r="B420" s="5"/>
    </row>
    <row r="421" spans="1:2" x14ac:dyDescent="0.3">
      <c r="A421" s="4"/>
      <c r="B421" s="5"/>
    </row>
    <row r="422" spans="1:2" x14ac:dyDescent="0.3">
      <c r="A422" s="4"/>
      <c r="B422" s="5"/>
    </row>
    <row r="423" spans="1:2" x14ac:dyDescent="0.3">
      <c r="A423" s="4"/>
      <c r="B423" s="5"/>
    </row>
    <row r="424" spans="1:2" x14ac:dyDescent="0.3">
      <c r="A424" s="4"/>
      <c r="B424" s="5"/>
    </row>
    <row r="425" spans="1:2" x14ac:dyDescent="0.3">
      <c r="A425" s="4"/>
      <c r="B425" s="5"/>
    </row>
    <row r="426" spans="1:2" x14ac:dyDescent="0.3">
      <c r="A426" s="4"/>
      <c r="B426" s="5"/>
    </row>
    <row r="427" spans="1:2" x14ac:dyDescent="0.3">
      <c r="A427" s="4"/>
      <c r="B427" s="5"/>
    </row>
    <row r="428" spans="1:2" x14ac:dyDescent="0.3">
      <c r="A428" s="4"/>
      <c r="B428" s="5"/>
    </row>
    <row r="429" spans="1:2" x14ac:dyDescent="0.3">
      <c r="A429" s="4"/>
      <c r="B429" s="5"/>
    </row>
    <row r="430" spans="1:2" x14ac:dyDescent="0.3">
      <c r="A430" s="4"/>
      <c r="B430" s="5"/>
    </row>
    <row r="431" spans="1:2" x14ac:dyDescent="0.3">
      <c r="A431" s="4"/>
      <c r="B431" s="5"/>
    </row>
    <row r="432" spans="1:2" x14ac:dyDescent="0.3">
      <c r="A432" s="4"/>
      <c r="B432" s="5"/>
    </row>
    <row r="433" spans="1:2" x14ac:dyDescent="0.3">
      <c r="A433" s="4"/>
      <c r="B433" s="5"/>
    </row>
    <row r="434" spans="1:2" x14ac:dyDescent="0.3">
      <c r="A434" s="4"/>
      <c r="B434" s="5"/>
    </row>
    <row r="435" spans="1:2" x14ac:dyDescent="0.3">
      <c r="A435" s="4"/>
      <c r="B435" s="5"/>
    </row>
    <row r="436" spans="1:2" x14ac:dyDescent="0.3">
      <c r="A436" s="4"/>
      <c r="B436" s="5"/>
    </row>
    <row r="437" spans="1:2" x14ac:dyDescent="0.3">
      <c r="A437" s="4"/>
      <c r="B437" s="5"/>
    </row>
    <row r="438" spans="1:2" x14ac:dyDescent="0.3">
      <c r="A438" s="4"/>
      <c r="B438" s="5"/>
    </row>
    <row r="439" spans="1:2" x14ac:dyDescent="0.3">
      <c r="A439" s="4"/>
      <c r="B439" s="5"/>
    </row>
    <row r="440" spans="1:2" x14ac:dyDescent="0.3">
      <c r="A440" s="4"/>
      <c r="B440" s="5"/>
    </row>
    <row r="441" spans="1:2" x14ac:dyDescent="0.3">
      <c r="A441" s="4"/>
      <c r="B441" s="5"/>
    </row>
    <row r="442" spans="1:2" x14ac:dyDescent="0.3">
      <c r="A442" s="4"/>
      <c r="B442" s="5"/>
    </row>
    <row r="443" spans="1:2" x14ac:dyDescent="0.3">
      <c r="A443" s="4"/>
      <c r="B443" s="5"/>
    </row>
    <row r="444" spans="1:2" x14ac:dyDescent="0.3">
      <c r="A444" s="4"/>
      <c r="B444" s="5"/>
    </row>
    <row r="445" spans="1:2" x14ac:dyDescent="0.3">
      <c r="A445" s="4"/>
      <c r="B445" s="5"/>
    </row>
    <row r="446" spans="1:2" x14ac:dyDescent="0.3">
      <c r="A446" s="4"/>
      <c r="B446" s="5"/>
    </row>
    <row r="447" spans="1:2" x14ac:dyDescent="0.3">
      <c r="A447" s="4"/>
      <c r="B447" s="5"/>
    </row>
    <row r="448" spans="1:2" x14ac:dyDescent="0.3">
      <c r="A448" s="4"/>
      <c r="B448" s="5"/>
    </row>
    <row r="449" spans="1:2" x14ac:dyDescent="0.3">
      <c r="A449" s="4"/>
      <c r="B449" s="5"/>
    </row>
    <row r="450" spans="1:2" x14ac:dyDescent="0.3">
      <c r="A450" s="4"/>
      <c r="B450" s="5"/>
    </row>
    <row r="451" spans="1:2" x14ac:dyDescent="0.3">
      <c r="A451" s="4"/>
      <c r="B451" s="5"/>
    </row>
    <row r="452" spans="1:2" x14ac:dyDescent="0.3">
      <c r="A452" s="4"/>
      <c r="B452" s="5"/>
    </row>
    <row r="453" spans="1:2" x14ac:dyDescent="0.3">
      <c r="A453" s="4"/>
      <c r="B453" s="5"/>
    </row>
    <row r="454" spans="1:2" x14ac:dyDescent="0.3">
      <c r="A454" s="4"/>
      <c r="B454" s="5"/>
    </row>
    <row r="455" spans="1:2" x14ac:dyDescent="0.3">
      <c r="A455" s="4"/>
      <c r="B455" s="5"/>
    </row>
    <row r="456" spans="1:2" x14ac:dyDescent="0.3">
      <c r="A456" s="4"/>
      <c r="B456" s="5"/>
    </row>
    <row r="457" spans="1:2" x14ac:dyDescent="0.3">
      <c r="A457" s="4"/>
      <c r="B457" s="5"/>
    </row>
    <row r="458" spans="1:2" x14ac:dyDescent="0.3">
      <c r="A458" s="4"/>
      <c r="B458" s="5"/>
    </row>
    <row r="459" spans="1:2" x14ac:dyDescent="0.3">
      <c r="A459" s="4"/>
      <c r="B459" s="5"/>
    </row>
    <row r="460" spans="1:2" x14ac:dyDescent="0.3">
      <c r="A460" s="4"/>
      <c r="B460" s="5"/>
    </row>
    <row r="461" spans="1:2" x14ac:dyDescent="0.3">
      <c r="A461" s="4"/>
      <c r="B461" s="5"/>
    </row>
    <row r="462" spans="1:2" x14ac:dyDescent="0.3">
      <c r="A462" s="4"/>
      <c r="B462" s="5"/>
    </row>
    <row r="463" spans="1:2" x14ac:dyDescent="0.3">
      <c r="A463" s="4"/>
      <c r="B463" s="5"/>
    </row>
    <row r="464" spans="1:2" x14ac:dyDescent="0.3">
      <c r="A464" s="4"/>
      <c r="B464" s="5"/>
    </row>
    <row r="465" spans="1:2" x14ac:dyDescent="0.3">
      <c r="A465" s="4"/>
      <c r="B465" s="5"/>
    </row>
    <row r="466" spans="1:2" x14ac:dyDescent="0.3">
      <c r="A466" s="4"/>
      <c r="B466" s="5"/>
    </row>
    <row r="467" spans="1:2" x14ac:dyDescent="0.3">
      <c r="A467" s="4"/>
      <c r="B467" s="5"/>
    </row>
    <row r="468" spans="1:2" x14ac:dyDescent="0.3">
      <c r="A468" s="4"/>
      <c r="B468" s="5"/>
    </row>
    <row r="469" spans="1:2" x14ac:dyDescent="0.3">
      <c r="A469" s="4"/>
      <c r="B469" s="5"/>
    </row>
    <row r="470" spans="1:2" x14ac:dyDescent="0.3">
      <c r="A470" s="4"/>
      <c r="B470" s="5"/>
    </row>
    <row r="471" spans="1:2" x14ac:dyDescent="0.3">
      <c r="A471" s="4"/>
      <c r="B471" s="5"/>
    </row>
    <row r="472" spans="1:2" x14ac:dyDescent="0.3">
      <c r="A472" s="4"/>
      <c r="B472" s="5"/>
    </row>
    <row r="473" spans="1:2" x14ac:dyDescent="0.3">
      <c r="A473" s="4"/>
      <c r="B473" s="5"/>
    </row>
    <row r="474" spans="1:2" x14ac:dyDescent="0.3">
      <c r="A474" s="4"/>
      <c r="B474" s="5"/>
    </row>
    <row r="475" spans="1:2" x14ac:dyDescent="0.3">
      <c r="A475" s="4"/>
      <c r="B475" s="5"/>
    </row>
    <row r="476" spans="1:2" x14ac:dyDescent="0.3">
      <c r="A476" s="4"/>
      <c r="B476" s="5"/>
    </row>
    <row r="477" spans="1:2" x14ac:dyDescent="0.3">
      <c r="A477" s="4"/>
      <c r="B477" s="5"/>
    </row>
    <row r="478" spans="1:2" x14ac:dyDescent="0.3">
      <c r="A478" s="4"/>
      <c r="B478" s="5"/>
    </row>
    <row r="479" spans="1:2" x14ac:dyDescent="0.3">
      <c r="A479" s="4"/>
      <c r="B479" s="5"/>
    </row>
    <row r="480" spans="1:2" x14ac:dyDescent="0.3">
      <c r="A480" s="4"/>
      <c r="B480" s="5"/>
    </row>
    <row r="481" spans="1:2" x14ac:dyDescent="0.3">
      <c r="A481" s="4"/>
      <c r="B481" s="5"/>
    </row>
    <row r="482" spans="1:2" x14ac:dyDescent="0.3">
      <c r="A482" s="4"/>
      <c r="B482" s="5"/>
    </row>
    <row r="483" spans="1:2" x14ac:dyDescent="0.3">
      <c r="A483" s="4"/>
      <c r="B483" s="5"/>
    </row>
    <row r="484" spans="1:2" x14ac:dyDescent="0.3">
      <c r="A484" s="4"/>
      <c r="B484" s="5"/>
    </row>
    <row r="485" spans="1:2" x14ac:dyDescent="0.3">
      <c r="A485" s="4"/>
      <c r="B485" s="5"/>
    </row>
    <row r="486" spans="1:2" x14ac:dyDescent="0.3">
      <c r="A486" s="4"/>
      <c r="B486" s="5"/>
    </row>
    <row r="487" spans="1:2" x14ac:dyDescent="0.3">
      <c r="A487" s="4"/>
      <c r="B487" s="5"/>
    </row>
    <row r="488" spans="1:2" x14ac:dyDescent="0.3">
      <c r="A488" s="4"/>
      <c r="B488" s="5"/>
    </row>
    <row r="489" spans="1:2" x14ac:dyDescent="0.3">
      <c r="A489" s="4"/>
      <c r="B489" s="5"/>
    </row>
    <row r="490" spans="1:2" x14ac:dyDescent="0.3">
      <c r="A490" s="4"/>
      <c r="B490" s="5"/>
    </row>
    <row r="491" spans="1:2" x14ac:dyDescent="0.3">
      <c r="A491" s="4"/>
      <c r="B491" s="5"/>
    </row>
    <row r="492" spans="1:2" x14ac:dyDescent="0.3">
      <c r="A492" s="4"/>
      <c r="B492" s="5"/>
    </row>
    <row r="493" spans="1:2" x14ac:dyDescent="0.3">
      <c r="A493" s="4"/>
      <c r="B493" s="5"/>
    </row>
    <row r="494" spans="1:2" x14ac:dyDescent="0.3">
      <c r="A494" s="4"/>
      <c r="B494" s="5"/>
    </row>
    <row r="495" spans="1:2" x14ac:dyDescent="0.3">
      <c r="A495" s="4"/>
      <c r="B495" s="5"/>
    </row>
    <row r="496" spans="1:2" x14ac:dyDescent="0.3">
      <c r="A496" s="4"/>
      <c r="B496" s="5"/>
    </row>
    <row r="497" spans="1:2" x14ac:dyDescent="0.3">
      <c r="A497" s="4"/>
      <c r="B497" s="5"/>
    </row>
    <row r="498" spans="1:2" x14ac:dyDescent="0.3">
      <c r="A498" s="4"/>
      <c r="B498" s="5"/>
    </row>
    <row r="499" spans="1:2" x14ac:dyDescent="0.3">
      <c r="A499" s="4"/>
      <c r="B499" s="5"/>
    </row>
    <row r="500" spans="1:2" x14ac:dyDescent="0.3">
      <c r="A500" s="4"/>
      <c r="B500" s="5"/>
    </row>
    <row r="501" spans="1:2" x14ac:dyDescent="0.3">
      <c r="A501" s="4"/>
      <c r="B501" s="5"/>
    </row>
    <row r="502" spans="1:2" x14ac:dyDescent="0.3">
      <c r="A502" s="4"/>
      <c r="B502" s="5"/>
    </row>
    <row r="503" spans="1:2" x14ac:dyDescent="0.3">
      <c r="A503" s="4"/>
      <c r="B503" s="5"/>
    </row>
    <row r="504" spans="1:2" x14ac:dyDescent="0.3">
      <c r="A504" s="4"/>
      <c r="B504" s="5"/>
    </row>
    <row r="505" spans="1:2" x14ac:dyDescent="0.3">
      <c r="A505" s="4"/>
      <c r="B505" s="5"/>
    </row>
    <row r="506" spans="1:2" x14ac:dyDescent="0.3">
      <c r="A506" s="4"/>
      <c r="B506" s="5"/>
    </row>
    <row r="507" spans="1:2" x14ac:dyDescent="0.3">
      <c r="A507" s="4"/>
      <c r="B507" s="5"/>
    </row>
    <row r="508" spans="1:2" x14ac:dyDescent="0.3">
      <c r="A508" s="4"/>
      <c r="B508" s="5"/>
    </row>
    <row r="509" spans="1:2" x14ac:dyDescent="0.3">
      <c r="A509" s="4"/>
      <c r="B509" s="5"/>
    </row>
    <row r="510" spans="1:2" x14ac:dyDescent="0.3">
      <c r="A510" s="4"/>
      <c r="B510" s="5"/>
    </row>
    <row r="511" spans="1:2" x14ac:dyDescent="0.3">
      <c r="A511" s="4"/>
      <c r="B511" s="5"/>
    </row>
    <row r="512" spans="1:2" x14ac:dyDescent="0.3">
      <c r="A512" s="4"/>
      <c r="B512" s="5"/>
    </row>
    <row r="513" spans="1:2" x14ac:dyDescent="0.3">
      <c r="A513" s="4"/>
      <c r="B513" s="5"/>
    </row>
    <row r="514" spans="1:2" x14ac:dyDescent="0.3">
      <c r="A514" s="4"/>
      <c r="B514" s="5"/>
    </row>
    <row r="515" spans="1:2" x14ac:dyDescent="0.3">
      <c r="A515" s="4"/>
      <c r="B515" s="5"/>
    </row>
    <row r="516" spans="1:2" x14ac:dyDescent="0.3">
      <c r="A516" s="4"/>
      <c r="B516" s="5"/>
    </row>
    <row r="517" spans="1:2" x14ac:dyDescent="0.3">
      <c r="A517" s="4"/>
      <c r="B517" s="5"/>
    </row>
    <row r="518" spans="1:2" x14ac:dyDescent="0.3">
      <c r="A518" s="4"/>
      <c r="B518" s="5"/>
    </row>
    <row r="519" spans="1:2" x14ac:dyDescent="0.3">
      <c r="A519" s="4"/>
      <c r="B519" s="5"/>
    </row>
    <row r="520" spans="1:2" x14ac:dyDescent="0.3">
      <c r="A520" s="4"/>
      <c r="B520" s="5"/>
    </row>
    <row r="521" spans="1:2" x14ac:dyDescent="0.3">
      <c r="A521" s="4"/>
      <c r="B521" s="5"/>
    </row>
    <row r="522" spans="1:2" x14ac:dyDescent="0.3">
      <c r="A522" s="4"/>
      <c r="B522" s="5"/>
    </row>
    <row r="523" spans="1:2" x14ac:dyDescent="0.3">
      <c r="A523" s="4"/>
      <c r="B523" s="5"/>
    </row>
    <row r="524" spans="1:2" x14ac:dyDescent="0.3">
      <c r="A524" s="4"/>
      <c r="B524" s="5"/>
    </row>
    <row r="525" spans="1:2" x14ac:dyDescent="0.3">
      <c r="A525" s="4"/>
      <c r="B525" s="5"/>
    </row>
    <row r="526" spans="1:2" x14ac:dyDescent="0.3">
      <c r="A526" s="4"/>
      <c r="B526" s="5"/>
    </row>
    <row r="527" spans="1:2" x14ac:dyDescent="0.3">
      <c r="A527" s="4"/>
      <c r="B527" s="5"/>
    </row>
    <row r="528" spans="1:2" x14ac:dyDescent="0.3">
      <c r="A528" s="4"/>
      <c r="B528" s="5"/>
    </row>
    <row r="529" spans="1:2" x14ac:dyDescent="0.3">
      <c r="A529" s="4"/>
      <c r="B529" s="5"/>
    </row>
    <row r="530" spans="1:2" x14ac:dyDescent="0.3">
      <c r="A530" s="4"/>
      <c r="B530" s="5"/>
    </row>
    <row r="531" spans="1:2" x14ac:dyDescent="0.3">
      <c r="A531" s="4"/>
      <c r="B531" s="5"/>
    </row>
    <row r="532" spans="1:2" x14ac:dyDescent="0.3">
      <c r="A532" s="4"/>
      <c r="B532" s="5"/>
    </row>
    <row r="533" spans="1:2" x14ac:dyDescent="0.3">
      <c r="A533" s="4"/>
      <c r="B533" s="5"/>
    </row>
    <row r="534" spans="1:2" x14ac:dyDescent="0.3">
      <c r="A534" s="4"/>
      <c r="B534" s="5"/>
    </row>
    <row r="535" spans="1:2" x14ac:dyDescent="0.3">
      <c r="A535" s="4"/>
      <c r="B535" s="5"/>
    </row>
    <row r="536" spans="1:2" x14ac:dyDescent="0.3">
      <c r="A536" s="4"/>
      <c r="B536" s="5"/>
    </row>
    <row r="537" spans="1:2" x14ac:dyDescent="0.3">
      <c r="A537" s="4"/>
      <c r="B537" s="5"/>
    </row>
    <row r="538" spans="1:2" x14ac:dyDescent="0.3">
      <c r="A538" s="4"/>
      <c r="B538" s="5"/>
    </row>
    <row r="539" spans="1:2" x14ac:dyDescent="0.3">
      <c r="A539" s="4"/>
      <c r="B539" s="5"/>
    </row>
    <row r="540" spans="1:2" x14ac:dyDescent="0.3">
      <c r="A540" s="4"/>
      <c r="B540" s="5"/>
    </row>
    <row r="541" spans="1:2" x14ac:dyDescent="0.3">
      <c r="A541" s="4"/>
      <c r="B541" s="5"/>
    </row>
    <row r="542" spans="1:2" x14ac:dyDescent="0.3">
      <c r="A542" s="4"/>
      <c r="B542" s="5"/>
    </row>
    <row r="543" spans="1:2" x14ac:dyDescent="0.3">
      <c r="A543" s="4"/>
      <c r="B543" s="5"/>
    </row>
    <row r="544" spans="1:2" x14ac:dyDescent="0.3">
      <c r="A544" s="4"/>
      <c r="B544" s="5"/>
    </row>
    <row r="545" spans="1:2" x14ac:dyDescent="0.3">
      <c r="A545" s="4"/>
      <c r="B545" s="5"/>
    </row>
    <row r="546" spans="1:2" x14ac:dyDescent="0.3">
      <c r="A546" s="4"/>
      <c r="B546" s="5"/>
    </row>
    <row r="547" spans="1:2" x14ac:dyDescent="0.3">
      <c r="A547" s="4"/>
      <c r="B547" s="5"/>
    </row>
    <row r="548" spans="1:2" x14ac:dyDescent="0.3">
      <c r="A548" s="4"/>
      <c r="B548" s="5"/>
    </row>
    <row r="549" spans="1:2" x14ac:dyDescent="0.3">
      <c r="A549" s="4"/>
      <c r="B549" s="5"/>
    </row>
    <row r="550" spans="1:2" x14ac:dyDescent="0.3">
      <c r="A550" s="4"/>
      <c r="B550" s="5"/>
    </row>
    <row r="551" spans="1:2" x14ac:dyDescent="0.3">
      <c r="A551" s="4"/>
      <c r="B551" s="5"/>
    </row>
    <row r="552" spans="1:2" x14ac:dyDescent="0.3">
      <c r="A552" s="4"/>
      <c r="B552" s="5"/>
    </row>
    <row r="553" spans="1:2" x14ac:dyDescent="0.3">
      <c r="A553" s="4"/>
      <c r="B553" s="5"/>
    </row>
    <row r="554" spans="1:2" x14ac:dyDescent="0.3">
      <c r="A554" s="4"/>
      <c r="B554" s="5"/>
    </row>
    <row r="555" spans="1:2" x14ac:dyDescent="0.3">
      <c r="A555" s="4"/>
      <c r="B555" s="5"/>
    </row>
    <row r="556" spans="1:2" x14ac:dyDescent="0.3">
      <c r="A556" s="4"/>
      <c r="B556" s="5"/>
    </row>
    <row r="557" spans="1:2" x14ac:dyDescent="0.3">
      <c r="A557" s="4"/>
      <c r="B557" s="5"/>
    </row>
    <row r="558" spans="1:2" x14ac:dyDescent="0.3">
      <c r="A558" s="4"/>
      <c r="B558" s="5"/>
    </row>
    <row r="559" spans="1:2" x14ac:dyDescent="0.3">
      <c r="A559" s="4"/>
      <c r="B559" s="5"/>
    </row>
    <row r="560" spans="1:2" x14ac:dyDescent="0.3">
      <c r="A560" s="4"/>
      <c r="B560" s="5"/>
    </row>
    <row r="561" spans="1:2" x14ac:dyDescent="0.3">
      <c r="A561" s="4"/>
      <c r="B561" s="5"/>
    </row>
    <row r="562" spans="1:2" x14ac:dyDescent="0.3">
      <c r="A562" s="4"/>
      <c r="B562" s="5"/>
    </row>
    <row r="563" spans="1:2" x14ac:dyDescent="0.3">
      <c r="A563" s="4"/>
      <c r="B563" s="5"/>
    </row>
    <row r="564" spans="1:2" x14ac:dyDescent="0.3">
      <c r="A564" s="4"/>
      <c r="B564" s="5"/>
    </row>
    <row r="565" spans="1:2" x14ac:dyDescent="0.3">
      <c r="A565" s="4"/>
      <c r="B565" s="5"/>
    </row>
    <row r="566" spans="1:2" x14ac:dyDescent="0.3">
      <c r="A566" s="4"/>
      <c r="B566" s="5"/>
    </row>
    <row r="567" spans="1:2" x14ac:dyDescent="0.3">
      <c r="A567" s="4"/>
      <c r="B567" s="5"/>
    </row>
    <row r="568" spans="1:2" x14ac:dyDescent="0.3">
      <c r="A568" s="4"/>
      <c r="B568" s="5"/>
    </row>
    <row r="569" spans="1:2" x14ac:dyDescent="0.3">
      <c r="A569" s="4"/>
      <c r="B569" s="5"/>
    </row>
    <row r="570" spans="1:2" x14ac:dyDescent="0.3">
      <c r="A570" s="4"/>
      <c r="B570" s="5"/>
    </row>
    <row r="571" spans="1:2" x14ac:dyDescent="0.3">
      <c r="A571" s="4"/>
      <c r="B571" s="5"/>
    </row>
    <row r="572" spans="1:2" x14ac:dyDescent="0.3">
      <c r="A572" s="4"/>
      <c r="B572" s="5"/>
    </row>
    <row r="573" spans="1:2" x14ac:dyDescent="0.3">
      <c r="A573" s="4"/>
      <c r="B573" s="5"/>
    </row>
    <row r="574" spans="1:2" x14ac:dyDescent="0.3">
      <c r="A574" s="4"/>
      <c r="B574" s="5"/>
    </row>
    <row r="575" spans="1:2" x14ac:dyDescent="0.3">
      <c r="A575" s="4"/>
      <c r="B575" s="5"/>
    </row>
    <row r="576" spans="1:2" x14ac:dyDescent="0.3">
      <c r="A576" s="4"/>
      <c r="B576" s="5"/>
    </row>
    <row r="577" spans="1:2" x14ac:dyDescent="0.3">
      <c r="A577" s="4"/>
      <c r="B577" s="5"/>
    </row>
    <row r="578" spans="1:2" x14ac:dyDescent="0.3">
      <c r="A578" s="4"/>
      <c r="B578" s="5"/>
    </row>
    <row r="579" spans="1:2" x14ac:dyDescent="0.3">
      <c r="A579" s="4"/>
      <c r="B579" s="5"/>
    </row>
    <row r="580" spans="1:2" x14ac:dyDescent="0.3">
      <c r="A580" s="4"/>
      <c r="B580" s="5"/>
    </row>
    <row r="581" spans="1:2" x14ac:dyDescent="0.3">
      <c r="A581" s="4"/>
      <c r="B581" s="5"/>
    </row>
    <row r="582" spans="1:2" x14ac:dyDescent="0.3">
      <c r="A582" s="4"/>
      <c r="B582" s="5"/>
    </row>
    <row r="583" spans="1:2" x14ac:dyDescent="0.3">
      <c r="A583" s="4"/>
      <c r="B583" s="5"/>
    </row>
    <row r="584" spans="1:2" x14ac:dyDescent="0.3">
      <c r="A584" s="4"/>
      <c r="B584" s="5"/>
    </row>
    <row r="585" spans="1:2" x14ac:dyDescent="0.3">
      <c r="A585" s="4"/>
      <c r="B585" s="5"/>
    </row>
    <row r="586" spans="1:2" x14ac:dyDescent="0.3">
      <c r="A586" s="4"/>
      <c r="B586" s="5"/>
    </row>
    <row r="587" spans="1:2" x14ac:dyDescent="0.3">
      <c r="A587" s="4"/>
      <c r="B587" s="5"/>
    </row>
    <row r="588" spans="1:2" x14ac:dyDescent="0.3">
      <c r="A588" s="4"/>
      <c r="B588" s="5"/>
    </row>
    <row r="589" spans="1:2" x14ac:dyDescent="0.3">
      <c r="A589" s="4"/>
      <c r="B589" s="5"/>
    </row>
    <row r="590" spans="1:2" x14ac:dyDescent="0.3">
      <c r="A590" s="4"/>
      <c r="B590" s="5"/>
    </row>
    <row r="591" spans="1:2" x14ac:dyDescent="0.3">
      <c r="A591" s="4"/>
      <c r="B591" s="5"/>
    </row>
    <row r="592" spans="1:2" x14ac:dyDescent="0.3">
      <c r="A592" s="4"/>
      <c r="B592" s="5"/>
    </row>
    <row r="593" spans="1:2" x14ac:dyDescent="0.3">
      <c r="A593" s="4"/>
      <c r="B593" s="5"/>
    </row>
    <row r="594" spans="1:2" x14ac:dyDescent="0.3">
      <c r="A594" s="4"/>
      <c r="B594" s="5"/>
    </row>
    <row r="595" spans="1:2" x14ac:dyDescent="0.3">
      <c r="A595" s="4"/>
      <c r="B595" s="5"/>
    </row>
    <row r="596" spans="1:2" x14ac:dyDescent="0.3">
      <c r="A596" s="4"/>
      <c r="B596" s="5"/>
    </row>
    <row r="597" spans="1:2" x14ac:dyDescent="0.3">
      <c r="A597" s="4"/>
      <c r="B597" s="5"/>
    </row>
    <row r="598" spans="1:2" x14ac:dyDescent="0.3">
      <c r="A598" s="4"/>
      <c r="B598" s="5"/>
    </row>
    <row r="599" spans="1:2" x14ac:dyDescent="0.3">
      <c r="A599" s="4"/>
      <c r="B599" s="5"/>
    </row>
    <row r="600" spans="1:2" x14ac:dyDescent="0.3">
      <c r="A600" s="4"/>
      <c r="B600" s="5"/>
    </row>
    <row r="601" spans="1:2" x14ac:dyDescent="0.3">
      <c r="A601" s="4"/>
      <c r="B601" s="5"/>
    </row>
    <row r="602" spans="1:2" x14ac:dyDescent="0.3">
      <c r="A602" s="4"/>
      <c r="B602" s="5"/>
    </row>
    <row r="603" spans="1:2" x14ac:dyDescent="0.3">
      <c r="A603" s="4"/>
      <c r="B603" s="5"/>
    </row>
    <row r="604" spans="1:2" x14ac:dyDescent="0.3">
      <c r="A604" s="4"/>
      <c r="B604" s="5"/>
    </row>
    <row r="605" spans="1:2" x14ac:dyDescent="0.3">
      <c r="A605" s="4"/>
      <c r="B605" s="5"/>
    </row>
    <row r="606" spans="1:2" x14ac:dyDescent="0.3">
      <c r="A606" s="4"/>
      <c r="B606" s="5"/>
    </row>
    <row r="607" spans="1:2" x14ac:dyDescent="0.3">
      <c r="A607" s="4"/>
      <c r="B607" s="5"/>
    </row>
    <row r="608" spans="1:2" x14ac:dyDescent="0.3">
      <c r="A608" s="4"/>
      <c r="B608" s="5"/>
    </row>
    <row r="609" spans="1:2" x14ac:dyDescent="0.3">
      <c r="A609" s="4"/>
      <c r="B609" s="5"/>
    </row>
    <row r="610" spans="1:2" x14ac:dyDescent="0.3">
      <c r="A610" s="4"/>
      <c r="B610" s="5"/>
    </row>
    <row r="611" spans="1:2" x14ac:dyDescent="0.3">
      <c r="A611" s="4"/>
      <c r="B611" s="5"/>
    </row>
    <row r="612" spans="1:2" x14ac:dyDescent="0.3">
      <c r="A612" s="4"/>
      <c r="B612" s="5"/>
    </row>
    <row r="613" spans="1:2" x14ac:dyDescent="0.3">
      <c r="A613" s="4"/>
      <c r="B613" s="5"/>
    </row>
    <row r="614" spans="1:2" x14ac:dyDescent="0.3">
      <c r="A614" s="4"/>
      <c r="B614" s="5"/>
    </row>
    <row r="615" spans="1:2" x14ac:dyDescent="0.3">
      <c r="A615" s="4"/>
      <c r="B615" s="5"/>
    </row>
    <row r="616" spans="1:2" x14ac:dyDescent="0.3">
      <c r="A616" s="4"/>
      <c r="B616" s="5"/>
    </row>
    <row r="617" spans="1:2" x14ac:dyDescent="0.3">
      <c r="A617" s="4"/>
      <c r="B617" s="5"/>
    </row>
    <row r="618" spans="1:2" x14ac:dyDescent="0.3">
      <c r="A618" s="4"/>
      <c r="B618" s="5"/>
    </row>
    <row r="619" spans="1:2" x14ac:dyDescent="0.3">
      <c r="A619" s="4"/>
      <c r="B619" s="5"/>
    </row>
    <row r="620" spans="1:2" x14ac:dyDescent="0.3">
      <c r="A620" s="4"/>
      <c r="B620" s="5"/>
    </row>
    <row r="621" spans="1:2" x14ac:dyDescent="0.3">
      <c r="A621" s="4"/>
      <c r="B621" s="5"/>
    </row>
    <row r="622" spans="1:2" x14ac:dyDescent="0.3">
      <c r="A622" s="4"/>
      <c r="B622" s="5"/>
    </row>
    <row r="623" spans="1:2" x14ac:dyDescent="0.3">
      <c r="A623" s="4"/>
      <c r="B623" s="5"/>
    </row>
    <row r="624" spans="1:2" x14ac:dyDescent="0.3">
      <c r="A624" s="4"/>
      <c r="B624" s="5"/>
    </row>
    <row r="625" spans="1:2" x14ac:dyDescent="0.3">
      <c r="A625" s="4"/>
      <c r="B625" s="5"/>
    </row>
    <row r="626" spans="1:2" x14ac:dyDescent="0.3">
      <c r="A626" s="4"/>
      <c r="B626" s="5"/>
    </row>
    <row r="627" spans="1:2" x14ac:dyDescent="0.3">
      <c r="A627" s="4"/>
      <c r="B627" s="5"/>
    </row>
    <row r="628" spans="1:2" x14ac:dyDescent="0.3">
      <c r="A628" s="4"/>
      <c r="B628" s="5"/>
    </row>
    <row r="629" spans="1:2" x14ac:dyDescent="0.3">
      <c r="A629" s="4"/>
      <c r="B629" s="5"/>
    </row>
    <row r="630" spans="1:2" x14ac:dyDescent="0.3">
      <c r="A630" s="4"/>
      <c r="B630" s="5"/>
    </row>
    <row r="631" spans="1:2" x14ac:dyDescent="0.3">
      <c r="A631" s="4"/>
      <c r="B631" s="5"/>
    </row>
    <row r="632" spans="1:2" x14ac:dyDescent="0.3">
      <c r="A632" s="4"/>
      <c r="B632" s="5"/>
    </row>
    <row r="633" spans="1:2" x14ac:dyDescent="0.3">
      <c r="A633" s="4"/>
      <c r="B633" s="5"/>
    </row>
    <row r="634" spans="1:2" x14ac:dyDescent="0.3">
      <c r="A634" s="4"/>
      <c r="B634" s="5"/>
    </row>
    <row r="635" spans="1:2" x14ac:dyDescent="0.3">
      <c r="A635" s="4"/>
      <c r="B635" s="5"/>
    </row>
    <row r="636" spans="1:2" x14ac:dyDescent="0.3">
      <c r="A636" s="4"/>
      <c r="B636" s="5"/>
    </row>
    <row r="637" spans="1:2" x14ac:dyDescent="0.3">
      <c r="A637" s="4"/>
      <c r="B637" s="5"/>
    </row>
    <row r="638" spans="1:2" x14ac:dyDescent="0.3">
      <c r="A638" s="4"/>
      <c r="B638" s="5"/>
    </row>
    <row r="639" spans="1:2" x14ac:dyDescent="0.3">
      <c r="A639" s="4"/>
      <c r="B639" s="5"/>
    </row>
    <row r="640" spans="1:2" x14ac:dyDescent="0.3">
      <c r="A640" s="4"/>
      <c r="B640" s="5"/>
    </row>
    <row r="641" spans="1:2" x14ac:dyDescent="0.3">
      <c r="A641" s="4"/>
      <c r="B641" s="5"/>
    </row>
    <row r="642" spans="1:2" x14ac:dyDescent="0.3">
      <c r="A642" s="4"/>
      <c r="B642" s="5"/>
    </row>
    <row r="643" spans="1:2" x14ac:dyDescent="0.3">
      <c r="A643" s="4"/>
      <c r="B643" s="5"/>
    </row>
    <row r="644" spans="1:2" x14ac:dyDescent="0.3">
      <c r="A644" s="4"/>
      <c r="B644" s="5"/>
    </row>
    <row r="645" spans="1:2" x14ac:dyDescent="0.3">
      <c r="A645" s="4"/>
      <c r="B645" s="5"/>
    </row>
    <row r="646" spans="1:2" x14ac:dyDescent="0.3">
      <c r="A646" s="4"/>
      <c r="B646" s="5"/>
    </row>
    <row r="647" spans="1:2" x14ac:dyDescent="0.3">
      <c r="A647" s="4"/>
      <c r="B647" s="5"/>
    </row>
    <row r="648" spans="1:2" x14ac:dyDescent="0.3">
      <c r="A648" s="4"/>
      <c r="B648" s="5"/>
    </row>
    <row r="649" spans="1:2" x14ac:dyDescent="0.3">
      <c r="A649" s="4"/>
      <c r="B649" s="5"/>
    </row>
    <row r="650" spans="1:2" x14ac:dyDescent="0.3">
      <c r="A650" s="4"/>
      <c r="B650" s="5"/>
    </row>
    <row r="651" spans="1:2" x14ac:dyDescent="0.3">
      <c r="A651" s="4"/>
      <c r="B651" s="5"/>
    </row>
    <row r="652" spans="1:2" x14ac:dyDescent="0.3">
      <c r="A652" s="4"/>
      <c r="B652" s="5"/>
    </row>
    <row r="653" spans="1:2" x14ac:dyDescent="0.3">
      <c r="A653" s="4"/>
      <c r="B653" s="5"/>
    </row>
    <row r="654" spans="1:2" x14ac:dyDescent="0.3">
      <c r="A654" s="4"/>
      <c r="B654" s="5"/>
    </row>
    <row r="655" spans="1:2" x14ac:dyDescent="0.3">
      <c r="A655" s="4"/>
      <c r="B655" s="5"/>
    </row>
    <row r="656" spans="1:2" x14ac:dyDescent="0.3">
      <c r="A656" s="4"/>
      <c r="B656" s="5"/>
    </row>
    <row r="657" spans="1:2" x14ac:dyDescent="0.3">
      <c r="A657" s="4"/>
      <c r="B657" s="5"/>
    </row>
    <row r="658" spans="1:2" x14ac:dyDescent="0.3">
      <c r="A658" s="4"/>
      <c r="B658" s="5"/>
    </row>
    <row r="659" spans="1:2" x14ac:dyDescent="0.3">
      <c r="A659" s="4"/>
      <c r="B659" s="5"/>
    </row>
    <row r="660" spans="1:2" x14ac:dyDescent="0.3">
      <c r="A660" s="4"/>
      <c r="B660" s="5"/>
    </row>
    <row r="661" spans="1:2" x14ac:dyDescent="0.3">
      <c r="A661" s="4"/>
      <c r="B661" s="5"/>
    </row>
    <row r="662" spans="1:2" x14ac:dyDescent="0.3">
      <c r="A662" s="4"/>
      <c r="B662" s="5"/>
    </row>
    <row r="663" spans="1:2" x14ac:dyDescent="0.3">
      <c r="A663" s="4"/>
      <c r="B663" s="5"/>
    </row>
    <row r="664" spans="1:2" x14ac:dyDescent="0.3">
      <c r="A664" s="4"/>
      <c r="B664" s="5"/>
    </row>
    <row r="665" spans="1:2" x14ac:dyDescent="0.3">
      <c r="A665" s="4"/>
      <c r="B665" s="5"/>
    </row>
    <row r="666" spans="1:2" x14ac:dyDescent="0.3">
      <c r="A666" s="4"/>
      <c r="B666" s="5"/>
    </row>
    <row r="667" spans="1:2" x14ac:dyDescent="0.3">
      <c r="A667" s="4"/>
      <c r="B667" s="5"/>
    </row>
    <row r="668" spans="1:2" x14ac:dyDescent="0.3">
      <c r="A668" s="4"/>
      <c r="B668" s="5"/>
    </row>
    <row r="669" spans="1:2" x14ac:dyDescent="0.3">
      <c r="A669" s="4"/>
      <c r="B669" s="5"/>
    </row>
    <row r="670" spans="1:2" x14ac:dyDescent="0.3">
      <c r="A670" s="4"/>
      <c r="B670" s="5"/>
    </row>
    <row r="671" spans="1:2" x14ac:dyDescent="0.3">
      <c r="A671" s="4"/>
      <c r="B671" s="5"/>
    </row>
    <row r="672" spans="1:2" x14ac:dyDescent="0.3">
      <c r="A672" s="4"/>
      <c r="B672" s="5"/>
    </row>
    <row r="673" spans="1:2" x14ac:dyDescent="0.3">
      <c r="A673" s="4"/>
      <c r="B673" s="5"/>
    </row>
    <row r="674" spans="1:2" x14ac:dyDescent="0.3">
      <c r="A674" s="4"/>
      <c r="B674" s="5"/>
    </row>
    <row r="675" spans="1:2" x14ac:dyDescent="0.3">
      <c r="A675" s="4"/>
      <c r="B675" s="5"/>
    </row>
    <row r="676" spans="1:2" x14ac:dyDescent="0.3">
      <c r="A676" s="4"/>
      <c r="B676" s="5"/>
    </row>
    <row r="677" spans="1:2" x14ac:dyDescent="0.3">
      <c r="A677" s="4"/>
      <c r="B677" s="5"/>
    </row>
    <row r="678" spans="1:2" x14ac:dyDescent="0.3">
      <c r="A678" s="4"/>
      <c r="B678" s="5"/>
    </row>
    <row r="679" spans="1:2" x14ac:dyDescent="0.3">
      <c r="A679" s="4"/>
      <c r="B679" s="5"/>
    </row>
    <row r="680" spans="1:2" x14ac:dyDescent="0.3">
      <c r="A680" s="4"/>
      <c r="B680" s="5"/>
    </row>
    <row r="681" spans="1:2" x14ac:dyDescent="0.3">
      <c r="A681" s="4"/>
      <c r="B681" s="5"/>
    </row>
    <row r="682" spans="1:2" x14ac:dyDescent="0.3">
      <c r="A682" s="4"/>
      <c r="B682" s="5"/>
    </row>
    <row r="683" spans="1:2" x14ac:dyDescent="0.3">
      <c r="A683" s="4"/>
      <c r="B683" s="5"/>
    </row>
    <row r="684" spans="1:2" x14ac:dyDescent="0.3">
      <c r="A684" s="4"/>
      <c r="B684" s="5"/>
    </row>
    <row r="685" spans="1:2" x14ac:dyDescent="0.3">
      <c r="A685" s="4"/>
      <c r="B685" s="5"/>
    </row>
    <row r="686" spans="1:2" x14ac:dyDescent="0.3">
      <c r="A686" s="4"/>
      <c r="B686" s="5"/>
    </row>
    <row r="687" spans="1:2" x14ac:dyDescent="0.3">
      <c r="A687" s="4"/>
      <c r="B687" s="5"/>
    </row>
    <row r="688" spans="1:2" x14ac:dyDescent="0.3">
      <c r="A688" s="4"/>
      <c r="B688" s="5"/>
    </row>
    <row r="689" spans="1:2" x14ac:dyDescent="0.3">
      <c r="A689" s="4"/>
      <c r="B689" s="5"/>
    </row>
    <row r="690" spans="1:2" x14ac:dyDescent="0.3">
      <c r="A690" s="4"/>
      <c r="B690" s="5"/>
    </row>
    <row r="691" spans="1:2" x14ac:dyDescent="0.3">
      <c r="A691" s="4"/>
      <c r="B691" s="5"/>
    </row>
    <row r="692" spans="1:2" x14ac:dyDescent="0.3">
      <c r="A692" s="4"/>
      <c r="B692" s="5"/>
    </row>
    <row r="693" spans="1:2" x14ac:dyDescent="0.3">
      <c r="A693" s="4"/>
      <c r="B693" s="5"/>
    </row>
    <row r="694" spans="1:2" x14ac:dyDescent="0.3">
      <c r="A694" s="4"/>
      <c r="B694" s="5"/>
    </row>
    <row r="695" spans="1:2" x14ac:dyDescent="0.3">
      <c r="A695" s="4"/>
      <c r="B695" s="5"/>
    </row>
    <row r="696" spans="1:2" x14ac:dyDescent="0.3">
      <c r="A696" s="4"/>
      <c r="B696" s="5"/>
    </row>
    <row r="697" spans="1:2" x14ac:dyDescent="0.3">
      <c r="A697" s="4"/>
      <c r="B697" s="5"/>
    </row>
    <row r="698" spans="1:2" x14ac:dyDescent="0.3">
      <c r="A698" s="4"/>
      <c r="B698" s="5"/>
    </row>
    <row r="699" spans="1:2" x14ac:dyDescent="0.3">
      <c r="A699" s="4"/>
      <c r="B699" s="5"/>
    </row>
    <row r="700" spans="1:2" x14ac:dyDescent="0.3">
      <c r="A700" s="4"/>
      <c r="B700" s="5"/>
    </row>
    <row r="701" spans="1:2" x14ac:dyDescent="0.3">
      <c r="A701" s="4"/>
      <c r="B701" s="5"/>
    </row>
    <row r="702" spans="1:2" x14ac:dyDescent="0.3">
      <c r="A702" s="4"/>
      <c r="B702" s="5"/>
    </row>
    <row r="703" spans="1:2" x14ac:dyDescent="0.3">
      <c r="A703" s="4"/>
      <c r="B703" s="5"/>
    </row>
    <row r="704" spans="1:2" x14ac:dyDescent="0.3">
      <c r="A704" s="4"/>
      <c r="B704" s="5"/>
    </row>
    <row r="705" spans="1:2" x14ac:dyDescent="0.3">
      <c r="A705" s="4"/>
      <c r="B705" s="5"/>
    </row>
    <row r="706" spans="1:2" x14ac:dyDescent="0.3">
      <c r="A706" s="4"/>
      <c r="B706" s="5"/>
    </row>
    <row r="707" spans="1:2" x14ac:dyDescent="0.3">
      <c r="A707" s="4"/>
      <c r="B707" s="5"/>
    </row>
    <row r="708" spans="1:2" x14ac:dyDescent="0.3">
      <c r="A708" s="4"/>
      <c r="B708" s="5"/>
    </row>
    <row r="709" spans="1:2" x14ac:dyDescent="0.3">
      <c r="A709" s="4"/>
      <c r="B709" s="5"/>
    </row>
    <row r="710" spans="1:2" x14ac:dyDescent="0.3">
      <c r="A710" s="4"/>
      <c r="B710" s="5"/>
    </row>
    <row r="711" spans="1:2" x14ac:dyDescent="0.3">
      <c r="A711" s="4"/>
      <c r="B711" s="5"/>
    </row>
    <row r="712" spans="1:2" x14ac:dyDescent="0.3">
      <c r="A712" s="4"/>
      <c r="B712" s="5"/>
    </row>
    <row r="713" spans="1:2" x14ac:dyDescent="0.3">
      <c r="A713" s="4"/>
      <c r="B713" s="5"/>
    </row>
    <row r="714" spans="1:2" x14ac:dyDescent="0.3">
      <c r="A714" s="4"/>
      <c r="B714" s="5"/>
    </row>
    <row r="715" spans="1:2" x14ac:dyDescent="0.3">
      <c r="A715" s="4"/>
      <c r="B715" s="5"/>
    </row>
    <row r="716" spans="1:2" x14ac:dyDescent="0.3">
      <c r="A716" s="4"/>
      <c r="B716" s="5"/>
    </row>
    <row r="717" spans="1:2" x14ac:dyDescent="0.3">
      <c r="A717" s="4"/>
      <c r="B717" s="5"/>
    </row>
    <row r="718" spans="1:2" x14ac:dyDescent="0.3">
      <c r="A718" s="4"/>
      <c r="B718" s="5"/>
    </row>
    <row r="719" spans="1:2" x14ac:dyDescent="0.3">
      <c r="A719" s="4"/>
      <c r="B719" s="5"/>
    </row>
    <row r="720" spans="1:2" x14ac:dyDescent="0.3">
      <c r="A720" s="4"/>
      <c r="B720" s="5"/>
    </row>
    <row r="721" spans="1:2" x14ac:dyDescent="0.3">
      <c r="A721" s="4"/>
      <c r="B721" s="5"/>
    </row>
    <row r="722" spans="1:2" x14ac:dyDescent="0.3">
      <c r="A722" s="4"/>
      <c r="B722" s="5"/>
    </row>
    <row r="723" spans="1:2" x14ac:dyDescent="0.3">
      <c r="A723" s="4"/>
      <c r="B723" s="5"/>
    </row>
    <row r="724" spans="1:2" x14ac:dyDescent="0.3">
      <c r="A724" s="4"/>
      <c r="B724" s="5"/>
    </row>
    <row r="725" spans="1:2" x14ac:dyDescent="0.3">
      <c r="A725" s="4"/>
      <c r="B725" s="5"/>
    </row>
    <row r="726" spans="1:2" x14ac:dyDescent="0.3">
      <c r="A726" s="4"/>
      <c r="B726" s="5"/>
    </row>
    <row r="727" spans="1:2" x14ac:dyDescent="0.3">
      <c r="A727" s="4"/>
      <c r="B727" s="5"/>
    </row>
    <row r="728" spans="1:2" x14ac:dyDescent="0.3">
      <c r="A728" s="4"/>
      <c r="B728" s="5"/>
    </row>
    <row r="729" spans="1:2" x14ac:dyDescent="0.3">
      <c r="A729" s="4"/>
      <c r="B729" s="5"/>
    </row>
    <row r="730" spans="1:2" x14ac:dyDescent="0.3">
      <c r="A730" s="4"/>
      <c r="B730" s="5"/>
    </row>
    <row r="731" spans="1:2" x14ac:dyDescent="0.3">
      <c r="A731" s="4"/>
      <c r="B731" s="5"/>
    </row>
    <row r="732" spans="1:2" x14ac:dyDescent="0.3">
      <c r="A732" s="4"/>
      <c r="B732" s="5"/>
    </row>
    <row r="733" spans="1:2" x14ac:dyDescent="0.3">
      <c r="A733" s="4"/>
      <c r="B733" s="5"/>
    </row>
    <row r="734" spans="1:2" x14ac:dyDescent="0.3">
      <c r="A734" s="4"/>
      <c r="B734" s="5"/>
    </row>
    <row r="735" spans="1:2" x14ac:dyDescent="0.3">
      <c r="A735" s="4"/>
      <c r="B735" s="5"/>
    </row>
    <row r="736" spans="1:2" x14ac:dyDescent="0.3">
      <c r="A736" s="4"/>
      <c r="B736" s="5"/>
    </row>
    <row r="737" spans="1:2" x14ac:dyDescent="0.3">
      <c r="A737" s="4"/>
      <c r="B737" s="5"/>
    </row>
    <row r="738" spans="1:2" x14ac:dyDescent="0.3">
      <c r="A738" s="4"/>
      <c r="B738" s="5"/>
    </row>
    <row r="739" spans="1:2" x14ac:dyDescent="0.3">
      <c r="A739" s="4"/>
      <c r="B739" s="5"/>
    </row>
    <row r="740" spans="1:2" x14ac:dyDescent="0.3">
      <c r="A740" s="4"/>
      <c r="B740" s="5"/>
    </row>
    <row r="741" spans="1:2" x14ac:dyDescent="0.3">
      <c r="A741" s="4"/>
      <c r="B741" s="5"/>
    </row>
    <row r="742" spans="1:2" x14ac:dyDescent="0.3">
      <c r="A742" s="4"/>
      <c r="B742" s="5"/>
    </row>
    <row r="743" spans="1:2" x14ac:dyDescent="0.3">
      <c r="A743" s="4"/>
      <c r="B743" s="5"/>
    </row>
    <row r="744" spans="1:2" x14ac:dyDescent="0.3">
      <c r="A744" s="4"/>
      <c r="B744" s="5"/>
    </row>
    <row r="745" spans="1:2" x14ac:dyDescent="0.3">
      <c r="A745" s="4"/>
      <c r="B745" s="5"/>
    </row>
    <row r="746" spans="1:2" x14ac:dyDescent="0.3">
      <c r="A746" s="4"/>
      <c r="B746" s="5"/>
    </row>
    <row r="747" spans="1:2" x14ac:dyDescent="0.3">
      <c r="A747" s="4"/>
      <c r="B747" s="5"/>
    </row>
    <row r="748" spans="1:2" x14ac:dyDescent="0.3">
      <c r="A748" s="4"/>
      <c r="B748" s="5"/>
    </row>
    <row r="749" spans="1:2" x14ac:dyDescent="0.3">
      <c r="A749" s="4"/>
      <c r="B749" s="5"/>
    </row>
    <row r="750" spans="1:2" x14ac:dyDescent="0.3">
      <c r="A750" s="4"/>
      <c r="B750" s="5"/>
    </row>
    <row r="751" spans="1:2" x14ac:dyDescent="0.3">
      <c r="A751" s="4"/>
      <c r="B751" s="5"/>
    </row>
    <row r="752" spans="1:2" x14ac:dyDescent="0.3">
      <c r="A752" s="4"/>
      <c r="B752" s="5"/>
    </row>
    <row r="753" spans="1:2" x14ac:dyDescent="0.3">
      <c r="A753" s="4"/>
      <c r="B753" s="5"/>
    </row>
    <row r="754" spans="1:2" x14ac:dyDescent="0.3">
      <c r="A754" s="4"/>
      <c r="B754" s="5"/>
    </row>
    <row r="755" spans="1:2" x14ac:dyDescent="0.3">
      <c r="A755" s="4"/>
      <c r="B755" s="5"/>
    </row>
    <row r="756" spans="1:2" x14ac:dyDescent="0.3">
      <c r="A756" s="4"/>
      <c r="B756" s="5"/>
    </row>
    <row r="757" spans="1:2" x14ac:dyDescent="0.3">
      <c r="A757" s="4"/>
      <c r="B757" s="5"/>
    </row>
    <row r="758" spans="1:2" x14ac:dyDescent="0.3">
      <c r="A758" s="4"/>
      <c r="B758" s="5"/>
    </row>
    <row r="759" spans="1:2" x14ac:dyDescent="0.3">
      <c r="A759" s="4"/>
      <c r="B759" s="5"/>
    </row>
    <row r="760" spans="1:2" x14ac:dyDescent="0.3">
      <c r="A760" s="4"/>
      <c r="B760" s="5"/>
    </row>
    <row r="761" spans="1:2" x14ac:dyDescent="0.3">
      <c r="A761" s="4"/>
      <c r="B761" s="5"/>
    </row>
    <row r="762" spans="1:2" x14ac:dyDescent="0.3">
      <c r="A762" s="4"/>
      <c r="B762" s="5"/>
    </row>
    <row r="763" spans="1:2" x14ac:dyDescent="0.3">
      <c r="A763" s="4"/>
      <c r="B763" s="5"/>
    </row>
    <row r="764" spans="1:2" x14ac:dyDescent="0.3">
      <c r="A764" s="4"/>
      <c r="B764" s="5"/>
    </row>
    <row r="765" spans="1:2" x14ac:dyDescent="0.3">
      <c r="A765" s="4"/>
      <c r="B765" s="5"/>
    </row>
    <row r="766" spans="1:2" x14ac:dyDescent="0.3">
      <c r="A766" s="4"/>
      <c r="B766" s="5"/>
    </row>
    <row r="767" spans="1:2" x14ac:dyDescent="0.3">
      <c r="A767" s="4"/>
      <c r="B767" s="5"/>
    </row>
    <row r="768" spans="1:2" x14ac:dyDescent="0.3">
      <c r="A768" s="4"/>
      <c r="B768" s="5"/>
    </row>
    <row r="769" spans="1:2" x14ac:dyDescent="0.3">
      <c r="A769" s="4"/>
      <c r="B769" s="5"/>
    </row>
    <row r="770" spans="1:2" x14ac:dyDescent="0.3">
      <c r="A770" s="4"/>
      <c r="B770" s="5"/>
    </row>
    <row r="771" spans="1:2" x14ac:dyDescent="0.3">
      <c r="A771" s="4"/>
      <c r="B771" s="5"/>
    </row>
    <row r="772" spans="1:2" x14ac:dyDescent="0.3">
      <c r="A772" s="4"/>
      <c r="B772" s="5"/>
    </row>
    <row r="773" spans="1:2" x14ac:dyDescent="0.3">
      <c r="A773" s="4"/>
      <c r="B773" s="5"/>
    </row>
    <row r="774" spans="1:2" x14ac:dyDescent="0.3">
      <c r="A774" s="4"/>
      <c r="B774" s="5"/>
    </row>
    <row r="775" spans="1:2" x14ac:dyDescent="0.3">
      <c r="A775" s="4"/>
      <c r="B775" s="5"/>
    </row>
    <row r="776" spans="1:2" x14ac:dyDescent="0.3">
      <c r="A776" s="4"/>
      <c r="B776" s="5"/>
    </row>
    <row r="777" spans="1:2" x14ac:dyDescent="0.3">
      <c r="A777" s="4"/>
      <c r="B777" s="5"/>
    </row>
    <row r="778" spans="1:2" x14ac:dyDescent="0.3">
      <c r="A778" s="4"/>
      <c r="B778" s="5"/>
    </row>
    <row r="779" spans="1:2" x14ac:dyDescent="0.3">
      <c r="A779" s="4"/>
      <c r="B779" s="5"/>
    </row>
    <row r="780" spans="1:2" x14ac:dyDescent="0.3">
      <c r="A780" s="4"/>
      <c r="B780" s="5"/>
    </row>
    <row r="781" spans="1:2" x14ac:dyDescent="0.3">
      <c r="A781" s="4"/>
      <c r="B781" s="5"/>
    </row>
    <row r="782" spans="1:2" x14ac:dyDescent="0.3">
      <c r="A782" s="4"/>
      <c r="B782" s="5"/>
    </row>
    <row r="783" spans="1:2" x14ac:dyDescent="0.3">
      <c r="A783" s="4"/>
      <c r="B783" s="5"/>
    </row>
    <row r="784" spans="1:2" x14ac:dyDescent="0.3">
      <c r="A784" s="4"/>
      <c r="B784" s="5"/>
    </row>
    <row r="785" spans="1:2" x14ac:dyDescent="0.3">
      <c r="A785" s="4"/>
      <c r="B785" s="5"/>
    </row>
    <row r="786" spans="1:2" x14ac:dyDescent="0.3">
      <c r="A786" s="4"/>
      <c r="B786" s="5"/>
    </row>
    <row r="787" spans="1:2" x14ac:dyDescent="0.3">
      <c r="A787" s="4"/>
      <c r="B787" s="5"/>
    </row>
    <row r="788" spans="1:2" x14ac:dyDescent="0.3">
      <c r="A788" s="4"/>
      <c r="B788" s="5"/>
    </row>
    <row r="789" spans="1:2" x14ac:dyDescent="0.3">
      <c r="A789" s="4"/>
      <c r="B789" s="5"/>
    </row>
    <row r="790" spans="1:2" x14ac:dyDescent="0.3">
      <c r="A790" s="4"/>
      <c r="B790" s="5"/>
    </row>
    <row r="791" spans="1:2" x14ac:dyDescent="0.3">
      <c r="A791" s="4"/>
      <c r="B791" s="5"/>
    </row>
    <row r="792" spans="1:2" x14ac:dyDescent="0.3">
      <c r="A792" s="4"/>
      <c r="B792" s="5"/>
    </row>
    <row r="793" spans="1:2" x14ac:dyDescent="0.3">
      <c r="A793" s="4"/>
      <c r="B793" s="5"/>
    </row>
    <row r="794" spans="1:2" x14ac:dyDescent="0.3">
      <c r="A794" s="4"/>
      <c r="B794" s="5"/>
    </row>
    <row r="795" spans="1:2" x14ac:dyDescent="0.3">
      <c r="A795" s="4"/>
      <c r="B795" s="5"/>
    </row>
    <row r="796" spans="1:2" x14ac:dyDescent="0.3">
      <c r="A796" s="4"/>
      <c r="B796" s="5"/>
    </row>
    <row r="797" spans="1:2" x14ac:dyDescent="0.3">
      <c r="A797" s="4"/>
      <c r="B797" s="5"/>
    </row>
    <row r="798" spans="1:2" x14ac:dyDescent="0.3">
      <c r="A798" s="4"/>
      <c r="B798" s="5"/>
    </row>
    <row r="799" spans="1:2" x14ac:dyDescent="0.3">
      <c r="A799" s="4"/>
      <c r="B799" s="5"/>
    </row>
    <row r="800" spans="1:2" x14ac:dyDescent="0.3">
      <c r="A800" s="4"/>
      <c r="B800" s="5"/>
    </row>
    <row r="801" spans="1:2" x14ac:dyDescent="0.3">
      <c r="A801" s="4"/>
      <c r="B801" s="5"/>
    </row>
    <row r="802" spans="1:2" x14ac:dyDescent="0.3">
      <c r="A802" s="4"/>
      <c r="B802" s="5"/>
    </row>
    <row r="803" spans="1:2" x14ac:dyDescent="0.3">
      <c r="A803" s="4"/>
      <c r="B803" s="5"/>
    </row>
    <row r="804" spans="1:2" x14ac:dyDescent="0.3">
      <c r="A804" s="4"/>
      <c r="B804" s="5"/>
    </row>
    <row r="805" spans="1:2" x14ac:dyDescent="0.3">
      <c r="A805" s="4"/>
      <c r="B805" s="5"/>
    </row>
    <row r="806" spans="1:2" x14ac:dyDescent="0.3">
      <c r="A806" s="4"/>
      <c r="B806" s="5"/>
    </row>
    <row r="807" spans="1:2" x14ac:dyDescent="0.3">
      <c r="A807" s="4"/>
      <c r="B807" s="5"/>
    </row>
    <row r="808" spans="1:2" x14ac:dyDescent="0.3">
      <c r="A808" s="4"/>
      <c r="B808" s="5"/>
    </row>
    <row r="809" spans="1:2" x14ac:dyDescent="0.3">
      <c r="A809" s="4"/>
      <c r="B809" s="5"/>
    </row>
    <row r="810" spans="1:2" x14ac:dyDescent="0.3">
      <c r="A810" s="4"/>
      <c r="B810" s="5"/>
    </row>
    <row r="811" spans="1:2" x14ac:dyDescent="0.3">
      <c r="A811" s="4"/>
      <c r="B811" s="5"/>
    </row>
    <row r="812" spans="1:2" x14ac:dyDescent="0.3">
      <c r="A812" s="4"/>
      <c r="B812" s="5"/>
    </row>
    <row r="813" spans="1:2" x14ac:dyDescent="0.3">
      <c r="A813" s="4"/>
      <c r="B813" s="5"/>
    </row>
    <row r="814" spans="1:2" x14ac:dyDescent="0.3">
      <c r="A814" s="4"/>
      <c r="B814" s="5"/>
    </row>
    <row r="815" spans="1:2" x14ac:dyDescent="0.3">
      <c r="A815" s="4"/>
      <c r="B815" s="5"/>
    </row>
    <row r="816" spans="1:2" x14ac:dyDescent="0.3">
      <c r="A816" s="4"/>
      <c r="B816" s="5"/>
    </row>
    <row r="817" spans="1:2" x14ac:dyDescent="0.3">
      <c r="A817" s="4"/>
      <c r="B817" s="5"/>
    </row>
    <row r="818" spans="1:2" x14ac:dyDescent="0.3">
      <c r="A818" s="4"/>
      <c r="B818" s="5"/>
    </row>
    <row r="819" spans="1:2" x14ac:dyDescent="0.3">
      <c r="A819" s="4"/>
      <c r="B819" s="5"/>
    </row>
    <row r="820" spans="1:2" x14ac:dyDescent="0.3">
      <c r="A820" s="4"/>
      <c r="B820" s="5"/>
    </row>
    <row r="821" spans="1:2" x14ac:dyDescent="0.3">
      <c r="A821" s="4"/>
      <c r="B821" s="5"/>
    </row>
    <row r="822" spans="1:2" x14ac:dyDescent="0.3">
      <c r="A822" s="4"/>
      <c r="B822" s="5"/>
    </row>
    <row r="823" spans="1:2" x14ac:dyDescent="0.3">
      <c r="A823" s="4"/>
      <c r="B823" s="5"/>
    </row>
    <row r="824" spans="1:2" x14ac:dyDescent="0.3">
      <c r="A824" s="4"/>
      <c r="B824" s="5"/>
    </row>
    <row r="825" spans="1:2" x14ac:dyDescent="0.3">
      <c r="A825" s="4"/>
      <c r="B825" s="5"/>
    </row>
    <row r="826" spans="1:2" x14ac:dyDescent="0.3">
      <c r="A826" s="4"/>
      <c r="B826" s="5"/>
    </row>
    <row r="827" spans="1:2" x14ac:dyDescent="0.3">
      <c r="A827" s="4"/>
      <c r="B827" s="5"/>
    </row>
    <row r="828" spans="1:2" x14ac:dyDescent="0.3">
      <c r="A828" s="4"/>
      <c r="B828" s="5"/>
    </row>
    <row r="829" spans="1:2" x14ac:dyDescent="0.3">
      <c r="A829" s="4"/>
      <c r="B829" s="5"/>
    </row>
    <row r="830" spans="1:2" x14ac:dyDescent="0.3">
      <c r="A830" s="4"/>
      <c r="B830" s="5"/>
    </row>
    <row r="831" spans="1:2" x14ac:dyDescent="0.3">
      <c r="A831" s="4"/>
      <c r="B831" s="5"/>
    </row>
    <row r="832" spans="1:2" x14ac:dyDescent="0.3">
      <c r="A832" s="4"/>
      <c r="B832" s="5"/>
    </row>
    <row r="833" spans="1:2" x14ac:dyDescent="0.3">
      <c r="A833" s="4"/>
      <c r="B833" s="5"/>
    </row>
    <row r="834" spans="1:2" x14ac:dyDescent="0.3">
      <c r="A834" s="4"/>
      <c r="B834" s="5"/>
    </row>
    <row r="835" spans="1:2" x14ac:dyDescent="0.3">
      <c r="A835" s="4"/>
      <c r="B835" s="5"/>
    </row>
    <row r="836" spans="1:2" x14ac:dyDescent="0.3">
      <c r="A836" s="4"/>
      <c r="B836" s="5"/>
    </row>
    <row r="837" spans="1:2" x14ac:dyDescent="0.3">
      <c r="A837" s="4"/>
      <c r="B837" s="5"/>
    </row>
    <row r="838" spans="1:2" x14ac:dyDescent="0.3">
      <c r="A838" s="4"/>
      <c r="B838" s="5"/>
    </row>
    <row r="839" spans="1:2" x14ac:dyDescent="0.3">
      <c r="A839" s="4"/>
      <c r="B839" s="5"/>
    </row>
    <row r="840" spans="1:2" x14ac:dyDescent="0.3">
      <c r="A840" s="4"/>
      <c r="B840" s="5"/>
    </row>
    <row r="841" spans="1:2" x14ac:dyDescent="0.3">
      <c r="A841" s="4"/>
      <c r="B841" s="5"/>
    </row>
    <row r="842" spans="1:2" x14ac:dyDescent="0.3">
      <c r="A842" s="4"/>
      <c r="B842" s="5"/>
    </row>
    <row r="843" spans="1:2" x14ac:dyDescent="0.3">
      <c r="A843" s="4"/>
      <c r="B843" s="5"/>
    </row>
    <row r="844" spans="1:2" x14ac:dyDescent="0.3">
      <c r="A844" s="4"/>
      <c r="B844" s="5"/>
    </row>
    <row r="845" spans="1:2" x14ac:dyDescent="0.3">
      <c r="A845" s="4"/>
      <c r="B845" s="5"/>
    </row>
    <row r="846" spans="1:2" x14ac:dyDescent="0.3">
      <c r="A846" s="4"/>
      <c r="B846" s="5"/>
    </row>
    <row r="847" spans="1:2" x14ac:dyDescent="0.3">
      <c r="A847" s="4"/>
      <c r="B847" s="5"/>
    </row>
    <row r="848" spans="1:2" x14ac:dyDescent="0.3">
      <c r="A848" s="4"/>
      <c r="B848" s="5"/>
    </row>
    <row r="849" spans="1:2" x14ac:dyDescent="0.3">
      <c r="A849" s="4"/>
      <c r="B849" s="5"/>
    </row>
    <row r="850" spans="1:2" x14ac:dyDescent="0.3">
      <c r="A850" s="4"/>
      <c r="B850" s="5"/>
    </row>
    <row r="851" spans="1:2" x14ac:dyDescent="0.3">
      <c r="A851" s="4"/>
      <c r="B851" s="5"/>
    </row>
    <row r="852" spans="1:2" x14ac:dyDescent="0.3">
      <c r="A852" s="4"/>
      <c r="B852" s="5"/>
    </row>
    <row r="853" spans="1:2" x14ac:dyDescent="0.3">
      <c r="A853" s="4"/>
      <c r="B853" s="5"/>
    </row>
    <row r="854" spans="1:2" x14ac:dyDescent="0.3">
      <c r="A854" s="4"/>
      <c r="B854" s="5"/>
    </row>
    <row r="855" spans="1:2" x14ac:dyDescent="0.3">
      <c r="A855" s="4"/>
      <c r="B855" s="5"/>
    </row>
    <row r="856" spans="1:2" x14ac:dyDescent="0.3">
      <c r="A856" s="4"/>
      <c r="B856" s="5"/>
    </row>
    <row r="857" spans="1:2" x14ac:dyDescent="0.3">
      <c r="A857" s="4"/>
      <c r="B857" s="5"/>
    </row>
    <row r="858" spans="1:2" x14ac:dyDescent="0.3">
      <c r="A858" s="4"/>
      <c r="B858" s="5"/>
    </row>
    <row r="859" spans="1:2" x14ac:dyDescent="0.3">
      <c r="A859" s="4"/>
      <c r="B859" s="5"/>
    </row>
    <row r="860" spans="1:2" x14ac:dyDescent="0.3">
      <c r="A860" s="4"/>
      <c r="B860" s="5"/>
    </row>
    <row r="861" spans="1:2" x14ac:dyDescent="0.3">
      <c r="A861" s="4"/>
      <c r="B861" s="5"/>
    </row>
    <row r="862" spans="1:2" x14ac:dyDescent="0.3">
      <c r="A862" s="4"/>
      <c r="B862" s="5"/>
    </row>
    <row r="863" spans="1:2" x14ac:dyDescent="0.3">
      <c r="A863" s="4"/>
      <c r="B863" s="5"/>
    </row>
    <row r="864" spans="1:2" x14ac:dyDescent="0.3">
      <c r="A864" s="4"/>
      <c r="B864" s="5"/>
    </row>
    <row r="865" spans="1:2" x14ac:dyDescent="0.3">
      <c r="A865" s="4"/>
      <c r="B865" s="5"/>
    </row>
    <row r="866" spans="1:2" x14ac:dyDescent="0.3">
      <c r="A866" s="4"/>
      <c r="B866" s="5"/>
    </row>
    <row r="867" spans="1:2" x14ac:dyDescent="0.3">
      <c r="A867" s="4"/>
      <c r="B867" s="5"/>
    </row>
    <row r="868" spans="1:2" x14ac:dyDescent="0.3">
      <c r="A868" s="4"/>
      <c r="B868" s="5"/>
    </row>
    <row r="869" spans="1:2" x14ac:dyDescent="0.3">
      <c r="A869" s="4"/>
      <c r="B869" s="5"/>
    </row>
    <row r="870" spans="1:2" x14ac:dyDescent="0.3">
      <c r="A870" s="4"/>
      <c r="B870" s="5"/>
    </row>
    <row r="871" spans="1:2" x14ac:dyDescent="0.3">
      <c r="A871" s="4"/>
      <c r="B871" s="5"/>
    </row>
    <row r="872" spans="1:2" x14ac:dyDescent="0.3">
      <c r="A872" s="4"/>
      <c r="B872" s="5"/>
    </row>
    <row r="873" spans="1:2" x14ac:dyDescent="0.3">
      <c r="A873" s="4"/>
      <c r="B873" s="5"/>
    </row>
    <row r="874" spans="1:2" x14ac:dyDescent="0.3">
      <c r="A874" s="4"/>
      <c r="B874" s="5"/>
    </row>
    <row r="875" spans="1:2" x14ac:dyDescent="0.3">
      <c r="A875" s="4"/>
      <c r="B875" s="5"/>
    </row>
    <row r="876" spans="1:2" x14ac:dyDescent="0.3">
      <c r="A876" s="4"/>
      <c r="B876" s="5"/>
    </row>
    <row r="877" spans="1:2" x14ac:dyDescent="0.3">
      <c r="A877" s="4"/>
      <c r="B877" s="5"/>
    </row>
    <row r="878" spans="1:2" x14ac:dyDescent="0.3">
      <c r="A878" s="4"/>
      <c r="B878" s="5"/>
    </row>
    <row r="879" spans="1:2" x14ac:dyDescent="0.3">
      <c r="A879" s="4"/>
      <c r="B879" s="5"/>
    </row>
    <row r="880" spans="1:2" x14ac:dyDescent="0.3">
      <c r="A880" s="4"/>
      <c r="B880" s="5"/>
    </row>
    <row r="881" spans="1:2" x14ac:dyDescent="0.3">
      <c r="A881" s="4"/>
      <c r="B881" s="5"/>
    </row>
    <row r="882" spans="1:2" x14ac:dyDescent="0.3">
      <c r="A882" s="4"/>
      <c r="B882" s="5"/>
    </row>
    <row r="883" spans="1:2" x14ac:dyDescent="0.3">
      <c r="A883" s="4"/>
      <c r="B883" s="5"/>
    </row>
    <row r="884" spans="1:2" x14ac:dyDescent="0.3">
      <c r="A884" s="4"/>
      <c r="B884" s="5"/>
    </row>
    <row r="885" spans="1:2" x14ac:dyDescent="0.3">
      <c r="A885" s="4"/>
      <c r="B885" s="5"/>
    </row>
    <row r="886" spans="1:2" x14ac:dyDescent="0.3">
      <c r="A886" s="4"/>
      <c r="B886" s="5"/>
    </row>
    <row r="887" spans="1:2" x14ac:dyDescent="0.3">
      <c r="A887" s="4"/>
      <c r="B887" s="5"/>
    </row>
    <row r="888" spans="1:2" x14ac:dyDescent="0.3">
      <c r="A888" s="4"/>
      <c r="B888" s="5"/>
    </row>
    <row r="889" spans="1:2" x14ac:dyDescent="0.3">
      <c r="A889" s="4"/>
      <c r="B889" s="5"/>
    </row>
    <row r="890" spans="1:2" x14ac:dyDescent="0.3">
      <c r="A890" s="4"/>
      <c r="B890" s="5"/>
    </row>
    <row r="891" spans="1:2" x14ac:dyDescent="0.3">
      <c r="A891" s="4"/>
      <c r="B891" s="5"/>
    </row>
    <row r="892" spans="1:2" x14ac:dyDescent="0.3">
      <c r="A892" s="4"/>
      <c r="B892" s="5"/>
    </row>
    <row r="893" spans="1:2" x14ac:dyDescent="0.3">
      <c r="A893" s="4"/>
      <c r="B893" s="5"/>
    </row>
    <row r="894" spans="1:2" x14ac:dyDescent="0.3">
      <c r="A894" s="4"/>
      <c r="B894" s="5"/>
    </row>
    <row r="895" spans="1:2" x14ac:dyDescent="0.3">
      <c r="A895" s="4"/>
      <c r="B895" s="5"/>
    </row>
    <row r="896" spans="1:2" x14ac:dyDescent="0.3">
      <c r="A896" s="4"/>
      <c r="B896" s="5"/>
    </row>
    <row r="897" spans="1:2" x14ac:dyDescent="0.3">
      <c r="A897" s="4"/>
      <c r="B897" s="5"/>
    </row>
    <row r="898" spans="1:2" x14ac:dyDescent="0.3">
      <c r="A898" s="4"/>
      <c r="B898" s="5"/>
    </row>
    <row r="899" spans="1:2" x14ac:dyDescent="0.3">
      <c r="A899" s="4"/>
      <c r="B899" s="5"/>
    </row>
    <row r="900" spans="1:2" x14ac:dyDescent="0.3">
      <c r="A900" s="4"/>
      <c r="B900" s="5"/>
    </row>
    <row r="901" spans="1:2" x14ac:dyDescent="0.3">
      <c r="A901" s="4"/>
      <c r="B901" s="5"/>
    </row>
    <row r="902" spans="1:2" x14ac:dyDescent="0.3">
      <c r="A902" s="4"/>
      <c r="B902" s="5"/>
    </row>
    <row r="903" spans="1:2" x14ac:dyDescent="0.3">
      <c r="A903" s="4"/>
      <c r="B903" s="5"/>
    </row>
    <row r="904" spans="1:2" x14ac:dyDescent="0.3">
      <c r="A904" s="4"/>
      <c r="B904" s="5"/>
    </row>
    <row r="905" spans="1:2" x14ac:dyDescent="0.3">
      <c r="A905" s="4"/>
      <c r="B905" s="5"/>
    </row>
    <row r="906" spans="1:2" x14ac:dyDescent="0.3">
      <c r="A906" s="4"/>
      <c r="B906" s="5"/>
    </row>
    <row r="907" spans="1:2" x14ac:dyDescent="0.3">
      <c r="A907" s="4"/>
      <c r="B907" s="5"/>
    </row>
    <row r="908" spans="1:2" x14ac:dyDescent="0.3">
      <c r="A908" s="4"/>
      <c r="B908" s="5"/>
    </row>
    <row r="909" spans="1:2" x14ac:dyDescent="0.3">
      <c r="A909" s="4"/>
      <c r="B909" s="5"/>
    </row>
    <row r="910" spans="1:2" x14ac:dyDescent="0.3">
      <c r="A910" s="4"/>
      <c r="B910" s="5"/>
    </row>
    <row r="911" spans="1:2" x14ac:dyDescent="0.3">
      <c r="A911" s="4"/>
      <c r="B911" s="5"/>
    </row>
    <row r="912" spans="1:2" x14ac:dyDescent="0.3">
      <c r="A912" s="4"/>
      <c r="B912" s="5"/>
    </row>
    <row r="913" spans="1:2" x14ac:dyDescent="0.3">
      <c r="A913" s="4"/>
      <c r="B913" s="5"/>
    </row>
    <row r="914" spans="1:2" x14ac:dyDescent="0.3">
      <c r="A914" s="4"/>
      <c r="B914" s="5"/>
    </row>
    <row r="915" spans="1:2" x14ac:dyDescent="0.3">
      <c r="A915" s="4"/>
      <c r="B915" s="5"/>
    </row>
    <row r="916" spans="1:2" x14ac:dyDescent="0.3">
      <c r="A916" s="4"/>
      <c r="B916" s="5"/>
    </row>
    <row r="917" spans="1:2" x14ac:dyDescent="0.3">
      <c r="A917" s="4"/>
      <c r="B917" s="5"/>
    </row>
    <row r="918" spans="1:2" x14ac:dyDescent="0.3">
      <c r="A918" s="4"/>
      <c r="B918" s="5"/>
    </row>
    <row r="919" spans="1:2" x14ac:dyDescent="0.3">
      <c r="A919" s="4"/>
      <c r="B919" s="5"/>
    </row>
    <row r="920" spans="1:2" x14ac:dyDescent="0.3">
      <c r="A920" s="4"/>
      <c r="B920" s="5"/>
    </row>
    <row r="921" spans="1:2" x14ac:dyDescent="0.3">
      <c r="A921" s="4"/>
      <c r="B921" s="5"/>
    </row>
    <row r="922" spans="1:2" x14ac:dyDescent="0.3">
      <c r="A922" s="4"/>
      <c r="B922" s="5"/>
    </row>
    <row r="923" spans="1:2" x14ac:dyDescent="0.3">
      <c r="A923" s="4"/>
      <c r="B923" s="5"/>
    </row>
    <row r="924" spans="1:2" x14ac:dyDescent="0.3">
      <c r="A924" s="4"/>
      <c r="B924" s="5"/>
    </row>
    <row r="925" spans="1:2" x14ac:dyDescent="0.3">
      <c r="A925" s="4"/>
      <c r="B925" s="5"/>
    </row>
    <row r="926" spans="1:2" x14ac:dyDescent="0.3">
      <c r="A926" s="4"/>
      <c r="B926" s="5"/>
    </row>
    <row r="927" spans="1:2" x14ac:dyDescent="0.3">
      <c r="A927" s="4"/>
      <c r="B927" s="5"/>
    </row>
    <row r="928" spans="1:2" x14ac:dyDescent="0.3">
      <c r="A928" s="4"/>
      <c r="B928" s="5"/>
    </row>
    <row r="929" spans="1:2" x14ac:dyDescent="0.3">
      <c r="A929" s="4"/>
      <c r="B929" s="5"/>
    </row>
    <row r="930" spans="1:2" x14ac:dyDescent="0.3">
      <c r="A930" s="4"/>
      <c r="B930" s="5"/>
    </row>
    <row r="931" spans="1:2" x14ac:dyDescent="0.3">
      <c r="A931" s="4"/>
      <c r="B931" s="5"/>
    </row>
    <row r="932" spans="1:2" x14ac:dyDescent="0.3">
      <c r="A932" s="4"/>
      <c r="B932" s="5"/>
    </row>
    <row r="933" spans="1:2" x14ac:dyDescent="0.3">
      <c r="A933" s="4"/>
      <c r="B933" s="5"/>
    </row>
    <row r="934" spans="1:2" x14ac:dyDescent="0.3">
      <c r="A934" s="4"/>
      <c r="B934" s="5"/>
    </row>
    <row r="935" spans="1:2" x14ac:dyDescent="0.3">
      <c r="A935" s="4"/>
      <c r="B935" s="5"/>
    </row>
    <row r="936" spans="1:2" x14ac:dyDescent="0.3">
      <c r="A936" s="4"/>
      <c r="B936" s="5"/>
    </row>
    <row r="937" spans="1:2" x14ac:dyDescent="0.3">
      <c r="A937" s="4"/>
      <c r="B937" s="5"/>
    </row>
    <row r="938" spans="1:2" x14ac:dyDescent="0.3">
      <c r="A938" s="4"/>
      <c r="B938" s="5"/>
    </row>
    <row r="939" spans="1:2" x14ac:dyDescent="0.3">
      <c r="A939" s="4"/>
      <c r="B939" s="5"/>
    </row>
    <row r="940" spans="1:2" x14ac:dyDescent="0.3">
      <c r="A940" s="4"/>
      <c r="B940" s="5"/>
    </row>
    <row r="941" spans="1:2" x14ac:dyDescent="0.3">
      <c r="A941" s="4"/>
      <c r="B941" s="5"/>
    </row>
    <row r="942" spans="1:2" x14ac:dyDescent="0.3">
      <c r="A942" s="4"/>
      <c r="B942" s="5"/>
    </row>
    <row r="943" spans="1:2" x14ac:dyDescent="0.3">
      <c r="A943" s="4"/>
      <c r="B943" s="5"/>
    </row>
    <row r="944" spans="1:2" x14ac:dyDescent="0.3">
      <c r="A944" s="4"/>
      <c r="B944" s="5"/>
    </row>
    <row r="945" spans="1:2" x14ac:dyDescent="0.3">
      <c r="A945" s="4"/>
      <c r="B945" s="5"/>
    </row>
    <row r="946" spans="1:2" x14ac:dyDescent="0.3">
      <c r="A946" s="4"/>
      <c r="B946" s="5"/>
    </row>
    <row r="947" spans="1:2" x14ac:dyDescent="0.3">
      <c r="A947" s="4"/>
      <c r="B947" s="5"/>
    </row>
    <row r="948" spans="1:2" x14ac:dyDescent="0.3">
      <c r="A948" s="4"/>
      <c r="B948" s="5"/>
    </row>
    <row r="949" spans="1:2" x14ac:dyDescent="0.3">
      <c r="A949" s="4"/>
      <c r="B949" s="5"/>
    </row>
    <row r="950" spans="1:2" x14ac:dyDescent="0.3">
      <c r="A950" s="4"/>
      <c r="B950" s="5"/>
    </row>
    <row r="951" spans="1:2" x14ac:dyDescent="0.3">
      <c r="A951" s="4"/>
      <c r="B951" s="5"/>
    </row>
    <row r="952" spans="1:2" x14ac:dyDescent="0.3">
      <c r="A952" s="4"/>
      <c r="B952" s="5"/>
    </row>
    <row r="953" spans="1:2" x14ac:dyDescent="0.3">
      <c r="A953" s="4"/>
      <c r="B953" s="5"/>
    </row>
    <row r="954" spans="1:2" x14ac:dyDescent="0.3">
      <c r="A954" s="4"/>
      <c r="B954" s="5"/>
    </row>
    <row r="955" spans="1:2" x14ac:dyDescent="0.3">
      <c r="A955" s="4"/>
      <c r="B955" s="5"/>
    </row>
    <row r="956" spans="1:2" x14ac:dyDescent="0.3">
      <c r="A956" s="4"/>
      <c r="B956" s="5"/>
    </row>
    <row r="957" spans="1:2" x14ac:dyDescent="0.3">
      <c r="A957" s="4"/>
      <c r="B957" s="5"/>
    </row>
    <row r="958" spans="1:2" x14ac:dyDescent="0.3">
      <c r="A958" s="4"/>
      <c r="B958" s="5"/>
    </row>
    <row r="959" spans="1:2" x14ac:dyDescent="0.3">
      <c r="A959" s="4"/>
      <c r="B959" s="5"/>
    </row>
    <row r="960" spans="1:2" x14ac:dyDescent="0.3">
      <c r="A960" s="4"/>
      <c r="B960" s="5"/>
    </row>
    <row r="961" spans="1:2" x14ac:dyDescent="0.3">
      <c r="A961" s="4"/>
      <c r="B961" s="5"/>
    </row>
    <row r="962" spans="1:2" x14ac:dyDescent="0.3">
      <c r="A962" s="4"/>
      <c r="B962" s="5"/>
    </row>
    <row r="963" spans="1:2" x14ac:dyDescent="0.3">
      <c r="A963" s="4"/>
      <c r="B963" s="5"/>
    </row>
    <row r="964" spans="1:2" x14ac:dyDescent="0.3">
      <c r="A964" s="4"/>
      <c r="B964" s="5"/>
    </row>
    <row r="965" spans="1:2" x14ac:dyDescent="0.3">
      <c r="A965" s="4"/>
      <c r="B965" s="5"/>
    </row>
    <row r="966" spans="1:2" x14ac:dyDescent="0.3">
      <c r="A966" s="4"/>
      <c r="B966" s="5"/>
    </row>
    <row r="967" spans="1:2" x14ac:dyDescent="0.3">
      <c r="A967" s="4"/>
      <c r="B967" s="5"/>
    </row>
    <row r="968" spans="1:2" x14ac:dyDescent="0.3">
      <c r="A968" s="4"/>
      <c r="B968" s="5"/>
    </row>
    <row r="969" spans="1:2" x14ac:dyDescent="0.3">
      <c r="A969" s="4"/>
      <c r="B969" s="5"/>
    </row>
    <row r="970" spans="1:2" x14ac:dyDescent="0.3">
      <c r="A970" s="4"/>
      <c r="B970" s="5"/>
    </row>
    <row r="971" spans="1:2" x14ac:dyDescent="0.3">
      <c r="A971" s="4"/>
      <c r="B971" s="5"/>
    </row>
    <row r="972" spans="1:2" x14ac:dyDescent="0.3">
      <c r="A972" s="4"/>
      <c r="B972" s="5"/>
    </row>
    <row r="973" spans="1:2" x14ac:dyDescent="0.3">
      <c r="A973" s="4"/>
      <c r="B973" s="5"/>
    </row>
    <row r="974" spans="1:2" x14ac:dyDescent="0.3">
      <c r="A974" s="4"/>
      <c r="B974" s="5"/>
    </row>
    <row r="975" spans="1:2" x14ac:dyDescent="0.3">
      <c r="A975" s="4"/>
      <c r="B975" s="5"/>
    </row>
    <row r="976" spans="1:2" x14ac:dyDescent="0.3">
      <c r="A976" s="4"/>
      <c r="B976" s="5"/>
    </row>
    <row r="977" spans="1:2" x14ac:dyDescent="0.3">
      <c r="A977" s="4"/>
      <c r="B977" s="5"/>
    </row>
    <row r="978" spans="1:2" x14ac:dyDescent="0.3">
      <c r="A978" s="4"/>
      <c r="B978" s="5"/>
    </row>
    <row r="979" spans="1:2" x14ac:dyDescent="0.3">
      <c r="A979" s="4"/>
      <c r="B979" s="5"/>
    </row>
    <row r="980" spans="1:2" x14ac:dyDescent="0.3">
      <c r="A980" s="4"/>
      <c r="B980" s="5"/>
    </row>
    <row r="981" spans="1:2" x14ac:dyDescent="0.3">
      <c r="A981" s="4"/>
      <c r="B981" s="5"/>
    </row>
    <row r="982" spans="1:2" x14ac:dyDescent="0.3">
      <c r="A982" s="4"/>
      <c r="B982" s="5"/>
    </row>
    <row r="983" spans="1:2" x14ac:dyDescent="0.3">
      <c r="A983" s="4"/>
      <c r="B983" s="5"/>
    </row>
    <row r="984" spans="1:2" x14ac:dyDescent="0.3">
      <c r="A984" s="4"/>
      <c r="B984" s="5"/>
    </row>
    <row r="985" spans="1:2" x14ac:dyDescent="0.3">
      <c r="A985" s="4"/>
      <c r="B985" s="5"/>
    </row>
    <row r="986" spans="1:2" x14ac:dyDescent="0.3">
      <c r="A986" s="4"/>
      <c r="B986" s="5"/>
    </row>
    <row r="987" spans="1:2" x14ac:dyDescent="0.3">
      <c r="A987" s="4"/>
      <c r="B987" s="5"/>
    </row>
    <row r="988" spans="1:2" x14ac:dyDescent="0.3">
      <c r="A988" s="4"/>
      <c r="B988" s="5"/>
    </row>
    <row r="989" spans="1:2" x14ac:dyDescent="0.3">
      <c r="A989" s="4"/>
      <c r="B989" s="5"/>
    </row>
    <row r="990" spans="1:2" x14ac:dyDescent="0.3">
      <c r="A990" s="4"/>
      <c r="B990" s="5"/>
    </row>
    <row r="991" spans="1:2" x14ac:dyDescent="0.3">
      <c r="A991" s="4"/>
      <c r="B991" s="5"/>
    </row>
    <row r="992" spans="1:2" x14ac:dyDescent="0.3">
      <c r="A992" s="4"/>
      <c r="B992" s="5"/>
    </row>
    <row r="993" spans="1:2" x14ac:dyDescent="0.3">
      <c r="A993" s="4"/>
      <c r="B993" s="5"/>
    </row>
    <row r="994" spans="1:2" x14ac:dyDescent="0.3">
      <c r="A994" s="4"/>
      <c r="B994" s="5"/>
    </row>
    <row r="995" spans="1:2" x14ac:dyDescent="0.3">
      <c r="A995" s="4"/>
      <c r="B995" s="5"/>
    </row>
    <row r="996" spans="1:2" x14ac:dyDescent="0.3">
      <c r="A996" s="4"/>
      <c r="B996" s="5"/>
    </row>
    <row r="997" spans="1:2" x14ac:dyDescent="0.3">
      <c r="A997" s="4"/>
      <c r="B997" s="5"/>
    </row>
    <row r="998" spans="1:2" x14ac:dyDescent="0.3">
      <c r="A998" s="4"/>
      <c r="B998" s="5"/>
    </row>
    <row r="999" spans="1:2" x14ac:dyDescent="0.3">
      <c r="A999" s="4"/>
      <c r="B999" s="5"/>
    </row>
    <row r="1000" spans="1:2" x14ac:dyDescent="0.3">
      <c r="A1000" s="4"/>
      <c r="B1000" s="5"/>
    </row>
    <row r="1001" spans="1:2" x14ac:dyDescent="0.3">
      <c r="A1001" s="4"/>
      <c r="B1001" s="5"/>
    </row>
    <row r="1002" spans="1:2" x14ac:dyDescent="0.3">
      <c r="A1002" s="4"/>
      <c r="B1002" s="5"/>
    </row>
    <row r="1003" spans="1:2" x14ac:dyDescent="0.3">
      <c r="A1003" s="4"/>
      <c r="B1003" s="5"/>
    </row>
    <row r="1004" spans="1:2" x14ac:dyDescent="0.3">
      <c r="A1004" s="4"/>
      <c r="B1004" s="5"/>
    </row>
    <row r="1005" spans="1:2" x14ac:dyDescent="0.3">
      <c r="A1005" s="4"/>
      <c r="B1005" s="5"/>
    </row>
    <row r="1006" spans="1:2" x14ac:dyDescent="0.3">
      <c r="A1006" s="4"/>
      <c r="B1006" s="5"/>
    </row>
    <row r="1007" spans="1:2" x14ac:dyDescent="0.3">
      <c r="A1007" s="4"/>
      <c r="B1007" s="5"/>
    </row>
    <row r="1008" spans="1:2" x14ac:dyDescent="0.3">
      <c r="A1008" s="4"/>
      <c r="B1008" s="5"/>
    </row>
    <row r="1009" spans="1:2" x14ac:dyDescent="0.3">
      <c r="A1009" s="4"/>
      <c r="B1009" s="5"/>
    </row>
    <row r="1010" spans="1:2" x14ac:dyDescent="0.3">
      <c r="A1010" s="4"/>
      <c r="B1010" s="5"/>
    </row>
    <row r="1011" spans="1:2" x14ac:dyDescent="0.3">
      <c r="A1011" s="4"/>
      <c r="B1011" s="5"/>
    </row>
    <row r="1012" spans="1:2" x14ac:dyDescent="0.3">
      <c r="A1012" s="4"/>
      <c r="B1012" s="5"/>
    </row>
    <row r="1013" spans="1:2" x14ac:dyDescent="0.3">
      <c r="A1013" s="4"/>
      <c r="B1013" s="5"/>
    </row>
    <row r="1014" spans="1:2" x14ac:dyDescent="0.3">
      <c r="A1014" s="4"/>
      <c r="B1014" s="5"/>
    </row>
    <row r="1015" spans="1:2" x14ac:dyDescent="0.3">
      <c r="A1015" s="4"/>
      <c r="B1015" s="5"/>
    </row>
    <row r="1016" spans="1:2" x14ac:dyDescent="0.3">
      <c r="A1016" s="4"/>
      <c r="B1016" s="5"/>
    </row>
    <row r="1017" spans="1:2" x14ac:dyDescent="0.3">
      <c r="A1017" s="4"/>
      <c r="B1017" s="5"/>
    </row>
    <row r="1018" spans="1:2" x14ac:dyDescent="0.3">
      <c r="A1018" s="4"/>
      <c r="B1018" s="5"/>
    </row>
    <row r="1019" spans="1:2" x14ac:dyDescent="0.3">
      <c r="A1019" s="4"/>
      <c r="B1019" s="5"/>
    </row>
    <row r="1020" spans="1:2" x14ac:dyDescent="0.3">
      <c r="A1020" s="4"/>
      <c r="B1020" s="5"/>
    </row>
    <row r="1021" spans="1:2" x14ac:dyDescent="0.3">
      <c r="A1021" s="4"/>
      <c r="B1021" s="5"/>
    </row>
    <row r="1022" spans="1:2" x14ac:dyDescent="0.3">
      <c r="A1022" s="4"/>
      <c r="B1022" s="5"/>
    </row>
    <row r="1023" spans="1:2" x14ac:dyDescent="0.3">
      <c r="A1023" s="4"/>
      <c r="B1023" s="5"/>
    </row>
    <row r="1024" spans="1:2" x14ac:dyDescent="0.3">
      <c r="A1024" s="4"/>
      <c r="B1024" s="5"/>
    </row>
    <row r="1025" spans="1:2" x14ac:dyDescent="0.3">
      <c r="A1025" s="4"/>
      <c r="B1025" s="5"/>
    </row>
    <row r="1026" spans="1:2" x14ac:dyDescent="0.3">
      <c r="A1026" s="4"/>
      <c r="B1026" s="5"/>
    </row>
    <row r="1027" spans="1:2" x14ac:dyDescent="0.3">
      <c r="A1027" s="4"/>
      <c r="B1027" s="5"/>
    </row>
    <row r="1028" spans="1:2" x14ac:dyDescent="0.3">
      <c r="A1028" s="4"/>
      <c r="B1028" s="5"/>
    </row>
    <row r="1029" spans="1:2" x14ac:dyDescent="0.3">
      <c r="A1029" s="4"/>
      <c r="B1029" s="5"/>
    </row>
    <row r="1030" spans="1:2" x14ac:dyDescent="0.3">
      <c r="A1030" s="4"/>
      <c r="B1030" s="5"/>
    </row>
    <row r="1031" spans="1:2" x14ac:dyDescent="0.3">
      <c r="A1031" s="4"/>
      <c r="B1031" s="5"/>
    </row>
    <row r="1032" spans="1:2" x14ac:dyDescent="0.3">
      <c r="A1032" s="4"/>
      <c r="B1032" s="5"/>
    </row>
    <row r="1033" spans="1:2" x14ac:dyDescent="0.3">
      <c r="A1033" s="4"/>
      <c r="B1033" s="5"/>
    </row>
    <row r="1034" spans="1:2" x14ac:dyDescent="0.3">
      <c r="A1034" s="4"/>
      <c r="B1034" s="5"/>
    </row>
    <row r="1035" spans="1:2" x14ac:dyDescent="0.3">
      <c r="A1035" s="4"/>
      <c r="B1035" s="5"/>
    </row>
    <row r="1036" spans="1:2" x14ac:dyDescent="0.3">
      <c r="A1036" s="4"/>
      <c r="B1036" s="5"/>
    </row>
    <row r="1037" spans="1:2" x14ac:dyDescent="0.3">
      <c r="A1037" s="4"/>
      <c r="B1037" s="5"/>
    </row>
    <row r="1038" spans="1:2" x14ac:dyDescent="0.3">
      <c r="A1038" s="4"/>
      <c r="B1038" s="5"/>
    </row>
    <row r="1039" spans="1:2" x14ac:dyDescent="0.3">
      <c r="A1039" s="4"/>
      <c r="B1039" s="5"/>
    </row>
    <row r="1040" spans="1:2" x14ac:dyDescent="0.3">
      <c r="A1040" s="4"/>
      <c r="B1040" s="5"/>
    </row>
    <row r="1041" spans="1:2" x14ac:dyDescent="0.3">
      <c r="A1041" s="4"/>
      <c r="B1041" s="5"/>
    </row>
    <row r="1042" spans="1:2" x14ac:dyDescent="0.3">
      <c r="A1042" s="4"/>
      <c r="B1042" s="5"/>
    </row>
    <row r="1043" spans="1:2" x14ac:dyDescent="0.3">
      <c r="A1043" s="4"/>
      <c r="B1043" s="5"/>
    </row>
    <row r="1044" spans="1:2" x14ac:dyDescent="0.3">
      <c r="A1044" s="4"/>
      <c r="B1044" s="5"/>
    </row>
    <row r="1045" spans="1:2" x14ac:dyDescent="0.3">
      <c r="A1045" s="4"/>
      <c r="B1045" s="5"/>
    </row>
    <row r="1046" spans="1:2" x14ac:dyDescent="0.3">
      <c r="A1046" s="4"/>
      <c r="B1046" s="5"/>
    </row>
    <row r="1047" spans="1:2" x14ac:dyDescent="0.3">
      <c r="A1047" s="4"/>
      <c r="B1047" s="5"/>
    </row>
    <row r="1048" spans="1:2" x14ac:dyDescent="0.3">
      <c r="A1048" s="4"/>
      <c r="B1048" s="5"/>
    </row>
    <row r="1049" spans="1:2" x14ac:dyDescent="0.3">
      <c r="A1049" s="4"/>
      <c r="B1049" s="5"/>
    </row>
    <row r="1050" spans="1:2" x14ac:dyDescent="0.3">
      <c r="A1050" s="4"/>
      <c r="B1050" s="5"/>
    </row>
    <row r="1051" spans="1:2" x14ac:dyDescent="0.3">
      <c r="A1051" s="4"/>
      <c r="B1051" s="5"/>
    </row>
    <row r="1052" spans="1:2" x14ac:dyDescent="0.3">
      <c r="A1052" s="4"/>
      <c r="B1052" s="5"/>
    </row>
    <row r="1053" spans="1:2" x14ac:dyDescent="0.3">
      <c r="A1053" s="4"/>
      <c r="B1053" s="5"/>
    </row>
    <row r="1054" spans="1:2" x14ac:dyDescent="0.3">
      <c r="A1054" s="4"/>
      <c r="B1054" s="5"/>
    </row>
    <row r="1055" spans="1:2" x14ac:dyDescent="0.3">
      <c r="A1055" s="4"/>
      <c r="B1055" s="5"/>
    </row>
    <row r="1056" spans="1:2" x14ac:dyDescent="0.3">
      <c r="A1056" s="4"/>
      <c r="B1056" s="5"/>
    </row>
    <row r="1057" spans="1:2" x14ac:dyDescent="0.3">
      <c r="A1057" s="4"/>
      <c r="B1057" s="5"/>
    </row>
    <row r="1058" spans="1:2" x14ac:dyDescent="0.3">
      <c r="A1058" s="4"/>
      <c r="B1058" s="5"/>
    </row>
    <row r="1059" spans="1:2" x14ac:dyDescent="0.3">
      <c r="A1059" s="4"/>
      <c r="B1059" s="5"/>
    </row>
    <row r="1060" spans="1:2" x14ac:dyDescent="0.3">
      <c r="A1060" s="4"/>
      <c r="B1060" s="5"/>
    </row>
    <row r="1061" spans="1:2" x14ac:dyDescent="0.3">
      <c r="A1061" s="4"/>
      <c r="B1061" s="5"/>
    </row>
    <row r="1062" spans="1:2" x14ac:dyDescent="0.3">
      <c r="A1062" s="4"/>
      <c r="B1062" s="5"/>
    </row>
    <row r="1063" spans="1:2" x14ac:dyDescent="0.3">
      <c r="A1063" s="4"/>
      <c r="B1063" s="5"/>
    </row>
    <row r="1064" spans="1:2" x14ac:dyDescent="0.3">
      <c r="A1064" s="4"/>
      <c r="B1064" s="5"/>
    </row>
    <row r="1065" spans="1:2" x14ac:dyDescent="0.3">
      <c r="A1065" s="4"/>
      <c r="B1065" s="5"/>
    </row>
    <row r="1066" spans="1:2" x14ac:dyDescent="0.3">
      <c r="A1066" s="4"/>
      <c r="B1066" s="5"/>
    </row>
    <row r="1067" spans="1:2" x14ac:dyDescent="0.3">
      <c r="A1067" s="4"/>
      <c r="B1067" s="5"/>
    </row>
    <row r="1068" spans="1:2" x14ac:dyDescent="0.3">
      <c r="A1068" s="4"/>
      <c r="B1068" s="5"/>
    </row>
    <row r="1069" spans="1:2" x14ac:dyDescent="0.3">
      <c r="A1069" s="4"/>
      <c r="B1069" s="5"/>
    </row>
    <row r="1070" spans="1:2" x14ac:dyDescent="0.3">
      <c r="A1070" s="4"/>
      <c r="B1070" s="5"/>
    </row>
    <row r="1071" spans="1:2" x14ac:dyDescent="0.3">
      <c r="A1071" s="4"/>
      <c r="B1071" s="5"/>
    </row>
    <row r="1072" spans="1:2" x14ac:dyDescent="0.3">
      <c r="A1072" s="4"/>
      <c r="B1072" s="5"/>
    </row>
    <row r="1073" spans="1:2" x14ac:dyDescent="0.3">
      <c r="A1073" s="4"/>
      <c r="B1073" s="5"/>
    </row>
    <row r="1074" spans="1:2" x14ac:dyDescent="0.3">
      <c r="A1074" s="4"/>
      <c r="B1074" s="5"/>
    </row>
    <row r="1075" spans="1:2" x14ac:dyDescent="0.3">
      <c r="A1075" s="4"/>
      <c r="B1075" s="5"/>
    </row>
    <row r="1076" spans="1:2" x14ac:dyDescent="0.3">
      <c r="A1076" s="4"/>
      <c r="B1076" s="5"/>
    </row>
    <row r="1077" spans="1:2" x14ac:dyDescent="0.3">
      <c r="A1077" s="4"/>
      <c r="B1077" s="5"/>
    </row>
    <row r="1078" spans="1:2" x14ac:dyDescent="0.3">
      <c r="A1078" s="4"/>
      <c r="B1078" s="5"/>
    </row>
    <row r="1079" spans="1:2" x14ac:dyDescent="0.3">
      <c r="A1079" s="4"/>
      <c r="B1079" s="5"/>
    </row>
    <row r="1080" spans="1:2" x14ac:dyDescent="0.3">
      <c r="A1080" s="4"/>
      <c r="B1080" s="5"/>
    </row>
    <row r="1081" spans="1:2" x14ac:dyDescent="0.3">
      <c r="A1081" s="4"/>
      <c r="B1081" s="5"/>
    </row>
    <row r="1082" spans="1:2" x14ac:dyDescent="0.3">
      <c r="A1082" s="4"/>
      <c r="B1082" s="5"/>
    </row>
    <row r="1083" spans="1:2" x14ac:dyDescent="0.3">
      <c r="A1083" s="4"/>
      <c r="B1083" s="5"/>
    </row>
    <row r="1084" spans="1:2" x14ac:dyDescent="0.3">
      <c r="A1084" s="4"/>
      <c r="B1084" s="5"/>
    </row>
    <row r="1085" spans="1:2" x14ac:dyDescent="0.3">
      <c r="A1085" s="4"/>
      <c r="B1085" s="5"/>
    </row>
    <row r="1086" spans="1:2" x14ac:dyDescent="0.3">
      <c r="A1086" s="4"/>
      <c r="B1086" s="5"/>
    </row>
    <row r="1087" spans="1:2" x14ac:dyDescent="0.3">
      <c r="A1087" s="4"/>
      <c r="B1087" s="5"/>
    </row>
    <row r="1088" spans="1:2" x14ac:dyDescent="0.3">
      <c r="A1088" s="4"/>
      <c r="B1088" s="5"/>
    </row>
    <row r="1089" spans="1:2" x14ac:dyDescent="0.3">
      <c r="A1089" s="4"/>
      <c r="B1089" s="5"/>
    </row>
    <row r="1090" spans="1:2" x14ac:dyDescent="0.3">
      <c r="A1090" s="4"/>
      <c r="B1090" s="5"/>
    </row>
    <row r="1091" spans="1:2" x14ac:dyDescent="0.3">
      <c r="A1091" s="4"/>
      <c r="B1091" s="5"/>
    </row>
    <row r="1092" spans="1:2" x14ac:dyDescent="0.3">
      <c r="A1092" s="4"/>
      <c r="B1092" s="5"/>
    </row>
    <row r="1093" spans="1:2" x14ac:dyDescent="0.3">
      <c r="A1093" s="4"/>
      <c r="B1093" s="5"/>
    </row>
    <row r="1094" spans="1:2" x14ac:dyDescent="0.3">
      <c r="A1094" s="4"/>
      <c r="B1094" s="5"/>
    </row>
    <row r="1095" spans="1:2" x14ac:dyDescent="0.3">
      <c r="A1095" s="4"/>
      <c r="B1095" s="5"/>
    </row>
    <row r="1096" spans="1:2" x14ac:dyDescent="0.3">
      <c r="A1096" s="4"/>
      <c r="B1096" s="5"/>
    </row>
    <row r="1097" spans="1:2" x14ac:dyDescent="0.3">
      <c r="A1097" s="4"/>
      <c r="B1097" s="5"/>
    </row>
    <row r="1098" spans="1:2" x14ac:dyDescent="0.3">
      <c r="A1098" s="4"/>
      <c r="B1098" s="5"/>
    </row>
    <row r="1099" spans="1:2" x14ac:dyDescent="0.3">
      <c r="A1099" s="4"/>
      <c r="B1099" s="5"/>
    </row>
    <row r="1100" spans="1:2" x14ac:dyDescent="0.3">
      <c r="A1100" s="4"/>
      <c r="B1100" s="5"/>
    </row>
    <row r="1101" spans="1:2" x14ac:dyDescent="0.3">
      <c r="A1101" s="4"/>
      <c r="B1101" s="5"/>
    </row>
    <row r="1102" spans="1:2" x14ac:dyDescent="0.3">
      <c r="A1102" s="4"/>
      <c r="B1102" s="5"/>
    </row>
    <row r="1103" spans="1:2" x14ac:dyDescent="0.3">
      <c r="A1103" s="4"/>
      <c r="B1103" s="5"/>
    </row>
    <row r="1104" spans="1:2" x14ac:dyDescent="0.3">
      <c r="A1104" s="4"/>
      <c r="B1104" s="5"/>
    </row>
    <row r="1105" spans="1:2" x14ac:dyDescent="0.3">
      <c r="A1105" s="4"/>
      <c r="B1105" s="5"/>
    </row>
    <row r="1106" spans="1:2" x14ac:dyDescent="0.3">
      <c r="A1106" s="4"/>
      <c r="B1106" s="5"/>
    </row>
    <row r="1107" spans="1:2" x14ac:dyDescent="0.3">
      <c r="A1107" s="4"/>
      <c r="B1107" s="5"/>
    </row>
    <row r="1108" spans="1:2" x14ac:dyDescent="0.3">
      <c r="A1108" s="4"/>
      <c r="B1108" s="5"/>
    </row>
    <row r="1109" spans="1:2" x14ac:dyDescent="0.3">
      <c r="A1109" s="4"/>
      <c r="B1109" s="5"/>
    </row>
    <row r="1110" spans="1:2" x14ac:dyDescent="0.3">
      <c r="A1110" s="4"/>
      <c r="B1110" s="5"/>
    </row>
    <row r="1111" spans="1:2" x14ac:dyDescent="0.3">
      <c r="A1111" s="4"/>
      <c r="B1111" s="5"/>
    </row>
    <row r="1112" spans="1:2" x14ac:dyDescent="0.3">
      <c r="A1112" s="4"/>
      <c r="B1112" s="5"/>
    </row>
    <row r="1113" spans="1:2" x14ac:dyDescent="0.3">
      <c r="A1113" s="4"/>
      <c r="B1113" s="5"/>
    </row>
    <row r="1114" spans="1:2" x14ac:dyDescent="0.3">
      <c r="A1114" s="4"/>
      <c r="B1114" s="5"/>
    </row>
    <row r="1115" spans="1:2" x14ac:dyDescent="0.3">
      <c r="A1115" s="4"/>
      <c r="B1115" s="5"/>
    </row>
    <row r="1116" spans="1:2" x14ac:dyDescent="0.3">
      <c r="A1116" s="4"/>
      <c r="B1116" s="5"/>
    </row>
    <row r="1117" spans="1:2" x14ac:dyDescent="0.3">
      <c r="A1117" s="4"/>
      <c r="B1117" s="5"/>
    </row>
    <row r="1118" spans="1:2" x14ac:dyDescent="0.3">
      <c r="A1118" s="4"/>
      <c r="B1118" s="5"/>
    </row>
    <row r="1119" spans="1:2" x14ac:dyDescent="0.3">
      <c r="A1119" s="4"/>
      <c r="B1119" s="5"/>
    </row>
    <row r="1120" spans="1:2" x14ac:dyDescent="0.3">
      <c r="A1120" s="4"/>
      <c r="B1120" s="5"/>
    </row>
    <row r="1121" spans="1:2" x14ac:dyDescent="0.3">
      <c r="A1121" s="4"/>
      <c r="B1121" s="5"/>
    </row>
    <row r="1122" spans="1:2" x14ac:dyDescent="0.3">
      <c r="A1122" s="4"/>
      <c r="B1122" s="5"/>
    </row>
    <row r="1123" spans="1:2" x14ac:dyDescent="0.3">
      <c r="A1123" s="4"/>
      <c r="B1123" s="5"/>
    </row>
    <row r="1124" spans="1:2" x14ac:dyDescent="0.3">
      <c r="A1124" s="4"/>
      <c r="B1124" s="5"/>
    </row>
    <row r="1125" spans="1:2" x14ac:dyDescent="0.3">
      <c r="A1125" s="4"/>
      <c r="B1125" s="5"/>
    </row>
    <row r="1126" spans="1:2" x14ac:dyDescent="0.3">
      <c r="A1126" s="4"/>
      <c r="B1126" s="5"/>
    </row>
    <row r="1127" spans="1:2" x14ac:dyDescent="0.3">
      <c r="A1127" s="4"/>
      <c r="B1127" s="5"/>
    </row>
    <row r="1128" spans="1:2" x14ac:dyDescent="0.3">
      <c r="A1128" s="4"/>
      <c r="B1128" s="5"/>
    </row>
    <row r="1129" spans="1:2" x14ac:dyDescent="0.3">
      <c r="A1129" s="4"/>
      <c r="B1129" s="5"/>
    </row>
    <row r="1130" spans="1:2" x14ac:dyDescent="0.3">
      <c r="A1130" s="4"/>
      <c r="B1130" s="5"/>
    </row>
    <row r="1131" spans="1:2" x14ac:dyDescent="0.3">
      <c r="A1131" s="4"/>
      <c r="B1131" s="5"/>
    </row>
    <row r="1132" spans="1:2" x14ac:dyDescent="0.3">
      <c r="A1132" s="4"/>
      <c r="B1132" s="5"/>
    </row>
    <row r="1133" spans="1:2" x14ac:dyDescent="0.3">
      <c r="A1133" s="4"/>
      <c r="B1133" s="5"/>
    </row>
    <row r="1134" spans="1:2" x14ac:dyDescent="0.3">
      <c r="A1134" s="4"/>
      <c r="B1134" s="5"/>
    </row>
    <row r="1135" spans="1:2" x14ac:dyDescent="0.3">
      <c r="A1135" s="4"/>
      <c r="B1135" s="5"/>
    </row>
    <row r="1136" spans="1:2" x14ac:dyDescent="0.3">
      <c r="A1136" s="4"/>
      <c r="B1136" s="5"/>
    </row>
    <row r="1137" spans="1:2" x14ac:dyDescent="0.3">
      <c r="A1137" s="4"/>
      <c r="B1137" s="5"/>
    </row>
    <row r="1138" spans="1:2" x14ac:dyDescent="0.3">
      <c r="A1138" s="4"/>
      <c r="B1138" s="5"/>
    </row>
    <row r="1139" spans="1:2" x14ac:dyDescent="0.3">
      <c r="A1139" s="4"/>
      <c r="B1139" s="5"/>
    </row>
    <row r="1140" spans="1:2" x14ac:dyDescent="0.3">
      <c r="A1140" s="4"/>
      <c r="B1140" s="5"/>
    </row>
    <row r="1141" spans="1:2" x14ac:dyDescent="0.3">
      <c r="A1141" s="4"/>
      <c r="B1141" s="5"/>
    </row>
    <row r="1142" spans="1:2" x14ac:dyDescent="0.3">
      <c r="A1142" s="4"/>
      <c r="B1142" s="5"/>
    </row>
    <row r="1143" spans="1:2" x14ac:dyDescent="0.3">
      <c r="A1143" s="4"/>
      <c r="B1143" s="5"/>
    </row>
    <row r="1144" spans="1:2" x14ac:dyDescent="0.3">
      <c r="A1144" s="4"/>
      <c r="B1144" s="5"/>
    </row>
    <row r="1145" spans="1:2" x14ac:dyDescent="0.3">
      <c r="A1145" s="4"/>
      <c r="B1145" s="5"/>
    </row>
    <row r="1146" spans="1:2" x14ac:dyDescent="0.3">
      <c r="A1146" s="4"/>
      <c r="B1146" s="5"/>
    </row>
    <row r="1147" spans="1:2" x14ac:dyDescent="0.3">
      <c r="A1147" s="4"/>
      <c r="B1147" s="5"/>
    </row>
    <row r="1148" spans="1:2" x14ac:dyDescent="0.3">
      <c r="A1148" s="4"/>
      <c r="B1148" s="5"/>
    </row>
    <row r="1149" spans="1:2" x14ac:dyDescent="0.3">
      <c r="A1149" s="4"/>
      <c r="B1149" s="5"/>
    </row>
    <row r="1150" spans="1:2" x14ac:dyDescent="0.3">
      <c r="A1150" s="4"/>
      <c r="B1150" s="5"/>
    </row>
    <row r="1151" spans="1:2" x14ac:dyDescent="0.3">
      <c r="A1151" s="4"/>
      <c r="B1151" s="5"/>
    </row>
    <row r="1152" spans="1:2" x14ac:dyDescent="0.3">
      <c r="A1152" s="4"/>
      <c r="B1152" s="5"/>
    </row>
    <row r="1153" spans="1:2" x14ac:dyDescent="0.3">
      <c r="A1153" s="4"/>
      <c r="B1153" s="5"/>
    </row>
    <row r="1154" spans="1:2" x14ac:dyDescent="0.3">
      <c r="A1154" s="4"/>
      <c r="B1154" s="5"/>
    </row>
    <row r="1155" spans="1:2" x14ac:dyDescent="0.3">
      <c r="A1155" s="4"/>
      <c r="B1155" s="5"/>
    </row>
    <row r="1156" spans="1:2" x14ac:dyDescent="0.3">
      <c r="A1156" s="4"/>
      <c r="B1156" s="5"/>
    </row>
    <row r="1157" spans="1:2" x14ac:dyDescent="0.3">
      <c r="A1157" s="4"/>
      <c r="B1157" s="5"/>
    </row>
    <row r="1158" spans="1:2" x14ac:dyDescent="0.3">
      <c r="A1158" s="4"/>
      <c r="B1158" s="5"/>
    </row>
    <row r="1159" spans="1:2" x14ac:dyDescent="0.3">
      <c r="A1159" s="4"/>
      <c r="B1159" s="5"/>
    </row>
    <row r="1160" spans="1:2" x14ac:dyDescent="0.3">
      <c r="A1160" s="4"/>
      <c r="B1160" s="5"/>
    </row>
    <row r="1161" spans="1:2" x14ac:dyDescent="0.3">
      <c r="A1161" s="4"/>
      <c r="B1161" s="5"/>
    </row>
    <row r="1162" spans="1:2" x14ac:dyDescent="0.3">
      <c r="A1162" s="4"/>
      <c r="B1162" s="5"/>
    </row>
    <row r="1163" spans="1:2" x14ac:dyDescent="0.3">
      <c r="A1163" s="4"/>
      <c r="B1163" s="5"/>
    </row>
    <row r="1164" spans="1:2" x14ac:dyDescent="0.3">
      <c r="A1164" s="4"/>
      <c r="B1164" s="5"/>
    </row>
    <row r="1165" spans="1:2" x14ac:dyDescent="0.3">
      <c r="A1165" s="4"/>
      <c r="B1165" s="5"/>
    </row>
    <row r="1166" spans="1:2" x14ac:dyDescent="0.3">
      <c r="A1166" s="4"/>
      <c r="B1166" s="5"/>
    </row>
    <row r="1167" spans="1:2" x14ac:dyDescent="0.3">
      <c r="A1167" s="4"/>
      <c r="B1167" s="5"/>
    </row>
    <row r="1168" spans="1:2" x14ac:dyDescent="0.3">
      <c r="A1168" s="4"/>
      <c r="B1168" s="5"/>
    </row>
    <row r="1169" spans="1:2" x14ac:dyDescent="0.3">
      <c r="A1169" s="4"/>
      <c r="B1169" s="5"/>
    </row>
    <row r="1170" spans="1:2" x14ac:dyDescent="0.3">
      <c r="A1170" s="4"/>
      <c r="B1170" s="5"/>
    </row>
    <row r="1171" spans="1:2" x14ac:dyDescent="0.3">
      <c r="A1171" s="4"/>
      <c r="B1171" s="5"/>
    </row>
    <row r="1172" spans="1:2" x14ac:dyDescent="0.3">
      <c r="A1172" s="4"/>
      <c r="B1172" s="5"/>
    </row>
    <row r="1173" spans="1:2" x14ac:dyDescent="0.3">
      <c r="A1173" s="4"/>
      <c r="B1173" s="5"/>
    </row>
    <row r="1174" spans="1:2" x14ac:dyDescent="0.3">
      <c r="A1174" s="4"/>
      <c r="B1174" s="5"/>
    </row>
    <row r="1175" spans="1:2" x14ac:dyDescent="0.3">
      <c r="A1175" s="4"/>
      <c r="B1175" s="5"/>
    </row>
    <row r="1176" spans="1:2" x14ac:dyDescent="0.3">
      <c r="A1176" s="4"/>
      <c r="B1176" s="5"/>
    </row>
    <row r="1177" spans="1:2" x14ac:dyDescent="0.3">
      <c r="A1177" s="4"/>
      <c r="B1177" s="5"/>
    </row>
    <row r="1178" spans="1:2" x14ac:dyDescent="0.3">
      <c r="A1178" s="4"/>
      <c r="B1178" s="5"/>
    </row>
    <row r="1179" spans="1:2" x14ac:dyDescent="0.3">
      <c r="A1179" s="4"/>
      <c r="B1179" s="5"/>
    </row>
    <row r="1180" spans="1:2" x14ac:dyDescent="0.3">
      <c r="A1180" s="4"/>
      <c r="B1180" s="5"/>
    </row>
    <row r="1181" spans="1:2" x14ac:dyDescent="0.3">
      <c r="A1181" s="4"/>
      <c r="B1181" s="5"/>
    </row>
    <row r="1182" spans="1:2" x14ac:dyDescent="0.3">
      <c r="A1182" s="4"/>
      <c r="B1182" s="5"/>
    </row>
    <row r="1183" spans="1:2" x14ac:dyDescent="0.3">
      <c r="A1183" s="4"/>
      <c r="B1183" s="5"/>
    </row>
    <row r="1184" spans="1:2" x14ac:dyDescent="0.3">
      <c r="A1184" s="4"/>
      <c r="B1184" s="5"/>
    </row>
    <row r="1185" spans="1:2" x14ac:dyDescent="0.3">
      <c r="A1185" s="4"/>
      <c r="B1185" s="5"/>
    </row>
    <row r="1186" spans="1:2" x14ac:dyDescent="0.3">
      <c r="A1186" s="4"/>
      <c r="B1186" s="5"/>
    </row>
    <row r="1187" spans="1:2" x14ac:dyDescent="0.3">
      <c r="A1187" s="4"/>
      <c r="B1187" s="5"/>
    </row>
    <row r="1188" spans="1:2" x14ac:dyDescent="0.3">
      <c r="A1188" s="4"/>
      <c r="B1188" s="5"/>
    </row>
    <row r="1189" spans="1:2" x14ac:dyDescent="0.3">
      <c r="A1189" s="4"/>
      <c r="B1189" s="5"/>
    </row>
    <row r="1190" spans="1:2" x14ac:dyDescent="0.3">
      <c r="A1190" s="4"/>
      <c r="B1190" s="5"/>
    </row>
    <row r="1191" spans="1:2" x14ac:dyDescent="0.3">
      <c r="A1191" s="4"/>
      <c r="B1191" s="5"/>
    </row>
    <row r="1192" spans="1:2" x14ac:dyDescent="0.3">
      <c r="A1192" s="4"/>
      <c r="B1192" s="5"/>
    </row>
    <row r="1193" spans="1:2" x14ac:dyDescent="0.3">
      <c r="A1193" s="4"/>
      <c r="B1193" s="5"/>
    </row>
    <row r="1194" spans="1:2" x14ac:dyDescent="0.3">
      <c r="A1194" s="4"/>
      <c r="B1194" s="5"/>
    </row>
    <row r="1195" spans="1:2" x14ac:dyDescent="0.3">
      <c r="A1195" s="4"/>
      <c r="B1195" s="5"/>
    </row>
    <row r="1196" spans="1:2" x14ac:dyDescent="0.3">
      <c r="A1196" s="4"/>
      <c r="B1196" s="5"/>
    </row>
    <row r="1197" spans="1:2" x14ac:dyDescent="0.3">
      <c r="A1197" s="4"/>
      <c r="B1197" s="5"/>
    </row>
    <row r="1198" spans="1:2" x14ac:dyDescent="0.3">
      <c r="A1198" s="4"/>
      <c r="B1198" s="5"/>
    </row>
    <row r="1199" spans="1:2" x14ac:dyDescent="0.3">
      <c r="A1199" s="4"/>
      <c r="B1199" s="5"/>
    </row>
    <row r="1200" spans="1:2" x14ac:dyDescent="0.3">
      <c r="A1200" s="4"/>
      <c r="B1200" s="5"/>
    </row>
    <row r="1201" spans="1:2" x14ac:dyDescent="0.3">
      <c r="A1201" s="4"/>
      <c r="B1201" s="5"/>
    </row>
    <row r="1202" spans="1:2" x14ac:dyDescent="0.3">
      <c r="A1202" s="4"/>
      <c r="B1202" s="5"/>
    </row>
    <row r="1203" spans="1:2" x14ac:dyDescent="0.3">
      <c r="A1203" s="4"/>
      <c r="B1203" s="5"/>
    </row>
    <row r="1204" spans="1:2" x14ac:dyDescent="0.3">
      <c r="A1204" s="4"/>
      <c r="B1204" s="5"/>
    </row>
    <row r="1205" spans="1:2" x14ac:dyDescent="0.3">
      <c r="A1205" s="4"/>
      <c r="B1205" s="5"/>
    </row>
    <row r="1206" spans="1:2" x14ac:dyDescent="0.3">
      <c r="A1206" s="4"/>
      <c r="B1206" s="5"/>
    </row>
    <row r="1207" spans="1:2" x14ac:dyDescent="0.3">
      <c r="A1207" s="4"/>
      <c r="B1207" s="5"/>
    </row>
    <row r="1208" spans="1:2" x14ac:dyDescent="0.3">
      <c r="A1208" s="4"/>
      <c r="B1208" s="5"/>
    </row>
    <row r="1209" spans="1:2" x14ac:dyDescent="0.3">
      <c r="A1209" s="4"/>
      <c r="B1209" s="5"/>
    </row>
    <row r="1210" spans="1:2" x14ac:dyDescent="0.3">
      <c r="A1210" s="4"/>
      <c r="B1210" s="5"/>
    </row>
    <row r="1211" spans="1:2" x14ac:dyDescent="0.3">
      <c r="A1211" s="4"/>
      <c r="B1211" s="5"/>
    </row>
    <row r="1212" spans="1:2" x14ac:dyDescent="0.3">
      <c r="A1212" s="4"/>
      <c r="B1212" s="5"/>
    </row>
    <row r="1213" spans="1:2" x14ac:dyDescent="0.3">
      <c r="A1213" s="4"/>
      <c r="B1213" s="5"/>
    </row>
    <row r="1214" spans="1:2" x14ac:dyDescent="0.3">
      <c r="A1214" s="4"/>
      <c r="B1214" s="5"/>
    </row>
    <row r="1215" spans="1:2" x14ac:dyDescent="0.3">
      <c r="A1215" s="4"/>
      <c r="B1215" s="5"/>
    </row>
    <row r="1216" spans="1:2" x14ac:dyDescent="0.3">
      <c r="A1216" s="4"/>
      <c r="B1216" s="5"/>
    </row>
    <row r="1217" spans="1:2" x14ac:dyDescent="0.3">
      <c r="A1217" s="4"/>
      <c r="B1217" s="5"/>
    </row>
    <row r="1218" spans="1:2" x14ac:dyDescent="0.3">
      <c r="A1218" s="4"/>
      <c r="B1218" s="5"/>
    </row>
    <row r="1219" spans="1:2" x14ac:dyDescent="0.3">
      <c r="A1219" s="4"/>
      <c r="B1219" s="5"/>
    </row>
    <row r="1220" spans="1:2" x14ac:dyDescent="0.3">
      <c r="A1220" s="4"/>
      <c r="B1220" s="5"/>
    </row>
    <row r="1221" spans="1:2" x14ac:dyDescent="0.3">
      <c r="A1221" s="4"/>
      <c r="B1221" s="5"/>
    </row>
    <row r="1222" spans="1:2" x14ac:dyDescent="0.3">
      <c r="A1222" s="4"/>
      <c r="B1222" s="5"/>
    </row>
    <row r="1223" spans="1:2" x14ac:dyDescent="0.3">
      <c r="A1223" s="4"/>
      <c r="B1223" s="5"/>
    </row>
    <row r="1224" spans="1:2" x14ac:dyDescent="0.3">
      <c r="A1224" s="4"/>
      <c r="B1224" s="5"/>
    </row>
    <row r="1225" spans="1:2" x14ac:dyDescent="0.3">
      <c r="A1225" s="4"/>
      <c r="B1225" s="5"/>
    </row>
    <row r="1226" spans="1:2" x14ac:dyDescent="0.3">
      <c r="A1226" s="4"/>
      <c r="B1226" s="5"/>
    </row>
    <row r="1227" spans="1:2" x14ac:dyDescent="0.3">
      <c r="A1227" s="4"/>
      <c r="B1227" s="5"/>
    </row>
    <row r="1228" spans="1:2" x14ac:dyDescent="0.3">
      <c r="A1228" s="4"/>
      <c r="B1228" s="5"/>
    </row>
    <row r="1229" spans="1:2" x14ac:dyDescent="0.3">
      <c r="A1229" s="4"/>
      <c r="B1229" s="5"/>
    </row>
    <row r="1230" spans="1:2" x14ac:dyDescent="0.3">
      <c r="A1230" s="4"/>
      <c r="B1230" s="5"/>
    </row>
    <row r="1231" spans="1:2" x14ac:dyDescent="0.3">
      <c r="A1231" s="4"/>
      <c r="B1231" s="5"/>
    </row>
    <row r="1232" spans="1:2" x14ac:dyDescent="0.3">
      <c r="A1232" s="4"/>
      <c r="B1232" s="5"/>
    </row>
    <row r="1233" spans="1:2" x14ac:dyDescent="0.3">
      <c r="A1233" s="4"/>
      <c r="B1233" s="5"/>
    </row>
    <row r="1234" spans="1:2" x14ac:dyDescent="0.3">
      <c r="A1234" s="4"/>
      <c r="B1234" s="5"/>
    </row>
    <row r="1235" spans="1:2" x14ac:dyDescent="0.3">
      <c r="A1235" s="4"/>
      <c r="B1235" s="5"/>
    </row>
    <row r="1236" spans="1:2" x14ac:dyDescent="0.3">
      <c r="A1236" s="4"/>
      <c r="B1236" s="5"/>
    </row>
    <row r="1237" spans="1:2" x14ac:dyDescent="0.3">
      <c r="A1237" s="4"/>
      <c r="B1237" s="5"/>
    </row>
    <row r="1238" spans="1:2" x14ac:dyDescent="0.3">
      <c r="A1238" s="4"/>
      <c r="B1238" s="5"/>
    </row>
    <row r="1239" spans="1:2" x14ac:dyDescent="0.3">
      <c r="A1239" s="4"/>
      <c r="B1239" s="5"/>
    </row>
    <row r="1240" spans="1:2" x14ac:dyDescent="0.3">
      <c r="A1240" s="4"/>
      <c r="B1240" s="5"/>
    </row>
    <row r="1241" spans="1:2" x14ac:dyDescent="0.3">
      <c r="A1241" s="4"/>
      <c r="B1241" s="5"/>
    </row>
    <row r="1242" spans="1:2" x14ac:dyDescent="0.3">
      <c r="A1242" s="4"/>
      <c r="B1242" s="5"/>
    </row>
    <row r="1243" spans="1:2" x14ac:dyDescent="0.3">
      <c r="A1243" s="4"/>
      <c r="B1243" s="5"/>
    </row>
    <row r="1244" spans="1:2" x14ac:dyDescent="0.3">
      <c r="A1244" s="4"/>
      <c r="B1244" s="5"/>
    </row>
    <row r="1245" spans="1:2" x14ac:dyDescent="0.3">
      <c r="A1245" s="4"/>
      <c r="B1245" s="5"/>
    </row>
    <row r="1246" spans="1:2" x14ac:dyDescent="0.3">
      <c r="A1246" s="4"/>
      <c r="B1246" s="5"/>
    </row>
    <row r="1247" spans="1:2" x14ac:dyDescent="0.3">
      <c r="A1247" s="4"/>
      <c r="B1247" s="5"/>
    </row>
    <row r="1248" spans="1:2" x14ac:dyDescent="0.3">
      <c r="A1248" s="4"/>
      <c r="B1248" s="5"/>
    </row>
    <row r="1249" spans="1:2" x14ac:dyDescent="0.3">
      <c r="A1249" s="4"/>
      <c r="B1249" s="5"/>
    </row>
    <row r="1250" spans="1:2" x14ac:dyDescent="0.3">
      <c r="A1250" s="4"/>
      <c r="B1250" s="5"/>
    </row>
    <row r="1251" spans="1:2" x14ac:dyDescent="0.3">
      <c r="A1251" s="4"/>
      <c r="B1251" s="5"/>
    </row>
    <row r="1252" spans="1:2" x14ac:dyDescent="0.3">
      <c r="A1252" s="4"/>
      <c r="B1252" s="5"/>
    </row>
    <row r="1253" spans="1:2" x14ac:dyDescent="0.3">
      <c r="A1253" s="4"/>
      <c r="B1253" s="5"/>
    </row>
    <row r="1254" spans="1:2" x14ac:dyDescent="0.3">
      <c r="A1254" s="4"/>
      <c r="B1254" s="5"/>
    </row>
    <row r="1255" spans="1:2" x14ac:dyDescent="0.3">
      <c r="A1255" s="4"/>
      <c r="B1255" s="5"/>
    </row>
    <row r="1256" spans="1:2" x14ac:dyDescent="0.3">
      <c r="A1256" s="4"/>
      <c r="B1256" s="5"/>
    </row>
    <row r="1257" spans="1:2" x14ac:dyDescent="0.3">
      <c r="A1257" s="4"/>
      <c r="B1257" s="5"/>
    </row>
    <row r="1258" spans="1:2" x14ac:dyDescent="0.3">
      <c r="A1258" s="4"/>
      <c r="B1258" s="5"/>
    </row>
    <row r="1259" spans="1:2" x14ac:dyDescent="0.3">
      <c r="A1259" s="4"/>
      <c r="B1259" s="5"/>
    </row>
    <row r="1260" spans="1:2" x14ac:dyDescent="0.3">
      <c r="A1260" s="4"/>
      <c r="B1260" s="5"/>
    </row>
    <row r="1261" spans="1:2" x14ac:dyDescent="0.3">
      <c r="A1261" s="4"/>
      <c r="B1261" s="5"/>
    </row>
    <row r="1262" spans="1:2" x14ac:dyDescent="0.3">
      <c r="A1262" s="4"/>
      <c r="B1262" s="5"/>
    </row>
    <row r="1263" spans="1:2" x14ac:dyDescent="0.3">
      <c r="A1263" s="4"/>
      <c r="B1263" s="5"/>
    </row>
    <row r="1264" spans="1:2" x14ac:dyDescent="0.3">
      <c r="A1264" s="4"/>
      <c r="B1264" s="5"/>
    </row>
    <row r="1265" spans="1:2" x14ac:dyDescent="0.3">
      <c r="A1265" s="4"/>
      <c r="B1265" s="5"/>
    </row>
    <row r="1266" spans="1:2" x14ac:dyDescent="0.3">
      <c r="A1266" s="4"/>
      <c r="B1266" s="5"/>
    </row>
    <row r="1267" spans="1:2" x14ac:dyDescent="0.3">
      <c r="A1267" s="4"/>
      <c r="B1267" s="5"/>
    </row>
    <row r="1268" spans="1:2" x14ac:dyDescent="0.3">
      <c r="A1268" s="4"/>
      <c r="B1268" s="5"/>
    </row>
    <row r="1269" spans="1:2" x14ac:dyDescent="0.3">
      <c r="A1269" s="4"/>
      <c r="B1269" s="5"/>
    </row>
    <row r="1270" spans="1:2" x14ac:dyDescent="0.3">
      <c r="A1270" s="4"/>
      <c r="B1270" s="5"/>
    </row>
    <row r="1271" spans="1:2" x14ac:dyDescent="0.3">
      <c r="A1271" s="4"/>
      <c r="B1271" s="5"/>
    </row>
    <row r="1272" spans="1:2" x14ac:dyDescent="0.3">
      <c r="A1272" s="4"/>
      <c r="B1272" s="5"/>
    </row>
    <row r="1273" spans="1:2" x14ac:dyDescent="0.3">
      <c r="A1273" s="4"/>
      <c r="B1273" s="5"/>
    </row>
    <row r="1274" spans="1:2" x14ac:dyDescent="0.3">
      <c r="A1274" s="4"/>
      <c r="B1274" s="5"/>
    </row>
    <row r="1275" spans="1:2" x14ac:dyDescent="0.3">
      <c r="A1275" s="4"/>
      <c r="B1275" s="5"/>
    </row>
    <row r="1276" spans="1:2" x14ac:dyDescent="0.3">
      <c r="A1276" s="4"/>
      <c r="B1276" s="5"/>
    </row>
    <row r="1277" spans="1:2" x14ac:dyDescent="0.3">
      <c r="A1277" s="4"/>
      <c r="B1277" s="5"/>
    </row>
    <row r="1278" spans="1:2" x14ac:dyDescent="0.3">
      <c r="A1278" s="4"/>
      <c r="B1278" s="5"/>
    </row>
    <row r="1279" spans="1:2" x14ac:dyDescent="0.3">
      <c r="A1279" s="4"/>
      <c r="B1279" s="5"/>
    </row>
    <row r="1280" spans="1:2" x14ac:dyDescent="0.3">
      <c r="A1280" s="4"/>
      <c r="B1280" s="5"/>
    </row>
    <row r="1281" spans="1:2" x14ac:dyDescent="0.3">
      <c r="A1281" s="4"/>
      <c r="B1281" s="5"/>
    </row>
    <row r="1282" spans="1:2" x14ac:dyDescent="0.3">
      <c r="A1282" s="4"/>
      <c r="B1282" s="5"/>
    </row>
    <row r="1283" spans="1:2" x14ac:dyDescent="0.3">
      <c r="A1283" s="4"/>
      <c r="B1283" s="5"/>
    </row>
    <row r="1284" spans="1:2" x14ac:dyDescent="0.3">
      <c r="A1284" s="4"/>
      <c r="B1284" s="5"/>
    </row>
    <row r="1285" spans="1:2" x14ac:dyDescent="0.3">
      <c r="A1285" s="4"/>
      <c r="B1285" s="5"/>
    </row>
    <row r="1286" spans="1:2" x14ac:dyDescent="0.3">
      <c r="A1286" s="4"/>
      <c r="B1286" s="5"/>
    </row>
    <row r="1287" spans="1:2" x14ac:dyDescent="0.3">
      <c r="A1287" s="4"/>
      <c r="B1287" s="5"/>
    </row>
    <row r="1288" spans="1:2" x14ac:dyDescent="0.3">
      <c r="A1288" s="4"/>
      <c r="B1288" s="5"/>
    </row>
    <row r="1289" spans="1:2" x14ac:dyDescent="0.3">
      <c r="A1289" s="4"/>
      <c r="B1289" s="5"/>
    </row>
    <row r="1290" spans="1:2" x14ac:dyDescent="0.3">
      <c r="A1290" s="4"/>
      <c r="B1290" s="5"/>
    </row>
    <row r="1291" spans="1:2" x14ac:dyDescent="0.3">
      <c r="A1291" s="4"/>
      <c r="B1291" s="5"/>
    </row>
    <row r="1292" spans="1:2" x14ac:dyDescent="0.3">
      <c r="A1292" s="4"/>
      <c r="B1292" s="5"/>
    </row>
    <row r="1293" spans="1:2" x14ac:dyDescent="0.3">
      <c r="A1293" s="4"/>
      <c r="B1293" s="5"/>
    </row>
    <row r="1294" spans="1:2" x14ac:dyDescent="0.3">
      <c r="A1294" s="4"/>
      <c r="B1294" s="5"/>
    </row>
    <row r="1295" spans="1:2" x14ac:dyDescent="0.3">
      <c r="A1295" s="4"/>
      <c r="B1295" s="5"/>
    </row>
    <row r="1296" spans="1:2" x14ac:dyDescent="0.3">
      <c r="A1296" s="4"/>
      <c r="B1296" s="5"/>
    </row>
    <row r="1297" spans="1:2" x14ac:dyDescent="0.3">
      <c r="A1297" s="4"/>
      <c r="B1297" s="5"/>
    </row>
    <row r="1298" spans="1:2" x14ac:dyDescent="0.3">
      <c r="A1298" s="4"/>
      <c r="B1298" s="5"/>
    </row>
    <row r="1299" spans="1:2" x14ac:dyDescent="0.3">
      <c r="A1299" s="4"/>
      <c r="B1299" s="5"/>
    </row>
    <row r="1300" spans="1:2" x14ac:dyDescent="0.3">
      <c r="A1300" s="4"/>
      <c r="B1300" s="5"/>
    </row>
    <row r="1301" spans="1:2" x14ac:dyDescent="0.3">
      <c r="A1301" s="4"/>
      <c r="B1301" s="5"/>
    </row>
    <row r="1302" spans="1:2" x14ac:dyDescent="0.3">
      <c r="A1302" s="4"/>
      <c r="B1302" s="5"/>
    </row>
    <row r="1303" spans="1:2" x14ac:dyDescent="0.3">
      <c r="A1303" s="4"/>
      <c r="B1303" s="5"/>
    </row>
    <row r="1304" spans="1:2" x14ac:dyDescent="0.3">
      <c r="A1304" s="4"/>
      <c r="B1304" s="5"/>
    </row>
    <row r="1305" spans="1:2" x14ac:dyDescent="0.3">
      <c r="A1305" s="4"/>
      <c r="B1305" s="5"/>
    </row>
    <row r="1306" spans="1:2" x14ac:dyDescent="0.3">
      <c r="A1306" s="4"/>
      <c r="B1306" s="5"/>
    </row>
    <row r="1307" spans="1:2" x14ac:dyDescent="0.3">
      <c r="A1307" s="4"/>
      <c r="B1307" s="5"/>
    </row>
    <row r="1308" spans="1:2" x14ac:dyDescent="0.3">
      <c r="A1308" s="4"/>
      <c r="B1308" s="5"/>
    </row>
    <row r="1309" spans="1:2" x14ac:dyDescent="0.3">
      <c r="A1309" s="4"/>
      <c r="B1309" s="5"/>
    </row>
    <row r="1310" spans="1:2" x14ac:dyDescent="0.3">
      <c r="A1310" s="4"/>
      <c r="B1310" s="5"/>
    </row>
    <row r="1311" spans="1:2" x14ac:dyDescent="0.3">
      <c r="A1311" s="4"/>
      <c r="B1311" s="5"/>
    </row>
    <row r="1312" spans="1:2" x14ac:dyDescent="0.3">
      <c r="A1312" s="4"/>
      <c r="B1312" s="5"/>
    </row>
    <row r="1313" spans="1:2" x14ac:dyDescent="0.3">
      <c r="A1313" s="4"/>
      <c r="B1313" s="5"/>
    </row>
    <row r="1314" spans="1:2" x14ac:dyDescent="0.3">
      <c r="A1314" s="4"/>
      <c r="B1314" s="5"/>
    </row>
    <row r="1315" spans="1:2" x14ac:dyDescent="0.3">
      <c r="A1315" s="4"/>
      <c r="B1315" s="5"/>
    </row>
    <row r="1316" spans="1:2" x14ac:dyDescent="0.3">
      <c r="A1316" s="4"/>
      <c r="B1316" s="5"/>
    </row>
    <row r="1317" spans="1:2" x14ac:dyDescent="0.3">
      <c r="A1317" s="4"/>
      <c r="B1317" s="5"/>
    </row>
    <row r="1318" spans="1:2" x14ac:dyDescent="0.3">
      <c r="A1318" s="4"/>
      <c r="B1318" s="5"/>
    </row>
    <row r="1319" spans="1:2" x14ac:dyDescent="0.3">
      <c r="A1319" s="4"/>
      <c r="B1319" s="5"/>
    </row>
    <row r="1320" spans="1:2" x14ac:dyDescent="0.3">
      <c r="A1320" s="4"/>
      <c r="B1320" s="5"/>
    </row>
    <row r="1321" spans="1:2" x14ac:dyDescent="0.3">
      <c r="A1321" s="4"/>
      <c r="B1321" s="5"/>
    </row>
    <row r="1322" spans="1:2" x14ac:dyDescent="0.3">
      <c r="A1322" s="4"/>
      <c r="B1322" s="5"/>
    </row>
    <row r="1323" spans="1:2" x14ac:dyDescent="0.3">
      <c r="A1323" s="4"/>
      <c r="B1323" s="5"/>
    </row>
    <row r="1324" spans="1:2" x14ac:dyDescent="0.3">
      <c r="A1324" s="4"/>
      <c r="B1324" s="5"/>
    </row>
    <row r="1325" spans="1:2" x14ac:dyDescent="0.3">
      <c r="A1325" s="4"/>
      <c r="B1325" s="5"/>
    </row>
    <row r="1326" spans="1:2" x14ac:dyDescent="0.3">
      <c r="A1326" s="4"/>
      <c r="B1326" s="5"/>
    </row>
    <row r="1327" spans="1:2" x14ac:dyDescent="0.3">
      <c r="A1327" s="4"/>
      <c r="B1327" s="5"/>
    </row>
    <row r="1328" spans="1:2" x14ac:dyDescent="0.3">
      <c r="A1328" s="4"/>
      <c r="B1328" s="5"/>
    </row>
    <row r="1329" spans="1:2" x14ac:dyDescent="0.3">
      <c r="A1329" s="4"/>
      <c r="B1329" s="5"/>
    </row>
    <row r="1330" spans="1:2" x14ac:dyDescent="0.3">
      <c r="A1330" s="4"/>
      <c r="B1330" s="5"/>
    </row>
    <row r="1331" spans="1:2" x14ac:dyDescent="0.3">
      <c r="A1331" s="4"/>
      <c r="B1331" s="5"/>
    </row>
    <row r="1332" spans="1:2" x14ac:dyDescent="0.3">
      <c r="A1332" s="4"/>
      <c r="B1332" s="5"/>
    </row>
    <row r="1333" spans="1:2" x14ac:dyDescent="0.3">
      <c r="A1333" s="4"/>
      <c r="B1333" s="5"/>
    </row>
    <row r="1334" spans="1:2" x14ac:dyDescent="0.3">
      <c r="A1334" s="4"/>
      <c r="B1334" s="5"/>
    </row>
    <row r="1335" spans="1:2" x14ac:dyDescent="0.3">
      <c r="A1335" s="4"/>
      <c r="B1335" s="5"/>
    </row>
    <row r="1336" spans="1:2" x14ac:dyDescent="0.3">
      <c r="A1336" s="4"/>
      <c r="B1336" s="5"/>
    </row>
    <row r="1337" spans="1:2" x14ac:dyDescent="0.3">
      <c r="A1337" s="4"/>
      <c r="B1337" s="5"/>
    </row>
    <row r="1338" spans="1:2" x14ac:dyDescent="0.3">
      <c r="A1338" s="4"/>
      <c r="B1338" s="5"/>
    </row>
    <row r="1339" spans="1:2" x14ac:dyDescent="0.3">
      <c r="A1339" s="4"/>
      <c r="B1339" s="5"/>
    </row>
    <row r="1340" spans="1:2" x14ac:dyDescent="0.3">
      <c r="A1340" s="4"/>
      <c r="B1340" s="5"/>
    </row>
    <row r="1341" spans="1:2" x14ac:dyDescent="0.3">
      <c r="A1341" s="4"/>
      <c r="B1341" s="5"/>
    </row>
    <row r="1342" spans="1:2" x14ac:dyDescent="0.3">
      <c r="A1342" s="4"/>
      <c r="B1342" s="5"/>
    </row>
    <row r="1343" spans="1:2" x14ac:dyDescent="0.3">
      <c r="A1343" s="4"/>
      <c r="B1343" s="5"/>
    </row>
    <row r="1344" spans="1:2" x14ac:dyDescent="0.3">
      <c r="A1344" s="4"/>
      <c r="B1344" s="5"/>
    </row>
    <row r="1345" spans="1:2" x14ac:dyDescent="0.3">
      <c r="A1345" s="4"/>
      <c r="B1345" s="5"/>
    </row>
    <row r="1346" spans="1:2" x14ac:dyDescent="0.3">
      <c r="A1346" s="4"/>
      <c r="B1346" s="5"/>
    </row>
    <row r="1347" spans="1:2" x14ac:dyDescent="0.3">
      <c r="A1347" s="4"/>
      <c r="B1347" s="5"/>
    </row>
    <row r="1348" spans="1:2" x14ac:dyDescent="0.3">
      <c r="A1348" s="4"/>
      <c r="B1348" s="5"/>
    </row>
    <row r="1349" spans="1:2" x14ac:dyDescent="0.3">
      <c r="A1349" s="4"/>
      <c r="B1349" s="5"/>
    </row>
    <row r="1350" spans="1:2" x14ac:dyDescent="0.3">
      <c r="A1350" s="4"/>
      <c r="B1350" s="5"/>
    </row>
    <row r="1351" spans="1:2" x14ac:dyDescent="0.3">
      <c r="A1351" s="4"/>
      <c r="B1351" s="5"/>
    </row>
    <row r="1352" spans="1:2" x14ac:dyDescent="0.3">
      <c r="A1352" s="4"/>
      <c r="B1352" s="5"/>
    </row>
    <row r="1353" spans="1:2" x14ac:dyDescent="0.3">
      <c r="A1353" s="4"/>
      <c r="B1353" s="5"/>
    </row>
    <row r="1354" spans="1:2" x14ac:dyDescent="0.3">
      <c r="A1354" s="4"/>
      <c r="B1354" s="5"/>
    </row>
    <row r="1355" spans="1:2" x14ac:dyDescent="0.3">
      <c r="A1355" s="4"/>
      <c r="B1355" s="5"/>
    </row>
    <row r="1356" spans="1:2" x14ac:dyDescent="0.3">
      <c r="A1356" s="4"/>
      <c r="B1356" s="5"/>
    </row>
    <row r="1357" spans="1:2" x14ac:dyDescent="0.3">
      <c r="A1357" s="4"/>
      <c r="B1357" s="5"/>
    </row>
    <row r="1358" spans="1:2" x14ac:dyDescent="0.3">
      <c r="A1358" s="4"/>
      <c r="B1358" s="5"/>
    </row>
    <row r="1359" spans="1:2" x14ac:dyDescent="0.3">
      <c r="A1359" s="4"/>
      <c r="B1359" s="5"/>
    </row>
    <row r="1360" spans="1:2" x14ac:dyDescent="0.3">
      <c r="A1360" s="4"/>
      <c r="B1360" s="5"/>
    </row>
    <row r="1361" spans="1:2" x14ac:dyDescent="0.3">
      <c r="A1361" s="4"/>
      <c r="B1361" s="5"/>
    </row>
    <row r="1362" spans="1:2" x14ac:dyDescent="0.3">
      <c r="A1362" s="4"/>
      <c r="B1362" s="5"/>
    </row>
    <row r="1363" spans="1:2" x14ac:dyDescent="0.3">
      <c r="A1363" s="4"/>
      <c r="B1363" s="5"/>
    </row>
    <row r="1364" spans="1:2" x14ac:dyDescent="0.3">
      <c r="A1364" s="4"/>
      <c r="B1364" s="5"/>
    </row>
    <row r="1365" spans="1:2" x14ac:dyDescent="0.3">
      <c r="A1365" s="4"/>
      <c r="B1365" s="5"/>
    </row>
    <row r="1366" spans="1:2" x14ac:dyDescent="0.3">
      <c r="A1366" s="4"/>
      <c r="B1366" s="5"/>
    </row>
    <row r="1367" spans="1:2" x14ac:dyDescent="0.3">
      <c r="A1367" s="4"/>
      <c r="B1367" s="5"/>
    </row>
    <row r="1368" spans="1:2" x14ac:dyDescent="0.3">
      <c r="A1368" s="4"/>
      <c r="B1368" s="5"/>
    </row>
    <row r="1369" spans="1:2" x14ac:dyDescent="0.3">
      <c r="A1369" s="4"/>
      <c r="B1369" s="5"/>
    </row>
    <row r="1370" spans="1:2" x14ac:dyDescent="0.3">
      <c r="A1370" s="4"/>
      <c r="B1370" s="5"/>
    </row>
    <row r="1371" spans="1:2" x14ac:dyDescent="0.3">
      <c r="A1371" s="4"/>
      <c r="B1371" s="5"/>
    </row>
    <row r="1372" spans="1:2" x14ac:dyDescent="0.3">
      <c r="A1372" s="4"/>
      <c r="B1372" s="5"/>
    </row>
    <row r="1373" spans="1:2" x14ac:dyDescent="0.3">
      <c r="A1373" s="4"/>
      <c r="B1373" s="5"/>
    </row>
    <row r="1374" spans="1:2" x14ac:dyDescent="0.3">
      <c r="A1374" s="4"/>
      <c r="B1374" s="5"/>
    </row>
    <row r="1375" spans="1:2" x14ac:dyDescent="0.3">
      <c r="A1375" s="4"/>
      <c r="B1375" s="5"/>
    </row>
    <row r="1376" spans="1:2" x14ac:dyDescent="0.3">
      <c r="A1376" s="4"/>
      <c r="B1376" s="5"/>
    </row>
    <row r="1377" spans="1:2" x14ac:dyDescent="0.3">
      <c r="A1377" s="4"/>
      <c r="B1377" s="5"/>
    </row>
    <row r="1378" spans="1:2" x14ac:dyDescent="0.3">
      <c r="A1378" s="4"/>
      <c r="B1378" s="5"/>
    </row>
    <row r="1379" spans="1:2" x14ac:dyDescent="0.3">
      <c r="A1379" s="4"/>
      <c r="B1379" s="5"/>
    </row>
    <row r="1380" spans="1:2" x14ac:dyDescent="0.3">
      <c r="A1380" s="4"/>
      <c r="B1380" s="5"/>
    </row>
    <row r="1381" spans="1:2" x14ac:dyDescent="0.3">
      <c r="A1381" s="4"/>
      <c r="B1381" s="5"/>
    </row>
    <row r="1382" spans="1:2" x14ac:dyDescent="0.3">
      <c r="A1382" s="4"/>
      <c r="B1382" s="5"/>
    </row>
    <row r="1383" spans="1:2" x14ac:dyDescent="0.3">
      <c r="A1383" s="4"/>
      <c r="B1383" s="5"/>
    </row>
    <row r="1384" spans="1:2" x14ac:dyDescent="0.3">
      <c r="A1384" s="4"/>
      <c r="B1384" s="5"/>
    </row>
    <row r="1385" spans="1:2" x14ac:dyDescent="0.3">
      <c r="A1385" s="4"/>
      <c r="B1385" s="5"/>
    </row>
    <row r="1386" spans="1:2" x14ac:dyDescent="0.3">
      <c r="A1386" s="4"/>
      <c r="B1386" s="5"/>
    </row>
    <row r="1387" spans="1:2" x14ac:dyDescent="0.3">
      <c r="A1387" s="4"/>
      <c r="B1387" s="5"/>
    </row>
    <row r="1388" spans="1:2" x14ac:dyDescent="0.3">
      <c r="A1388" s="4"/>
      <c r="B1388" s="5"/>
    </row>
    <row r="1389" spans="1:2" x14ac:dyDescent="0.3">
      <c r="A1389" s="4"/>
      <c r="B1389" s="5"/>
    </row>
    <row r="1390" spans="1:2" x14ac:dyDescent="0.3">
      <c r="A1390" s="4"/>
      <c r="B1390" s="5"/>
    </row>
    <row r="1391" spans="1:2" x14ac:dyDescent="0.3">
      <c r="A1391" s="4"/>
      <c r="B1391" s="5"/>
    </row>
    <row r="1392" spans="1:2" x14ac:dyDescent="0.3">
      <c r="A1392" s="4"/>
      <c r="B1392" s="5"/>
    </row>
    <row r="1393" spans="1:2" x14ac:dyDescent="0.3">
      <c r="A1393" s="4"/>
      <c r="B1393" s="5"/>
    </row>
    <row r="1394" spans="1:2" x14ac:dyDescent="0.3">
      <c r="A1394" s="4"/>
      <c r="B1394" s="5"/>
    </row>
    <row r="1395" spans="1:2" x14ac:dyDescent="0.3">
      <c r="A1395" s="4"/>
      <c r="B1395" s="5"/>
    </row>
    <row r="1396" spans="1:2" x14ac:dyDescent="0.3">
      <c r="A1396" s="4"/>
      <c r="B1396" s="5"/>
    </row>
    <row r="1397" spans="1:2" x14ac:dyDescent="0.3">
      <c r="A1397" s="4"/>
      <c r="B1397" s="5"/>
    </row>
    <row r="1398" spans="1:2" x14ac:dyDescent="0.3">
      <c r="A1398" s="4"/>
      <c r="B1398" s="5"/>
    </row>
    <row r="1399" spans="1:2" x14ac:dyDescent="0.3">
      <c r="A1399" s="4"/>
      <c r="B1399" s="5"/>
    </row>
    <row r="1400" spans="1:2" x14ac:dyDescent="0.3">
      <c r="A1400" s="4"/>
      <c r="B1400" s="5"/>
    </row>
    <row r="1401" spans="1:2" x14ac:dyDescent="0.3">
      <c r="A1401" s="4"/>
      <c r="B1401" s="5"/>
    </row>
    <row r="1402" spans="1:2" x14ac:dyDescent="0.3">
      <c r="A1402" s="4"/>
      <c r="B1402" s="5"/>
    </row>
    <row r="1403" spans="1:2" x14ac:dyDescent="0.3">
      <c r="A1403" s="4"/>
      <c r="B1403" s="5"/>
    </row>
    <row r="1404" spans="1:2" x14ac:dyDescent="0.3">
      <c r="A1404" s="4"/>
      <c r="B1404" s="5"/>
    </row>
    <row r="1405" spans="1:2" x14ac:dyDescent="0.3">
      <c r="A1405" s="4"/>
      <c r="B1405" s="5"/>
    </row>
    <row r="1406" spans="1:2" x14ac:dyDescent="0.3">
      <c r="A1406" s="4"/>
      <c r="B1406" s="5"/>
    </row>
    <row r="1407" spans="1:2" x14ac:dyDescent="0.3">
      <c r="A1407" s="4"/>
      <c r="B1407" s="5"/>
    </row>
    <row r="1408" spans="1:2" x14ac:dyDescent="0.3">
      <c r="A1408" s="4"/>
      <c r="B1408" s="5"/>
    </row>
    <row r="1409" spans="1:2" x14ac:dyDescent="0.3">
      <c r="A1409" s="4"/>
      <c r="B1409" s="5"/>
    </row>
    <row r="1410" spans="1:2" x14ac:dyDescent="0.3">
      <c r="A1410" s="4"/>
      <c r="B1410" s="5"/>
    </row>
    <row r="1411" spans="1:2" x14ac:dyDescent="0.3">
      <c r="A1411" s="4"/>
      <c r="B1411" s="5"/>
    </row>
    <row r="1412" spans="1:2" x14ac:dyDescent="0.3">
      <c r="A1412" s="4"/>
      <c r="B1412" s="5"/>
    </row>
    <row r="1413" spans="1:2" x14ac:dyDescent="0.3">
      <c r="A1413" s="4"/>
      <c r="B1413" s="5"/>
    </row>
    <row r="1414" spans="1:2" x14ac:dyDescent="0.3">
      <c r="A1414" s="4"/>
      <c r="B1414" s="5"/>
    </row>
    <row r="1415" spans="1:2" x14ac:dyDescent="0.3">
      <c r="A1415" s="4"/>
      <c r="B1415" s="5"/>
    </row>
    <row r="1416" spans="1:2" x14ac:dyDescent="0.3">
      <c r="A1416" s="4"/>
      <c r="B1416" s="5"/>
    </row>
    <row r="1417" spans="1:2" x14ac:dyDescent="0.3">
      <c r="A1417" s="4"/>
      <c r="B1417" s="5"/>
    </row>
    <row r="1418" spans="1:2" x14ac:dyDescent="0.3">
      <c r="A1418" s="4"/>
      <c r="B1418" s="5"/>
    </row>
    <row r="1419" spans="1:2" x14ac:dyDescent="0.3">
      <c r="A1419" s="4"/>
      <c r="B1419" s="5"/>
    </row>
    <row r="1420" spans="1:2" x14ac:dyDescent="0.3">
      <c r="A1420" s="4"/>
      <c r="B1420" s="5"/>
    </row>
    <row r="1421" spans="1:2" x14ac:dyDescent="0.3">
      <c r="A1421" s="4"/>
      <c r="B1421" s="5"/>
    </row>
    <row r="1422" spans="1:2" x14ac:dyDescent="0.3">
      <c r="A1422" s="4"/>
      <c r="B1422" s="5"/>
    </row>
    <row r="1423" spans="1:2" x14ac:dyDescent="0.3">
      <c r="A1423" s="4"/>
      <c r="B1423" s="5"/>
    </row>
    <row r="1424" spans="1:2" x14ac:dyDescent="0.3">
      <c r="A1424" s="4"/>
      <c r="B1424" s="5"/>
    </row>
    <row r="1425" spans="1:2" x14ac:dyDescent="0.3">
      <c r="A1425" s="4"/>
      <c r="B1425" s="5"/>
    </row>
    <row r="1426" spans="1:2" x14ac:dyDescent="0.3">
      <c r="A1426" s="4"/>
      <c r="B1426" s="5"/>
    </row>
    <row r="1427" spans="1:2" x14ac:dyDescent="0.3">
      <c r="A1427" s="4"/>
      <c r="B1427" s="5"/>
    </row>
    <row r="1428" spans="1:2" x14ac:dyDescent="0.3">
      <c r="A1428" s="4"/>
      <c r="B1428" s="5"/>
    </row>
    <row r="1429" spans="1:2" x14ac:dyDescent="0.3">
      <c r="A1429" s="4"/>
      <c r="B1429" s="5"/>
    </row>
    <row r="1430" spans="1:2" x14ac:dyDescent="0.3">
      <c r="A1430" s="4"/>
      <c r="B1430" s="5"/>
    </row>
    <row r="1431" spans="1:2" x14ac:dyDescent="0.3">
      <c r="A1431" s="4"/>
      <c r="B1431" s="5"/>
    </row>
    <row r="1432" spans="1:2" x14ac:dyDescent="0.3">
      <c r="A1432" s="4"/>
      <c r="B1432" s="5"/>
    </row>
    <row r="1433" spans="1:2" x14ac:dyDescent="0.3">
      <c r="A1433" s="4"/>
      <c r="B1433" s="5"/>
    </row>
    <row r="1434" spans="1:2" x14ac:dyDescent="0.3">
      <c r="A1434" s="4"/>
      <c r="B1434" s="5"/>
    </row>
    <row r="1435" spans="1:2" x14ac:dyDescent="0.3">
      <c r="A1435" s="4"/>
      <c r="B1435" s="5"/>
    </row>
    <row r="1436" spans="1:2" x14ac:dyDescent="0.3">
      <c r="A1436" s="4"/>
      <c r="B1436" s="5"/>
    </row>
    <row r="1437" spans="1:2" x14ac:dyDescent="0.3">
      <c r="A1437" s="4"/>
      <c r="B1437" s="5"/>
    </row>
    <row r="1438" spans="1:2" x14ac:dyDescent="0.3">
      <c r="A1438" s="4"/>
      <c r="B1438" s="5"/>
    </row>
    <row r="1439" spans="1:2" x14ac:dyDescent="0.3">
      <c r="A1439" s="4"/>
      <c r="B1439" s="5"/>
    </row>
    <row r="1440" spans="1:2" x14ac:dyDescent="0.3">
      <c r="A1440" s="4"/>
      <c r="B1440" s="5"/>
    </row>
    <row r="1441" spans="1:2" x14ac:dyDescent="0.3">
      <c r="A1441" s="4"/>
      <c r="B1441" s="5"/>
    </row>
    <row r="1442" spans="1:2" x14ac:dyDescent="0.3">
      <c r="A1442" s="4"/>
      <c r="B1442" s="5"/>
    </row>
    <row r="1443" spans="1:2" x14ac:dyDescent="0.3">
      <c r="A1443" s="4"/>
      <c r="B1443" s="5"/>
    </row>
    <row r="1444" spans="1:2" x14ac:dyDescent="0.3">
      <c r="A1444" s="4"/>
      <c r="B1444" s="5"/>
    </row>
    <row r="1445" spans="1:2" x14ac:dyDescent="0.3">
      <c r="A1445" s="4"/>
      <c r="B1445" s="5"/>
    </row>
    <row r="1446" spans="1:2" x14ac:dyDescent="0.3">
      <c r="A1446" s="4"/>
      <c r="B1446" s="5"/>
    </row>
    <row r="1447" spans="1:2" x14ac:dyDescent="0.3">
      <c r="A1447" s="4"/>
      <c r="B1447" s="5"/>
    </row>
    <row r="1448" spans="1:2" x14ac:dyDescent="0.3">
      <c r="A1448" s="4"/>
      <c r="B1448" s="5"/>
    </row>
    <row r="1449" spans="1:2" x14ac:dyDescent="0.3">
      <c r="A1449" s="4"/>
      <c r="B1449" s="5"/>
    </row>
    <row r="1450" spans="1:2" x14ac:dyDescent="0.3">
      <c r="A1450" s="4"/>
      <c r="B1450" s="5"/>
    </row>
    <row r="1451" spans="1:2" x14ac:dyDescent="0.3">
      <c r="A1451" s="4"/>
      <c r="B1451" s="5"/>
    </row>
    <row r="1452" spans="1:2" x14ac:dyDescent="0.3">
      <c r="A1452" s="4"/>
      <c r="B1452" s="5"/>
    </row>
    <row r="1453" spans="1:2" x14ac:dyDescent="0.3">
      <c r="A1453" s="4"/>
      <c r="B1453" s="5"/>
    </row>
    <row r="1454" spans="1:2" x14ac:dyDescent="0.3">
      <c r="A1454" s="4"/>
      <c r="B1454" s="5"/>
    </row>
    <row r="1455" spans="1:2" x14ac:dyDescent="0.3">
      <c r="A1455" s="4"/>
      <c r="B1455" s="5"/>
    </row>
    <row r="1456" spans="1:2" x14ac:dyDescent="0.3">
      <c r="A1456" s="4"/>
      <c r="B1456" s="5"/>
    </row>
    <row r="1457" spans="1:2" x14ac:dyDescent="0.3">
      <c r="A1457" s="4"/>
      <c r="B1457" s="5"/>
    </row>
    <row r="1458" spans="1:2" x14ac:dyDescent="0.3">
      <c r="A1458" s="4"/>
      <c r="B1458" s="5"/>
    </row>
    <row r="1459" spans="1:2" x14ac:dyDescent="0.3">
      <c r="A1459" s="4"/>
      <c r="B1459" s="5"/>
    </row>
    <row r="1460" spans="1:2" x14ac:dyDescent="0.3">
      <c r="A1460" s="4"/>
      <c r="B1460" s="5"/>
    </row>
    <row r="1461" spans="1:2" x14ac:dyDescent="0.3">
      <c r="A1461" s="4"/>
      <c r="B1461" s="5"/>
    </row>
    <row r="1462" spans="1:2" x14ac:dyDescent="0.3">
      <c r="A1462" s="4"/>
      <c r="B1462" s="5"/>
    </row>
    <row r="1463" spans="1:2" x14ac:dyDescent="0.3">
      <c r="A1463" s="4"/>
      <c r="B1463" s="5"/>
    </row>
    <row r="1464" spans="1:2" x14ac:dyDescent="0.3">
      <c r="A1464" s="4"/>
      <c r="B1464" s="5"/>
    </row>
    <row r="1465" spans="1:2" x14ac:dyDescent="0.3">
      <c r="A1465" s="4"/>
      <c r="B1465" s="5"/>
    </row>
    <row r="1466" spans="1:2" x14ac:dyDescent="0.3">
      <c r="A1466" s="4"/>
      <c r="B1466" s="5"/>
    </row>
    <row r="1467" spans="1:2" x14ac:dyDescent="0.3">
      <c r="A1467" s="4"/>
      <c r="B1467" s="5"/>
    </row>
    <row r="1468" spans="1:2" x14ac:dyDescent="0.3">
      <c r="A1468" s="4"/>
      <c r="B1468" s="5"/>
    </row>
    <row r="1469" spans="1:2" x14ac:dyDescent="0.3">
      <c r="A1469" s="4"/>
      <c r="B1469" s="5"/>
    </row>
    <row r="1470" spans="1:2" x14ac:dyDescent="0.3">
      <c r="A1470" s="4"/>
      <c r="B1470" s="5"/>
    </row>
    <row r="1471" spans="1:2" x14ac:dyDescent="0.3">
      <c r="A1471" s="4"/>
      <c r="B1471" s="5"/>
    </row>
    <row r="1472" spans="1:2" x14ac:dyDescent="0.3">
      <c r="A1472" s="4"/>
      <c r="B1472" s="5"/>
    </row>
    <row r="1473" spans="1:2" x14ac:dyDescent="0.3">
      <c r="A1473" s="4"/>
      <c r="B1473" s="5"/>
    </row>
    <row r="1474" spans="1:2" x14ac:dyDescent="0.3">
      <c r="A1474" s="4"/>
      <c r="B1474" s="5"/>
    </row>
    <row r="1475" spans="1:2" x14ac:dyDescent="0.3">
      <c r="A1475" s="4"/>
      <c r="B1475" s="5"/>
    </row>
    <row r="1476" spans="1:2" x14ac:dyDescent="0.3">
      <c r="A1476" s="4"/>
      <c r="B1476" s="5"/>
    </row>
    <row r="1477" spans="1:2" x14ac:dyDescent="0.3">
      <c r="A1477" s="4"/>
      <c r="B1477" s="5"/>
    </row>
    <row r="1478" spans="1:2" x14ac:dyDescent="0.3">
      <c r="A1478" s="4"/>
      <c r="B1478" s="5"/>
    </row>
    <row r="1479" spans="1:2" x14ac:dyDescent="0.3">
      <c r="A1479" s="4"/>
      <c r="B1479" s="5"/>
    </row>
    <row r="1480" spans="1:2" x14ac:dyDescent="0.3">
      <c r="A1480" s="4"/>
      <c r="B1480" s="5"/>
    </row>
    <row r="1481" spans="1:2" x14ac:dyDescent="0.3">
      <c r="A1481" s="4"/>
      <c r="B1481" s="5"/>
    </row>
    <row r="1482" spans="1:2" x14ac:dyDescent="0.3">
      <c r="A1482" s="4"/>
      <c r="B1482" s="5"/>
    </row>
    <row r="1483" spans="1:2" x14ac:dyDescent="0.3">
      <c r="A1483" s="4"/>
      <c r="B1483" s="5"/>
    </row>
    <row r="1484" spans="1:2" x14ac:dyDescent="0.3">
      <c r="A1484" s="4"/>
      <c r="B1484" s="5"/>
    </row>
    <row r="1485" spans="1:2" x14ac:dyDescent="0.3">
      <c r="A1485" s="4"/>
      <c r="B1485" s="5"/>
    </row>
    <row r="1486" spans="1:2" x14ac:dyDescent="0.3">
      <c r="A1486" s="4"/>
      <c r="B1486" s="5"/>
    </row>
    <row r="1487" spans="1:2" x14ac:dyDescent="0.3">
      <c r="A1487" s="4"/>
      <c r="B1487" s="5"/>
    </row>
    <row r="1488" spans="1:2" x14ac:dyDescent="0.3">
      <c r="A1488" s="4"/>
      <c r="B1488" s="5"/>
    </row>
    <row r="1489" spans="1:2" x14ac:dyDescent="0.3">
      <c r="A1489" s="4"/>
      <c r="B1489" s="5"/>
    </row>
    <row r="1490" spans="1:2" x14ac:dyDescent="0.3">
      <c r="A1490" s="4"/>
      <c r="B1490" s="5"/>
    </row>
    <row r="1491" spans="1:2" x14ac:dyDescent="0.3">
      <c r="A1491" s="4"/>
      <c r="B1491" s="5"/>
    </row>
    <row r="1492" spans="1:2" x14ac:dyDescent="0.3">
      <c r="A1492" s="4"/>
      <c r="B1492" s="5"/>
    </row>
    <row r="1493" spans="1:2" x14ac:dyDescent="0.3">
      <c r="A1493" s="4"/>
      <c r="B1493" s="5"/>
    </row>
    <row r="1494" spans="1:2" x14ac:dyDescent="0.3">
      <c r="A1494" s="4"/>
      <c r="B1494" s="5"/>
    </row>
    <row r="1495" spans="1:2" x14ac:dyDescent="0.3">
      <c r="A1495" s="4"/>
      <c r="B1495" s="5"/>
    </row>
    <row r="1496" spans="1:2" x14ac:dyDescent="0.3">
      <c r="A1496" s="4"/>
      <c r="B1496" s="5"/>
    </row>
    <row r="1497" spans="1:2" x14ac:dyDescent="0.3">
      <c r="A1497" s="4"/>
      <c r="B1497" s="5"/>
    </row>
    <row r="1498" spans="1:2" x14ac:dyDescent="0.3">
      <c r="A1498" s="4"/>
      <c r="B1498" s="5"/>
    </row>
    <row r="1499" spans="1:2" x14ac:dyDescent="0.3">
      <c r="A1499" s="4"/>
      <c r="B1499" s="5"/>
    </row>
    <row r="1500" spans="1:2" x14ac:dyDescent="0.3">
      <c r="A1500" s="4"/>
      <c r="B1500" s="5"/>
    </row>
    <row r="1501" spans="1:2" x14ac:dyDescent="0.3">
      <c r="A1501" s="4"/>
      <c r="B1501" s="5"/>
    </row>
    <row r="1502" spans="1:2" x14ac:dyDescent="0.3">
      <c r="A1502" s="4"/>
      <c r="B1502" s="5"/>
    </row>
    <row r="1503" spans="1:2" x14ac:dyDescent="0.3">
      <c r="A1503" s="4"/>
      <c r="B1503" s="5"/>
    </row>
    <row r="1504" spans="1:2" x14ac:dyDescent="0.3">
      <c r="A1504" s="4"/>
      <c r="B1504" s="5"/>
    </row>
    <row r="1505" spans="1:2" x14ac:dyDescent="0.3">
      <c r="A1505" s="4"/>
      <c r="B1505" s="5"/>
    </row>
    <row r="1506" spans="1:2" x14ac:dyDescent="0.3">
      <c r="A1506" s="4"/>
      <c r="B1506" s="5"/>
    </row>
    <row r="1507" spans="1:2" x14ac:dyDescent="0.3">
      <c r="A1507" s="4"/>
      <c r="B1507" s="5"/>
    </row>
    <row r="1508" spans="1:2" x14ac:dyDescent="0.3">
      <c r="A1508" s="4"/>
      <c r="B1508" s="5"/>
    </row>
    <row r="1509" spans="1:2" x14ac:dyDescent="0.3">
      <c r="A1509" s="4"/>
      <c r="B1509" s="5"/>
    </row>
    <row r="1510" spans="1:2" x14ac:dyDescent="0.3">
      <c r="A1510" s="4"/>
      <c r="B1510" s="5"/>
    </row>
    <row r="1511" spans="1:2" x14ac:dyDescent="0.3">
      <c r="A1511" s="4"/>
      <c r="B1511" s="5"/>
    </row>
    <row r="1512" spans="1:2" x14ac:dyDescent="0.3">
      <c r="A1512" s="4"/>
      <c r="B1512" s="5"/>
    </row>
    <row r="1513" spans="1:2" x14ac:dyDescent="0.3">
      <c r="A1513" s="4"/>
      <c r="B1513" s="5"/>
    </row>
    <row r="1514" spans="1:2" x14ac:dyDescent="0.3">
      <c r="A1514" s="4"/>
      <c r="B1514" s="5"/>
    </row>
    <row r="1515" spans="1:2" x14ac:dyDescent="0.3">
      <c r="A1515" s="4"/>
      <c r="B1515" s="5"/>
    </row>
    <row r="1516" spans="1:2" x14ac:dyDescent="0.3">
      <c r="A1516" s="4"/>
      <c r="B1516" s="5"/>
    </row>
    <row r="1517" spans="1:2" x14ac:dyDescent="0.3">
      <c r="A1517" s="4"/>
      <c r="B1517" s="5"/>
    </row>
    <row r="1518" spans="1:2" x14ac:dyDescent="0.3">
      <c r="A1518" s="4"/>
      <c r="B1518" s="5"/>
    </row>
    <row r="1519" spans="1:2" x14ac:dyDescent="0.3">
      <c r="A1519" s="4"/>
      <c r="B1519" s="5"/>
    </row>
    <row r="1520" spans="1:2" x14ac:dyDescent="0.3">
      <c r="A1520" s="4"/>
      <c r="B1520" s="5"/>
    </row>
    <row r="1521" spans="1:2" x14ac:dyDescent="0.3">
      <c r="A1521" s="4"/>
      <c r="B1521" s="5"/>
    </row>
    <row r="1522" spans="1:2" x14ac:dyDescent="0.3">
      <c r="A1522" s="4"/>
      <c r="B1522" s="5"/>
    </row>
    <row r="1523" spans="1:2" x14ac:dyDescent="0.3">
      <c r="A1523" s="4"/>
      <c r="B1523" s="5"/>
    </row>
    <row r="1524" spans="1:2" x14ac:dyDescent="0.3">
      <c r="A1524" s="4"/>
      <c r="B1524" s="5"/>
    </row>
    <row r="1525" spans="1:2" x14ac:dyDescent="0.3">
      <c r="A1525" s="4"/>
      <c r="B1525" s="5"/>
    </row>
    <row r="1526" spans="1:2" x14ac:dyDescent="0.3">
      <c r="A1526" s="4"/>
      <c r="B1526" s="5"/>
    </row>
    <row r="1527" spans="1:2" x14ac:dyDescent="0.3">
      <c r="A1527" s="4"/>
      <c r="B1527" s="5"/>
    </row>
    <row r="1528" spans="1:2" x14ac:dyDescent="0.3">
      <c r="A1528" s="4"/>
      <c r="B1528" s="5"/>
    </row>
    <row r="1529" spans="1:2" x14ac:dyDescent="0.3">
      <c r="A1529" s="4"/>
      <c r="B1529" s="5"/>
    </row>
    <row r="1530" spans="1:2" x14ac:dyDescent="0.3">
      <c r="A1530" s="4"/>
      <c r="B1530" s="5"/>
    </row>
    <row r="1531" spans="1:2" x14ac:dyDescent="0.3">
      <c r="A1531" s="4"/>
      <c r="B1531" s="5"/>
    </row>
    <row r="1532" spans="1:2" x14ac:dyDescent="0.3">
      <c r="A1532" s="4"/>
      <c r="B1532" s="5"/>
    </row>
    <row r="1533" spans="1:2" x14ac:dyDescent="0.3">
      <c r="A1533" s="4"/>
      <c r="B1533" s="5"/>
    </row>
    <row r="1534" spans="1:2" x14ac:dyDescent="0.3">
      <c r="A1534" s="4"/>
      <c r="B1534" s="5"/>
    </row>
    <row r="1535" spans="1:2" x14ac:dyDescent="0.3">
      <c r="A1535" s="4"/>
      <c r="B1535" s="5"/>
    </row>
    <row r="1536" spans="1:2" x14ac:dyDescent="0.3">
      <c r="A1536" s="4"/>
      <c r="B1536" s="5"/>
    </row>
    <row r="1537" spans="1:2" x14ac:dyDescent="0.3">
      <c r="A1537" s="4"/>
      <c r="B1537" s="5"/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2178"/>
  <sheetViews>
    <sheetView workbookViewId="0">
      <pane ySplit="3" topLeftCell="A4" activePane="bottomLeft" state="frozen"/>
      <selection pane="bottomLeft" activeCell="Q19" sqref="Q19"/>
    </sheetView>
  </sheetViews>
  <sheetFormatPr defaultColWidth="9" defaultRowHeight="13.5" x14ac:dyDescent="0.3"/>
  <cols>
    <col min="1" max="1" width="11.6640625" customWidth="1"/>
    <col min="2" max="3" width="20" customWidth="1"/>
    <col min="4" max="4" width="12.6640625" customWidth="1"/>
    <col min="5" max="5" width="11.6640625" hidden="1" customWidth="1"/>
    <col min="6" max="6" width="21.1328125" hidden="1" customWidth="1"/>
    <col min="7" max="7" width="0" hidden="1" customWidth="1"/>
    <col min="8" max="8" width="11.6640625" hidden="1" customWidth="1"/>
    <col min="9" max="9" width="21.1328125" hidden="1" customWidth="1"/>
    <col min="10" max="10" width="0" hidden="1" customWidth="1"/>
    <col min="11" max="11" width="21.6640625" hidden="1" customWidth="1"/>
    <col min="12" max="12" width="0" hidden="1" customWidth="1"/>
    <col min="13" max="13" width="2.86328125" customWidth="1"/>
  </cols>
  <sheetData>
    <row r="1" spans="1:11" ht="13.9" x14ac:dyDescent="0.35">
      <c r="B1" s="1" t="s">
        <v>24</v>
      </c>
      <c r="F1" s="56" t="str">
        <f>[1]!WSS(F2,"sec_name","ShowCodes=N","cols=1;rows=1")</f>
        <v>上证指数</v>
      </c>
      <c r="I1" s="56" t="str">
        <f>[1]!WSS(I2,"sec_name","ShowCodes=N","cols=1;rows=1")</f>
        <v>深证成指</v>
      </c>
    </row>
    <row r="2" spans="1:11" ht="13.9" x14ac:dyDescent="0.35">
      <c r="B2" s="1" t="s">
        <v>25</v>
      </c>
      <c r="F2" s="1" t="s">
        <v>8</v>
      </c>
      <c r="I2" s="1" t="s">
        <v>26</v>
      </c>
    </row>
    <row r="3" spans="1:11" ht="13.9" x14ac:dyDescent="0.35">
      <c r="A3" s="1" t="s">
        <v>12</v>
      </c>
      <c r="B3" s="56" t="str">
        <f>[1]!WSS(B4,"sec_name","ShowCodes=N","cols=1;rows=1")</f>
        <v>上证指数</v>
      </c>
      <c r="C3" s="56" t="str">
        <f>[1]!WSS(C4,"sec_name","ShowCodes=N","cols=1;rows=1")</f>
        <v>深证成指</v>
      </c>
      <c r="D3" s="43" t="s">
        <v>122</v>
      </c>
      <c r="E3" s="1" t="s">
        <v>12</v>
      </c>
      <c r="F3" s="1" t="s">
        <v>24</v>
      </c>
      <c r="H3" s="1" t="s">
        <v>12</v>
      </c>
      <c r="I3" s="1" t="s">
        <v>24</v>
      </c>
    </row>
    <row r="4" spans="1:11" ht="13.9" x14ac:dyDescent="0.35">
      <c r="A4" s="1" t="s">
        <v>13</v>
      </c>
      <c r="B4" s="1" t="s">
        <v>8</v>
      </c>
      <c r="C4" s="1" t="s">
        <v>26</v>
      </c>
      <c r="E4" s="1" t="s">
        <v>13</v>
      </c>
      <c r="F4" s="1" t="s">
        <v>25</v>
      </c>
      <c r="H4" s="1" t="s">
        <v>13</v>
      </c>
      <c r="I4" s="1" t="s">
        <v>25</v>
      </c>
    </row>
    <row r="5" spans="1:11" ht="13.9" x14ac:dyDescent="0.35">
      <c r="A5" s="2">
        <v>43832</v>
      </c>
      <c r="B5" s="3">
        <f>[1]!WSD(B4:C4,B2,"2020-01-01","","TradingCalendar=SSE","rptType=1","ShowParams=Y","cols=2;rows=1538")</f>
        <v>327197122600</v>
      </c>
      <c r="C5" s="3">
        <v>424335172800</v>
      </c>
      <c r="D5" s="49">
        <f>(B5+C5)/100000000</f>
        <v>7515.3229540000002</v>
      </c>
      <c r="E5" s="2">
        <v>43833</v>
      </c>
      <c r="F5" s="3">
        <f>[1]!WSD(F2,F4:F4,"2020-01-01","","Per=W","TradingCalendar=SSE","rptType=1","ShowParams=Y","cols=1;rows=326")</f>
        <v>1111335816700</v>
      </c>
      <c r="H5" s="2">
        <v>43833</v>
      </c>
      <c r="I5" s="3">
        <f>[1]!WSD(I2,I4:I4,"2020-01-01","","Per=W","TradingCalendar=SSE","rptType=1","ShowParams=Y","cols=1;rows=326")</f>
        <v>1479256371400</v>
      </c>
      <c r="K5" s="36">
        <f>F5+I5</f>
        <v>2590592188100</v>
      </c>
    </row>
    <row r="6" spans="1:11" ht="13.9" x14ac:dyDescent="0.35">
      <c r="A6" s="2">
        <v>43833</v>
      </c>
      <c r="B6" s="3">
        <v>289991708400</v>
      </c>
      <c r="C6" s="3">
        <v>405390005600</v>
      </c>
      <c r="D6" s="49">
        <f t="shared" ref="D6:D69" si="0">(B6+C6)/100000000</f>
        <v>6953.8171400000001</v>
      </c>
      <c r="E6" s="2">
        <v>43840</v>
      </c>
      <c r="F6" s="3">
        <v>1439130861100</v>
      </c>
      <c r="H6" s="2">
        <v>43840</v>
      </c>
      <c r="I6" s="3">
        <v>2223286359100</v>
      </c>
      <c r="K6" s="36">
        <f t="shared" ref="K6:K19" si="1">F6+I6</f>
        <v>3662417220200</v>
      </c>
    </row>
    <row r="7" spans="1:11" ht="13.9" x14ac:dyDescent="0.35">
      <c r="A7" s="2">
        <v>43836</v>
      </c>
      <c r="B7" s="3">
        <v>331182549900</v>
      </c>
      <c r="C7" s="3">
        <v>472875865400</v>
      </c>
      <c r="D7" s="49">
        <f t="shared" si="0"/>
        <v>8040.5841529999998</v>
      </c>
      <c r="E7" s="2">
        <v>43847</v>
      </c>
      <c r="F7" s="3">
        <v>1242096351500</v>
      </c>
      <c r="H7" s="2">
        <v>43847</v>
      </c>
      <c r="I7" s="3">
        <v>1959167607300</v>
      </c>
      <c r="K7" s="36">
        <f t="shared" si="1"/>
        <v>3201263958800</v>
      </c>
    </row>
    <row r="8" spans="1:11" ht="13.9" x14ac:dyDescent="0.35">
      <c r="A8" s="2">
        <v>43837</v>
      </c>
      <c r="B8" s="3">
        <v>288159227700</v>
      </c>
      <c r="C8" s="3">
        <v>444165761100</v>
      </c>
      <c r="D8" s="49">
        <f t="shared" si="0"/>
        <v>7323.2498880000003</v>
      </c>
      <c r="E8" s="2">
        <v>43853</v>
      </c>
      <c r="F8" s="3">
        <v>1163337838000</v>
      </c>
      <c r="H8" s="2">
        <v>43853</v>
      </c>
      <c r="I8" s="3">
        <v>1723338269600</v>
      </c>
      <c r="K8" s="36">
        <f t="shared" si="1"/>
        <v>2886676107600</v>
      </c>
    </row>
    <row r="9" spans="1:11" ht="13.9" x14ac:dyDescent="0.35">
      <c r="A9" s="2">
        <v>43838</v>
      </c>
      <c r="B9" s="3">
        <v>306517394500</v>
      </c>
      <c r="C9" s="3">
        <v>472740643300</v>
      </c>
      <c r="D9" s="49">
        <f t="shared" si="0"/>
        <v>7792.5803779999997</v>
      </c>
      <c r="E9" s="2">
        <v>43868</v>
      </c>
      <c r="F9" s="3">
        <v>1701238931200</v>
      </c>
      <c r="H9" s="2">
        <v>43868</v>
      </c>
      <c r="I9" s="3">
        <v>2443653711400</v>
      </c>
      <c r="K9" s="36">
        <f t="shared" si="1"/>
        <v>4144892642600</v>
      </c>
    </row>
    <row r="10" spans="1:11" ht="13.9" x14ac:dyDescent="0.35">
      <c r="A10" s="2">
        <v>43839</v>
      </c>
      <c r="B10" s="3">
        <v>271716020899.99997</v>
      </c>
      <c r="C10" s="3">
        <v>434903322200</v>
      </c>
      <c r="D10" s="49">
        <f t="shared" si="0"/>
        <v>7066.1934309999997</v>
      </c>
      <c r="E10" s="2">
        <v>43875</v>
      </c>
      <c r="F10" s="3">
        <v>1584618362100</v>
      </c>
      <c r="H10" s="2">
        <v>43875</v>
      </c>
      <c r="I10" s="3">
        <v>2561365960100</v>
      </c>
      <c r="K10" s="36">
        <f t="shared" si="1"/>
        <v>4145984322200</v>
      </c>
    </row>
    <row r="11" spans="1:11" ht="13.9" x14ac:dyDescent="0.35">
      <c r="A11" s="2">
        <v>43840</v>
      </c>
      <c r="B11" s="3">
        <v>241555668100</v>
      </c>
      <c r="C11" s="3">
        <v>398600767100</v>
      </c>
      <c r="D11" s="49">
        <f t="shared" si="0"/>
        <v>6401.5643520000003</v>
      </c>
      <c r="E11" s="2">
        <v>43882</v>
      </c>
      <c r="F11" s="3">
        <v>1982167503900</v>
      </c>
      <c r="H11" s="2">
        <v>43882</v>
      </c>
      <c r="I11" s="3">
        <v>3233256743100</v>
      </c>
      <c r="K11" s="36">
        <f t="shared" si="1"/>
        <v>5215424247000</v>
      </c>
    </row>
    <row r="12" spans="1:11" ht="13.9" x14ac:dyDescent="0.35">
      <c r="A12" s="2">
        <v>43843</v>
      </c>
      <c r="B12" s="3">
        <v>258524058000</v>
      </c>
      <c r="C12" s="3">
        <v>409505555300</v>
      </c>
      <c r="D12" s="49">
        <f t="shared" si="0"/>
        <v>6680.2961329999998</v>
      </c>
      <c r="E12" s="2">
        <v>43889</v>
      </c>
      <c r="F12" s="3">
        <v>2288684871500</v>
      </c>
      <c r="H12" s="2">
        <v>43889</v>
      </c>
      <c r="I12" s="3">
        <v>3841473655600</v>
      </c>
      <c r="K12" s="36">
        <f t="shared" si="1"/>
        <v>6130158527100</v>
      </c>
    </row>
    <row r="13" spans="1:11" ht="13.9" x14ac:dyDescent="0.35">
      <c r="A13" s="2">
        <v>43844</v>
      </c>
      <c r="B13" s="3">
        <v>271542441399.99997</v>
      </c>
      <c r="C13" s="3">
        <v>430400617700</v>
      </c>
      <c r="D13" s="49">
        <f t="shared" si="0"/>
        <v>7019.4305910000003</v>
      </c>
      <c r="E13" s="2">
        <v>43896</v>
      </c>
      <c r="F13" s="3">
        <v>2094350814300</v>
      </c>
      <c r="H13" s="2">
        <v>43896</v>
      </c>
      <c r="I13" s="3">
        <v>3232453735400</v>
      </c>
      <c r="K13" s="36">
        <f t="shared" si="1"/>
        <v>5326804549700</v>
      </c>
    </row>
    <row r="14" spans="1:11" ht="13.9" x14ac:dyDescent="0.35">
      <c r="A14" s="2">
        <v>43845</v>
      </c>
      <c r="B14" s="3">
        <v>232913446700</v>
      </c>
      <c r="C14" s="3">
        <v>378160533500</v>
      </c>
      <c r="D14" s="49">
        <f t="shared" si="0"/>
        <v>6110.7398020000001</v>
      </c>
      <c r="E14" s="2">
        <v>43903</v>
      </c>
      <c r="F14" s="3">
        <v>1963156526000</v>
      </c>
      <c r="H14" s="2">
        <v>43903</v>
      </c>
      <c r="I14" s="3">
        <v>2981751949800</v>
      </c>
      <c r="K14" s="36">
        <f t="shared" si="1"/>
        <v>4944908475800</v>
      </c>
    </row>
    <row r="15" spans="1:11" ht="13.9" x14ac:dyDescent="0.35">
      <c r="A15" s="2">
        <v>43846</v>
      </c>
      <c r="B15" s="3">
        <v>236843360100</v>
      </c>
      <c r="C15" s="3">
        <v>375957685200</v>
      </c>
      <c r="D15" s="49">
        <f t="shared" si="0"/>
        <v>6128.0104529999999</v>
      </c>
      <c r="E15" s="2">
        <v>43910</v>
      </c>
      <c r="F15" s="3">
        <v>1629352593400</v>
      </c>
      <c r="H15" s="2">
        <v>43910</v>
      </c>
      <c r="I15" s="3">
        <v>2528532827900</v>
      </c>
      <c r="K15" s="36">
        <f t="shared" si="1"/>
        <v>4157885421300</v>
      </c>
    </row>
    <row r="16" spans="1:11" ht="13.9" x14ac:dyDescent="0.35">
      <c r="A16" s="2">
        <v>43847</v>
      </c>
      <c r="B16" s="3">
        <v>242273045300</v>
      </c>
      <c r="C16" s="3">
        <v>365143215600</v>
      </c>
      <c r="D16" s="49">
        <f t="shared" si="0"/>
        <v>6074.162609</v>
      </c>
      <c r="E16" s="2">
        <v>43917</v>
      </c>
      <c r="F16" s="3">
        <v>1342524263900</v>
      </c>
      <c r="H16" s="2">
        <v>43917</v>
      </c>
      <c r="I16" s="3">
        <v>2085134905900</v>
      </c>
      <c r="K16" s="36">
        <f t="shared" si="1"/>
        <v>3427659169800</v>
      </c>
    </row>
    <row r="17" spans="1:12" ht="13.9" x14ac:dyDescent="0.35">
      <c r="A17" s="2">
        <v>43850</v>
      </c>
      <c r="B17" s="3">
        <v>271122455399.99997</v>
      </c>
      <c r="C17" s="3">
        <v>408001033300</v>
      </c>
      <c r="D17" s="49">
        <f t="shared" si="0"/>
        <v>6791.2348869999996</v>
      </c>
      <c r="E17" s="2">
        <v>43924</v>
      </c>
      <c r="F17" s="3">
        <v>1147756640100</v>
      </c>
      <c r="H17" s="2">
        <v>43924</v>
      </c>
      <c r="I17" s="3">
        <v>1802020158200</v>
      </c>
      <c r="K17" s="36">
        <f t="shared" si="1"/>
        <v>2949776798300</v>
      </c>
    </row>
    <row r="18" spans="1:12" ht="13.9" x14ac:dyDescent="0.35">
      <c r="A18" s="2">
        <v>43851</v>
      </c>
      <c r="B18" s="3">
        <v>286268098200</v>
      </c>
      <c r="C18" s="3">
        <v>404258431800</v>
      </c>
      <c r="D18" s="49">
        <f t="shared" si="0"/>
        <v>6905.2653</v>
      </c>
      <c r="E18" s="2">
        <v>43931</v>
      </c>
      <c r="F18" s="3">
        <v>1033556757600</v>
      </c>
      <c r="H18" s="2">
        <v>43931</v>
      </c>
      <c r="I18" s="3">
        <v>1697775642200</v>
      </c>
      <c r="K18" s="36">
        <f t="shared" si="1"/>
        <v>2731332399800</v>
      </c>
    </row>
    <row r="19" spans="1:12" ht="13.9" x14ac:dyDescent="0.35">
      <c r="A19" s="2">
        <v>43852</v>
      </c>
      <c r="B19" s="3">
        <v>278456924000</v>
      </c>
      <c r="C19" s="3">
        <v>429531266500</v>
      </c>
      <c r="D19" s="49">
        <f t="shared" si="0"/>
        <v>7079.8819050000002</v>
      </c>
      <c r="E19" s="2">
        <v>43938</v>
      </c>
      <c r="F19" s="3">
        <v>1141815443600</v>
      </c>
      <c r="H19" s="2">
        <v>43938</v>
      </c>
      <c r="I19" s="3">
        <v>1922899184800</v>
      </c>
      <c r="K19" s="36">
        <f t="shared" si="1"/>
        <v>3064714628400</v>
      </c>
    </row>
    <row r="20" spans="1:12" ht="13.9" x14ac:dyDescent="0.35">
      <c r="A20" s="2">
        <v>43853</v>
      </c>
      <c r="B20" s="3">
        <v>327490360400</v>
      </c>
      <c r="C20" s="3">
        <v>481547538000</v>
      </c>
      <c r="D20" s="49">
        <f t="shared" si="0"/>
        <v>8090.3789839999999</v>
      </c>
      <c r="E20" s="2">
        <v>43945</v>
      </c>
      <c r="F20" s="3">
        <v>1222029008700</v>
      </c>
      <c r="H20" s="2">
        <v>43945</v>
      </c>
      <c r="I20" s="3">
        <v>1946324970500</v>
      </c>
      <c r="K20" s="36">
        <f t="shared" ref="K20:K33" si="2">F20+I20</f>
        <v>3168353979200</v>
      </c>
    </row>
    <row r="21" spans="1:12" ht="13.9" x14ac:dyDescent="0.35">
      <c r="A21" s="2">
        <v>43864</v>
      </c>
      <c r="B21" s="3">
        <v>257019597400</v>
      </c>
      <c r="C21" s="3">
        <v>262459733700</v>
      </c>
      <c r="D21" s="49">
        <f t="shared" si="0"/>
        <v>5194.7933110000004</v>
      </c>
      <c r="E21" s="2">
        <v>43951</v>
      </c>
      <c r="F21" s="3">
        <v>995989614600</v>
      </c>
      <c r="H21" s="2">
        <v>43951</v>
      </c>
      <c r="I21" s="3">
        <v>1446462633000</v>
      </c>
      <c r="K21" s="36">
        <f t="shared" si="2"/>
        <v>2442452247600</v>
      </c>
    </row>
    <row r="22" spans="1:12" ht="13.9" x14ac:dyDescent="0.35">
      <c r="A22" s="2">
        <v>43865</v>
      </c>
      <c r="B22" s="3">
        <v>374068466800</v>
      </c>
      <c r="C22" s="3">
        <v>536037346600</v>
      </c>
      <c r="D22" s="49">
        <f t="shared" si="0"/>
        <v>9101.0581340000008</v>
      </c>
      <c r="E22" s="2">
        <v>43959</v>
      </c>
      <c r="F22" s="3">
        <v>849060233300</v>
      </c>
      <c r="H22" s="2">
        <v>43959</v>
      </c>
      <c r="I22" s="3">
        <v>1226744366700</v>
      </c>
      <c r="K22" s="36">
        <f t="shared" si="2"/>
        <v>2075804600000</v>
      </c>
    </row>
    <row r="23" spans="1:12" ht="13.9" x14ac:dyDescent="0.35">
      <c r="A23" s="2">
        <v>43866</v>
      </c>
      <c r="B23" s="3">
        <v>349184114800</v>
      </c>
      <c r="C23" s="3">
        <v>523099589000</v>
      </c>
      <c r="D23" s="49">
        <f t="shared" si="0"/>
        <v>8722.8370379999997</v>
      </c>
      <c r="E23" s="2">
        <v>43966</v>
      </c>
      <c r="F23" s="3">
        <v>1218488933000</v>
      </c>
      <c r="H23" s="2">
        <v>43966</v>
      </c>
      <c r="I23" s="3">
        <v>1884082939700</v>
      </c>
      <c r="K23" s="36">
        <f t="shared" si="2"/>
        <v>3102571872700</v>
      </c>
    </row>
    <row r="24" spans="1:12" ht="13.9" x14ac:dyDescent="0.35">
      <c r="A24" s="2">
        <v>43867</v>
      </c>
      <c r="B24" s="3">
        <v>358582589700</v>
      </c>
      <c r="C24" s="3">
        <v>554856051900</v>
      </c>
      <c r="D24" s="49">
        <f t="shared" si="0"/>
        <v>9134.3864159999994</v>
      </c>
      <c r="E24" s="2">
        <v>43973</v>
      </c>
      <c r="F24" s="3">
        <v>1310343493500</v>
      </c>
      <c r="H24" s="2">
        <v>43973</v>
      </c>
      <c r="I24" s="3">
        <v>1968583663100</v>
      </c>
      <c r="K24" s="36">
        <f t="shared" si="2"/>
        <v>3278927156600</v>
      </c>
    </row>
    <row r="25" spans="1:12" ht="13.9" x14ac:dyDescent="0.35">
      <c r="A25" s="2">
        <v>43868</v>
      </c>
      <c r="B25" s="3">
        <v>362384162500</v>
      </c>
      <c r="C25" s="3">
        <v>567200990200</v>
      </c>
      <c r="D25" s="49">
        <f t="shared" si="0"/>
        <v>9295.8515270000007</v>
      </c>
      <c r="E25" s="2">
        <v>43980</v>
      </c>
      <c r="F25" s="3">
        <v>1110510839200</v>
      </c>
      <c r="H25" s="2">
        <v>43980</v>
      </c>
      <c r="I25" s="3">
        <v>1633955731600</v>
      </c>
      <c r="K25" s="36">
        <f t="shared" si="2"/>
        <v>2744466570800</v>
      </c>
      <c r="L25" t="s">
        <v>27</v>
      </c>
    </row>
    <row r="26" spans="1:12" ht="13.9" x14ac:dyDescent="0.35">
      <c r="A26" s="2">
        <v>43871</v>
      </c>
      <c r="B26" s="3">
        <v>341520398300</v>
      </c>
      <c r="C26" s="3">
        <v>544274326000</v>
      </c>
      <c r="D26" s="49">
        <f t="shared" si="0"/>
        <v>8857.9472430000005</v>
      </c>
      <c r="E26" s="12">
        <v>43987</v>
      </c>
      <c r="F26" s="13">
        <v>1409753905000</v>
      </c>
      <c r="G26" s="7"/>
      <c r="H26" s="12">
        <v>43987</v>
      </c>
      <c r="I26" s="13">
        <v>2183955530700</v>
      </c>
      <c r="J26" s="7"/>
      <c r="K26" s="37">
        <f t="shared" si="2"/>
        <v>3593709435700</v>
      </c>
      <c r="L26" s="7">
        <f>K26/1000000000</f>
        <v>3593.7094357000001</v>
      </c>
    </row>
    <row r="27" spans="1:12" ht="13.9" x14ac:dyDescent="0.35">
      <c r="A27" s="2">
        <v>43872</v>
      </c>
      <c r="B27" s="3">
        <v>302956847200</v>
      </c>
      <c r="C27" s="3">
        <v>483068699700</v>
      </c>
      <c r="D27" s="49">
        <f t="shared" si="0"/>
        <v>7860.2554689999997</v>
      </c>
      <c r="E27" s="14">
        <v>43994</v>
      </c>
      <c r="F27" s="15">
        <v>1333339990600</v>
      </c>
      <c r="G27" s="38"/>
      <c r="H27" s="14">
        <v>43994</v>
      </c>
      <c r="I27" s="15">
        <v>2006574620700</v>
      </c>
      <c r="J27" s="38"/>
      <c r="K27" s="39">
        <f t="shared" si="2"/>
        <v>3339914611300</v>
      </c>
      <c r="L27" s="38">
        <f>K27/1000000000</f>
        <v>3339.9146113000002</v>
      </c>
    </row>
    <row r="28" spans="1:12" ht="13.9" x14ac:dyDescent="0.35">
      <c r="A28" s="2">
        <v>43873</v>
      </c>
      <c r="B28" s="3">
        <v>297534420500</v>
      </c>
      <c r="C28" s="3">
        <v>492545457100</v>
      </c>
      <c r="D28" s="49">
        <f t="shared" si="0"/>
        <v>7900.7987759999996</v>
      </c>
      <c r="E28" s="2">
        <v>44001</v>
      </c>
      <c r="F28" s="3">
        <v>1450774060400</v>
      </c>
      <c r="H28" s="2">
        <v>44001</v>
      </c>
      <c r="I28" s="3">
        <v>2297439604500</v>
      </c>
      <c r="K28" s="39">
        <f t="shared" si="2"/>
        <v>3748213664900</v>
      </c>
      <c r="L28" s="38">
        <f>K28/1000000000</f>
        <v>3748.2136648999999</v>
      </c>
    </row>
    <row r="29" spans="1:12" ht="13.9" x14ac:dyDescent="0.35">
      <c r="A29" s="2">
        <v>43874</v>
      </c>
      <c r="B29" s="3">
        <v>334526327400</v>
      </c>
      <c r="C29" s="3">
        <v>536585012800</v>
      </c>
      <c r="D29" s="49">
        <f t="shared" si="0"/>
        <v>8711.1134020000009</v>
      </c>
      <c r="E29" s="2">
        <v>44006</v>
      </c>
      <c r="F29" s="3">
        <v>948416303000</v>
      </c>
      <c r="H29" s="2">
        <v>44006</v>
      </c>
      <c r="I29" s="3">
        <v>1367155601900</v>
      </c>
      <c r="K29" s="39">
        <f t="shared" si="2"/>
        <v>2315571904900</v>
      </c>
      <c r="L29" s="38">
        <f>K29/1000000000</f>
        <v>2315.5719048999999</v>
      </c>
    </row>
    <row r="30" spans="1:12" ht="13.9" x14ac:dyDescent="0.35">
      <c r="A30" s="2">
        <v>43875</v>
      </c>
      <c r="B30" s="3">
        <v>308080368700</v>
      </c>
      <c r="C30" s="3">
        <v>504892464500</v>
      </c>
      <c r="D30" s="49">
        <f t="shared" si="0"/>
        <v>8129.7283319999997</v>
      </c>
      <c r="E30" s="2">
        <v>44015</v>
      </c>
      <c r="F30" s="3">
        <v>1974787963700</v>
      </c>
      <c r="H30" s="2">
        <v>44015</v>
      </c>
      <c r="I30" s="3">
        <v>2646839716400</v>
      </c>
      <c r="K30" s="39">
        <f t="shared" si="2"/>
        <v>4621627680100</v>
      </c>
      <c r="L30" s="38">
        <f t="shared" ref="L30:L38" si="3">K30/1000000000</f>
        <v>4621.6276801000004</v>
      </c>
    </row>
    <row r="31" spans="1:12" ht="13.9" x14ac:dyDescent="0.35">
      <c r="A31" s="2">
        <v>43878</v>
      </c>
      <c r="B31" s="3">
        <v>367014340100</v>
      </c>
      <c r="C31" s="3">
        <v>570188828100</v>
      </c>
      <c r="D31" s="49">
        <f t="shared" si="0"/>
        <v>9372.0316820000007</v>
      </c>
      <c r="E31" s="2">
        <v>44022</v>
      </c>
      <c r="F31" s="3">
        <v>3669204063400</v>
      </c>
      <c r="H31" s="2">
        <v>44022</v>
      </c>
      <c r="I31" s="3">
        <v>4517878110800</v>
      </c>
      <c r="K31" s="39">
        <f t="shared" si="2"/>
        <v>8187082174200</v>
      </c>
      <c r="L31" s="38">
        <f t="shared" si="3"/>
        <v>8187.0821741999998</v>
      </c>
    </row>
    <row r="32" spans="1:12" ht="13.9" x14ac:dyDescent="0.35">
      <c r="A32" s="2">
        <v>43879</v>
      </c>
      <c r="B32" s="3">
        <v>374998562600</v>
      </c>
      <c r="C32" s="3">
        <v>624947512100</v>
      </c>
      <c r="D32" s="49">
        <f t="shared" si="0"/>
        <v>9999.4607469999992</v>
      </c>
      <c r="E32" s="2">
        <v>44029</v>
      </c>
      <c r="F32" s="3">
        <v>3265455927000</v>
      </c>
      <c r="H32" s="2">
        <v>44029</v>
      </c>
      <c r="I32" s="3">
        <v>4305092349200</v>
      </c>
      <c r="K32" s="39">
        <f t="shared" si="2"/>
        <v>7570548276200</v>
      </c>
      <c r="L32" s="38">
        <f t="shared" si="3"/>
        <v>7570.5482762000001</v>
      </c>
    </row>
    <row r="33" spans="1:12" ht="13.9" x14ac:dyDescent="0.35">
      <c r="A33" s="2">
        <v>43880</v>
      </c>
      <c r="B33" s="3">
        <v>381331160400</v>
      </c>
      <c r="C33" s="3">
        <v>657484297200</v>
      </c>
      <c r="D33" s="49">
        <f t="shared" si="0"/>
        <v>10388.154576000001</v>
      </c>
      <c r="E33" s="2">
        <v>44036</v>
      </c>
      <c r="F33" s="3">
        <v>2704683831900</v>
      </c>
      <c r="H33" s="2">
        <v>44036</v>
      </c>
      <c r="I33" s="3">
        <v>3370633463300</v>
      </c>
      <c r="K33" s="39">
        <f t="shared" si="2"/>
        <v>6075317295200</v>
      </c>
      <c r="L33" s="38">
        <f t="shared" si="3"/>
        <v>6075.3172952000004</v>
      </c>
    </row>
    <row r="34" spans="1:12" ht="13.9" x14ac:dyDescent="0.35">
      <c r="A34" s="2">
        <v>43881</v>
      </c>
      <c r="B34" s="3">
        <v>413761364100</v>
      </c>
      <c r="C34" s="3">
        <v>654664639500</v>
      </c>
      <c r="D34" s="49">
        <f t="shared" si="0"/>
        <v>10684.260036</v>
      </c>
      <c r="E34" s="2">
        <v>44043</v>
      </c>
      <c r="F34" s="3">
        <v>2217952061300</v>
      </c>
      <c r="H34" s="2">
        <v>44043</v>
      </c>
      <c r="I34" s="3">
        <v>2893637104200</v>
      </c>
      <c r="K34" s="39">
        <f t="shared" ref="K34:K39" si="4">F34+I34</f>
        <v>5111589165500</v>
      </c>
      <c r="L34" s="38">
        <f t="shared" si="3"/>
        <v>5111.5891654999996</v>
      </c>
    </row>
    <row r="35" spans="1:12" ht="13.9" x14ac:dyDescent="0.35">
      <c r="A35" s="2">
        <v>43882</v>
      </c>
      <c r="B35" s="3">
        <v>445062076700</v>
      </c>
      <c r="C35" s="3">
        <v>725971466200</v>
      </c>
      <c r="D35" s="49">
        <f t="shared" si="0"/>
        <v>11710.335429000001</v>
      </c>
      <c r="E35" s="2">
        <v>44050</v>
      </c>
      <c r="F35" s="3">
        <v>2835811853700</v>
      </c>
      <c r="H35" s="2">
        <v>44050</v>
      </c>
      <c r="I35" s="3">
        <v>3621457899100</v>
      </c>
      <c r="K35" s="39">
        <f t="shared" si="4"/>
        <v>6457269752800</v>
      </c>
      <c r="L35" s="38">
        <f t="shared" si="3"/>
        <v>6457.2697527999999</v>
      </c>
    </row>
    <row r="36" spans="1:12" ht="13.9" x14ac:dyDescent="0.35">
      <c r="A36" s="2">
        <v>43885</v>
      </c>
      <c r="B36" s="3">
        <v>451601363100</v>
      </c>
      <c r="C36" s="3">
        <v>770457502500</v>
      </c>
      <c r="D36" s="49">
        <f t="shared" si="0"/>
        <v>12220.588656</v>
      </c>
      <c r="E36" s="2">
        <v>44057</v>
      </c>
      <c r="F36" s="3">
        <v>2276465665100</v>
      </c>
      <c r="H36" s="2">
        <v>44057</v>
      </c>
      <c r="I36" s="3">
        <v>2830655598700</v>
      </c>
      <c r="K36" s="39">
        <f t="shared" si="4"/>
        <v>5107121263800</v>
      </c>
      <c r="L36" s="38">
        <f t="shared" si="3"/>
        <v>5107.1212637999997</v>
      </c>
    </row>
    <row r="37" spans="1:12" ht="13.9" x14ac:dyDescent="0.35">
      <c r="A37" s="2">
        <v>43886</v>
      </c>
      <c r="B37" s="3">
        <v>513128644600</v>
      </c>
      <c r="C37" s="3">
        <v>902187396900</v>
      </c>
      <c r="D37" s="49">
        <f t="shared" si="0"/>
        <v>14153.160415</v>
      </c>
      <c r="E37" s="2">
        <v>44064</v>
      </c>
      <c r="F37" s="3">
        <v>2291836691500</v>
      </c>
      <c r="H37" s="2">
        <v>44064</v>
      </c>
      <c r="I37" s="3">
        <v>2756447116500</v>
      </c>
      <c r="K37" s="39">
        <f t="shared" si="4"/>
        <v>5048283808000</v>
      </c>
      <c r="L37" s="38">
        <f t="shared" si="3"/>
        <v>5048.2838080000001</v>
      </c>
    </row>
    <row r="38" spans="1:12" ht="13.9" x14ac:dyDescent="0.35">
      <c r="A38" s="2">
        <v>43887</v>
      </c>
      <c r="B38" s="3">
        <v>495341447300</v>
      </c>
      <c r="C38" s="3">
        <v>817348520000</v>
      </c>
      <c r="D38" s="49">
        <f t="shared" si="0"/>
        <v>13126.899673</v>
      </c>
      <c r="E38" s="2">
        <v>44071</v>
      </c>
      <c r="F38" s="3">
        <v>1780130515300</v>
      </c>
      <c r="H38" s="2">
        <v>44071</v>
      </c>
      <c r="I38" s="3">
        <v>2823237718200</v>
      </c>
      <c r="K38" s="39">
        <f t="shared" si="4"/>
        <v>4603368233500</v>
      </c>
      <c r="L38" s="38">
        <f t="shared" si="3"/>
        <v>4603.3682335000003</v>
      </c>
    </row>
    <row r="39" spans="1:12" ht="13.9" x14ac:dyDescent="0.35">
      <c r="A39" s="2">
        <v>43888</v>
      </c>
      <c r="B39" s="3">
        <v>395955641500</v>
      </c>
      <c r="C39" s="3">
        <v>654632006500</v>
      </c>
      <c r="D39" s="49">
        <f t="shared" si="0"/>
        <v>10505.876480000001</v>
      </c>
      <c r="E39" s="2">
        <v>44078</v>
      </c>
      <c r="F39" s="3">
        <v>1768306284500</v>
      </c>
      <c r="H39" s="2">
        <v>44078</v>
      </c>
      <c r="I39" s="3">
        <v>2867465205500</v>
      </c>
      <c r="K39" s="39">
        <f t="shared" si="4"/>
        <v>4635771490000</v>
      </c>
      <c r="L39" s="38">
        <f t="shared" ref="L39:L87" si="5">K39/1000000000</f>
        <v>4635.7714900000001</v>
      </c>
    </row>
    <row r="40" spans="1:12" ht="13.9" x14ac:dyDescent="0.35">
      <c r="A40" s="2">
        <v>43889</v>
      </c>
      <c r="B40" s="3">
        <v>432657775000</v>
      </c>
      <c r="C40" s="3">
        <v>696848229700</v>
      </c>
      <c r="D40" s="49">
        <f t="shared" si="0"/>
        <v>11295.060047000001</v>
      </c>
      <c r="E40" s="2">
        <v>44085</v>
      </c>
      <c r="F40" s="3">
        <v>1583532637200</v>
      </c>
      <c r="H40" s="2">
        <v>44085</v>
      </c>
      <c r="I40" s="3">
        <v>2956404540000</v>
      </c>
      <c r="K40" s="39">
        <f t="shared" ref="K40:K90" si="6">F40+I40</f>
        <v>4539937177200</v>
      </c>
      <c r="L40" s="38">
        <f t="shared" si="5"/>
        <v>4539.9371772000004</v>
      </c>
    </row>
    <row r="41" spans="1:12" ht="13.9" x14ac:dyDescent="0.35">
      <c r="A41" s="2">
        <v>43892</v>
      </c>
      <c r="B41" s="3">
        <v>397244201200</v>
      </c>
      <c r="C41" s="3">
        <v>632086433200</v>
      </c>
      <c r="D41" s="49">
        <f t="shared" si="0"/>
        <v>10293.306344000001</v>
      </c>
      <c r="E41" s="2">
        <v>44092</v>
      </c>
      <c r="F41" s="3">
        <v>1379591628000</v>
      </c>
      <c r="H41" s="2">
        <v>44092</v>
      </c>
      <c r="I41" s="3">
        <v>2388936865100</v>
      </c>
      <c r="K41" s="39">
        <f t="shared" si="6"/>
        <v>3768528493100</v>
      </c>
      <c r="L41" s="38">
        <f t="shared" si="5"/>
        <v>3768.5284931000001</v>
      </c>
    </row>
    <row r="42" spans="1:12" ht="13.9" x14ac:dyDescent="0.35">
      <c r="A42" s="2">
        <v>43893</v>
      </c>
      <c r="B42" s="3">
        <v>447053681500</v>
      </c>
      <c r="C42" s="3">
        <v>728950349700</v>
      </c>
      <c r="D42" s="49">
        <f t="shared" si="0"/>
        <v>11760.040311999999</v>
      </c>
      <c r="E42" s="2">
        <v>44099</v>
      </c>
      <c r="F42" s="3">
        <v>1276481427300</v>
      </c>
      <c r="H42" s="2">
        <v>44099</v>
      </c>
      <c r="I42" s="3">
        <v>2090333609800</v>
      </c>
      <c r="K42" s="39">
        <f t="shared" si="6"/>
        <v>3366815037100</v>
      </c>
      <c r="L42" s="38">
        <f t="shared" si="5"/>
        <v>3366.8150371000002</v>
      </c>
    </row>
    <row r="43" spans="1:12" ht="13.9" x14ac:dyDescent="0.35">
      <c r="A43" s="2">
        <v>43894</v>
      </c>
      <c r="B43" s="3">
        <v>389893917500</v>
      </c>
      <c r="C43" s="3">
        <v>602117062300</v>
      </c>
      <c r="D43" s="49">
        <f t="shared" si="0"/>
        <v>9920.1097979999995</v>
      </c>
      <c r="E43" s="2">
        <v>44104</v>
      </c>
      <c r="F43" s="3">
        <v>622743058700</v>
      </c>
      <c r="H43" s="2">
        <v>44104</v>
      </c>
      <c r="I43" s="3">
        <v>1002484383900</v>
      </c>
      <c r="K43" s="39">
        <f t="shared" si="6"/>
        <v>1625227442600</v>
      </c>
      <c r="L43" s="38">
        <f t="shared" si="5"/>
        <v>1625.2274425999999</v>
      </c>
    </row>
    <row r="44" spans="1:12" ht="13.9" x14ac:dyDescent="0.35">
      <c r="A44" s="2">
        <v>43895</v>
      </c>
      <c r="B44" s="3">
        <v>482770471400</v>
      </c>
      <c r="C44" s="3">
        <v>689195542300</v>
      </c>
      <c r="D44" s="49">
        <f t="shared" si="0"/>
        <v>11719.660137000001</v>
      </c>
      <c r="E44" s="2">
        <v>44113</v>
      </c>
      <c r="F44" s="3">
        <v>264171043800</v>
      </c>
      <c r="H44" s="2">
        <v>44113</v>
      </c>
      <c r="I44" s="3">
        <v>447093850500</v>
      </c>
      <c r="K44" s="39">
        <f t="shared" si="6"/>
        <v>711264894300</v>
      </c>
      <c r="L44" s="38">
        <f t="shared" si="5"/>
        <v>711.26489430000004</v>
      </c>
    </row>
    <row r="45" spans="1:12" ht="13.9" x14ac:dyDescent="0.35">
      <c r="A45" s="2">
        <v>43896</v>
      </c>
      <c r="B45" s="3">
        <v>377388542700</v>
      </c>
      <c r="C45" s="3">
        <v>580104347900</v>
      </c>
      <c r="D45" s="49">
        <f t="shared" si="0"/>
        <v>9574.9289059999992</v>
      </c>
      <c r="E45" s="2">
        <v>44120</v>
      </c>
      <c r="F45" s="3">
        <v>1442662639400</v>
      </c>
      <c r="H45" s="2">
        <v>44120</v>
      </c>
      <c r="I45" s="3">
        <v>2663912887800</v>
      </c>
      <c r="K45" s="39">
        <f t="shared" si="6"/>
        <v>4106575527200</v>
      </c>
      <c r="L45" s="38">
        <f t="shared" si="5"/>
        <v>4106.5755271999997</v>
      </c>
    </row>
    <row r="46" spans="1:12" ht="13.9" x14ac:dyDescent="0.35">
      <c r="A46" s="2">
        <v>43899</v>
      </c>
      <c r="B46" s="3">
        <v>438143854600</v>
      </c>
      <c r="C46" s="3">
        <v>648077340300</v>
      </c>
      <c r="D46" s="49">
        <f t="shared" si="0"/>
        <v>10862.211949</v>
      </c>
      <c r="E46" s="2">
        <v>44127</v>
      </c>
      <c r="F46" s="3">
        <v>1244895428500</v>
      </c>
      <c r="H46" s="2">
        <v>44127</v>
      </c>
      <c r="I46" s="3">
        <v>2219276502700</v>
      </c>
      <c r="K46" s="39">
        <f t="shared" si="6"/>
        <v>3464171931200</v>
      </c>
      <c r="L46" s="38">
        <f t="shared" si="5"/>
        <v>3464.1719312</v>
      </c>
    </row>
    <row r="47" spans="1:12" ht="13.9" x14ac:dyDescent="0.35">
      <c r="A47" s="2">
        <v>43900</v>
      </c>
      <c r="B47" s="3">
        <v>425017184800</v>
      </c>
      <c r="C47" s="3">
        <v>656502529500</v>
      </c>
      <c r="D47" s="49">
        <f t="shared" si="0"/>
        <v>10815.197142999999</v>
      </c>
      <c r="E47" s="2">
        <v>44134</v>
      </c>
      <c r="F47" s="3">
        <v>1316686254300</v>
      </c>
      <c r="H47" s="2">
        <v>44134</v>
      </c>
      <c r="I47" s="3">
        <v>2332446082300</v>
      </c>
      <c r="K47" s="39">
        <f t="shared" si="6"/>
        <v>3649132336600</v>
      </c>
      <c r="L47" s="38">
        <f t="shared" si="5"/>
        <v>3649.1323366000001</v>
      </c>
    </row>
    <row r="48" spans="1:12" ht="13.9" x14ac:dyDescent="0.35">
      <c r="A48" s="2">
        <v>43901</v>
      </c>
      <c r="B48" s="3">
        <v>378766619000</v>
      </c>
      <c r="C48" s="3">
        <v>594063173400</v>
      </c>
      <c r="D48" s="49">
        <f t="shared" si="0"/>
        <v>9728.2979240000004</v>
      </c>
      <c r="E48" s="2">
        <v>44141</v>
      </c>
      <c r="F48" s="3">
        <v>1541553630100</v>
      </c>
      <c r="H48" s="2">
        <v>44141</v>
      </c>
      <c r="I48" s="3">
        <v>2523579385600</v>
      </c>
      <c r="K48" s="39">
        <f t="shared" si="6"/>
        <v>4065133015700</v>
      </c>
      <c r="L48" s="38">
        <f t="shared" si="5"/>
        <v>4065.1330157000002</v>
      </c>
    </row>
    <row r="49" spans="1:12" ht="13.9" x14ac:dyDescent="0.35">
      <c r="A49" s="2">
        <v>43902</v>
      </c>
      <c r="B49" s="3">
        <v>328209202400</v>
      </c>
      <c r="C49" s="3">
        <v>509406994300</v>
      </c>
      <c r="D49" s="49">
        <f t="shared" si="0"/>
        <v>8376.161967</v>
      </c>
      <c r="E49" s="2">
        <v>44148</v>
      </c>
      <c r="F49" s="3">
        <v>1764214782400</v>
      </c>
      <c r="H49" s="2">
        <v>44148</v>
      </c>
      <c r="I49" s="3">
        <v>2605410212600</v>
      </c>
      <c r="K49" s="39">
        <f t="shared" si="6"/>
        <v>4369624995000</v>
      </c>
      <c r="L49" s="38">
        <f t="shared" si="5"/>
        <v>4369.6249950000001</v>
      </c>
    </row>
    <row r="50" spans="1:12" ht="13.9" x14ac:dyDescent="0.35">
      <c r="A50" s="2">
        <v>43903</v>
      </c>
      <c r="B50" s="3">
        <v>393019665200</v>
      </c>
      <c r="C50" s="3">
        <v>573701912300</v>
      </c>
      <c r="D50" s="49">
        <f t="shared" si="0"/>
        <v>9667.2157750000006</v>
      </c>
      <c r="E50" s="2">
        <v>44155</v>
      </c>
      <c r="F50" s="3">
        <v>1678299321000</v>
      </c>
      <c r="H50" s="2">
        <v>44155</v>
      </c>
      <c r="I50" s="3">
        <v>2323248749700</v>
      </c>
      <c r="K50" s="39">
        <f t="shared" si="6"/>
        <v>4001548070700</v>
      </c>
      <c r="L50" s="38">
        <f t="shared" si="5"/>
        <v>4001.5480707000002</v>
      </c>
    </row>
    <row r="51" spans="1:12" ht="13.9" x14ac:dyDescent="0.35">
      <c r="A51" s="2">
        <v>43906</v>
      </c>
      <c r="B51" s="3">
        <v>375627000800</v>
      </c>
      <c r="C51" s="3">
        <v>587677958000</v>
      </c>
      <c r="D51" s="49">
        <f t="shared" si="0"/>
        <v>9633.0495879999999</v>
      </c>
      <c r="E51" s="2">
        <v>44162</v>
      </c>
      <c r="F51" s="3">
        <v>1817866147900</v>
      </c>
      <c r="H51" s="2">
        <v>44162</v>
      </c>
      <c r="I51" s="3">
        <v>2288798557300</v>
      </c>
      <c r="K51" s="39">
        <f t="shared" si="6"/>
        <v>4106664705200</v>
      </c>
      <c r="L51" s="38">
        <f t="shared" si="5"/>
        <v>4106.6647051999998</v>
      </c>
    </row>
    <row r="52" spans="1:12" ht="13.9" x14ac:dyDescent="0.35">
      <c r="A52" s="2">
        <v>43907</v>
      </c>
      <c r="B52" s="3">
        <v>323012822800</v>
      </c>
      <c r="C52" s="3">
        <v>495073156400</v>
      </c>
      <c r="D52" s="49">
        <f t="shared" si="0"/>
        <v>8180.8597920000002</v>
      </c>
      <c r="E52" s="2">
        <v>44169</v>
      </c>
      <c r="F52" s="3">
        <v>1904907663100</v>
      </c>
      <c r="H52" s="2">
        <v>44169</v>
      </c>
      <c r="I52" s="3">
        <v>2366769421200</v>
      </c>
      <c r="K52" s="39">
        <f t="shared" si="6"/>
        <v>4271677084300</v>
      </c>
      <c r="L52" s="38">
        <f t="shared" si="5"/>
        <v>4271.6770843000004</v>
      </c>
    </row>
    <row r="53" spans="1:12" ht="13.9" x14ac:dyDescent="0.35">
      <c r="A53" s="2">
        <v>43908</v>
      </c>
      <c r="B53" s="3">
        <v>318611391600</v>
      </c>
      <c r="C53" s="3">
        <v>518373879300</v>
      </c>
      <c r="D53" s="49">
        <f t="shared" si="0"/>
        <v>8369.8527090000007</v>
      </c>
      <c r="E53" s="2">
        <v>44176</v>
      </c>
      <c r="F53" s="3">
        <v>1682254800900</v>
      </c>
      <c r="H53" s="2">
        <v>44176</v>
      </c>
      <c r="I53" s="3">
        <v>2124110098500</v>
      </c>
      <c r="K53" s="39">
        <f t="shared" si="6"/>
        <v>3806364899400</v>
      </c>
      <c r="L53" s="38">
        <f t="shared" si="5"/>
        <v>3806.3648994</v>
      </c>
    </row>
    <row r="54" spans="1:12" ht="13.9" x14ac:dyDescent="0.35">
      <c r="A54" s="2">
        <v>43909</v>
      </c>
      <c r="B54" s="3">
        <v>330518008500</v>
      </c>
      <c r="C54" s="3">
        <v>491949299300</v>
      </c>
      <c r="D54" s="49">
        <f t="shared" si="0"/>
        <v>8224.6730779999998</v>
      </c>
      <c r="E54" s="2">
        <v>44183</v>
      </c>
      <c r="F54" s="3">
        <v>1659110113600</v>
      </c>
      <c r="H54" s="2">
        <v>44183</v>
      </c>
      <c r="I54" s="3">
        <v>2024222284700</v>
      </c>
      <c r="K54" s="39">
        <f t="shared" si="6"/>
        <v>3683332398300</v>
      </c>
      <c r="L54" s="38">
        <f t="shared" si="5"/>
        <v>3683.3323983</v>
      </c>
    </row>
    <row r="55" spans="1:12" ht="13.9" x14ac:dyDescent="0.35">
      <c r="A55" s="2">
        <v>43910</v>
      </c>
      <c r="B55" s="3">
        <v>281583369700</v>
      </c>
      <c r="C55" s="3">
        <v>435458534900</v>
      </c>
      <c r="D55" s="49">
        <f t="shared" si="0"/>
        <v>7170.419046</v>
      </c>
      <c r="E55" s="2">
        <v>44190</v>
      </c>
      <c r="F55" s="3">
        <v>1951768876200</v>
      </c>
      <c r="H55" s="2">
        <v>44190</v>
      </c>
      <c r="I55" s="3">
        <v>2419244175000</v>
      </c>
      <c r="K55" s="39">
        <f t="shared" si="6"/>
        <v>4371013051200</v>
      </c>
      <c r="L55" s="38">
        <f t="shared" si="5"/>
        <v>4371.0130511999996</v>
      </c>
    </row>
    <row r="56" spans="1:12" ht="13.9" x14ac:dyDescent="0.35">
      <c r="A56" s="2">
        <v>43913</v>
      </c>
      <c r="B56" s="3">
        <v>268423242000</v>
      </c>
      <c r="C56" s="3">
        <v>418985613200</v>
      </c>
      <c r="D56" s="49">
        <f t="shared" si="0"/>
        <v>6874.0885520000002</v>
      </c>
      <c r="E56" s="2">
        <v>44196</v>
      </c>
      <c r="F56" s="3">
        <v>1608287202400</v>
      </c>
      <c r="H56" s="2">
        <v>44196</v>
      </c>
      <c r="I56" s="3">
        <v>1941276215000</v>
      </c>
      <c r="K56" s="39">
        <f t="shared" si="6"/>
        <v>3549563417400</v>
      </c>
      <c r="L56" s="38">
        <f t="shared" si="5"/>
        <v>3549.5634174000002</v>
      </c>
    </row>
    <row r="57" spans="1:12" ht="13.9" x14ac:dyDescent="0.35">
      <c r="A57" s="2">
        <v>43914</v>
      </c>
      <c r="B57" s="3">
        <v>278999306600</v>
      </c>
      <c r="C57" s="3">
        <v>433528584900</v>
      </c>
      <c r="D57" s="49">
        <f t="shared" si="0"/>
        <v>7125.2789149999999</v>
      </c>
      <c r="E57" s="2">
        <v>44204</v>
      </c>
      <c r="F57" s="3">
        <v>2661067136500</v>
      </c>
      <c r="H57" s="2">
        <v>44204</v>
      </c>
      <c r="I57" s="3">
        <v>3285757006100</v>
      </c>
      <c r="K57" s="39">
        <f t="shared" si="6"/>
        <v>5946824142600</v>
      </c>
      <c r="L57" s="38">
        <f t="shared" si="5"/>
        <v>5946.8241426000004</v>
      </c>
    </row>
    <row r="58" spans="1:12" ht="13.9" x14ac:dyDescent="0.35">
      <c r="A58" s="2">
        <v>43915</v>
      </c>
      <c r="B58" s="3">
        <v>293191204400</v>
      </c>
      <c r="C58" s="3">
        <v>458152117800</v>
      </c>
      <c r="D58" s="49">
        <f t="shared" si="0"/>
        <v>7513.4332219999997</v>
      </c>
      <c r="E58" s="2">
        <v>44211</v>
      </c>
      <c r="F58" s="3">
        <v>2559189437400</v>
      </c>
      <c r="H58" s="2">
        <v>44211</v>
      </c>
      <c r="I58" s="3">
        <v>3135291706400</v>
      </c>
      <c r="K58" s="39">
        <f t="shared" si="6"/>
        <v>5694481143800</v>
      </c>
      <c r="L58" s="38">
        <f t="shared" si="5"/>
        <v>5694.4811437999997</v>
      </c>
    </row>
    <row r="59" spans="1:12" ht="13.9" x14ac:dyDescent="0.35">
      <c r="A59" s="2">
        <v>43916</v>
      </c>
      <c r="B59" s="3">
        <v>248279785000</v>
      </c>
      <c r="C59" s="3">
        <v>394186890200</v>
      </c>
      <c r="D59" s="49">
        <f t="shared" si="0"/>
        <v>6424.6667520000001</v>
      </c>
      <c r="E59" s="2">
        <v>44218</v>
      </c>
      <c r="F59" s="3">
        <v>2271595468000</v>
      </c>
      <c r="H59" s="2">
        <v>44218</v>
      </c>
      <c r="I59" s="3">
        <v>2882735609900</v>
      </c>
      <c r="K59" s="39">
        <f t="shared" si="6"/>
        <v>5154331077900</v>
      </c>
      <c r="L59" s="38">
        <f t="shared" si="5"/>
        <v>5154.3310779000003</v>
      </c>
    </row>
    <row r="60" spans="1:12" ht="13.9" x14ac:dyDescent="0.35">
      <c r="A60" s="2">
        <v>43917</v>
      </c>
      <c r="B60" s="3">
        <v>253630725900</v>
      </c>
      <c r="C60" s="3">
        <v>380281699800</v>
      </c>
      <c r="D60" s="49">
        <f t="shared" si="0"/>
        <v>6339.1242570000004</v>
      </c>
      <c r="E60" s="2">
        <v>44225</v>
      </c>
      <c r="F60" s="3">
        <v>2167957410900</v>
      </c>
      <c r="H60" s="2">
        <v>44225</v>
      </c>
      <c r="I60" s="3">
        <v>2845313768400</v>
      </c>
      <c r="K60" s="39">
        <f t="shared" si="6"/>
        <v>5013271179300</v>
      </c>
      <c r="L60" s="38">
        <f t="shared" si="5"/>
        <v>5013.2711792999999</v>
      </c>
    </row>
    <row r="61" spans="1:12" ht="13.9" x14ac:dyDescent="0.35">
      <c r="A61" s="2">
        <v>43920</v>
      </c>
      <c r="B61" s="3">
        <v>250687144200</v>
      </c>
      <c r="C61" s="3">
        <v>382440662600</v>
      </c>
      <c r="D61" s="49">
        <f t="shared" si="0"/>
        <v>6331.2780679999996</v>
      </c>
      <c r="E61" s="2">
        <v>44232</v>
      </c>
      <c r="F61" s="3">
        <v>1985466861800</v>
      </c>
      <c r="H61" s="2">
        <v>44232</v>
      </c>
      <c r="I61" s="3">
        <v>2559597396100</v>
      </c>
      <c r="K61" s="39">
        <f t="shared" si="6"/>
        <v>4545064257900</v>
      </c>
      <c r="L61" s="38">
        <f t="shared" si="5"/>
        <v>4545.0642578999996</v>
      </c>
    </row>
    <row r="62" spans="1:12" ht="13.9" x14ac:dyDescent="0.35">
      <c r="A62" s="2">
        <v>43921</v>
      </c>
      <c r="B62" s="3">
        <v>224271061600</v>
      </c>
      <c r="C62" s="3">
        <v>337468972400</v>
      </c>
      <c r="D62" s="49">
        <f t="shared" si="0"/>
        <v>5617.4003400000001</v>
      </c>
      <c r="E62" s="2">
        <v>44237</v>
      </c>
      <c r="F62" s="3">
        <v>1123398681300</v>
      </c>
      <c r="H62" s="2">
        <v>44237</v>
      </c>
      <c r="I62" s="3">
        <v>1395469223200</v>
      </c>
      <c r="K62" s="39">
        <f t="shared" si="6"/>
        <v>2518867904500</v>
      </c>
      <c r="L62" s="38">
        <f t="shared" si="5"/>
        <v>2518.8679044999999</v>
      </c>
    </row>
    <row r="63" spans="1:12" ht="13.9" x14ac:dyDescent="0.35">
      <c r="A63" s="2">
        <v>43922</v>
      </c>
      <c r="B63" s="3">
        <v>225624646600</v>
      </c>
      <c r="C63" s="3">
        <v>359216781500</v>
      </c>
      <c r="D63" s="49">
        <f t="shared" si="0"/>
        <v>5848.4142810000003</v>
      </c>
      <c r="E63" s="2">
        <v>44246</v>
      </c>
      <c r="F63" s="3">
        <v>968536770400</v>
      </c>
      <c r="H63" s="2">
        <v>44246</v>
      </c>
      <c r="I63" s="3">
        <v>1159225570000</v>
      </c>
      <c r="K63" s="39">
        <f t="shared" si="6"/>
        <v>2127762340400</v>
      </c>
      <c r="L63" s="38">
        <f t="shared" si="5"/>
        <v>2127.7623404000001</v>
      </c>
    </row>
    <row r="64" spans="1:12" ht="13.9" x14ac:dyDescent="0.35">
      <c r="A64" s="2">
        <v>43923</v>
      </c>
      <c r="B64" s="3">
        <v>233111575700</v>
      </c>
      <c r="C64" s="3">
        <v>364617023200</v>
      </c>
      <c r="D64" s="49">
        <f t="shared" si="0"/>
        <v>5977.285989</v>
      </c>
      <c r="E64" s="2">
        <v>44253</v>
      </c>
      <c r="F64" s="3">
        <v>2432606257900</v>
      </c>
      <c r="H64" s="2">
        <v>44253</v>
      </c>
      <c r="I64" s="3">
        <v>2787253233200</v>
      </c>
      <c r="K64" s="39">
        <f t="shared" si="6"/>
        <v>5219859491100</v>
      </c>
      <c r="L64" s="38">
        <f t="shared" si="5"/>
        <v>5219.8594911</v>
      </c>
    </row>
    <row r="65" spans="1:12" ht="13.9" x14ac:dyDescent="0.35">
      <c r="A65" s="2">
        <v>43924</v>
      </c>
      <c r="B65" s="3">
        <v>214062212000</v>
      </c>
      <c r="C65" s="3">
        <v>358276718500</v>
      </c>
      <c r="D65" s="49">
        <f t="shared" si="0"/>
        <v>5723.3893049999997</v>
      </c>
      <c r="E65" s="2">
        <v>44260</v>
      </c>
      <c r="F65" s="3">
        <v>2116731479100</v>
      </c>
      <c r="H65" s="2">
        <v>44260</v>
      </c>
      <c r="I65" s="3">
        <v>2385648337700</v>
      </c>
      <c r="K65" s="39">
        <f t="shared" si="6"/>
        <v>4502379816800</v>
      </c>
      <c r="L65" s="38">
        <f t="shared" si="5"/>
        <v>4502.3798168000003</v>
      </c>
    </row>
    <row r="66" spans="1:12" ht="13.9" x14ac:dyDescent="0.35">
      <c r="A66" s="2">
        <v>43928</v>
      </c>
      <c r="B66" s="3">
        <v>286627794300</v>
      </c>
      <c r="C66" s="3">
        <v>445455425300</v>
      </c>
      <c r="D66" s="49">
        <f t="shared" si="0"/>
        <v>7320.8321960000003</v>
      </c>
      <c r="E66" s="2">
        <v>44267</v>
      </c>
      <c r="F66" s="3">
        <v>2001396731800</v>
      </c>
      <c r="H66" s="2">
        <v>44267</v>
      </c>
      <c r="I66" s="3">
        <v>2335285284300</v>
      </c>
      <c r="K66" s="39">
        <f t="shared" si="6"/>
        <v>4336682016100</v>
      </c>
      <c r="L66" s="38">
        <f t="shared" si="5"/>
        <v>4336.6820160999996</v>
      </c>
    </row>
    <row r="67" spans="1:12" ht="13.9" x14ac:dyDescent="0.35">
      <c r="A67" s="2">
        <v>43929</v>
      </c>
      <c r="B67" s="3">
        <v>253159668100</v>
      </c>
      <c r="C67" s="3">
        <v>420856344100</v>
      </c>
      <c r="D67" s="49">
        <f t="shared" si="0"/>
        <v>6740.1601220000002</v>
      </c>
      <c r="E67" s="2">
        <v>44274</v>
      </c>
      <c r="F67" s="3">
        <v>1677186915000</v>
      </c>
      <c r="H67" s="2">
        <v>44274</v>
      </c>
      <c r="I67" s="3">
        <v>2084980364300</v>
      </c>
      <c r="K67" s="39">
        <f t="shared" si="6"/>
        <v>3762167279300</v>
      </c>
      <c r="L67" s="38">
        <f t="shared" si="5"/>
        <v>3762.1672792999998</v>
      </c>
    </row>
    <row r="68" spans="1:12" ht="13.9" x14ac:dyDescent="0.35">
      <c r="A68" s="2">
        <v>43930</v>
      </c>
      <c r="B68" s="3">
        <v>247392988000</v>
      </c>
      <c r="C68" s="3">
        <v>405778525200</v>
      </c>
      <c r="D68" s="49">
        <f t="shared" si="0"/>
        <v>6531.7151320000003</v>
      </c>
      <c r="E68" s="2">
        <v>44281</v>
      </c>
      <c r="F68" s="3">
        <v>1633444304200</v>
      </c>
      <c r="H68" s="2">
        <v>44281</v>
      </c>
      <c r="I68" s="3">
        <v>2101286297300</v>
      </c>
      <c r="K68" s="39">
        <f t="shared" si="6"/>
        <v>3734730601500</v>
      </c>
      <c r="L68" s="38">
        <f t="shared" si="5"/>
        <v>3734.7306014999999</v>
      </c>
    </row>
    <row r="69" spans="1:12" ht="13.9" x14ac:dyDescent="0.35">
      <c r="A69" s="2">
        <v>43931</v>
      </c>
      <c r="B69" s="3">
        <v>246376307200</v>
      </c>
      <c r="C69" s="3">
        <v>425685347600</v>
      </c>
      <c r="D69" s="49">
        <f t="shared" si="0"/>
        <v>6720.616548</v>
      </c>
      <c r="E69" s="2">
        <v>44288</v>
      </c>
      <c r="F69" s="3">
        <v>1584349004200</v>
      </c>
      <c r="H69" s="2">
        <v>44288</v>
      </c>
      <c r="I69" s="3">
        <v>1984612977900</v>
      </c>
      <c r="K69" s="39">
        <f t="shared" si="6"/>
        <v>3568961982100</v>
      </c>
      <c r="L69" s="38">
        <f t="shared" si="5"/>
        <v>3568.9619821000001</v>
      </c>
    </row>
    <row r="70" spans="1:12" ht="13.9" x14ac:dyDescent="0.35">
      <c r="A70" s="2">
        <v>43934</v>
      </c>
      <c r="B70" s="3">
        <v>184120284100</v>
      </c>
      <c r="C70" s="3">
        <v>314914999700</v>
      </c>
      <c r="D70" s="49">
        <f t="shared" ref="D70:D133" si="7">(B70+C70)/100000000</f>
        <v>4990.3528379999998</v>
      </c>
      <c r="E70" s="2">
        <v>44295</v>
      </c>
      <c r="F70" s="3">
        <v>1264414212800</v>
      </c>
      <c r="H70" s="2">
        <v>44295</v>
      </c>
      <c r="I70" s="3">
        <v>1597697642600</v>
      </c>
      <c r="K70" s="39">
        <f t="shared" si="6"/>
        <v>2862111855400</v>
      </c>
      <c r="L70" s="38">
        <f t="shared" si="5"/>
        <v>2862.1118554</v>
      </c>
    </row>
    <row r="71" spans="1:12" ht="13.9" x14ac:dyDescent="0.35">
      <c r="A71" s="2">
        <v>43935</v>
      </c>
      <c r="B71" s="3">
        <v>223605697300</v>
      </c>
      <c r="C71" s="3">
        <v>365721826400</v>
      </c>
      <c r="D71" s="49">
        <f t="shared" si="7"/>
        <v>5893.2752369999998</v>
      </c>
      <c r="E71" s="2">
        <v>44302</v>
      </c>
      <c r="F71" s="3">
        <v>1466960581600</v>
      </c>
      <c r="H71" s="2">
        <v>44302</v>
      </c>
      <c r="I71" s="3">
        <v>1987041874300</v>
      </c>
      <c r="K71" s="39">
        <f t="shared" si="6"/>
        <v>3454002455900</v>
      </c>
      <c r="L71" s="38">
        <f t="shared" si="5"/>
        <v>3454.0024558999999</v>
      </c>
    </row>
    <row r="72" spans="1:12" ht="13.9" x14ac:dyDescent="0.35">
      <c r="A72" s="2">
        <v>43936</v>
      </c>
      <c r="B72" s="3">
        <v>231631632200</v>
      </c>
      <c r="C72" s="3">
        <v>409439234900</v>
      </c>
      <c r="D72" s="49">
        <f t="shared" si="7"/>
        <v>6410.7086710000003</v>
      </c>
      <c r="E72" s="2">
        <v>44309</v>
      </c>
      <c r="F72" s="3">
        <v>1691466352100</v>
      </c>
      <c r="H72" s="2">
        <v>44309</v>
      </c>
      <c r="I72" s="3">
        <v>2278750957400</v>
      </c>
      <c r="K72" s="39">
        <f t="shared" si="6"/>
        <v>3970217309500</v>
      </c>
      <c r="L72" s="38">
        <f t="shared" si="5"/>
        <v>3970.2173094999998</v>
      </c>
    </row>
    <row r="73" spans="1:12" ht="13.9" x14ac:dyDescent="0.35">
      <c r="A73" s="2">
        <v>43937</v>
      </c>
      <c r="B73" s="3">
        <v>222432600900</v>
      </c>
      <c r="C73" s="3">
        <v>372555755300</v>
      </c>
      <c r="D73" s="49">
        <f t="shared" si="7"/>
        <v>5949.883562</v>
      </c>
      <c r="E73" s="2">
        <v>44316</v>
      </c>
      <c r="F73" s="3">
        <v>1837930827500</v>
      </c>
      <c r="H73" s="2">
        <v>44316</v>
      </c>
      <c r="I73" s="3">
        <v>2312221987100</v>
      </c>
      <c r="K73" s="39">
        <f t="shared" si="6"/>
        <v>4150152814600</v>
      </c>
      <c r="L73" s="38">
        <f t="shared" si="5"/>
        <v>4150.1528146000001</v>
      </c>
    </row>
    <row r="74" spans="1:12" ht="13.9" x14ac:dyDescent="0.35">
      <c r="A74" s="2">
        <v>43938</v>
      </c>
      <c r="B74" s="3">
        <v>280025229100</v>
      </c>
      <c r="C74" s="3">
        <v>460267368500</v>
      </c>
      <c r="D74" s="49">
        <f t="shared" si="7"/>
        <v>7402.9259760000004</v>
      </c>
      <c r="E74" s="2">
        <v>44323</v>
      </c>
      <c r="F74" s="3">
        <v>811604011200</v>
      </c>
      <c r="H74" s="2">
        <v>44323</v>
      </c>
      <c r="I74" s="3">
        <v>947771244300</v>
      </c>
      <c r="K74" s="39">
        <f t="shared" si="6"/>
        <v>1759375255500</v>
      </c>
      <c r="L74" s="38">
        <f t="shared" si="5"/>
        <v>1759.3752555000001</v>
      </c>
    </row>
    <row r="75" spans="1:12" ht="13.9" x14ac:dyDescent="0.35">
      <c r="A75" s="2">
        <v>43941</v>
      </c>
      <c r="B75" s="3">
        <v>233759313200</v>
      </c>
      <c r="C75" s="3">
        <v>383529246100</v>
      </c>
      <c r="D75" s="49">
        <f t="shared" si="7"/>
        <v>6172.885593</v>
      </c>
      <c r="E75" s="2">
        <v>44330</v>
      </c>
      <c r="F75" s="3">
        <v>1901398089800</v>
      </c>
      <c r="H75" s="2">
        <v>44330</v>
      </c>
      <c r="I75" s="3">
        <v>2265731298300</v>
      </c>
      <c r="K75" s="39">
        <f t="shared" si="6"/>
        <v>4167129388100</v>
      </c>
      <c r="L75" s="38">
        <f t="shared" si="5"/>
        <v>4167.1293881000001</v>
      </c>
    </row>
    <row r="76" spans="1:12" ht="13.9" x14ac:dyDescent="0.35">
      <c r="A76" s="2">
        <v>43942</v>
      </c>
      <c r="B76" s="3">
        <v>248688585700</v>
      </c>
      <c r="C76" s="3">
        <v>400623067900</v>
      </c>
      <c r="D76" s="49">
        <f t="shared" si="7"/>
        <v>6493.1165360000005</v>
      </c>
      <c r="E76" s="2">
        <v>44337</v>
      </c>
      <c r="F76" s="3">
        <v>1856859963200</v>
      </c>
      <c r="H76" s="2">
        <v>44337</v>
      </c>
      <c r="I76" s="3">
        <v>2289302955200</v>
      </c>
      <c r="K76" s="39">
        <f t="shared" si="6"/>
        <v>4146162918400</v>
      </c>
      <c r="L76" s="38">
        <f t="shared" si="5"/>
        <v>4146.1629184000003</v>
      </c>
    </row>
    <row r="77" spans="1:12" ht="13.9" x14ac:dyDescent="0.35">
      <c r="A77" s="2">
        <v>43943</v>
      </c>
      <c r="B77" s="3">
        <v>232796777800</v>
      </c>
      <c r="C77" s="3">
        <v>373179059500</v>
      </c>
      <c r="D77" s="49">
        <f t="shared" si="7"/>
        <v>6059.7583729999997</v>
      </c>
      <c r="E77" s="2">
        <v>44344</v>
      </c>
      <c r="F77" s="3">
        <v>2176675687300</v>
      </c>
      <c r="H77" s="2">
        <v>44344</v>
      </c>
      <c r="I77" s="3">
        <v>2594474069600</v>
      </c>
      <c r="K77" s="39">
        <f t="shared" si="6"/>
        <v>4771149756900</v>
      </c>
      <c r="L77" s="38">
        <f t="shared" si="5"/>
        <v>4771.1497569000003</v>
      </c>
    </row>
    <row r="78" spans="1:12" ht="13.9" x14ac:dyDescent="0.35">
      <c r="A78" s="2">
        <v>43944</v>
      </c>
      <c r="B78" s="3">
        <v>262662040500</v>
      </c>
      <c r="C78" s="3">
        <v>407896394000</v>
      </c>
      <c r="D78" s="49">
        <f t="shared" si="7"/>
        <v>6705.5843450000002</v>
      </c>
      <c r="E78" s="2">
        <v>44351</v>
      </c>
      <c r="F78" s="3">
        <v>2254822599400</v>
      </c>
      <c r="H78" s="2">
        <v>44351</v>
      </c>
      <c r="I78" s="3">
        <v>2707676337700</v>
      </c>
      <c r="K78" s="39">
        <f t="shared" si="6"/>
        <v>4962498937100</v>
      </c>
      <c r="L78" s="38">
        <f t="shared" si="5"/>
        <v>4962.4989371000001</v>
      </c>
    </row>
    <row r="79" spans="1:12" ht="13.9" x14ac:dyDescent="0.35">
      <c r="A79" s="2">
        <v>43945</v>
      </c>
      <c r="B79" s="3">
        <v>244122291500</v>
      </c>
      <c r="C79" s="3">
        <v>381097203000</v>
      </c>
      <c r="D79" s="49">
        <f t="shared" si="7"/>
        <v>6252.1949450000002</v>
      </c>
      <c r="E79" s="4">
        <v>44358</v>
      </c>
      <c r="F79" s="5">
        <v>2216108061500</v>
      </c>
      <c r="H79" s="4">
        <v>44358</v>
      </c>
      <c r="I79" s="5">
        <v>2722917949600</v>
      </c>
      <c r="K79" s="39">
        <f t="shared" si="6"/>
        <v>4939026011100</v>
      </c>
      <c r="L79" s="38">
        <f t="shared" si="5"/>
        <v>4939.0260110999998</v>
      </c>
    </row>
    <row r="80" spans="1:12" ht="13.9" x14ac:dyDescent="0.35">
      <c r="A80" s="2">
        <v>43948</v>
      </c>
      <c r="B80" s="3">
        <v>225293706300</v>
      </c>
      <c r="C80" s="3">
        <v>331351587700</v>
      </c>
      <c r="D80" s="49">
        <f t="shared" si="7"/>
        <v>5566.4529400000001</v>
      </c>
      <c r="E80" s="4">
        <v>44365</v>
      </c>
      <c r="F80" s="5">
        <v>1690386962000</v>
      </c>
      <c r="H80" s="4">
        <v>44365</v>
      </c>
      <c r="I80" s="5">
        <v>2144434135300</v>
      </c>
      <c r="K80" s="39">
        <f t="shared" si="6"/>
        <v>3834821097300</v>
      </c>
      <c r="L80" s="38">
        <f t="shared" si="5"/>
        <v>3834.8210973</v>
      </c>
    </row>
    <row r="81" spans="1:13" ht="13.9" x14ac:dyDescent="0.35">
      <c r="A81" s="2">
        <v>43949</v>
      </c>
      <c r="B81" s="3">
        <v>270534752600.00003</v>
      </c>
      <c r="C81" s="3">
        <v>403372452600</v>
      </c>
      <c r="D81" s="49">
        <f t="shared" si="7"/>
        <v>6739.0720520000004</v>
      </c>
      <c r="E81" s="4">
        <v>44372</v>
      </c>
      <c r="F81" s="5">
        <v>2279175250400</v>
      </c>
      <c r="H81" s="4">
        <v>44372</v>
      </c>
      <c r="I81" s="5">
        <v>2887379034700</v>
      </c>
      <c r="K81" s="39">
        <f t="shared" si="6"/>
        <v>5166554285100</v>
      </c>
      <c r="L81" s="38">
        <f t="shared" si="5"/>
        <v>5166.5542851</v>
      </c>
    </row>
    <row r="82" spans="1:13" ht="13.9" x14ac:dyDescent="0.35">
      <c r="A82" s="2">
        <v>43950</v>
      </c>
      <c r="B82" s="3">
        <v>222720221700</v>
      </c>
      <c r="C82" s="3">
        <v>310081884000</v>
      </c>
      <c r="D82" s="49">
        <f t="shared" si="7"/>
        <v>5328.0210569999999</v>
      </c>
      <c r="E82" s="4">
        <v>44379</v>
      </c>
      <c r="F82" s="5">
        <v>2214528909800</v>
      </c>
      <c r="H82" s="4">
        <v>44379</v>
      </c>
      <c r="I82" s="5">
        <v>2765568613000</v>
      </c>
      <c r="K82" s="39">
        <f t="shared" si="6"/>
        <v>4980097522800</v>
      </c>
      <c r="L82" s="38">
        <f t="shared" si="5"/>
        <v>4980.0975227999998</v>
      </c>
    </row>
    <row r="83" spans="1:13" ht="13.9" x14ac:dyDescent="0.35">
      <c r="A83" s="2">
        <v>43951</v>
      </c>
      <c r="B83" s="3">
        <v>277440934000</v>
      </c>
      <c r="C83" s="3">
        <v>401656708700</v>
      </c>
      <c r="D83" s="49">
        <f t="shared" si="7"/>
        <v>6790.9764269999996</v>
      </c>
      <c r="E83" s="4">
        <v>44386</v>
      </c>
      <c r="F83" s="5">
        <v>2415806008800</v>
      </c>
      <c r="H83" s="4">
        <v>44386</v>
      </c>
      <c r="I83" s="5">
        <v>3085690573600</v>
      </c>
      <c r="K83" s="39">
        <f t="shared" si="6"/>
        <v>5501496582400</v>
      </c>
      <c r="L83" s="38">
        <f t="shared" si="5"/>
        <v>5501.4965824000001</v>
      </c>
    </row>
    <row r="84" spans="1:13" ht="13.9" x14ac:dyDescent="0.35">
      <c r="A84" s="2">
        <v>43957</v>
      </c>
      <c r="B84" s="3">
        <v>303890031000</v>
      </c>
      <c r="C84" s="3">
        <v>417220851900</v>
      </c>
      <c r="D84" s="49">
        <f t="shared" si="7"/>
        <v>7211.1088289999998</v>
      </c>
      <c r="E84" s="4">
        <v>44393</v>
      </c>
      <c r="F84" s="5">
        <v>2610515400200</v>
      </c>
      <c r="H84" s="4">
        <v>44393</v>
      </c>
      <c r="I84" s="5">
        <v>3496130100800</v>
      </c>
      <c r="K84" s="39">
        <f t="shared" si="6"/>
        <v>6106645501000</v>
      </c>
      <c r="L84" s="38">
        <f t="shared" si="5"/>
        <v>6106.645501</v>
      </c>
    </row>
    <row r="85" spans="1:13" ht="13.9" x14ac:dyDescent="0.35">
      <c r="A85" s="2">
        <v>43958</v>
      </c>
      <c r="B85" s="3">
        <v>268607485300</v>
      </c>
      <c r="C85" s="3">
        <v>398621132800</v>
      </c>
      <c r="D85" s="49">
        <f t="shared" si="7"/>
        <v>6672.2861810000004</v>
      </c>
      <c r="E85" s="4">
        <v>44400</v>
      </c>
      <c r="F85" s="5">
        <v>2597806989100</v>
      </c>
      <c r="H85" s="4">
        <v>44400</v>
      </c>
      <c r="I85" s="5">
        <v>3379427304600</v>
      </c>
      <c r="K85" s="39">
        <f t="shared" si="6"/>
        <v>5977234293700</v>
      </c>
      <c r="L85" s="38">
        <f t="shared" si="5"/>
        <v>5977.2342937000003</v>
      </c>
    </row>
    <row r="86" spans="1:13" ht="13.9" x14ac:dyDescent="0.35">
      <c r="A86" s="2">
        <v>43959</v>
      </c>
      <c r="B86" s="3">
        <v>276562717000</v>
      </c>
      <c r="C86" s="3">
        <v>410902382000</v>
      </c>
      <c r="D86" s="49">
        <f t="shared" si="7"/>
        <v>6874.6509900000001</v>
      </c>
      <c r="E86" s="4">
        <v>44407</v>
      </c>
      <c r="F86" s="5">
        <v>3015069826500</v>
      </c>
      <c r="H86" s="4">
        <v>44407</v>
      </c>
      <c r="I86" s="5">
        <v>3797186709800</v>
      </c>
      <c r="K86" s="39">
        <f t="shared" si="6"/>
        <v>6812256536300</v>
      </c>
      <c r="L86" s="38">
        <f t="shared" si="5"/>
        <v>6812.2565363000003</v>
      </c>
    </row>
    <row r="87" spans="1:13" ht="13.9" x14ac:dyDescent="0.35">
      <c r="A87" s="2">
        <v>43962</v>
      </c>
      <c r="B87" s="3">
        <v>271930641500</v>
      </c>
      <c r="C87" s="3">
        <v>412801067000</v>
      </c>
      <c r="D87" s="49">
        <f t="shared" si="7"/>
        <v>6847.3170849999997</v>
      </c>
      <c r="E87" s="4">
        <v>44414</v>
      </c>
      <c r="F87" s="5">
        <v>2864933492400</v>
      </c>
      <c r="H87" s="4">
        <v>44414</v>
      </c>
      <c r="I87" s="5">
        <v>3868869444500</v>
      </c>
      <c r="K87" s="39">
        <f t="shared" si="6"/>
        <v>6733802936900</v>
      </c>
      <c r="L87" s="38">
        <f t="shared" si="5"/>
        <v>6733.8029368999996</v>
      </c>
    </row>
    <row r="88" spans="1:13" ht="13.9" x14ac:dyDescent="0.35">
      <c r="A88" s="2">
        <v>43963</v>
      </c>
      <c r="B88" s="3">
        <v>238476218800</v>
      </c>
      <c r="C88" s="3">
        <v>360877809600</v>
      </c>
      <c r="D88" s="49">
        <f t="shared" si="7"/>
        <v>5993.5402839999997</v>
      </c>
      <c r="E88" s="4">
        <v>44421</v>
      </c>
      <c r="F88" s="5">
        <v>2705953278200</v>
      </c>
      <c r="H88" s="4">
        <v>44421</v>
      </c>
      <c r="I88" s="5">
        <v>3771886429900</v>
      </c>
      <c r="K88" s="39">
        <f t="shared" si="6"/>
        <v>6477839708100</v>
      </c>
      <c r="L88" s="38">
        <f t="shared" ref="L88:L90" si="8">K88/1000000000</f>
        <v>6477.8397081000003</v>
      </c>
    </row>
    <row r="89" spans="1:13" ht="13.9" x14ac:dyDescent="0.35">
      <c r="A89" s="2">
        <v>43964</v>
      </c>
      <c r="B89" s="3">
        <v>223866906900</v>
      </c>
      <c r="C89" s="3">
        <v>357566915900</v>
      </c>
      <c r="D89" s="49">
        <f t="shared" si="7"/>
        <v>5814.3382279999996</v>
      </c>
      <c r="E89" s="4">
        <v>44428</v>
      </c>
      <c r="F89" s="5">
        <v>2731946760500</v>
      </c>
      <c r="H89" s="4">
        <v>44428</v>
      </c>
      <c r="I89" s="5">
        <v>3498175549700</v>
      </c>
      <c r="K89" s="39">
        <f t="shared" si="6"/>
        <v>6230122310200</v>
      </c>
      <c r="L89" s="38">
        <f t="shared" si="8"/>
        <v>6230.1223102000004</v>
      </c>
    </row>
    <row r="90" spans="1:13" ht="13.9" x14ac:dyDescent="0.35">
      <c r="A90" s="2">
        <v>43965</v>
      </c>
      <c r="B90" s="3">
        <v>237336974700</v>
      </c>
      <c r="C90" s="3">
        <v>372773922200</v>
      </c>
      <c r="D90" s="49">
        <f t="shared" si="7"/>
        <v>6101.1089689999999</v>
      </c>
      <c r="E90" s="4">
        <v>44435</v>
      </c>
      <c r="F90" s="5">
        <v>2996916330700</v>
      </c>
      <c r="H90" s="4">
        <v>44435</v>
      </c>
      <c r="I90" s="5">
        <v>3766935481500</v>
      </c>
      <c r="K90" s="39">
        <f t="shared" si="6"/>
        <v>6763851812200</v>
      </c>
      <c r="L90" s="38">
        <f t="shared" si="8"/>
        <v>6763.8518121999996</v>
      </c>
    </row>
    <row r="91" spans="1:13" ht="13.9" x14ac:dyDescent="0.35">
      <c r="A91" s="2">
        <v>43966</v>
      </c>
      <c r="B91" s="3">
        <v>246878191100</v>
      </c>
      <c r="C91" s="3">
        <v>380063225000</v>
      </c>
      <c r="D91" s="49">
        <f t="shared" si="7"/>
        <v>6269.4141609999997</v>
      </c>
      <c r="E91" s="4">
        <v>44442</v>
      </c>
      <c r="F91" s="5">
        <v>3680104119500</v>
      </c>
      <c r="H91" s="4">
        <v>44442</v>
      </c>
      <c r="I91" s="5">
        <v>4098521241100</v>
      </c>
    </row>
    <row r="92" spans="1:13" ht="13.9" x14ac:dyDescent="0.35">
      <c r="A92" s="2">
        <v>43969</v>
      </c>
      <c r="B92" s="3">
        <v>289089595500</v>
      </c>
      <c r="C92" s="3">
        <v>442713632700</v>
      </c>
      <c r="D92" s="49">
        <f t="shared" si="7"/>
        <v>7318.0322820000001</v>
      </c>
      <c r="E92" s="4">
        <v>44449</v>
      </c>
      <c r="F92" s="5">
        <v>3425852202900</v>
      </c>
      <c r="H92" s="4">
        <v>44449</v>
      </c>
      <c r="I92" s="5">
        <v>3853530890700</v>
      </c>
    </row>
    <row r="93" spans="1:13" ht="13.9" x14ac:dyDescent="0.35">
      <c r="A93" s="2">
        <v>43970</v>
      </c>
      <c r="B93" s="3">
        <v>256277803100</v>
      </c>
      <c r="C93" s="3">
        <v>385245479700</v>
      </c>
      <c r="D93" s="49">
        <f t="shared" si="7"/>
        <v>6415.2328280000002</v>
      </c>
      <c r="E93" s="4">
        <v>44456</v>
      </c>
      <c r="F93" s="5">
        <v>3296991721800</v>
      </c>
      <c r="H93" s="4">
        <v>44456</v>
      </c>
      <c r="I93" s="5">
        <v>3855628264300</v>
      </c>
    </row>
    <row r="94" spans="1:13" ht="13.9" x14ac:dyDescent="0.35">
      <c r="A94" s="2">
        <v>43971</v>
      </c>
      <c r="B94" s="3">
        <v>269176553600.00003</v>
      </c>
      <c r="C94" s="3">
        <v>417524221200</v>
      </c>
      <c r="D94" s="49">
        <f t="shared" si="7"/>
        <v>6867.007748</v>
      </c>
      <c r="E94" s="4">
        <v>44463</v>
      </c>
      <c r="F94" s="5">
        <v>1799882267800</v>
      </c>
      <c r="H94" s="4">
        <v>44463</v>
      </c>
      <c r="I94" s="5">
        <v>1957622129000</v>
      </c>
      <c r="K94" s="39">
        <f>F94+I94</f>
        <v>3757504396800</v>
      </c>
      <c r="L94" s="38">
        <f t="shared" ref="L94:L98" si="9">K94/1000000000</f>
        <v>3757.5043968</v>
      </c>
    </row>
    <row r="95" spans="1:13" ht="13.9" x14ac:dyDescent="0.35">
      <c r="A95" s="2">
        <v>43972</v>
      </c>
      <c r="B95" s="3">
        <v>250569937600</v>
      </c>
      <c r="C95" s="3">
        <v>375610196300</v>
      </c>
      <c r="D95" s="49">
        <f t="shared" si="7"/>
        <v>6261.8013389999996</v>
      </c>
      <c r="E95" s="4">
        <v>44469</v>
      </c>
      <c r="F95" s="5">
        <v>2097597273700</v>
      </c>
      <c r="H95" s="4">
        <v>44469</v>
      </c>
      <c r="I95" s="5">
        <v>2340069087100</v>
      </c>
      <c r="K95" s="39">
        <f t="shared" ref="K95:K98" si="10">F95+I95</f>
        <v>4437666360800</v>
      </c>
      <c r="L95" s="38">
        <f t="shared" si="9"/>
        <v>4437.6663607999999</v>
      </c>
    </row>
    <row r="96" spans="1:13" ht="13.9" x14ac:dyDescent="0.35">
      <c r="A96" s="2">
        <v>43973</v>
      </c>
      <c r="B96" s="3">
        <v>245229603700</v>
      </c>
      <c r="C96" s="3">
        <v>347490133200</v>
      </c>
      <c r="D96" s="49">
        <f t="shared" si="7"/>
        <v>5927.1973690000004</v>
      </c>
      <c r="E96" s="4">
        <v>44477</v>
      </c>
      <c r="F96" s="5">
        <v>492964826400</v>
      </c>
      <c r="H96" s="4">
        <v>44477</v>
      </c>
      <c r="I96" s="5">
        <v>567706953700</v>
      </c>
      <c r="K96" s="39">
        <f t="shared" si="10"/>
        <v>1060671780100</v>
      </c>
      <c r="L96" s="38">
        <f t="shared" si="9"/>
        <v>1060.6717801</v>
      </c>
      <c r="M96">
        <f>L95+L96</f>
        <v>5498.3381408999994</v>
      </c>
    </row>
    <row r="97" spans="1:12" ht="13.9" x14ac:dyDescent="0.35">
      <c r="A97" s="10">
        <v>43976</v>
      </c>
      <c r="B97" s="11">
        <v>202115352600</v>
      </c>
      <c r="C97" s="11">
        <v>288513613800</v>
      </c>
      <c r="D97" s="49">
        <f t="shared" si="7"/>
        <v>4906.2896639999999</v>
      </c>
      <c r="E97" s="4">
        <v>44484</v>
      </c>
      <c r="F97" s="5">
        <v>2139121316300</v>
      </c>
      <c r="H97" s="4">
        <v>44484</v>
      </c>
      <c r="I97" s="5">
        <v>2589218647700</v>
      </c>
      <c r="K97" s="39">
        <f t="shared" si="10"/>
        <v>4728339964000</v>
      </c>
      <c r="L97" s="38">
        <f t="shared" si="9"/>
        <v>4728.3399639999998</v>
      </c>
    </row>
    <row r="98" spans="1:12" ht="13.9" x14ac:dyDescent="0.35">
      <c r="A98" s="10">
        <v>43977</v>
      </c>
      <c r="B98" s="11">
        <v>207427833700</v>
      </c>
      <c r="C98" s="11">
        <v>322629338200</v>
      </c>
      <c r="D98" s="49">
        <f t="shared" si="7"/>
        <v>5300.5717189999996</v>
      </c>
      <c r="E98" s="4">
        <v>44491</v>
      </c>
      <c r="F98" s="5">
        <v>2255465298700</v>
      </c>
      <c r="H98" s="4">
        <v>44491</v>
      </c>
      <c r="I98" s="5">
        <v>2748484042600</v>
      </c>
      <c r="K98" s="39">
        <f t="shared" si="10"/>
        <v>5003949341300</v>
      </c>
      <c r="L98" s="38">
        <f t="shared" si="9"/>
        <v>5003.9493413</v>
      </c>
    </row>
    <row r="99" spans="1:12" ht="13.9" x14ac:dyDescent="0.35">
      <c r="A99" s="10">
        <v>43978</v>
      </c>
      <c r="B99" s="11">
        <v>227934395700</v>
      </c>
      <c r="C99" s="11">
        <v>345256176600</v>
      </c>
      <c r="D99" s="49">
        <f t="shared" si="7"/>
        <v>5731.9057229999999</v>
      </c>
      <c r="E99" s="4">
        <v>44498</v>
      </c>
      <c r="F99" s="5">
        <v>2410133616100</v>
      </c>
      <c r="H99" s="4">
        <v>44498</v>
      </c>
      <c r="I99" s="5">
        <v>3009867538700</v>
      </c>
    </row>
    <row r="100" spans="1:12" ht="13.9" x14ac:dyDescent="0.35">
      <c r="A100" s="10">
        <v>43979</v>
      </c>
      <c r="B100" s="11">
        <v>239234260600</v>
      </c>
      <c r="C100" s="11">
        <v>339058020700</v>
      </c>
      <c r="D100" s="49">
        <f t="shared" si="7"/>
        <v>5782.9228130000001</v>
      </c>
      <c r="E100" s="4">
        <v>44505</v>
      </c>
      <c r="F100" s="5">
        <v>2553387254700</v>
      </c>
      <c r="H100" s="4">
        <v>44505</v>
      </c>
      <c r="I100" s="5">
        <v>3157989598300</v>
      </c>
    </row>
    <row r="101" spans="1:12" ht="13.9" x14ac:dyDescent="0.35">
      <c r="A101" s="10">
        <v>43980</v>
      </c>
      <c r="B101" s="11">
        <v>233798996600</v>
      </c>
      <c r="C101" s="11">
        <v>338498582300</v>
      </c>
      <c r="D101" s="49">
        <f t="shared" si="7"/>
        <v>5722.9757890000001</v>
      </c>
      <c r="E101" s="4">
        <v>44512</v>
      </c>
      <c r="F101" s="5">
        <v>2194483747200</v>
      </c>
      <c r="H101" s="4">
        <v>44512</v>
      </c>
      <c r="I101" s="5">
        <v>3157667265500</v>
      </c>
    </row>
    <row r="102" spans="1:12" ht="13.9" x14ac:dyDescent="0.35">
      <c r="A102" s="2">
        <v>43983</v>
      </c>
      <c r="B102" s="3">
        <v>307416215100</v>
      </c>
      <c r="C102" s="3">
        <v>454170074600</v>
      </c>
      <c r="D102" s="49">
        <f t="shared" si="7"/>
        <v>7615.862897</v>
      </c>
      <c r="E102" s="4">
        <v>44519</v>
      </c>
      <c r="F102" s="5">
        <v>2183810426600</v>
      </c>
      <c r="H102" s="4">
        <v>44519</v>
      </c>
      <c r="I102" s="5">
        <v>3362559012900</v>
      </c>
    </row>
    <row r="103" spans="1:12" ht="13.9" x14ac:dyDescent="0.35">
      <c r="A103" s="2">
        <v>43984</v>
      </c>
      <c r="B103" s="3">
        <v>294402745900</v>
      </c>
      <c r="C103" s="3">
        <v>477710155300</v>
      </c>
      <c r="D103" s="49">
        <f t="shared" si="7"/>
        <v>7721.1290120000003</v>
      </c>
      <c r="E103" s="4">
        <v>44526</v>
      </c>
      <c r="F103" s="5">
        <v>2383411800000</v>
      </c>
      <c r="H103" s="4">
        <v>44526</v>
      </c>
      <c r="I103" s="5">
        <v>3517206572400</v>
      </c>
    </row>
    <row r="104" spans="1:12" ht="13.9" x14ac:dyDescent="0.35">
      <c r="A104" s="2">
        <v>43985</v>
      </c>
      <c r="B104" s="3">
        <v>300447817000</v>
      </c>
      <c r="C104" s="3">
        <v>477363377900</v>
      </c>
      <c r="D104" s="49">
        <f t="shared" si="7"/>
        <v>7778.1119490000001</v>
      </c>
      <c r="E104" s="6">
        <v>44533</v>
      </c>
      <c r="F104" s="16">
        <v>2413156861800</v>
      </c>
      <c r="G104" s="8"/>
      <c r="H104" s="6">
        <v>44533</v>
      </c>
      <c r="I104" s="16">
        <v>3421394977800</v>
      </c>
      <c r="K104" s="39">
        <f>F104+I104</f>
        <v>5834551839600</v>
      </c>
      <c r="L104" s="38">
        <f>K104/1000000000</f>
        <v>5834.5518395999998</v>
      </c>
    </row>
    <row r="105" spans="1:12" ht="13.9" x14ac:dyDescent="0.35">
      <c r="A105" s="2">
        <v>43986</v>
      </c>
      <c r="B105" s="3">
        <v>254345984500</v>
      </c>
      <c r="C105" s="3">
        <v>396325337600</v>
      </c>
      <c r="D105" s="49">
        <f t="shared" si="7"/>
        <v>6506.713221</v>
      </c>
      <c r="E105" s="4">
        <v>44540</v>
      </c>
      <c r="F105" s="5">
        <v>2663237112400</v>
      </c>
      <c r="H105" s="4">
        <v>44540</v>
      </c>
      <c r="I105" s="5">
        <v>3341031466700</v>
      </c>
      <c r="K105" s="39">
        <f>F105+I105</f>
        <v>6004268579100</v>
      </c>
      <c r="L105" s="38">
        <f>K105/1000000000</f>
        <v>6004.2685791000004</v>
      </c>
    </row>
    <row r="106" spans="1:12" ht="13.9" x14ac:dyDescent="0.35">
      <c r="A106" s="2">
        <v>43987</v>
      </c>
      <c r="B106" s="3">
        <v>253141142500</v>
      </c>
      <c r="C106" s="3">
        <v>378386585300</v>
      </c>
      <c r="D106" s="49">
        <f t="shared" si="7"/>
        <v>6315.2772779999996</v>
      </c>
      <c r="E106" s="4">
        <v>44547</v>
      </c>
      <c r="F106" s="5">
        <v>2500655136300</v>
      </c>
      <c r="H106" s="4">
        <v>44547</v>
      </c>
      <c r="I106" s="5">
        <v>3320286928900</v>
      </c>
    </row>
    <row r="107" spans="1:12" ht="13.9" x14ac:dyDescent="0.35">
      <c r="A107" s="2">
        <v>43990</v>
      </c>
      <c r="B107" s="3">
        <v>274611815600.00003</v>
      </c>
      <c r="C107" s="3">
        <v>409673934600</v>
      </c>
      <c r="D107" s="49">
        <f t="shared" si="7"/>
        <v>6842.8575019999998</v>
      </c>
      <c r="E107" s="4">
        <v>44554</v>
      </c>
      <c r="F107" s="5">
        <v>2278908985500</v>
      </c>
      <c r="H107" s="4">
        <v>44554</v>
      </c>
      <c r="I107" s="5">
        <v>3151299963900</v>
      </c>
    </row>
    <row r="108" spans="1:12" ht="13.9" x14ac:dyDescent="0.35">
      <c r="A108" s="2">
        <v>43991</v>
      </c>
      <c r="B108" s="3">
        <v>251414696200</v>
      </c>
      <c r="C108" s="3">
        <v>368898852500</v>
      </c>
      <c r="D108" s="49">
        <f t="shared" si="7"/>
        <v>6203.1354869999996</v>
      </c>
      <c r="E108" s="4">
        <v>44561</v>
      </c>
      <c r="F108" s="5">
        <v>2074106853500</v>
      </c>
      <c r="H108" s="4">
        <v>44561</v>
      </c>
      <c r="I108" s="5">
        <v>2978682921500</v>
      </c>
    </row>
    <row r="109" spans="1:12" ht="13.9" x14ac:dyDescent="0.35">
      <c r="A109" s="2">
        <v>43992</v>
      </c>
      <c r="B109" s="3">
        <v>243968496500</v>
      </c>
      <c r="C109" s="3">
        <v>371135639900</v>
      </c>
      <c r="D109" s="49">
        <f t="shared" si="7"/>
        <v>6151.0413639999997</v>
      </c>
      <c r="E109" s="4">
        <v>44568</v>
      </c>
      <c r="F109" s="5">
        <v>2026390417700</v>
      </c>
      <c r="H109" s="4">
        <v>44568</v>
      </c>
      <c r="I109" s="5">
        <v>2888921161900</v>
      </c>
    </row>
    <row r="110" spans="1:12" ht="13.9" x14ac:dyDescent="0.35">
      <c r="A110" s="2">
        <v>43993</v>
      </c>
      <c r="B110" s="3">
        <v>289023256100</v>
      </c>
      <c r="C110" s="3">
        <v>431948867300</v>
      </c>
      <c r="D110" s="49">
        <f t="shared" si="7"/>
        <v>7209.7212339999996</v>
      </c>
      <c r="E110" s="4">
        <v>44575</v>
      </c>
      <c r="F110" s="5">
        <v>2240722369700</v>
      </c>
      <c r="H110" s="4">
        <v>44575</v>
      </c>
      <c r="I110" s="5">
        <v>3128044849400</v>
      </c>
      <c r="K110" s="39">
        <f t="shared" ref="K110:K115" si="11">F110+I110</f>
        <v>5368767219100</v>
      </c>
      <c r="L110" s="38">
        <f t="shared" ref="L110:L115" si="12">K110/1000000000</f>
        <v>5368.7672191000001</v>
      </c>
    </row>
    <row r="111" spans="1:12" ht="13.9" x14ac:dyDescent="0.35">
      <c r="A111" s="2">
        <v>43994</v>
      </c>
      <c r="B111" s="3">
        <v>274321726200</v>
      </c>
      <c r="C111" s="3">
        <v>424917326400</v>
      </c>
      <c r="D111" s="49">
        <f t="shared" si="7"/>
        <v>6992.3905260000001</v>
      </c>
      <c r="E111" s="4">
        <v>44582</v>
      </c>
      <c r="F111" s="5">
        <v>2207339150400</v>
      </c>
      <c r="H111" s="4">
        <v>44582</v>
      </c>
      <c r="I111" s="5">
        <v>3287011322100</v>
      </c>
      <c r="K111" s="39">
        <f t="shared" si="11"/>
        <v>5494350472500</v>
      </c>
      <c r="L111" s="38">
        <f t="shared" si="12"/>
        <v>5494.3504725000003</v>
      </c>
    </row>
    <row r="112" spans="1:12" ht="13.9" x14ac:dyDescent="0.35">
      <c r="A112" s="2">
        <v>43997</v>
      </c>
      <c r="B112" s="3">
        <v>293361556800</v>
      </c>
      <c r="C112" s="3">
        <v>466148529700</v>
      </c>
      <c r="D112" s="49">
        <f t="shared" si="7"/>
        <v>7595.1008650000003</v>
      </c>
      <c r="E112" s="4">
        <v>44589</v>
      </c>
      <c r="F112" s="5">
        <v>1780358363800</v>
      </c>
      <c r="H112" s="4">
        <v>44589</v>
      </c>
      <c r="I112" s="5">
        <v>2456696570100</v>
      </c>
    </row>
    <row r="113" spans="1:12" ht="13.9" x14ac:dyDescent="0.35">
      <c r="A113" s="2">
        <v>43998</v>
      </c>
      <c r="B113" s="3">
        <v>270948558500</v>
      </c>
      <c r="C113" s="3">
        <v>441475121000</v>
      </c>
      <c r="D113" s="49">
        <f t="shared" si="7"/>
        <v>7124.2367949999998</v>
      </c>
      <c r="E113" s="4">
        <v>44603</v>
      </c>
      <c r="F113" s="5">
        <v>1970097621300</v>
      </c>
      <c r="H113" s="4">
        <v>44603</v>
      </c>
      <c r="I113" s="5">
        <v>2591480586800</v>
      </c>
    </row>
    <row r="114" spans="1:12" ht="13.9" x14ac:dyDescent="0.35">
      <c r="A114" s="2">
        <v>43999</v>
      </c>
      <c r="B114" s="3">
        <v>278007110700</v>
      </c>
      <c r="C114" s="3">
        <v>460845245800</v>
      </c>
      <c r="D114" s="49">
        <f t="shared" si="7"/>
        <v>7388.5235650000004</v>
      </c>
      <c r="E114" s="4">
        <v>44610</v>
      </c>
      <c r="F114" s="5">
        <v>1711883663100</v>
      </c>
      <c r="H114" s="4">
        <v>44610</v>
      </c>
      <c r="I114" s="5">
        <v>2501436840200</v>
      </c>
    </row>
    <row r="115" spans="1:12" ht="13.9" x14ac:dyDescent="0.35">
      <c r="A115" s="2">
        <v>44000</v>
      </c>
      <c r="B115" s="3">
        <v>289367727800</v>
      </c>
      <c r="C115" s="3">
        <v>469207113100</v>
      </c>
      <c r="D115" s="49">
        <f t="shared" si="7"/>
        <v>7585.7484089999998</v>
      </c>
      <c r="E115" s="4">
        <v>44617</v>
      </c>
      <c r="F115" s="5">
        <v>2160161388300</v>
      </c>
      <c r="H115" s="4">
        <v>44617</v>
      </c>
      <c r="I115" s="5">
        <v>3140878386600</v>
      </c>
      <c r="K115" s="39">
        <f t="shared" si="11"/>
        <v>5301039774900</v>
      </c>
      <c r="L115" s="38">
        <f t="shared" si="12"/>
        <v>5301.0397749000003</v>
      </c>
    </row>
    <row r="116" spans="1:12" ht="13.9" x14ac:dyDescent="0.35">
      <c r="A116" s="2">
        <v>44001</v>
      </c>
      <c r="B116" s="3">
        <v>319089106600</v>
      </c>
      <c r="C116" s="3">
        <v>459763594900</v>
      </c>
      <c r="D116" s="49">
        <f t="shared" si="7"/>
        <v>7788.5270149999997</v>
      </c>
      <c r="E116" s="4">
        <v>44624</v>
      </c>
      <c r="F116" s="5">
        <v>2080801646600</v>
      </c>
      <c r="H116" s="4">
        <v>44624</v>
      </c>
      <c r="I116" s="5">
        <v>2751855518900</v>
      </c>
      <c r="K116" s="39">
        <f>F116+I116</f>
        <v>4832657165500</v>
      </c>
      <c r="L116" s="38">
        <f>K116/1000000000</f>
        <v>4832.6571654999998</v>
      </c>
    </row>
    <row r="117" spans="1:12" ht="13.9" x14ac:dyDescent="0.35">
      <c r="A117" s="2">
        <v>44004</v>
      </c>
      <c r="B117" s="3">
        <v>346028748400</v>
      </c>
      <c r="C117" s="3">
        <v>482506118200</v>
      </c>
      <c r="D117" s="49">
        <f t="shared" si="7"/>
        <v>8285.3486659999999</v>
      </c>
      <c r="E117" s="4">
        <v>44631</v>
      </c>
      <c r="F117" s="5">
        <v>2388384838500</v>
      </c>
      <c r="H117" s="4">
        <v>44631</v>
      </c>
      <c r="I117" s="5">
        <v>3036760244300</v>
      </c>
    </row>
    <row r="118" spans="1:12" ht="13.9" x14ac:dyDescent="0.35">
      <c r="A118" s="2">
        <v>44005</v>
      </c>
      <c r="B118" s="3">
        <v>305378770500</v>
      </c>
      <c r="C118" s="3">
        <v>452938431500</v>
      </c>
      <c r="D118" s="49">
        <f t="shared" si="7"/>
        <v>7583.17202</v>
      </c>
      <c r="E118" s="4">
        <v>44638</v>
      </c>
      <c r="F118" s="5">
        <v>2409483914300</v>
      </c>
      <c r="H118" s="4">
        <v>44638</v>
      </c>
      <c r="I118" s="5">
        <v>3142545417300</v>
      </c>
    </row>
    <row r="119" spans="1:12" ht="13.9" x14ac:dyDescent="0.35">
      <c r="A119" s="2">
        <v>44006</v>
      </c>
      <c r="B119" s="3">
        <v>297008784100</v>
      </c>
      <c r="C119" s="3">
        <v>431711052200</v>
      </c>
      <c r="D119" s="49">
        <f t="shared" si="7"/>
        <v>7287.1983630000004</v>
      </c>
      <c r="E119" s="4">
        <v>44645</v>
      </c>
      <c r="F119" s="5">
        <v>2009795199700</v>
      </c>
      <c r="H119" s="4">
        <v>44645</v>
      </c>
      <c r="I119" s="5">
        <v>2749314855000</v>
      </c>
    </row>
    <row r="120" spans="1:12" ht="13.9" x14ac:dyDescent="0.35">
      <c r="A120" s="2">
        <v>44011</v>
      </c>
      <c r="B120" s="3">
        <v>293886016000</v>
      </c>
      <c r="C120" s="3">
        <v>422380488900</v>
      </c>
      <c r="D120" s="49">
        <f t="shared" si="7"/>
        <v>7162.6650490000002</v>
      </c>
      <c r="E120" s="4">
        <v>44652</v>
      </c>
      <c r="F120" s="5">
        <v>1985210439000</v>
      </c>
      <c r="H120" s="4">
        <v>44652</v>
      </c>
      <c r="I120" s="5">
        <v>2652237983000</v>
      </c>
    </row>
    <row r="121" spans="1:12" ht="13.9" x14ac:dyDescent="0.35">
      <c r="A121" s="2">
        <v>44012</v>
      </c>
      <c r="B121" s="3">
        <v>297312328400</v>
      </c>
      <c r="C121" s="3">
        <v>449322548800</v>
      </c>
      <c r="D121" s="49">
        <f t="shared" si="7"/>
        <v>7466.3487720000003</v>
      </c>
      <c r="E121" s="4">
        <v>44659</v>
      </c>
      <c r="F121" s="5">
        <v>1245675496400</v>
      </c>
      <c r="H121" s="4">
        <v>44659</v>
      </c>
      <c r="I121" s="5">
        <v>1569796283900</v>
      </c>
    </row>
    <row r="122" spans="1:12" ht="13.9" x14ac:dyDescent="0.35">
      <c r="A122" s="2">
        <v>44013</v>
      </c>
      <c r="B122" s="3">
        <v>369883802300</v>
      </c>
      <c r="C122" s="3">
        <v>537386446600</v>
      </c>
      <c r="D122" s="49">
        <f t="shared" si="7"/>
        <v>9072.7024889999993</v>
      </c>
      <c r="E122" s="4">
        <v>44666</v>
      </c>
      <c r="F122" s="5">
        <v>2070492704600</v>
      </c>
      <c r="H122" s="4">
        <v>44666</v>
      </c>
      <c r="I122" s="5">
        <v>2464432574600</v>
      </c>
    </row>
    <row r="123" spans="1:12" ht="13.9" x14ac:dyDescent="0.35">
      <c r="A123" s="2">
        <v>44014</v>
      </c>
      <c r="B123" s="3">
        <v>478216482300</v>
      </c>
      <c r="C123" s="3">
        <v>601697770500</v>
      </c>
      <c r="D123" s="49">
        <f t="shared" si="7"/>
        <v>10799.142528</v>
      </c>
      <c r="E123" s="4">
        <v>44673</v>
      </c>
      <c r="F123" s="5">
        <v>1848059057700</v>
      </c>
      <c r="H123" s="4">
        <v>44673</v>
      </c>
      <c r="I123" s="5">
        <v>2139925899700</v>
      </c>
    </row>
    <row r="124" spans="1:12" ht="13.9" x14ac:dyDescent="0.35">
      <c r="A124" s="2">
        <v>44015</v>
      </c>
      <c r="B124" s="3">
        <v>535489334700</v>
      </c>
      <c r="C124" s="3">
        <v>636052461600</v>
      </c>
      <c r="D124" s="49">
        <f t="shared" si="7"/>
        <v>11715.417963</v>
      </c>
      <c r="E124" s="4">
        <v>44680</v>
      </c>
      <c r="F124" s="5">
        <v>2075157268900</v>
      </c>
      <c r="H124" s="4">
        <v>44680</v>
      </c>
      <c r="I124" s="5">
        <v>2383839038600</v>
      </c>
    </row>
    <row r="125" spans="1:12" ht="13.9" x14ac:dyDescent="0.35">
      <c r="A125" s="2">
        <v>44018</v>
      </c>
      <c r="B125" s="3">
        <v>724153675700</v>
      </c>
      <c r="C125" s="3">
        <v>841899277400</v>
      </c>
      <c r="D125" s="49">
        <f t="shared" si="7"/>
        <v>15660.529531</v>
      </c>
      <c r="E125" s="4">
        <v>44687</v>
      </c>
      <c r="F125" s="5">
        <v>755566400900</v>
      </c>
      <c r="H125" s="4">
        <v>44687</v>
      </c>
      <c r="I125" s="5">
        <v>905138538600</v>
      </c>
    </row>
    <row r="126" spans="1:12" ht="13.9" x14ac:dyDescent="0.35">
      <c r="A126" s="2">
        <v>44019</v>
      </c>
      <c r="B126" s="3">
        <v>793638372400</v>
      </c>
      <c r="C126" s="3">
        <v>946169403700</v>
      </c>
      <c r="D126" s="49">
        <f t="shared" si="7"/>
        <v>17398.077761</v>
      </c>
      <c r="E126" s="4">
        <v>44694</v>
      </c>
      <c r="F126" s="5">
        <v>1866781084475</v>
      </c>
      <c r="H126" s="4">
        <v>44694</v>
      </c>
      <c r="I126" s="5">
        <v>2307877632800</v>
      </c>
    </row>
    <row r="127" spans="1:12" ht="13.9" x14ac:dyDescent="0.35">
      <c r="A127" s="2">
        <v>44020</v>
      </c>
      <c r="B127" s="3">
        <v>696807634500</v>
      </c>
      <c r="C127" s="3">
        <v>845765553000</v>
      </c>
      <c r="D127" s="49">
        <f t="shared" si="7"/>
        <v>15425.731874999999</v>
      </c>
      <c r="E127" s="4">
        <v>44701</v>
      </c>
      <c r="F127" s="5">
        <v>1814802595100</v>
      </c>
      <c r="H127" s="4">
        <v>44701</v>
      </c>
      <c r="I127" s="5">
        <v>2258984738100</v>
      </c>
    </row>
    <row r="128" spans="1:12" ht="13.9" x14ac:dyDescent="0.35">
      <c r="A128" s="2">
        <v>44021</v>
      </c>
      <c r="B128" s="3">
        <v>751406830400</v>
      </c>
      <c r="C128" s="3">
        <v>974780177400</v>
      </c>
      <c r="D128" s="49">
        <f t="shared" si="7"/>
        <v>17261.870078</v>
      </c>
      <c r="E128" s="4">
        <v>44708</v>
      </c>
      <c r="F128" s="5">
        <v>1912102364200</v>
      </c>
      <c r="H128" s="4">
        <v>44708</v>
      </c>
      <c r="I128" s="5">
        <v>2338741574100</v>
      </c>
    </row>
    <row r="129" spans="1:9" ht="13.9" x14ac:dyDescent="0.35">
      <c r="A129" s="2">
        <v>44022</v>
      </c>
      <c r="B129" s="3">
        <v>703197550400</v>
      </c>
      <c r="C129" s="3">
        <v>909263699300</v>
      </c>
      <c r="D129" s="49">
        <f t="shared" si="7"/>
        <v>16124.612497</v>
      </c>
      <c r="E129" s="4">
        <v>44714</v>
      </c>
      <c r="F129" s="5">
        <v>1625344921200</v>
      </c>
      <c r="H129" s="4">
        <v>44714</v>
      </c>
      <c r="I129" s="5">
        <v>1898385361800</v>
      </c>
    </row>
    <row r="130" spans="1:9" ht="13.9" x14ac:dyDescent="0.35">
      <c r="A130" s="2">
        <v>44025</v>
      </c>
      <c r="B130" s="3">
        <v>717397053100</v>
      </c>
      <c r="C130" s="3">
        <v>954985897300</v>
      </c>
      <c r="D130" s="49">
        <f t="shared" si="7"/>
        <v>16723.829504000001</v>
      </c>
      <c r="E130" s="4">
        <v>44722</v>
      </c>
      <c r="F130" s="5">
        <v>2480537974100</v>
      </c>
      <c r="H130" s="4">
        <v>44722</v>
      </c>
      <c r="I130" s="5">
        <v>2798639605700</v>
      </c>
    </row>
    <row r="131" spans="1:9" ht="13.9" x14ac:dyDescent="0.35">
      <c r="A131" s="2">
        <v>44026</v>
      </c>
      <c r="B131" s="3">
        <v>707327005200</v>
      </c>
      <c r="C131" s="3">
        <v>997147452900</v>
      </c>
      <c r="D131" s="49">
        <f t="shared" si="7"/>
        <v>17044.744580999999</v>
      </c>
      <c r="E131" s="4">
        <v>44729</v>
      </c>
      <c r="F131" s="5">
        <v>2651089853000</v>
      </c>
      <c r="H131" s="4">
        <v>44729</v>
      </c>
      <c r="I131" s="5">
        <v>3011399475500</v>
      </c>
    </row>
    <row r="132" spans="1:9" ht="13.9" x14ac:dyDescent="0.35">
      <c r="A132" s="2">
        <v>44027</v>
      </c>
      <c r="B132" s="3">
        <v>674727409800</v>
      </c>
      <c r="C132" s="3">
        <v>896761421600</v>
      </c>
      <c r="D132" s="49">
        <f t="shared" si="7"/>
        <v>15714.888314</v>
      </c>
      <c r="E132" s="4">
        <v>44736</v>
      </c>
      <c r="F132" s="5">
        <v>2424212503700</v>
      </c>
      <c r="H132" s="4">
        <v>44736</v>
      </c>
      <c r="I132" s="5">
        <v>3052251348700</v>
      </c>
    </row>
    <row r="133" spans="1:9" ht="13.9" x14ac:dyDescent="0.35">
      <c r="A133" s="2">
        <v>44028</v>
      </c>
      <c r="B133" s="3">
        <v>679468340600</v>
      </c>
      <c r="C133" s="3">
        <v>826644060000</v>
      </c>
      <c r="D133" s="49">
        <f t="shared" si="7"/>
        <v>15061.124006</v>
      </c>
      <c r="E133" s="4">
        <v>44743</v>
      </c>
      <c r="F133" s="5">
        <v>2597135823600</v>
      </c>
      <c r="H133" s="4">
        <v>44743</v>
      </c>
      <c r="I133" s="5">
        <v>3379988031700</v>
      </c>
    </row>
    <row r="134" spans="1:9" ht="13.9" x14ac:dyDescent="0.35">
      <c r="A134" s="2">
        <v>44029</v>
      </c>
      <c r="B134" s="3">
        <v>486536118300</v>
      </c>
      <c r="C134" s="3">
        <v>629553517400</v>
      </c>
      <c r="D134" s="49">
        <f t="shared" ref="D134:D197" si="13">(B134+C134)/100000000</f>
        <v>11160.896357</v>
      </c>
      <c r="E134" s="4">
        <v>44750</v>
      </c>
      <c r="F134" s="5">
        <v>2353515372100</v>
      </c>
      <c r="H134" s="4">
        <v>44750</v>
      </c>
      <c r="I134" s="5">
        <v>3126981114300</v>
      </c>
    </row>
    <row r="135" spans="1:9" ht="13.9" x14ac:dyDescent="0.35">
      <c r="A135" s="2">
        <v>44032</v>
      </c>
      <c r="B135" s="3">
        <v>544045656200.00006</v>
      </c>
      <c r="C135" s="3">
        <v>649000514900</v>
      </c>
      <c r="D135" s="49">
        <f t="shared" si="13"/>
        <v>11930.461711</v>
      </c>
      <c r="E135" s="4">
        <v>44757</v>
      </c>
      <c r="F135" s="5">
        <v>2122873817100</v>
      </c>
      <c r="H135" s="4">
        <v>44757</v>
      </c>
      <c r="I135" s="5">
        <v>2920834330200</v>
      </c>
    </row>
    <row r="136" spans="1:9" ht="13.9" x14ac:dyDescent="0.35">
      <c r="A136" s="2">
        <v>44033</v>
      </c>
      <c r="B136" s="3">
        <v>488862180400</v>
      </c>
      <c r="C136" s="3">
        <v>614148679200</v>
      </c>
      <c r="D136" s="49">
        <f t="shared" si="13"/>
        <v>11030.108596</v>
      </c>
      <c r="E136" s="4">
        <v>44764</v>
      </c>
      <c r="F136" s="5">
        <v>2007094965700</v>
      </c>
      <c r="H136" s="4">
        <v>44764</v>
      </c>
      <c r="I136" s="5">
        <v>2923168004800</v>
      </c>
    </row>
    <row r="137" spans="1:9" ht="13.9" x14ac:dyDescent="0.35">
      <c r="A137" s="2">
        <v>44034</v>
      </c>
      <c r="B137" s="3">
        <v>540577040600</v>
      </c>
      <c r="C137" s="3">
        <v>657802230600</v>
      </c>
      <c r="D137" s="49">
        <f t="shared" si="13"/>
        <v>11983.792712</v>
      </c>
      <c r="E137" s="4">
        <v>44771</v>
      </c>
      <c r="F137" s="5">
        <v>1828950348000</v>
      </c>
      <c r="H137" s="4">
        <v>44771</v>
      </c>
      <c r="I137" s="5">
        <v>2757600998700</v>
      </c>
    </row>
    <row r="138" spans="1:9" ht="13.9" x14ac:dyDescent="0.35">
      <c r="A138" s="2">
        <v>44035</v>
      </c>
      <c r="B138" s="3">
        <v>546887089700.00006</v>
      </c>
      <c r="C138" s="3">
        <v>699139544700</v>
      </c>
      <c r="D138" s="49">
        <f t="shared" si="13"/>
        <v>12460.266344</v>
      </c>
      <c r="E138" s="4">
        <v>44778</v>
      </c>
      <c r="F138" s="5">
        <v>2115575258400</v>
      </c>
      <c r="H138" s="4">
        <v>44778</v>
      </c>
      <c r="I138" s="5">
        <v>3069167990900</v>
      </c>
    </row>
    <row r="139" spans="1:9" ht="13.9" x14ac:dyDescent="0.35">
      <c r="A139" s="2">
        <v>44036</v>
      </c>
      <c r="B139" s="3">
        <v>584311865000</v>
      </c>
      <c r="C139" s="3">
        <v>750542493900</v>
      </c>
      <c r="D139" s="49">
        <f t="shared" si="13"/>
        <v>13348.543589000001</v>
      </c>
      <c r="E139" s="4">
        <v>44785</v>
      </c>
      <c r="F139" s="5">
        <v>2005064164800</v>
      </c>
      <c r="H139" s="4">
        <v>44785</v>
      </c>
      <c r="I139" s="5">
        <v>2932933613700</v>
      </c>
    </row>
    <row r="140" spans="1:9" ht="13.9" x14ac:dyDescent="0.35">
      <c r="A140" s="2">
        <v>44039</v>
      </c>
      <c r="B140" s="3">
        <v>402231919300</v>
      </c>
      <c r="C140" s="3">
        <v>524946633600</v>
      </c>
      <c r="D140" s="49">
        <f t="shared" si="13"/>
        <v>9271.7855290000007</v>
      </c>
      <c r="E140" s="4">
        <v>44792</v>
      </c>
      <c r="F140" s="5">
        <v>2096265399100</v>
      </c>
      <c r="H140" s="4">
        <v>44792</v>
      </c>
      <c r="I140" s="5">
        <v>3148963589900</v>
      </c>
    </row>
    <row r="141" spans="1:9" ht="13.9" x14ac:dyDescent="0.35">
      <c r="A141" s="2">
        <v>44040</v>
      </c>
      <c r="B141" s="3">
        <v>389873696200</v>
      </c>
      <c r="C141" s="3">
        <v>508085108400</v>
      </c>
      <c r="D141" s="49">
        <f t="shared" si="13"/>
        <v>8979.5880460000008</v>
      </c>
      <c r="E141" s="4">
        <v>44799</v>
      </c>
      <c r="F141" s="5">
        <v>2121345846500</v>
      </c>
      <c r="H141" s="4">
        <v>44799</v>
      </c>
      <c r="I141" s="5">
        <v>2948971250200</v>
      </c>
    </row>
    <row r="142" spans="1:9" ht="13.9" x14ac:dyDescent="0.35">
      <c r="A142" s="2">
        <v>44041</v>
      </c>
      <c r="B142" s="3">
        <v>453094399500</v>
      </c>
      <c r="C142" s="3">
        <v>593628412000</v>
      </c>
      <c r="D142" s="49">
        <f t="shared" si="13"/>
        <v>10467.228115</v>
      </c>
      <c r="E142" s="4">
        <v>44806</v>
      </c>
      <c r="F142" s="5">
        <v>1799579906300</v>
      </c>
      <c r="H142" s="4">
        <v>44806</v>
      </c>
      <c r="I142" s="5">
        <v>2428463589400</v>
      </c>
    </row>
    <row r="143" spans="1:9" ht="13.9" x14ac:dyDescent="0.35">
      <c r="A143" s="2">
        <v>44042</v>
      </c>
      <c r="B143" s="3">
        <v>476974005600</v>
      </c>
      <c r="C143" s="3">
        <v>616774444900</v>
      </c>
      <c r="D143" s="49">
        <f t="shared" si="13"/>
        <v>10937.484505</v>
      </c>
      <c r="E143" s="4">
        <v>44813</v>
      </c>
      <c r="F143" s="5">
        <v>1754060153000</v>
      </c>
      <c r="H143" s="4">
        <v>44813</v>
      </c>
      <c r="I143" s="5">
        <v>2324425578600</v>
      </c>
    </row>
    <row r="144" spans="1:9" ht="13.9" x14ac:dyDescent="0.35">
      <c r="A144" s="2">
        <v>44043</v>
      </c>
      <c r="B144" s="3">
        <v>495778040700</v>
      </c>
      <c r="C144" s="3">
        <v>650202505300</v>
      </c>
      <c r="D144" s="49">
        <f t="shared" si="13"/>
        <v>11459.80546</v>
      </c>
      <c r="E144" s="4">
        <v>44820</v>
      </c>
      <c r="F144" s="5">
        <v>1393050647200</v>
      </c>
      <c r="H144" s="4">
        <v>44820</v>
      </c>
      <c r="I144" s="5">
        <v>1819497310700</v>
      </c>
    </row>
    <row r="145" spans="1:9" ht="13.9" x14ac:dyDescent="0.35">
      <c r="A145" s="2">
        <v>44046</v>
      </c>
      <c r="B145" s="3">
        <v>572430759800</v>
      </c>
      <c r="C145" s="3">
        <v>761528398200</v>
      </c>
      <c r="D145" s="49">
        <f t="shared" si="13"/>
        <v>13339.59158</v>
      </c>
      <c r="E145" s="4">
        <v>44827</v>
      </c>
      <c r="F145" s="5">
        <v>1383564384600</v>
      </c>
      <c r="H145" s="4">
        <v>44827</v>
      </c>
      <c r="I145" s="5">
        <v>1874708284200</v>
      </c>
    </row>
    <row r="146" spans="1:9" ht="13.9" x14ac:dyDescent="0.35">
      <c r="A146" s="2">
        <v>44047</v>
      </c>
      <c r="B146" s="3">
        <v>604942141500</v>
      </c>
      <c r="C146" s="3">
        <v>767890452700</v>
      </c>
      <c r="D146" s="49">
        <f t="shared" si="13"/>
        <v>13728.325941999999</v>
      </c>
      <c r="E146" s="4">
        <v>44834</v>
      </c>
      <c r="F146" s="5">
        <v>1376345712900</v>
      </c>
      <c r="H146" s="4">
        <v>44834</v>
      </c>
      <c r="I146" s="5">
        <v>1790483655000</v>
      </c>
    </row>
    <row r="147" spans="1:9" ht="13.9" x14ac:dyDescent="0.35">
      <c r="A147" s="2">
        <v>44048</v>
      </c>
      <c r="B147" s="3">
        <v>526515054700</v>
      </c>
      <c r="C147" s="3">
        <v>670264910600</v>
      </c>
      <c r="D147" s="49">
        <f t="shared" si="13"/>
        <v>11967.799653</v>
      </c>
      <c r="E147" s="4">
        <v>44848</v>
      </c>
      <c r="F147" s="5">
        <v>1533522471300</v>
      </c>
      <c r="H147" s="4">
        <v>44848</v>
      </c>
      <c r="I147" s="5">
        <v>1957648152200</v>
      </c>
    </row>
    <row r="148" spans="1:9" ht="13.9" x14ac:dyDescent="0.35">
      <c r="A148" s="2">
        <v>44049</v>
      </c>
      <c r="B148" s="3">
        <v>570488248100</v>
      </c>
      <c r="C148" s="3">
        <v>721018872000</v>
      </c>
      <c r="D148" s="49">
        <f t="shared" si="13"/>
        <v>12915.071201000001</v>
      </c>
      <c r="E148" s="4">
        <v>44855</v>
      </c>
      <c r="F148" s="5">
        <v>1643528047400</v>
      </c>
      <c r="H148" s="4">
        <v>44855</v>
      </c>
      <c r="I148" s="5">
        <v>2224518608300</v>
      </c>
    </row>
    <row r="149" spans="1:9" ht="13.9" x14ac:dyDescent="0.35">
      <c r="A149" s="2">
        <v>44050</v>
      </c>
      <c r="B149" s="3">
        <v>561435649600</v>
      </c>
      <c r="C149" s="3">
        <v>700755265600</v>
      </c>
      <c r="D149" s="49">
        <f t="shared" si="13"/>
        <v>12621.909152</v>
      </c>
      <c r="E149" s="4">
        <v>44862</v>
      </c>
      <c r="F149" s="5">
        <v>1871682230900</v>
      </c>
      <c r="H149" s="4">
        <v>44862</v>
      </c>
      <c r="I149" s="5">
        <v>2560038972300</v>
      </c>
    </row>
    <row r="150" spans="1:9" ht="13.9" x14ac:dyDescent="0.35">
      <c r="A150" s="2">
        <v>44053</v>
      </c>
      <c r="B150" s="3">
        <v>527083944600</v>
      </c>
      <c r="C150" s="3">
        <v>630528095400</v>
      </c>
      <c r="D150" s="49">
        <f t="shared" si="13"/>
        <v>11576.1204</v>
      </c>
      <c r="E150" s="4">
        <v>44869</v>
      </c>
      <c r="F150" s="5">
        <v>2114674964500</v>
      </c>
      <c r="H150" s="4">
        <v>44869</v>
      </c>
      <c r="I150" s="5">
        <v>2765341753700</v>
      </c>
    </row>
    <row r="151" spans="1:9" ht="13.9" x14ac:dyDescent="0.35">
      <c r="A151" s="2">
        <v>44054</v>
      </c>
      <c r="B151" s="3">
        <v>514020764100</v>
      </c>
      <c r="C151" s="3">
        <v>620585763100</v>
      </c>
      <c r="D151" s="49">
        <f t="shared" si="13"/>
        <v>11346.065272</v>
      </c>
      <c r="E151" s="4">
        <v>44876</v>
      </c>
      <c r="F151" s="5">
        <v>1919967484200</v>
      </c>
      <c r="H151" s="4">
        <v>44876</v>
      </c>
      <c r="I151" s="5">
        <v>2766586328100</v>
      </c>
    </row>
    <row r="152" spans="1:9" ht="13.9" x14ac:dyDescent="0.35">
      <c r="A152" s="2">
        <v>44055</v>
      </c>
      <c r="B152" s="3">
        <v>480731246100</v>
      </c>
      <c r="C152" s="3">
        <v>602926102000</v>
      </c>
      <c r="D152" s="49">
        <f t="shared" si="13"/>
        <v>10836.573480999999</v>
      </c>
      <c r="E152" s="4">
        <v>44883</v>
      </c>
      <c r="F152" s="5">
        <v>2055107140200</v>
      </c>
      <c r="H152" s="4">
        <v>44883</v>
      </c>
      <c r="I152" s="5">
        <v>2905355825400</v>
      </c>
    </row>
    <row r="153" spans="1:9" ht="13.9" x14ac:dyDescent="0.35">
      <c r="A153" s="2">
        <v>44056</v>
      </c>
      <c r="B153" s="3">
        <v>387162288600</v>
      </c>
      <c r="C153" s="3">
        <v>494328105300</v>
      </c>
      <c r="D153" s="49">
        <f t="shared" si="13"/>
        <v>8814.9039389999998</v>
      </c>
      <c r="E153" s="4">
        <v>44890</v>
      </c>
      <c r="F153" s="5">
        <v>1709185686100</v>
      </c>
      <c r="H153" s="4">
        <v>44890</v>
      </c>
      <c r="I153" s="5">
        <v>2343143149100</v>
      </c>
    </row>
    <row r="154" spans="1:9" ht="13.9" x14ac:dyDescent="0.35">
      <c r="A154" s="2">
        <v>44057</v>
      </c>
      <c r="B154" s="3">
        <v>367467421700</v>
      </c>
      <c r="C154" s="3">
        <v>482287532900</v>
      </c>
      <c r="D154" s="49">
        <f t="shared" si="13"/>
        <v>8497.5495460000002</v>
      </c>
      <c r="E154" s="4">
        <v>44897</v>
      </c>
      <c r="F154" s="5">
        <v>2010660002200</v>
      </c>
      <c r="H154" s="4">
        <v>44897</v>
      </c>
      <c r="I154" s="5">
        <v>2570383436600</v>
      </c>
    </row>
    <row r="155" spans="1:9" ht="13.9" x14ac:dyDescent="0.35">
      <c r="A155" s="2">
        <v>44060</v>
      </c>
      <c r="B155" s="3">
        <v>537425075100</v>
      </c>
      <c r="C155" s="3">
        <v>616462867100</v>
      </c>
      <c r="D155" s="49">
        <f t="shared" si="13"/>
        <v>11538.879422</v>
      </c>
      <c r="E155" s="4">
        <v>44904</v>
      </c>
      <c r="F155" s="5">
        <v>2129284295400</v>
      </c>
      <c r="H155" s="4">
        <v>44904</v>
      </c>
      <c r="I155" s="5">
        <v>2751674552000</v>
      </c>
    </row>
    <row r="156" spans="1:9" ht="13.9" x14ac:dyDescent="0.35">
      <c r="A156" s="2">
        <v>44061</v>
      </c>
      <c r="B156" s="3">
        <v>493052155300</v>
      </c>
      <c r="C156" s="3">
        <v>596892629100</v>
      </c>
      <c r="D156" s="49">
        <f t="shared" si="13"/>
        <v>10899.447844</v>
      </c>
      <c r="E156" s="4">
        <v>44911</v>
      </c>
      <c r="F156" s="5">
        <v>1674842786300</v>
      </c>
      <c r="H156" s="4">
        <v>44911</v>
      </c>
      <c r="I156" s="5">
        <v>2389921994900</v>
      </c>
    </row>
    <row r="157" spans="1:9" ht="13.9" x14ac:dyDescent="0.35">
      <c r="A157" s="2">
        <v>44062</v>
      </c>
      <c r="B157" s="3">
        <v>498262158300</v>
      </c>
      <c r="C157" s="3">
        <v>590142820300</v>
      </c>
      <c r="D157" s="49">
        <f t="shared" si="13"/>
        <v>10884.049786</v>
      </c>
      <c r="E157" s="4">
        <v>44918</v>
      </c>
      <c r="F157" s="5">
        <v>1296154211100</v>
      </c>
      <c r="H157" s="4">
        <v>44918</v>
      </c>
      <c r="I157" s="5">
        <v>1918060116000</v>
      </c>
    </row>
    <row r="158" spans="1:9" ht="13.9" x14ac:dyDescent="0.35">
      <c r="A158" s="2">
        <v>44063</v>
      </c>
      <c r="B158" s="3">
        <v>401815550100</v>
      </c>
      <c r="C158" s="3">
        <v>469996080800</v>
      </c>
      <c r="D158" s="49">
        <f t="shared" si="13"/>
        <v>8718.1163089999991</v>
      </c>
      <c r="E158" s="4">
        <v>44925</v>
      </c>
      <c r="F158" s="5">
        <v>1288198508500</v>
      </c>
      <c r="H158" s="4">
        <v>44925</v>
      </c>
      <c r="I158" s="5">
        <v>1874292275300</v>
      </c>
    </row>
    <row r="159" spans="1:9" ht="13.9" x14ac:dyDescent="0.35">
      <c r="A159" s="2">
        <v>44064</v>
      </c>
      <c r="B159" s="3">
        <v>361281752700</v>
      </c>
      <c r="C159" s="3">
        <v>482952719200</v>
      </c>
      <c r="D159" s="49">
        <f t="shared" si="13"/>
        <v>8442.3447190000006</v>
      </c>
      <c r="E159" s="4">
        <v>44932</v>
      </c>
      <c r="F159" s="5">
        <v>1321959145800</v>
      </c>
      <c r="H159" s="4">
        <v>44932</v>
      </c>
      <c r="I159" s="5">
        <v>1931453866400</v>
      </c>
    </row>
    <row r="160" spans="1:9" ht="13.9" x14ac:dyDescent="0.35">
      <c r="A160" s="2">
        <v>44067</v>
      </c>
      <c r="B160" s="3">
        <v>345683380000</v>
      </c>
      <c r="C160" s="3">
        <v>551390118400</v>
      </c>
      <c r="D160" s="49">
        <f t="shared" si="13"/>
        <v>8970.7349840000006</v>
      </c>
      <c r="E160" s="4">
        <v>44939</v>
      </c>
      <c r="F160" s="5">
        <v>1525734704900</v>
      </c>
      <c r="H160" s="4">
        <v>44939</v>
      </c>
      <c r="I160" s="5">
        <v>2154250786000</v>
      </c>
    </row>
    <row r="161" spans="1:9" ht="13.9" x14ac:dyDescent="0.35">
      <c r="A161" s="2">
        <v>44068</v>
      </c>
      <c r="B161" s="3">
        <v>355997790800</v>
      </c>
      <c r="C161" s="3">
        <v>586063100500</v>
      </c>
      <c r="D161" s="49">
        <f t="shared" si="13"/>
        <v>9420.608913</v>
      </c>
      <c r="E161" s="4">
        <v>44946</v>
      </c>
      <c r="F161" s="5">
        <v>1607743321900</v>
      </c>
      <c r="H161" s="4">
        <v>44946</v>
      </c>
      <c r="I161" s="5">
        <v>2088313717400</v>
      </c>
    </row>
    <row r="162" spans="1:9" ht="13.9" x14ac:dyDescent="0.35">
      <c r="A162" s="2">
        <v>44069</v>
      </c>
      <c r="B162" s="3">
        <v>381928906600</v>
      </c>
      <c r="C162" s="3">
        <v>596614403300</v>
      </c>
      <c r="D162" s="49">
        <f t="shared" si="13"/>
        <v>9785.4330989999999</v>
      </c>
      <c r="E162" s="4">
        <v>44960</v>
      </c>
      <c r="F162" s="5">
        <v>2049144277800</v>
      </c>
      <c r="H162" s="4">
        <v>44960</v>
      </c>
      <c r="I162" s="5">
        <v>2856656209500</v>
      </c>
    </row>
    <row r="163" spans="1:9" ht="13.9" x14ac:dyDescent="0.35">
      <c r="A163" s="2">
        <v>44070</v>
      </c>
      <c r="B163" s="3">
        <v>317153391500</v>
      </c>
      <c r="C163" s="3">
        <v>520691035200</v>
      </c>
      <c r="D163" s="49">
        <f t="shared" si="13"/>
        <v>8378.4442670000008</v>
      </c>
      <c r="E163" s="4">
        <v>44967</v>
      </c>
      <c r="F163" s="5">
        <v>1657228346600</v>
      </c>
      <c r="H163" s="4">
        <v>44967</v>
      </c>
      <c r="I163" s="5">
        <v>2661901712900</v>
      </c>
    </row>
    <row r="164" spans="1:9" ht="13.9" x14ac:dyDescent="0.35">
      <c r="A164" s="2">
        <v>44071</v>
      </c>
      <c r="B164" s="3">
        <v>379367046400</v>
      </c>
      <c r="C164" s="3">
        <v>568479060800</v>
      </c>
      <c r="D164" s="49">
        <f t="shared" si="13"/>
        <v>9478.4610720000001</v>
      </c>
      <c r="E164" s="4">
        <v>44974</v>
      </c>
      <c r="F164" s="5">
        <v>1934199636600</v>
      </c>
      <c r="H164" s="4">
        <v>44974</v>
      </c>
      <c r="I164" s="5">
        <v>3003362322500</v>
      </c>
    </row>
    <row r="165" spans="1:9" ht="13.9" x14ac:dyDescent="0.35">
      <c r="A165" s="2">
        <v>44074</v>
      </c>
      <c r="B165" s="3">
        <v>436930125400</v>
      </c>
      <c r="C165" s="3">
        <v>597534960300</v>
      </c>
      <c r="D165" s="49">
        <f t="shared" si="13"/>
        <v>10344.650857000001</v>
      </c>
      <c r="E165" s="4">
        <v>44981</v>
      </c>
      <c r="F165" s="5">
        <v>1751296089000</v>
      </c>
      <c r="H165" s="4">
        <v>44981</v>
      </c>
      <c r="I165" s="5">
        <v>2436263181200</v>
      </c>
    </row>
    <row r="166" spans="1:9" ht="13.9" x14ac:dyDescent="0.35">
      <c r="A166" s="2">
        <v>44075</v>
      </c>
      <c r="B166" s="3">
        <v>326850955300</v>
      </c>
      <c r="C166" s="3">
        <v>524538665100</v>
      </c>
      <c r="D166" s="49">
        <f t="shared" si="13"/>
        <v>8513.8962040000006</v>
      </c>
      <c r="E166" s="4">
        <v>44988</v>
      </c>
      <c r="F166" s="5">
        <v>1805273275600</v>
      </c>
      <c r="H166" s="4">
        <v>44988</v>
      </c>
      <c r="I166" s="5">
        <v>2427016680400</v>
      </c>
    </row>
    <row r="167" spans="1:9" ht="13.9" x14ac:dyDescent="0.35">
      <c r="A167" s="2">
        <v>44076</v>
      </c>
      <c r="B167" s="3">
        <v>345638982300</v>
      </c>
      <c r="C167" s="3">
        <v>623392804500</v>
      </c>
      <c r="D167" s="49">
        <f t="shared" si="13"/>
        <v>9690.3178680000001</v>
      </c>
      <c r="E167" s="4">
        <v>44995</v>
      </c>
      <c r="F167" s="5">
        <v>1845544405100</v>
      </c>
      <c r="H167" s="4">
        <v>44995</v>
      </c>
      <c r="I167" s="5">
        <v>2322707195100</v>
      </c>
    </row>
    <row r="168" spans="1:9" ht="13.9" x14ac:dyDescent="0.35">
      <c r="A168" s="2">
        <v>44077</v>
      </c>
      <c r="B168" s="3">
        <v>350706563900</v>
      </c>
      <c r="C168" s="3">
        <v>591494011200</v>
      </c>
      <c r="D168" s="49">
        <f t="shared" si="13"/>
        <v>9422.0057510000006</v>
      </c>
      <c r="E168" s="4">
        <v>45002</v>
      </c>
      <c r="F168" s="5">
        <v>1972560133100</v>
      </c>
      <c r="H168" s="4">
        <v>45002</v>
      </c>
      <c r="I168" s="5">
        <v>2435750370600</v>
      </c>
    </row>
    <row r="169" spans="1:9" ht="13.9" x14ac:dyDescent="0.35">
      <c r="A169" s="2">
        <v>44078</v>
      </c>
      <c r="B169" s="3">
        <v>308179657600</v>
      </c>
      <c r="C169" s="3">
        <v>530504764400</v>
      </c>
      <c r="D169" s="49">
        <f t="shared" si="13"/>
        <v>8386.8442200000009</v>
      </c>
      <c r="E169" s="4">
        <v>45009</v>
      </c>
      <c r="F169" s="5">
        <v>2108174933600</v>
      </c>
      <c r="H169" s="4">
        <v>45009</v>
      </c>
      <c r="I169" s="5">
        <v>2895648387800</v>
      </c>
    </row>
    <row r="170" spans="1:9" ht="13.9" x14ac:dyDescent="0.35">
      <c r="A170" s="2">
        <v>44081</v>
      </c>
      <c r="B170" s="3">
        <v>357726463900</v>
      </c>
      <c r="C170" s="3">
        <v>663791484100</v>
      </c>
      <c r="D170" s="49">
        <f t="shared" si="13"/>
        <v>10215.179480000001</v>
      </c>
      <c r="E170" s="4">
        <v>45016</v>
      </c>
      <c r="F170" s="5">
        <v>2054335046400</v>
      </c>
      <c r="H170" s="4">
        <v>45016</v>
      </c>
      <c r="I170" s="5">
        <v>2968879004700</v>
      </c>
    </row>
    <row r="171" spans="1:9" ht="13.9" x14ac:dyDescent="0.35">
      <c r="A171" s="2">
        <v>44082</v>
      </c>
      <c r="B171" s="3">
        <v>320229901300</v>
      </c>
      <c r="C171" s="3">
        <v>604152817700</v>
      </c>
      <c r="D171" s="49">
        <f t="shared" si="13"/>
        <v>9243.82719</v>
      </c>
      <c r="E171" s="4">
        <v>45023</v>
      </c>
      <c r="F171" s="5">
        <v>2012074595600</v>
      </c>
      <c r="H171" s="4">
        <v>45023</v>
      </c>
      <c r="I171" s="5">
        <v>2812757813200</v>
      </c>
    </row>
    <row r="172" spans="1:9" ht="13.9" x14ac:dyDescent="0.35">
      <c r="A172" s="2">
        <v>44083</v>
      </c>
      <c r="B172" s="3">
        <v>341054534100</v>
      </c>
      <c r="C172" s="3">
        <v>695257197800</v>
      </c>
      <c r="D172" s="49">
        <f t="shared" si="13"/>
        <v>10363.117319000001</v>
      </c>
      <c r="E172" s="4">
        <v>45030</v>
      </c>
      <c r="F172" s="5">
        <v>2421329705700</v>
      </c>
      <c r="H172" s="4">
        <v>45030</v>
      </c>
      <c r="I172" s="5">
        <v>3271432728700</v>
      </c>
    </row>
    <row r="173" spans="1:9" ht="13.9" x14ac:dyDescent="0.35">
      <c r="A173" s="2">
        <v>44084</v>
      </c>
      <c r="B173" s="3">
        <v>309676743600</v>
      </c>
      <c r="C173" s="3">
        <v>563505064900</v>
      </c>
      <c r="D173" s="49">
        <f t="shared" si="13"/>
        <v>8731.8180850000008</v>
      </c>
      <c r="E173" s="4">
        <v>45037</v>
      </c>
      <c r="F173" s="5">
        <v>2504764852900</v>
      </c>
      <c r="H173" s="4">
        <v>45037</v>
      </c>
      <c r="I173" s="5">
        <v>3115219395700</v>
      </c>
    </row>
    <row r="174" spans="1:9" ht="13.9" x14ac:dyDescent="0.35">
      <c r="A174" s="2">
        <v>44085</v>
      </c>
      <c r="B174" s="3">
        <v>254844994300</v>
      </c>
      <c r="C174" s="3">
        <v>429697975500</v>
      </c>
      <c r="D174" s="49">
        <f t="shared" si="13"/>
        <v>6845.4296979999999</v>
      </c>
      <c r="E174" s="4">
        <v>45044</v>
      </c>
      <c r="F174" s="5">
        <v>2429004238200</v>
      </c>
      <c r="H174" s="4">
        <v>45044</v>
      </c>
      <c r="I174" s="5">
        <v>3072149822900</v>
      </c>
    </row>
    <row r="175" spans="1:9" ht="13.9" x14ac:dyDescent="0.35">
      <c r="A175" s="2">
        <v>44088</v>
      </c>
      <c r="B175" s="3">
        <v>269219919700</v>
      </c>
      <c r="C175" s="3">
        <v>500232824800</v>
      </c>
      <c r="D175" s="49">
        <f t="shared" si="13"/>
        <v>7694.5274449999997</v>
      </c>
      <c r="E175" s="4">
        <v>45051</v>
      </c>
      <c r="F175" s="5">
        <v>1049789280800</v>
      </c>
      <c r="H175" s="4">
        <v>45051</v>
      </c>
      <c r="I175" s="5">
        <v>1193044103400</v>
      </c>
    </row>
    <row r="176" spans="1:9" ht="13.9" x14ac:dyDescent="0.35">
      <c r="A176" s="2">
        <v>44089</v>
      </c>
      <c r="B176" s="3">
        <v>251763868500</v>
      </c>
      <c r="C176" s="3">
        <v>473732813800</v>
      </c>
      <c r="D176" s="49">
        <f t="shared" si="13"/>
        <v>7254.9668229999997</v>
      </c>
      <c r="E176" s="4">
        <v>45058</v>
      </c>
      <c r="F176" s="5">
        <v>2461719291000</v>
      </c>
      <c r="H176" s="4">
        <v>45058</v>
      </c>
      <c r="I176" s="5">
        <v>2660814373500</v>
      </c>
    </row>
    <row r="177" spans="1:9" ht="13.9" x14ac:dyDescent="0.35">
      <c r="A177" s="2">
        <v>44090</v>
      </c>
      <c r="B177" s="3">
        <v>242270893500</v>
      </c>
      <c r="C177" s="3">
        <v>441995000900</v>
      </c>
      <c r="D177" s="49">
        <f t="shared" si="13"/>
        <v>6842.6589439999998</v>
      </c>
      <c r="E177" s="4">
        <v>45065</v>
      </c>
      <c r="F177" s="5">
        <v>1885518563500</v>
      </c>
      <c r="H177" s="4">
        <v>45065</v>
      </c>
      <c r="I177" s="5">
        <v>2428233609800</v>
      </c>
    </row>
    <row r="178" spans="1:9" ht="13.9" x14ac:dyDescent="0.35">
      <c r="A178" s="2">
        <v>44091</v>
      </c>
      <c r="B178" s="3">
        <v>279311053400</v>
      </c>
      <c r="C178" s="3">
        <v>474313751800</v>
      </c>
      <c r="D178" s="49">
        <f t="shared" si="13"/>
        <v>7536.2480519999999</v>
      </c>
      <c r="E178" s="4">
        <v>45072</v>
      </c>
      <c r="F178" s="5">
        <v>1690822157900</v>
      </c>
      <c r="H178" s="4">
        <v>45072</v>
      </c>
      <c r="I178" s="5">
        <v>2350419649100</v>
      </c>
    </row>
    <row r="179" spans="1:9" ht="13.9" x14ac:dyDescent="0.35">
      <c r="A179" s="2">
        <v>44092</v>
      </c>
      <c r="B179" s="3">
        <v>337025892900</v>
      </c>
      <c r="C179" s="3">
        <v>498662473800</v>
      </c>
      <c r="D179" s="49">
        <f t="shared" si="13"/>
        <v>8356.8836670000001</v>
      </c>
      <c r="E179" s="4">
        <v>45079</v>
      </c>
      <c r="F179" s="5">
        <v>1917987170100</v>
      </c>
      <c r="H179" s="4">
        <v>45079</v>
      </c>
      <c r="I179" s="5">
        <v>2802013929500</v>
      </c>
    </row>
    <row r="180" spans="1:9" ht="13.9" x14ac:dyDescent="0.35">
      <c r="A180" s="2">
        <v>44095</v>
      </c>
      <c r="B180" s="3">
        <v>287691308100</v>
      </c>
      <c r="C180" s="3">
        <v>467385977700</v>
      </c>
      <c r="D180" s="49">
        <f t="shared" si="13"/>
        <v>7550.7728580000003</v>
      </c>
      <c r="E180" s="4">
        <v>45086</v>
      </c>
      <c r="F180" s="5">
        <v>1843279587700</v>
      </c>
      <c r="H180" s="4">
        <v>45086</v>
      </c>
      <c r="I180" s="5">
        <v>2631671724900</v>
      </c>
    </row>
    <row r="181" spans="1:9" ht="13.9" x14ac:dyDescent="0.35">
      <c r="A181" s="2">
        <v>44096</v>
      </c>
      <c r="B181" s="3">
        <v>269113293700</v>
      </c>
      <c r="C181" s="3">
        <v>433184427000</v>
      </c>
      <c r="D181" s="49">
        <f t="shared" si="13"/>
        <v>7022.9772069999999</v>
      </c>
      <c r="E181" s="4">
        <v>45093</v>
      </c>
      <c r="F181" s="5">
        <v>2066343242700</v>
      </c>
      <c r="H181" s="4">
        <v>45093</v>
      </c>
      <c r="I181" s="5">
        <v>2981796877600</v>
      </c>
    </row>
    <row r="182" spans="1:9" ht="13.9" x14ac:dyDescent="0.35">
      <c r="A182" s="2">
        <v>44097</v>
      </c>
      <c r="B182" s="3">
        <v>240742428800</v>
      </c>
      <c r="C182" s="3">
        <v>420011108900</v>
      </c>
      <c r="D182" s="49">
        <f t="shared" si="13"/>
        <v>6607.5353770000002</v>
      </c>
      <c r="E182" s="4">
        <v>45098</v>
      </c>
      <c r="F182" s="5">
        <v>1294704721100</v>
      </c>
      <c r="H182" s="4">
        <v>45098</v>
      </c>
      <c r="I182" s="5">
        <v>1923331931000</v>
      </c>
    </row>
    <row r="183" spans="1:9" ht="13.9" x14ac:dyDescent="0.35">
      <c r="A183" s="2">
        <v>44098</v>
      </c>
      <c r="B183" s="3">
        <v>258259919700</v>
      </c>
      <c r="C183" s="3">
        <v>421049291200</v>
      </c>
      <c r="D183" s="49">
        <f t="shared" si="13"/>
        <v>6793.0921090000002</v>
      </c>
      <c r="E183" s="4">
        <v>45107</v>
      </c>
      <c r="F183" s="5">
        <v>1813841934800</v>
      </c>
      <c r="H183" s="4">
        <v>45107</v>
      </c>
      <c r="I183" s="5">
        <v>2675572899200</v>
      </c>
    </row>
    <row r="184" spans="1:9" ht="13.9" x14ac:dyDescent="0.35">
      <c r="A184" s="2">
        <v>44099</v>
      </c>
      <c r="B184" s="3">
        <v>220674477000</v>
      </c>
      <c r="C184" s="3">
        <v>348702805000</v>
      </c>
      <c r="D184" s="49">
        <f t="shared" si="13"/>
        <v>5693.7728200000001</v>
      </c>
      <c r="E184" s="4">
        <v>45114</v>
      </c>
      <c r="F184" s="5">
        <v>1794120167000</v>
      </c>
      <c r="H184" s="4">
        <v>45114</v>
      </c>
      <c r="I184" s="5">
        <v>2646538699900</v>
      </c>
    </row>
    <row r="185" spans="1:9" ht="13.9" x14ac:dyDescent="0.35">
      <c r="A185" s="2">
        <v>44102</v>
      </c>
      <c r="B185" s="3">
        <v>209672387600</v>
      </c>
      <c r="C185" s="3">
        <v>330571500200</v>
      </c>
      <c r="D185" s="49">
        <f t="shared" si="13"/>
        <v>5402.4388779999999</v>
      </c>
      <c r="E185" s="4">
        <v>45121</v>
      </c>
      <c r="F185" s="5">
        <v>1728426279500</v>
      </c>
      <c r="H185" s="4">
        <v>45121</v>
      </c>
      <c r="I185" s="5">
        <v>2561491040800</v>
      </c>
    </row>
    <row r="186" spans="1:9" ht="13.9" x14ac:dyDescent="0.35">
      <c r="A186" s="2">
        <v>44103</v>
      </c>
      <c r="B186" s="3">
        <v>207307813800</v>
      </c>
      <c r="C186" s="3">
        <v>337689971600</v>
      </c>
      <c r="D186" s="49">
        <f t="shared" si="13"/>
        <v>5449.9778539999998</v>
      </c>
      <c r="E186" s="4">
        <v>45128</v>
      </c>
      <c r="F186" s="5">
        <v>1493661452100</v>
      </c>
      <c r="H186" s="4">
        <v>45128</v>
      </c>
      <c r="I186" s="5">
        <v>2285029579600</v>
      </c>
    </row>
    <row r="187" spans="1:9" ht="13.9" x14ac:dyDescent="0.35">
      <c r="A187" s="2">
        <v>44104</v>
      </c>
      <c r="B187" s="3">
        <v>205762857300</v>
      </c>
      <c r="C187" s="3">
        <v>334222912100</v>
      </c>
      <c r="D187" s="49">
        <f t="shared" si="13"/>
        <v>5399.8576940000003</v>
      </c>
      <c r="E187" s="4">
        <v>45135</v>
      </c>
      <c r="F187" s="5">
        <v>1768341305100</v>
      </c>
      <c r="H187" s="4">
        <v>45135</v>
      </c>
      <c r="I187" s="5">
        <v>2359128790900</v>
      </c>
    </row>
    <row r="188" spans="1:9" ht="13.9" x14ac:dyDescent="0.35">
      <c r="A188" s="2">
        <v>44113</v>
      </c>
      <c r="B188" s="3">
        <v>264171043800</v>
      </c>
      <c r="C188" s="3">
        <v>447093850500</v>
      </c>
      <c r="D188" s="49">
        <f t="shared" si="13"/>
        <v>7112.6489430000001</v>
      </c>
      <c r="E188" s="4">
        <v>45142</v>
      </c>
      <c r="F188" s="5">
        <v>2228200132400</v>
      </c>
      <c r="H188" s="4">
        <v>45142</v>
      </c>
      <c r="I188" s="5">
        <v>2551722935200</v>
      </c>
    </row>
    <row r="189" spans="1:9" ht="13.9" x14ac:dyDescent="0.35">
      <c r="A189" s="2">
        <v>44116</v>
      </c>
      <c r="B189" s="3">
        <v>355700113700</v>
      </c>
      <c r="C189" s="3">
        <v>615691921100</v>
      </c>
      <c r="D189" s="49">
        <f t="shared" si="13"/>
        <v>9713.9203479999996</v>
      </c>
      <c r="E189" s="4">
        <v>45149</v>
      </c>
      <c r="F189" s="5">
        <v>1705035980600</v>
      </c>
      <c r="H189" s="4">
        <v>45149</v>
      </c>
      <c r="I189" s="5">
        <v>2178138229900</v>
      </c>
    </row>
    <row r="190" spans="1:9" ht="13.9" x14ac:dyDescent="0.35">
      <c r="A190" s="2">
        <v>44117</v>
      </c>
      <c r="B190" s="3">
        <v>288505837500</v>
      </c>
      <c r="C190" s="3">
        <v>546433468600</v>
      </c>
      <c r="D190" s="49">
        <f t="shared" si="13"/>
        <v>8349.3930610000007</v>
      </c>
      <c r="E190" s="4">
        <v>45156</v>
      </c>
      <c r="F190" s="5">
        <v>1568305853400</v>
      </c>
      <c r="H190" s="4">
        <v>45156</v>
      </c>
      <c r="I190" s="5">
        <v>2068877896200</v>
      </c>
    </row>
    <row r="191" spans="1:9" ht="13.9" x14ac:dyDescent="0.35">
      <c r="A191" s="2">
        <v>44118</v>
      </c>
      <c r="B191" s="3">
        <v>281159984700</v>
      </c>
      <c r="C191" s="3">
        <v>546479958000</v>
      </c>
      <c r="D191" s="49">
        <f t="shared" si="13"/>
        <v>8276.3994270000003</v>
      </c>
      <c r="E191" s="4">
        <v>45163</v>
      </c>
      <c r="F191" s="5">
        <v>1590550118300</v>
      </c>
      <c r="H191" s="4">
        <v>45163</v>
      </c>
      <c r="I191" s="5">
        <v>2164030754300</v>
      </c>
    </row>
    <row r="192" spans="1:9" ht="13.9" x14ac:dyDescent="0.35">
      <c r="A192" s="2">
        <v>44119</v>
      </c>
      <c r="B192" s="3">
        <v>263848674000</v>
      </c>
      <c r="C192" s="3">
        <v>500158366800</v>
      </c>
      <c r="D192" s="49">
        <f t="shared" si="13"/>
        <v>7640.0704079999996</v>
      </c>
      <c r="E192" s="4">
        <v>45170</v>
      </c>
      <c r="F192" s="5">
        <v>2073189789200</v>
      </c>
      <c r="H192" s="4">
        <v>45170</v>
      </c>
      <c r="I192" s="5">
        <v>2649476144500</v>
      </c>
    </row>
    <row r="193" spans="1:9" ht="13.9" x14ac:dyDescent="0.35">
      <c r="A193" s="2">
        <v>44120</v>
      </c>
      <c r="B193" s="3">
        <v>253448029500</v>
      </c>
      <c r="C193" s="3">
        <v>455149173300</v>
      </c>
      <c r="D193" s="49">
        <f t="shared" si="13"/>
        <v>7085.9720280000001</v>
      </c>
      <c r="E193" s="4">
        <v>45177</v>
      </c>
      <c r="F193" s="5">
        <v>1658455694300</v>
      </c>
      <c r="H193" s="4">
        <v>45177</v>
      </c>
      <c r="I193" s="5">
        <v>2250186044800</v>
      </c>
    </row>
    <row r="194" spans="1:9" ht="13.9" x14ac:dyDescent="0.35">
      <c r="A194" s="2">
        <v>44123</v>
      </c>
      <c r="B194" s="3">
        <v>283882790200</v>
      </c>
      <c r="C194" s="3">
        <v>455213802800</v>
      </c>
      <c r="D194" s="49">
        <f t="shared" si="13"/>
        <v>7390.9659300000003</v>
      </c>
      <c r="E194" s="4">
        <v>45184</v>
      </c>
      <c r="F194" s="5">
        <v>1523530106400</v>
      </c>
      <c r="H194" s="4">
        <v>45184</v>
      </c>
      <c r="I194" s="5">
        <v>2111725487400</v>
      </c>
    </row>
    <row r="195" spans="1:9" ht="13.9" x14ac:dyDescent="0.35">
      <c r="A195" s="2">
        <v>44124</v>
      </c>
      <c r="B195" s="3">
        <v>227823367100</v>
      </c>
      <c r="C195" s="3">
        <v>439564288300</v>
      </c>
      <c r="D195" s="49">
        <f t="shared" si="13"/>
        <v>6673.8765540000004</v>
      </c>
      <c r="E195" s="4">
        <v>45191</v>
      </c>
      <c r="F195" s="5">
        <v>1381707444900</v>
      </c>
      <c r="H195" s="4">
        <v>45191</v>
      </c>
      <c r="I195" s="5">
        <v>1869550279800</v>
      </c>
    </row>
    <row r="196" spans="1:9" ht="13.9" x14ac:dyDescent="0.35">
      <c r="A196" s="2">
        <v>44125</v>
      </c>
      <c r="B196" s="3">
        <v>246848139000</v>
      </c>
      <c r="C196" s="3">
        <v>459418254600</v>
      </c>
      <c r="D196" s="49">
        <f t="shared" si="13"/>
        <v>7062.6639359999999</v>
      </c>
      <c r="E196" s="4">
        <v>45197</v>
      </c>
      <c r="F196" s="5">
        <v>1146459205800</v>
      </c>
      <c r="H196" s="4">
        <v>45197</v>
      </c>
      <c r="I196" s="5">
        <v>1670796970000</v>
      </c>
    </row>
    <row r="197" spans="1:9" ht="13.9" x14ac:dyDescent="0.35">
      <c r="A197" s="2">
        <v>44126</v>
      </c>
      <c r="B197" s="3">
        <v>236428248900</v>
      </c>
      <c r="C197" s="3">
        <v>427265152000</v>
      </c>
      <c r="D197" s="49">
        <f t="shared" si="13"/>
        <v>6636.9340089999996</v>
      </c>
      <c r="E197" s="4">
        <v>45212</v>
      </c>
      <c r="F197" s="5">
        <v>1558281819700</v>
      </c>
      <c r="H197" s="4">
        <v>45212</v>
      </c>
      <c r="I197" s="5">
        <v>2464846162600</v>
      </c>
    </row>
    <row r="198" spans="1:9" ht="13.9" x14ac:dyDescent="0.35">
      <c r="A198" s="2">
        <v>44127</v>
      </c>
      <c r="B198" s="3">
        <v>249912883300</v>
      </c>
      <c r="C198" s="3">
        <v>437815005000</v>
      </c>
      <c r="D198" s="49">
        <f t="shared" ref="D198:D261" si="14">(B198+C198)/100000000</f>
        <v>6877.278883</v>
      </c>
      <c r="E198" s="4">
        <v>45219</v>
      </c>
      <c r="F198" s="5">
        <v>1587184037600</v>
      </c>
      <c r="H198" s="4">
        <v>45219</v>
      </c>
      <c r="I198" s="5">
        <v>2272170731600</v>
      </c>
    </row>
    <row r="199" spans="1:9" ht="13.9" x14ac:dyDescent="0.35">
      <c r="A199" s="2">
        <v>44130</v>
      </c>
      <c r="B199" s="3">
        <v>235462468400</v>
      </c>
      <c r="C199" s="3">
        <v>398146021300</v>
      </c>
      <c r="D199" s="49">
        <f t="shared" si="14"/>
        <v>6336.0848969999997</v>
      </c>
      <c r="E199" s="4">
        <v>45226</v>
      </c>
      <c r="F199" s="5">
        <v>1724728921000</v>
      </c>
      <c r="H199" s="4">
        <v>45226</v>
      </c>
      <c r="I199" s="5">
        <v>2481065416200</v>
      </c>
    </row>
    <row r="200" spans="1:9" ht="13.9" x14ac:dyDescent="0.35">
      <c r="A200" s="2">
        <v>44131</v>
      </c>
      <c r="B200" s="3">
        <v>217487420900</v>
      </c>
      <c r="C200" s="3">
        <v>413768087500</v>
      </c>
      <c r="D200" s="49">
        <f t="shared" si="14"/>
        <v>6312.5550839999996</v>
      </c>
      <c r="E200" s="4">
        <v>45233</v>
      </c>
      <c r="F200" s="5">
        <v>1814223536000</v>
      </c>
      <c r="H200" s="4">
        <v>45233</v>
      </c>
      <c r="I200" s="5">
        <v>2530463237400</v>
      </c>
    </row>
    <row r="201" spans="1:9" ht="13.9" x14ac:dyDescent="0.35">
      <c r="A201" s="2">
        <v>44132</v>
      </c>
      <c r="B201" s="3">
        <v>256213458200</v>
      </c>
      <c r="C201" s="3">
        <v>476942312100</v>
      </c>
      <c r="D201" s="49">
        <f t="shared" si="14"/>
        <v>7331.5577030000004</v>
      </c>
      <c r="E201" s="4">
        <v>45240</v>
      </c>
      <c r="F201" s="5">
        <v>1999462825500</v>
      </c>
      <c r="H201" s="4">
        <v>45240</v>
      </c>
      <c r="I201" s="5">
        <v>2884232419500</v>
      </c>
    </row>
    <row r="202" spans="1:9" ht="13.9" x14ac:dyDescent="0.35">
      <c r="A202" s="2">
        <v>44133</v>
      </c>
      <c r="B202" s="3">
        <v>278605665200</v>
      </c>
      <c r="C202" s="3">
        <v>501664581200</v>
      </c>
      <c r="D202" s="49">
        <f t="shared" si="14"/>
        <v>7802.702464</v>
      </c>
      <c r="E202" s="4">
        <v>45247</v>
      </c>
      <c r="F202" s="5">
        <v>1749818816900</v>
      </c>
      <c r="H202" s="4">
        <v>45247</v>
      </c>
      <c r="I202" s="5">
        <v>2679607615200</v>
      </c>
    </row>
    <row r="203" spans="1:9" ht="13.9" x14ac:dyDescent="0.35">
      <c r="A203" s="2">
        <v>44134</v>
      </c>
      <c r="B203" s="3">
        <v>328917241600</v>
      </c>
      <c r="C203" s="3">
        <v>541925080200.00006</v>
      </c>
      <c r="D203" s="49">
        <f t="shared" si="14"/>
        <v>8708.4232179999999</v>
      </c>
      <c r="E203" s="4">
        <v>45254</v>
      </c>
      <c r="F203" s="5">
        <v>1716174699300</v>
      </c>
      <c r="H203" s="4">
        <v>45254</v>
      </c>
      <c r="I203" s="5">
        <v>2722173964500</v>
      </c>
    </row>
    <row r="204" spans="1:9" ht="13.9" x14ac:dyDescent="0.35">
      <c r="A204" s="2">
        <v>44137</v>
      </c>
      <c r="B204" s="3">
        <v>325321869100</v>
      </c>
      <c r="C204" s="3">
        <v>487108359300</v>
      </c>
      <c r="D204" s="49">
        <f t="shared" si="14"/>
        <v>8124.3022840000003</v>
      </c>
      <c r="E204" s="4">
        <v>45261</v>
      </c>
      <c r="F204" s="5">
        <v>1652453611800</v>
      </c>
      <c r="H204" s="4">
        <v>45261</v>
      </c>
      <c r="I204" s="5">
        <v>2331787086300</v>
      </c>
    </row>
    <row r="205" spans="1:9" ht="13.9" x14ac:dyDescent="0.35">
      <c r="A205" s="2">
        <v>44138</v>
      </c>
      <c r="B205" s="3">
        <v>303730147800</v>
      </c>
      <c r="C205" s="3">
        <v>481006434700</v>
      </c>
      <c r="D205" s="49">
        <f t="shared" si="14"/>
        <v>7847.3658249999999</v>
      </c>
      <c r="E205" s="4">
        <v>45268</v>
      </c>
      <c r="F205" s="5">
        <v>1792485026400</v>
      </c>
      <c r="H205" s="4">
        <v>45268</v>
      </c>
      <c r="I205" s="5">
        <v>2480172620500</v>
      </c>
    </row>
    <row r="206" spans="1:9" ht="13.9" x14ac:dyDescent="0.35">
      <c r="A206" s="2">
        <v>44139</v>
      </c>
      <c r="B206" s="3">
        <v>270723846500</v>
      </c>
      <c r="C206" s="3">
        <v>459035900600</v>
      </c>
      <c r="D206" s="49">
        <f t="shared" si="14"/>
        <v>7297.597471</v>
      </c>
      <c r="E206" s="4">
        <v>45275</v>
      </c>
      <c r="F206" s="5">
        <v>1704740589700</v>
      </c>
      <c r="H206" s="4">
        <v>45275</v>
      </c>
      <c r="I206" s="5">
        <v>2232979658200</v>
      </c>
    </row>
    <row r="207" spans="1:9" ht="13.9" x14ac:dyDescent="0.35">
      <c r="A207" s="2">
        <v>44140</v>
      </c>
      <c r="B207" s="3">
        <v>316292710000</v>
      </c>
      <c r="C207" s="3">
        <v>543460270000</v>
      </c>
      <c r="D207" s="49">
        <f t="shared" si="14"/>
        <v>8597.5298000000003</v>
      </c>
      <c r="E207" s="4">
        <v>45282</v>
      </c>
      <c r="F207" s="5">
        <v>1522430216400</v>
      </c>
      <c r="H207" s="4">
        <v>45282</v>
      </c>
      <c r="I207" s="5">
        <v>1988550069800</v>
      </c>
    </row>
    <row r="208" spans="1:9" ht="13.9" x14ac:dyDescent="0.35">
      <c r="A208" s="2">
        <v>44141</v>
      </c>
      <c r="B208" s="3">
        <v>325485056700</v>
      </c>
      <c r="C208" s="3">
        <v>552968421000</v>
      </c>
      <c r="D208" s="49">
        <f t="shared" si="14"/>
        <v>8784.5347770000008</v>
      </c>
      <c r="E208" s="4">
        <v>45289</v>
      </c>
      <c r="F208" s="5">
        <v>1542208452600</v>
      </c>
      <c r="H208" s="4">
        <v>45289</v>
      </c>
      <c r="I208" s="5">
        <v>2019645009000</v>
      </c>
    </row>
    <row r="209" spans="1:9" ht="13.9" x14ac:dyDescent="0.35">
      <c r="A209" s="2">
        <v>44144</v>
      </c>
      <c r="B209" s="3">
        <v>429948921900</v>
      </c>
      <c r="C209" s="3">
        <v>653600484000</v>
      </c>
      <c r="D209" s="49">
        <f t="shared" si="14"/>
        <v>10835.494059000001</v>
      </c>
      <c r="E209" s="4">
        <v>45296</v>
      </c>
      <c r="F209" s="5">
        <v>1289177468600</v>
      </c>
      <c r="H209" s="4">
        <v>45296</v>
      </c>
      <c r="I209" s="5">
        <v>1645806448800</v>
      </c>
    </row>
    <row r="210" spans="1:9" ht="13.9" x14ac:dyDescent="0.35">
      <c r="A210" s="2">
        <v>44145</v>
      </c>
      <c r="B210" s="3">
        <v>390008391700</v>
      </c>
      <c r="C210" s="3">
        <v>591195898100</v>
      </c>
      <c r="D210" s="49">
        <f t="shared" si="14"/>
        <v>9812.0428979999997</v>
      </c>
      <c r="E210" s="4">
        <v>45303</v>
      </c>
      <c r="F210" s="5">
        <v>1447799154900</v>
      </c>
      <c r="H210" s="4">
        <v>45303</v>
      </c>
      <c r="I210" s="5">
        <v>1919829730900</v>
      </c>
    </row>
    <row r="211" spans="1:9" ht="13.9" x14ac:dyDescent="0.35">
      <c r="A211" s="2">
        <v>44146</v>
      </c>
      <c r="B211" s="3">
        <v>355802065500</v>
      </c>
      <c r="C211" s="3">
        <v>513813237500</v>
      </c>
      <c r="D211" s="49">
        <f t="shared" si="14"/>
        <v>8696.1530299999995</v>
      </c>
      <c r="E211" s="4">
        <v>45310</v>
      </c>
      <c r="F211" s="5">
        <v>1550568544600</v>
      </c>
      <c r="H211" s="4">
        <v>45310</v>
      </c>
      <c r="I211" s="5">
        <v>1914119931100</v>
      </c>
    </row>
    <row r="212" spans="1:9" ht="13.9" x14ac:dyDescent="0.35">
      <c r="A212" s="2">
        <v>44147</v>
      </c>
      <c r="B212" s="3">
        <v>286927436400</v>
      </c>
      <c r="C212" s="3">
        <v>421166034000</v>
      </c>
      <c r="D212" s="49">
        <f t="shared" si="14"/>
        <v>7080.9347040000002</v>
      </c>
      <c r="E212" s="4">
        <v>45317</v>
      </c>
      <c r="F212" s="5">
        <v>1869506544000</v>
      </c>
      <c r="H212" s="4">
        <v>45317</v>
      </c>
      <c r="I212" s="5">
        <v>2115884890200</v>
      </c>
    </row>
    <row r="213" spans="1:9" ht="13.9" x14ac:dyDescent="0.35">
      <c r="A213" s="2">
        <v>44148</v>
      </c>
      <c r="B213" s="3">
        <v>301527966900</v>
      </c>
      <c r="C213" s="3">
        <v>425634559000</v>
      </c>
      <c r="D213" s="49">
        <f t="shared" si="14"/>
        <v>7271.6252590000004</v>
      </c>
      <c r="E213" s="4">
        <v>45324</v>
      </c>
      <c r="F213" s="5">
        <v>1812114839900</v>
      </c>
      <c r="H213" s="4">
        <v>45324</v>
      </c>
      <c r="I213" s="5">
        <v>1923689897900</v>
      </c>
    </row>
    <row r="214" spans="1:9" ht="13.9" x14ac:dyDescent="0.35">
      <c r="A214" s="2">
        <v>44151</v>
      </c>
      <c r="B214" s="3">
        <v>333750600100</v>
      </c>
      <c r="C214" s="3">
        <v>467276089800</v>
      </c>
      <c r="D214" s="49">
        <f t="shared" si="14"/>
        <v>8010.2668990000002</v>
      </c>
      <c r="E214" s="4">
        <v>45330</v>
      </c>
      <c r="F214" s="5">
        <v>1844952082500</v>
      </c>
      <c r="H214" s="4">
        <v>45330</v>
      </c>
      <c r="I214" s="5">
        <v>1998148668900</v>
      </c>
    </row>
    <row r="215" spans="1:9" ht="13.9" x14ac:dyDescent="0.35">
      <c r="A215" s="2">
        <v>44152</v>
      </c>
      <c r="B215" s="3">
        <v>353623369900</v>
      </c>
      <c r="C215" s="3">
        <v>499915287500</v>
      </c>
      <c r="D215" s="49">
        <f t="shared" si="14"/>
        <v>8535.3865740000001</v>
      </c>
      <c r="E215" s="4">
        <v>45345</v>
      </c>
      <c r="F215" s="5">
        <v>2013624435900</v>
      </c>
      <c r="H215" s="4">
        <v>45345</v>
      </c>
      <c r="I215" s="5">
        <v>2457707400600</v>
      </c>
    </row>
    <row r="216" spans="1:9" ht="13.9" x14ac:dyDescent="0.35">
      <c r="A216" s="2">
        <v>44153</v>
      </c>
      <c r="B216" s="3">
        <v>358745367400</v>
      </c>
      <c r="C216" s="3">
        <v>463012960200</v>
      </c>
      <c r="D216" s="49">
        <f t="shared" si="14"/>
        <v>8217.5832759999994</v>
      </c>
      <c r="E216" s="4">
        <v>45352</v>
      </c>
      <c r="F216" s="5">
        <v>2312528090300</v>
      </c>
      <c r="H216" s="4">
        <v>45352</v>
      </c>
      <c r="I216" s="5">
        <v>3131134545100</v>
      </c>
    </row>
    <row r="217" spans="1:9" ht="13.9" x14ac:dyDescent="0.35">
      <c r="A217" s="2">
        <v>44154</v>
      </c>
      <c r="B217" s="3">
        <v>319520194500</v>
      </c>
      <c r="C217" s="3">
        <v>454766948500</v>
      </c>
      <c r="D217" s="49">
        <f t="shared" si="14"/>
        <v>7742.8714300000001</v>
      </c>
      <c r="E217" s="4">
        <v>45359</v>
      </c>
      <c r="F217" s="5">
        <v>2116001360800</v>
      </c>
      <c r="H217" s="4">
        <v>45359</v>
      </c>
      <c r="I217" s="5">
        <v>2802223096300</v>
      </c>
    </row>
    <row r="218" spans="1:9" ht="13.9" x14ac:dyDescent="0.35">
      <c r="A218" s="2">
        <v>44155</v>
      </c>
      <c r="B218" s="3">
        <v>312659789100</v>
      </c>
      <c r="C218" s="3">
        <v>438277463700</v>
      </c>
      <c r="D218" s="49">
        <f t="shared" si="14"/>
        <v>7509.3725279999999</v>
      </c>
      <c r="E218" s="4">
        <v>45366</v>
      </c>
      <c r="F218" s="5">
        <v>2207120352700</v>
      </c>
      <c r="H218" s="4">
        <v>45366</v>
      </c>
      <c r="I218" s="5">
        <v>2950640428300</v>
      </c>
    </row>
    <row r="219" spans="1:9" ht="13.9" x14ac:dyDescent="0.35">
      <c r="A219" s="2">
        <v>44158</v>
      </c>
      <c r="B219" s="3">
        <v>431504375600</v>
      </c>
      <c r="C219" s="3">
        <v>522455262200</v>
      </c>
      <c r="D219" s="49">
        <f t="shared" si="14"/>
        <v>9539.5963780000002</v>
      </c>
      <c r="E219" s="4">
        <v>45373</v>
      </c>
      <c r="F219" s="5">
        <v>2234280946900</v>
      </c>
      <c r="H219" s="4">
        <v>45373</v>
      </c>
      <c r="I219" s="5">
        <v>3146621923600</v>
      </c>
    </row>
    <row r="220" spans="1:9" ht="13.9" x14ac:dyDescent="0.35">
      <c r="A220" s="2">
        <v>44159</v>
      </c>
      <c r="B220" s="3">
        <v>359505804900</v>
      </c>
      <c r="C220" s="3">
        <v>470795324600</v>
      </c>
      <c r="D220" s="49">
        <f t="shared" si="14"/>
        <v>8303.0112950000002</v>
      </c>
      <c r="E220" s="4">
        <v>45380</v>
      </c>
      <c r="F220" s="5">
        <v>1973626252300</v>
      </c>
      <c r="H220" s="4">
        <v>45380</v>
      </c>
      <c r="I220" s="5">
        <v>2705408163600</v>
      </c>
    </row>
    <row r="221" spans="1:9" ht="13.9" x14ac:dyDescent="0.35">
      <c r="A221" s="2">
        <v>44160</v>
      </c>
      <c r="B221" s="3">
        <v>383477785200</v>
      </c>
      <c r="C221" s="3">
        <v>479922035700</v>
      </c>
      <c r="D221" s="49">
        <f t="shared" si="14"/>
        <v>8633.9982089999994</v>
      </c>
      <c r="E221" s="4">
        <v>45385</v>
      </c>
      <c r="F221" s="5">
        <v>1210312214100</v>
      </c>
      <c r="H221" s="4">
        <v>45385</v>
      </c>
      <c r="I221" s="5">
        <v>1674575339700</v>
      </c>
    </row>
    <row r="222" spans="1:9" ht="13.9" x14ac:dyDescent="0.35">
      <c r="A222" s="2">
        <v>44161</v>
      </c>
      <c r="B222" s="3">
        <v>317308635000</v>
      </c>
      <c r="C222" s="3">
        <v>415973552000</v>
      </c>
      <c r="D222" s="49">
        <f t="shared" si="14"/>
        <v>7332.8218699999998</v>
      </c>
      <c r="E222" s="4">
        <v>45394</v>
      </c>
      <c r="F222" s="5">
        <v>1861627926200</v>
      </c>
      <c r="H222" s="4">
        <v>45394</v>
      </c>
      <c r="I222" s="5">
        <v>2318964471800</v>
      </c>
    </row>
    <row r="223" spans="1:9" ht="13.9" x14ac:dyDescent="0.35">
      <c r="A223" s="2">
        <v>44162</v>
      </c>
      <c r="B223" s="3">
        <v>326069547200</v>
      </c>
      <c r="C223" s="3">
        <v>399652382800</v>
      </c>
      <c r="D223" s="49">
        <f t="shared" si="14"/>
        <v>7257.2192999999997</v>
      </c>
      <c r="E223" s="4">
        <v>45401</v>
      </c>
      <c r="F223" s="5">
        <v>2149321526500</v>
      </c>
      <c r="H223" s="4">
        <v>45401</v>
      </c>
      <c r="I223" s="5">
        <v>2523324116600</v>
      </c>
    </row>
    <row r="224" spans="1:9" ht="13.9" x14ac:dyDescent="0.35">
      <c r="A224" s="2">
        <v>44165</v>
      </c>
      <c r="B224" s="3">
        <v>454500571800</v>
      </c>
      <c r="C224" s="3">
        <v>496181130600</v>
      </c>
      <c r="D224" s="49">
        <f t="shared" si="14"/>
        <v>9506.8170239999999</v>
      </c>
      <c r="E224" s="4">
        <v>45408</v>
      </c>
      <c r="F224" s="5">
        <v>1865959141500</v>
      </c>
      <c r="H224" s="4">
        <v>45408</v>
      </c>
      <c r="I224" s="5">
        <v>2387477816400</v>
      </c>
    </row>
    <row r="225" spans="1:9" ht="13.9" x14ac:dyDescent="0.35">
      <c r="A225" s="2">
        <v>44166</v>
      </c>
      <c r="B225" s="3">
        <v>385250751300</v>
      </c>
      <c r="C225" s="3">
        <v>479663929100</v>
      </c>
      <c r="D225" s="49">
        <f t="shared" si="14"/>
        <v>8649.146804</v>
      </c>
      <c r="E225" s="4">
        <v>45412</v>
      </c>
      <c r="F225" s="5">
        <v>1028722039700</v>
      </c>
      <c r="H225" s="4">
        <v>45412</v>
      </c>
      <c r="I225" s="5">
        <v>1213058262200</v>
      </c>
    </row>
    <row r="226" spans="1:9" ht="13.9" x14ac:dyDescent="0.35">
      <c r="A226" s="2">
        <v>44167</v>
      </c>
      <c r="B226" s="3">
        <v>383340845100</v>
      </c>
      <c r="C226" s="3">
        <v>497639738000</v>
      </c>
      <c r="D226" s="49">
        <f t="shared" si="14"/>
        <v>8809.8058309999997</v>
      </c>
      <c r="E226" s="4">
        <v>45422</v>
      </c>
      <c r="F226" s="5">
        <v>2111114807700</v>
      </c>
      <c r="H226" s="4">
        <v>45422</v>
      </c>
      <c r="I226" s="5">
        <v>2638070215000</v>
      </c>
    </row>
    <row r="227" spans="1:9" ht="13.9" x14ac:dyDescent="0.35">
      <c r="A227" s="2">
        <v>44168</v>
      </c>
      <c r="B227" s="3">
        <v>352422286600</v>
      </c>
      <c r="C227" s="3">
        <v>473931202200</v>
      </c>
      <c r="D227" s="49">
        <f t="shared" si="14"/>
        <v>8263.5348880000001</v>
      </c>
      <c r="E227" s="4">
        <v>45429</v>
      </c>
      <c r="F227" s="5">
        <v>1896113856100</v>
      </c>
      <c r="H227" s="4">
        <v>45429</v>
      </c>
      <c r="I227" s="5">
        <v>2334390925000</v>
      </c>
    </row>
    <row r="228" spans="1:9" ht="13.9" x14ac:dyDescent="0.35">
      <c r="A228" s="2">
        <v>44169</v>
      </c>
      <c r="B228" s="3">
        <v>329393208300</v>
      </c>
      <c r="C228" s="3">
        <v>419353421300</v>
      </c>
      <c r="D228" s="49">
        <f t="shared" si="14"/>
        <v>7487.4662959999996</v>
      </c>
      <c r="E228" s="4">
        <v>45436</v>
      </c>
      <c r="F228" s="5">
        <v>1838977015800</v>
      </c>
      <c r="H228" s="4">
        <v>45436</v>
      </c>
      <c r="I228" s="5">
        <v>2398624049300</v>
      </c>
    </row>
    <row r="229" spans="1:9" ht="13.9" x14ac:dyDescent="0.35">
      <c r="A229" s="2">
        <v>44172</v>
      </c>
      <c r="B229" s="3">
        <v>336836800300</v>
      </c>
      <c r="C229" s="3">
        <v>432134435700</v>
      </c>
      <c r="D229" s="49">
        <f t="shared" si="14"/>
        <v>7689.7123600000004</v>
      </c>
      <c r="E229" s="4">
        <v>45443</v>
      </c>
      <c r="F229" s="5">
        <v>1583478415900</v>
      </c>
      <c r="H229" s="4">
        <v>45443</v>
      </c>
      <c r="I229" s="5">
        <v>2079691458100</v>
      </c>
    </row>
    <row r="230" spans="1:9" ht="13.9" x14ac:dyDescent="0.35">
      <c r="A230" s="2">
        <v>44173</v>
      </c>
      <c r="B230" s="3">
        <v>304635033500</v>
      </c>
      <c r="C230" s="3">
        <v>397065068300</v>
      </c>
      <c r="D230" s="49">
        <f t="shared" si="14"/>
        <v>7017.0010179999999</v>
      </c>
      <c r="E230" s="4">
        <v>45450</v>
      </c>
      <c r="F230" s="5">
        <v>1683148925300</v>
      </c>
      <c r="H230" s="4">
        <v>45450</v>
      </c>
      <c r="I230" s="5">
        <v>2144546410700</v>
      </c>
    </row>
    <row r="231" spans="1:9" ht="13.9" x14ac:dyDescent="0.35">
      <c r="A231" s="2">
        <v>44174</v>
      </c>
      <c r="B231" s="3">
        <v>339317806300</v>
      </c>
      <c r="C231" s="3">
        <v>452216109100</v>
      </c>
      <c r="D231" s="49">
        <f t="shared" si="14"/>
        <v>7915.3391540000002</v>
      </c>
      <c r="E231" s="4">
        <v>45457</v>
      </c>
      <c r="F231" s="5">
        <v>1377807714700</v>
      </c>
      <c r="H231" s="4">
        <v>45457</v>
      </c>
      <c r="I231" s="5">
        <v>1617546212800</v>
      </c>
    </row>
    <row r="232" spans="1:9" ht="13.9" x14ac:dyDescent="0.35">
      <c r="A232" s="2">
        <v>44175</v>
      </c>
      <c r="B232" s="3">
        <v>321616357200</v>
      </c>
      <c r="C232" s="3">
        <v>387611307300</v>
      </c>
      <c r="D232" s="49">
        <f t="shared" si="14"/>
        <v>7092.2766449999999</v>
      </c>
      <c r="E232" s="4">
        <v>45464</v>
      </c>
      <c r="F232" s="5">
        <v>1560133809200</v>
      </c>
      <c r="H232" s="4">
        <v>45464</v>
      </c>
      <c r="I232" s="5">
        <v>1977135813800</v>
      </c>
    </row>
    <row r="233" spans="1:9" ht="13.9" x14ac:dyDescent="0.35">
      <c r="A233" s="2">
        <v>44176</v>
      </c>
      <c r="B233" s="3">
        <v>379848803600</v>
      </c>
      <c r="C233" s="3">
        <v>455083178100</v>
      </c>
      <c r="D233" s="49">
        <f t="shared" si="14"/>
        <v>8349.3198169999996</v>
      </c>
      <c r="E233" s="4">
        <v>45471</v>
      </c>
      <c r="F233" s="5">
        <v>1471398274100</v>
      </c>
      <c r="H233" s="4">
        <v>45471</v>
      </c>
      <c r="I233" s="5">
        <v>1845258527700</v>
      </c>
    </row>
    <row r="234" spans="1:9" ht="13.9" x14ac:dyDescent="0.35">
      <c r="A234" s="2">
        <v>44179</v>
      </c>
      <c r="B234" s="3">
        <v>316229132900</v>
      </c>
      <c r="C234" s="3">
        <v>393529642000</v>
      </c>
      <c r="D234" s="49">
        <f t="shared" si="14"/>
        <v>7097.5877490000003</v>
      </c>
      <c r="E234" s="4">
        <v>45478</v>
      </c>
      <c r="F234" s="5">
        <v>1365237195500</v>
      </c>
      <c r="H234" s="4">
        <v>45478</v>
      </c>
      <c r="I234" s="5">
        <v>1675731100100</v>
      </c>
    </row>
    <row r="235" spans="1:9" ht="13.9" x14ac:dyDescent="0.35">
      <c r="A235" s="2">
        <v>44180</v>
      </c>
      <c r="B235" s="3">
        <v>315289741300</v>
      </c>
      <c r="C235" s="3">
        <v>394289450300</v>
      </c>
      <c r="D235" s="49">
        <f t="shared" si="14"/>
        <v>7095.7919160000001</v>
      </c>
      <c r="E235" s="4">
        <v>45485</v>
      </c>
      <c r="F235" s="5">
        <v>1537503124200</v>
      </c>
      <c r="H235" s="4">
        <v>45485</v>
      </c>
      <c r="I235" s="5">
        <v>1920429334500</v>
      </c>
    </row>
    <row r="236" spans="1:9" ht="13.9" x14ac:dyDescent="0.35">
      <c r="A236" s="2">
        <v>44181</v>
      </c>
      <c r="B236" s="3">
        <v>308823385300</v>
      </c>
      <c r="C236" s="3">
        <v>392146093400</v>
      </c>
      <c r="D236" s="49">
        <f t="shared" si="14"/>
        <v>7009.6947870000004</v>
      </c>
      <c r="E236" s="4">
        <v>45492</v>
      </c>
      <c r="F236" s="5">
        <v>1473720027100</v>
      </c>
      <c r="H236" s="4">
        <v>45492</v>
      </c>
      <c r="I236" s="5">
        <v>1786283420000</v>
      </c>
    </row>
    <row r="237" spans="1:9" ht="13.9" x14ac:dyDescent="0.35">
      <c r="A237" s="2">
        <v>44182</v>
      </c>
      <c r="B237" s="3">
        <v>364740477200</v>
      </c>
      <c r="C237" s="3">
        <v>427010618500</v>
      </c>
      <c r="D237" s="49">
        <f t="shared" si="14"/>
        <v>7917.5109570000004</v>
      </c>
      <c r="E237" s="4">
        <v>45499</v>
      </c>
      <c r="F237" s="5">
        <v>1460994928900</v>
      </c>
      <c r="H237" s="4">
        <v>45499</v>
      </c>
      <c r="I237" s="5">
        <v>1679635892100</v>
      </c>
    </row>
    <row r="238" spans="1:9" ht="13.9" x14ac:dyDescent="0.35">
      <c r="A238" s="2">
        <v>44183</v>
      </c>
      <c r="B238" s="3">
        <v>354027376900</v>
      </c>
      <c r="C238" s="3">
        <v>417246480500</v>
      </c>
      <c r="D238" s="49">
        <f t="shared" si="14"/>
        <v>7712.738574</v>
      </c>
      <c r="E238" s="4">
        <v>45506</v>
      </c>
      <c r="F238" s="5">
        <v>1615948210200</v>
      </c>
      <c r="H238" s="4">
        <v>45506</v>
      </c>
      <c r="I238" s="5">
        <v>1977379822400</v>
      </c>
    </row>
    <row r="239" spans="1:9" ht="13.9" x14ac:dyDescent="0.35">
      <c r="A239" s="2">
        <v>44186</v>
      </c>
      <c r="B239" s="3">
        <v>383898951600</v>
      </c>
      <c r="C239" s="3">
        <v>480532160300</v>
      </c>
      <c r="D239" s="49">
        <f t="shared" si="14"/>
        <v>8644.311119</v>
      </c>
      <c r="E239" s="4">
        <v>45513</v>
      </c>
      <c r="F239" s="5">
        <v>1440484156500</v>
      </c>
      <c r="H239" s="4">
        <v>45513</v>
      </c>
      <c r="I239" s="5">
        <v>1779175379000</v>
      </c>
    </row>
    <row r="240" spans="1:9" ht="13.9" x14ac:dyDescent="0.35">
      <c r="A240" s="2">
        <v>44187</v>
      </c>
      <c r="B240" s="3">
        <v>432199556500</v>
      </c>
      <c r="C240" s="3">
        <v>525440139500</v>
      </c>
      <c r="D240" s="49">
        <f t="shared" si="14"/>
        <v>9576.39696</v>
      </c>
      <c r="E240" s="4">
        <v>45520</v>
      </c>
      <c r="F240" s="5">
        <v>1134588127300</v>
      </c>
      <c r="H240" s="4">
        <v>45520</v>
      </c>
      <c r="I240" s="5">
        <v>1498748752700</v>
      </c>
    </row>
    <row r="241" spans="1:9" ht="13.9" x14ac:dyDescent="0.35">
      <c r="A241" s="2">
        <v>44188</v>
      </c>
      <c r="B241" s="3">
        <v>413254779100</v>
      </c>
      <c r="C241" s="3">
        <v>515807443600</v>
      </c>
      <c r="D241" s="49">
        <f t="shared" si="14"/>
        <v>9290.6222269999998</v>
      </c>
      <c r="E241" s="4">
        <v>45527</v>
      </c>
      <c r="F241" s="5">
        <v>1134917854600</v>
      </c>
      <c r="H241" s="4">
        <v>45527</v>
      </c>
      <c r="I241" s="5">
        <v>1562415301500</v>
      </c>
    </row>
    <row r="242" spans="1:9" ht="13.9" x14ac:dyDescent="0.35">
      <c r="A242" s="2">
        <v>44189</v>
      </c>
      <c r="B242" s="3">
        <v>363321144300</v>
      </c>
      <c r="C242" s="3">
        <v>462766411200</v>
      </c>
      <c r="D242" s="49">
        <f t="shared" si="14"/>
        <v>8260.8755550000005</v>
      </c>
      <c r="E242" s="4">
        <v>45534</v>
      </c>
      <c r="F242" s="5">
        <v>1288092464800</v>
      </c>
      <c r="H242" s="4">
        <v>45534</v>
      </c>
      <c r="I242" s="5">
        <v>1730333245100</v>
      </c>
    </row>
    <row r="243" spans="1:9" ht="13.9" x14ac:dyDescent="0.35">
      <c r="A243" s="2">
        <v>44190</v>
      </c>
      <c r="B243" s="3">
        <v>359094444700</v>
      </c>
      <c r="C243" s="3">
        <v>434698020400</v>
      </c>
      <c r="D243" s="49">
        <f t="shared" si="14"/>
        <v>7937.9246510000003</v>
      </c>
      <c r="E243" s="4">
        <v>45541</v>
      </c>
      <c r="F243" s="5">
        <v>1258391858700</v>
      </c>
      <c r="H243" s="4">
        <v>45541</v>
      </c>
      <c r="I243" s="5">
        <v>1664792382200</v>
      </c>
    </row>
    <row r="244" spans="1:9" ht="13.9" x14ac:dyDescent="0.35">
      <c r="A244" s="2">
        <v>44193</v>
      </c>
      <c r="B244" s="3">
        <v>398159968800</v>
      </c>
      <c r="C244" s="3">
        <v>482909439000</v>
      </c>
      <c r="D244" s="49">
        <f t="shared" si="14"/>
        <v>8810.6940780000004</v>
      </c>
      <c r="E244" s="4">
        <v>45548</v>
      </c>
      <c r="F244" s="5">
        <v>1129160189700</v>
      </c>
      <c r="H244" s="4">
        <v>45548</v>
      </c>
      <c r="I244" s="5">
        <v>1457007365900</v>
      </c>
    </row>
    <row r="245" spans="1:9" ht="13.9" x14ac:dyDescent="0.35">
      <c r="A245" s="2">
        <v>44194</v>
      </c>
      <c r="B245" s="3">
        <v>382102563800</v>
      </c>
      <c r="C245" s="3">
        <v>477632727500</v>
      </c>
      <c r="D245" s="49">
        <f t="shared" si="14"/>
        <v>8597.3529130000006</v>
      </c>
      <c r="E245" s="4">
        <v>45555</v>
      </c>
      <c r="F245" s="5">
        <v>749059964700</v>
      </c>
      <c r="H245" s="4">
        <v>45555</v>
      </c>
      <c r="I245" s="5">
        <v>932017367700</v>
      </c>
    </row>
    <row r="246" spans="1:9" ht="13.9" x14ac:dyDescent="0.35">
      <c r="A246" s="2">
        <v>44195</v>
      </c>
      <c r="B246" s="3">
        <v>377542350900</v>
      </c>
      <c r="C246" s="3">
        <v>469468396500</v>
      </c>
      <c r="D246" s="49">
        <f t="shared" si="14"/>
        <v>8470.1074740000004</v>
      </c>
      <c r="E246" s="4">
        <v>45562</v>
      </c>
      <c r="F246" s="5">
        <v>2199989526800</v>
      </c>
      <c r="H246" s="4">
        <v>45562</v>
      </c>
      <c r="I246" s="5">
        <v>3088166456800</v>
      </c>
    </row>
    <row r="247" spans="1:9" ht="13.9" x14ac:dyDescent="0.35">
      <c r="A247" s="2">
        <v>44196</v>
      </c>
      <c r="B247" s="3">
        <v>450482318900</v>
      </c>
      <c r="C247" s="3">
        <v>511265652000</v>
      </c>
      <c r="D247" s="49">
        <f t="shared" si="14"/>
        <v>9617.4797089999993</v>
      </c>
      <c r="E247" s="4">
        <v>45565</v>
      </c>
      <c r="F247" s="5">
        <v>1167772550000</v>
      </c>
      <c r="H247" s="4">
        <v>45565</v>
      </c>
      <c r="I247" s="5">
        <v>1425264091600</v>
      </c>
    </row>
    <row r="248" spans="1:9" ht="13.9" x14ac:dyDescent="0.35">
      <c r="A248" s="2">
        <v>44200</v>
      </c>
      <c r="B248" s="3">
        <v>523367700800</v>
      </c>
      <c r="C248" s="3">
        <v>641014135600</v>
      </c>
      <c r="D248" s="49">
        <f t="shared" si="14"/>
        <v>11643.818364000001</v>
      </c>
      <c r="E248" s="4">
        <v>45576</v>
      </c>
      <c r="F248" s="5">
        <v>4386946014700</v>
      </c>
      <c r="H248" s="4">
        <v>45576</v>
      </c>
      <c r="I248" s="5">
        <v>5719824947500</v>
      </c>
    </row>
    <row r="249" spans="1:9" ht="13.9" x14ac:dyDescent="0.35">
      <c r="A249" s="2">
        <v>44201</v>
      </c>
      <c r="B249" s="3">
        <v>568019462200</v>
      </c>
      <c r="C249" s="3">
        <v>698425783000</v>
      </c>
      <c r="D249" s="49">
        <f t="shared" si="14"/>
        <v>12664.452452</v>
      </c>
      <c r="E249" s="4">
        <v>45583</v>
      </c>
      <c r="F249" s="5">
        <v>3238949396900</v>
      </c>
      <c r="H249" s="4">
        <v>45583</v>
      </c>
      <c r="I249" s="5">
        <v>4995124351000</v>
      </c>
    </row>
    <row r="250" spans="1:9" ht="13.9" x14ac:dyDescent="0.35">
      <c r="A250" s="2">
        <v>44202</v>
      </c>
      <c r="B250" s="3">
        <v>521799529800</v>
      </c>
      <c r="C250" s="3">
        <v>645417439100</v>
      </c>
      <c r="D250" s="49">
        <f t="shared" si="14"/>
        <v>11672.169689</v>
      </c>
      <c r="E250" s="4">
        <v>45590</v>
      </c>
      <c r="F250" s="5">
        <v>3577213603200</v>
      </c>
      <c r="H250" s="4">
        <v>45590</v>
      </c>
      <c r="I250" s="5">
        <v>5738836078300</v>
      </c>
    </row>
    <row r="251" spans="1:9" ht="13.9" x14ac:dyDescent="0.35">
      <c r="A251" s="2">
        <v>44203</v>
      </c>
      <c r="B251" s="3">
        <v>545709628100</v>
      </c>
      <c r="C251" s="3">
        <v>670794521500</v>
      </c>
      <c r="D251" s="49">
        <f t="shared" si="14"/>
        <v>12165.041496</v>
      </c>
      <c r="E251" s="4">
        <v>45597</v>
      </c>
      <c r="F251" s="5">
        <v>3997787589900</v>
      </c>
      <c r="H251" s="4">
        <v>45597</v>
      </c>
      <c r="I251" s="5">
        <v>6221595700900</v>
      </c>
    </row>
    <row r="252" spans="1:9" ht="13.9" x14ac:dyDescent="0.35">
      <c r="A252" s="2">
        <v>44204</v>
      </c>
      <c r="B252" s="3">
        <v>502170815600</v>
      </c>
      <c r="C252" s="3">
        <v>630105126900</v>
      </c>
      <c r="D252" s="49">
        <f t="shared" si="14"/>
        <v>11322.759425</v>
      </c>
      <c r="E252" s="4">
        <v>45604</v>
      </c>
      <c r="F252" s="5">
        <v>4805854434800</v>
      </c>
      <c r="H252" s="4">
        <v>45604</v>
      </c>
      <c r="I252" s="5">
        <v>6941126516200</v>
      </c>
    </row>
    <row r="253" spans="1:9" ht="13.9" x14ac:dyDescent="0.35">
      <c r="A253" s="2">
        <v>44207</v>
      </c>
      <c r="B253" s="3">
        <v>526895927300</v>
      </c>
      <c r="C253" s="3">
        <v>684894785500</v>
      </c>
      <c r="D253" s="49">
        <f t="shared" si="14"/>
        <v>12117.907128000001</v>
      </c>
      <c r="E253" s="4">
        <v>45611</v>
      </c>
      <c r="F253" s="5">
        <v>4402192397000</v>
      </c>
      <c r="H253" s="4">
        <v>45611</v>
      </c>
      <c r="I253" s="5">
        <v>6330543650500</v>
      </c>
    </row>
    <row r="254" spans="1:9" ht="13.9" x14ac:dyDescent="0.35">
      <c r="A254" s="2">
        <v>44208</v>
      </c>
      <c r="B254" s="3">
        <v>485771186300</v>
      </c>
      <c r="C254" s="3">
        <v>604472560400</v>
      </c>
      <c r="D254" s="49">
        <f t="shared" si="14"/>
        <v>10902.437467</v>
      </c>
      <c r="E254" s="4">
        <v>45618</v>
      </c>
      <c r="F254" s="5">
        <v>3357387238000</v>
      </c>
      <c r="H254" s="4">
        <v>45618</v>
      </c>
      <c r="I254" s="5">
        <v>4973664409800</v>
      </c>
    </row>
    <row r="255" spans="1:9" ht="13.9" x14ac:dyDescent="0.35">
      <c r="A255" s="2">
        <v>44209</v>
      </c>
      <c r="B255" s="3">
        <v>554853439100</v>
      </c>
      <c r="C255" s="3">
        <v>679695848800</v>
      </c>
      <c r="D255" s="49">
        <f t="shared" si="14"/>
        <v>12345.492878999999</v>
      </c>
      <c r="E255" s="4">
        <v>45625</v>
      </c>
      <c r="F255" s="5">
        <v>2899625923300</v>
      </c>
      <c r="H255" s="4">
        <v>45625</v>
      </c>
      <c r="I255" s="5">
        <v>4553088502100</v>
      </c>
    </row>
    <row r="256" spans="1:9" ht="13.9" x14ac:dyDescent="0.35">
      <c r="A256" s="2">
        <v>44210</v>
      </c>
      <c r="B256" s="3">
        <v>511325103700</v>
      </c>
      <c r="C256" s="3">
        <v>610092625200</v>
      </c>
      <c r="D256" s="49">
        <f t="shared" si="14"/>
        <v>11214.177288999999</v>
      </c>
      <c r="E256" s="4">
        <v>45632</v>
      </c>
      <c r="F256" s="5">
        <v>3298491843700</v>
      </c>
      <c r="H256" s="4">
        <v>45632</v>
      </c>
      <c r="I256" s="5">
        <v>5154722256200</v>
      </c>
    </row>
    <row r="257" spans="1:9" ht="13.9" x14ac:dyDescent="0.35">
      <c r="A257" s="2">
        <v>44211</v>
      </c>
      <c r="B257" s="3">
        <v>480343781000</v>
      </c>
      <c r="C257" s="3">
        <v>556135886500</v>
      </c>
      <c r="D257" s="49">
        <f t="shared" si="14"/>
        <v>10364.796675</v>
      </c>
      <c r="E257" s="4">
        <v>45639</v>
      </c>
      <c r="F257" s="5">
        <v>3787740650500</v>
      </c>
      <c r="H257" s="4">
        <v>45639</v>
      </c>
      <c r="I257" s="5">
        <v>5759501683100</v>
      </c>
    </row>
    <row r="258" spans="1:9" ht="13.9" x14ac:dyDescent="0.35">
      <c r="A258" s="2">
        <v>44214</v>
      </c>
      <c r="B258" s="3">
        <v>451740700400</v>
      </c>
      <c r="C258" s="3">
        <v>546464419900</v>
      </c>
      <c r="D258" s="49">
        <f t="shared" si="14"/>
        <v>9982.0512030000009</v>
      </c>
      <c r="E258" s="4">
        <v>45646</v>
      </c>
      <c r="F258" s="5">
        <v>2955770432200</v>
      </c>
      <c r="H258" s="4">
        <v>45646</v>
      </c>
      <c r="I258" s="5">
        <v>4574125008600</v>
      </c>
    </row>
    <row r="259" spans="1:9" ht="13.9" x14ac:dyDescent="0.35">
      <c r="A259" s="2">
        <v>44215</v>
      </c>
      <c r="B259" s="3">
        <v>467402582400</v>
      </c>
      <c r="C259" s="3">
        <v>573740834600</v>
      </c>
      <c r="D259" s="49">
        <f t="shared" si="14"/>
        <v>10411.43417</v>
      </c>
      <c r="E259" s="4">
        <v>45653</v>
      </c>
      <c r="F259" s="5">
        <v>2781071530300</v>
      </c>
      <c r="H259" s="4">
        <v>45653</v>
      </c>
      <c r="I259" s="5">
        <v>4044899022500</v>
      </c>
    </row>
    <row r="260" spans="1:9" ht="13.9" x14ac:dyDescent="0.35">
      <c r="A260" s="2">
        <v>44216</v>
      </c>
      <c r="B260" s="3">
        <v>397144766200</v>
      </c>
      <c r="C260" s="3">
        <v>518504526200</v>
      </c>
      <c r="D260" s="49">
        <f t="shared" si="14"/>
        <v>9156.4929240000001</v>
      </c>
      <c r="E260" s="4">
        <v>45660</v>
      </c>
      <c r="F260" s="5">
        <v>2211329849000</v>
      </c>
      <c r="H260" s="4">
        <v>45660</v>
      </c>
      <c r="I260" s="5">
        <v>3074990893500</v>
      </c>
    </row>
    <row r="261" spans="1:9" ht="13.9" x14ac:dyDescent="0.35">
      <c r="A261" s="2">
        <v>44217</v>
      </c>
      <c r="B261" s="3">
        <v>469855226600</v>
      </c>
      <c r="C261" s="3">
        <v>615802143100</v>
      </c>
      <c r="D261" s="49">
        <f t="shared" si="14"/>
        <v>10856.573697</v>
      </c>
      <c r="E261" s="4">
        <v>45667</v>
      </c>
      <c r="F261" s="5">
        <v>2289109922600</v>
      </c>
      <c r="H261" s="4">
        <v>45667</v>
      </c>
      <c r="I261" s="5">
        <v>3349329458200</v>
      </c>
    </row>
    <row r="262" spans="1:9" ht="13.9" x14ac:dyDescent="0.35">
      <c r="A262" s="2">
        <v>44218</v>
      </c>
      <c r="B262" s="3">
        <v>485452192400</v>
      </c>
      <c r="C262" s="3">
        <v>628223686100</v>
      </c>
      <c r="D262" s="49">
        <f t="shared" ref="D262:D325" si="15">(B262+C262)/100000000</f>
        <v>11136.758785</v>
      </c>
      <c r="E262" s="4">
        <v>45674</v>
      </c>
      <c r="F262" s="5">
        <v>2372582570100</v>
      </c>
      <c r="H262" s="4">
        <v>45674</v>
      </c>
      <c r="I262" s="5">
        <v>3542661687500</v>
      </c>
    </row>
    <row r="263" spans="1:9" ht="13.9" x14ac:dyDescent="0.35">
      <c r="A263" s="2">
        <v>44221</v>
      </c>
      <c r="B263" s="3">
        <v>527257347700</v>
      </c>
      <c r="C263" s="3">
        <v>681044829500</v>
      </c>
      <c r="D263" s="49">
        <f t="shared" si="15"/>
        <v>12083.021772</v>
      </c>
      <c r="E263" s="4">
        <v>45681</v>
      </c>
      <c r="F263" s="5">
        <v>2410802922900</v>
      </c>
      <c r="H263" s="4">
        <v>45681</v>
      </c>
      <c r="I263" s="5">
        <v>3690518755100</v>
      </c>
    </row>
    <row r="264" spans="1:9" ht="13.9" x14ac:dyDescent="0.35">
      <c r="A264" s="2">
        <v>44222</v>
      </c>
      <c r="B264" s="3">
        <v>436326664600</v>
      </c>
      <c r="C264" s="3">
        <v>577725665100</v>
      </c>
      <c r="D264" s="49">
        <f t="shared" si="15"/>
        <v>10140.523297</v>
      </c>
      <c r="E264" s="4">
        <v>45684</v>
      </c>
      <c r="F264" s="5">
        <v>450231535800</v>
      </c>
      <c r="H264" s="4">
        <v>45684</v>
      </c>
      <c r="I264" s="5">
        <v>667641130300</v>
      </c>
    </row>
    <row r="265" spans="1:9" ht="13.9" x14ac:dyDescent="0.35">
      <c r="A265" s="2">
        <v>44223</v>
      </c>
      <c r="B265" s="3">
        <v>396270389600</v>
      </c>
      <c r="C265" s="3">
        <v>526877852700</v>
      </c>
      <c r="D265" s="49">
        <f t="shared" si="15"/>
        <v>9231.4824229999995</v>
      </c>
      <c r="E265" s="4">
        <v>45695</v>
      </c>
      <c r="F265" s="5">
        <v>1869138538300</v>
      </c>
      <c r="H265" s="4">
        <v>45695</v>
      </c>
      <c r="I265" s="5">
        <v>2916019347000</v>
      </c>
    </row>
    <row r="266" spans="1:9" ht="13.9" x14ac:dyDescent="0.35">
      <c r="A266" s="2">
        <v>44224</v>
      </c>
      <c r="B266" s="3">
        <v>391574388000</v>
      </c>
      <c r="C266" s="3">
        <v>524006040700</v>
      </c>
      <c r="D266" s="49">
        <f t="shared" si="15"/>
        <v>9155.8042870000008</v>
      </c>
      <c r="E266" s="4">
        <v>45702</v>
      </c>
      <c r="F266" s="5">
        <v>3329947573300</v>
      </c>
      <c r="H266" s="4">
        <v>45702</v>
      </c>
      <c r="I266" s="5">
        <v>5248835956100</v>
      </c>
    </row>
    <row r="267" spans="1:9" ht="13.9" x14ac:dyDescent="0.35">
      <c r="A267" s="2">
        <v>44225</v>
      </c>
      <c r="B267" s="3">
        <v>416528621000</v>
      </c>
      <c r="C267" s="3">
        <v>535659380400</v>
      </c>
      <c r="D267" s="49">
        <f t="shared" si="15"/>
        <v>9521.8800140000003</v>
      </c>
      <c r="E267" s="4">
        <v>45709</v>
      </c>
      <c r="F267" s="5">
        <v>3647814209900</v>
      </c>
      <c r="H267" s="4">
        <v>45709</v>
      </c>
      <c r="I267" s="5">
        <v>5762985713400</v>
      </c>
    </row>
    <row r="268" spans="1:9" ht="13.9" x14ac:dyDescent="0.35">
      <c r="A268" s="2">
        <v>44228</v>
      </c>
      <c r="B268" s="3">
        <v>371473066300</v>
      </c>
      <c r="C268" s="3">
        <v>485262020000</v>
      </c>
      <c r="D268" s="49">
        <f t="shared" si="15"/>
        <v>8567.3508629999997</v>
      </c>
      <c r="E268" s="4">
        <v>45716</v>
      </c>
      <c r="F268" s="5">
        <v>3810359048600</v>
      </c>
      <c r="H268" s="4">
        <v>45716</v>
      </c>
      <c r="I268" s="5">
        <v>5976839305100</v>
      </c>
    </row>
    <row r="269" spans="1:9" ht="13.9" x14ac:dyDescent="0.35">
      <c r="A269" s="2">
        <v>44229</v>
      </c>
      <c r="B269" s="3">
        <v>384127851100</v>
      </c>
      <c r="C269" s="3">
        <v>516870366200</v>
      </c>
      <c r="D269" s="49">
        <f t="shared" si="15"/>
        <v>9009.9821730000003</v>
      </c>
      <c r="E269" s="4">
        <v>45723</v>
      </c>
      <c r="F269" s="5">
        <v>3224793867700</v>
      </c>
      <c r="H269" s="4">
        <v>45723</v>
      </c>
      <c r="I269" s="5">
        <v>5053971462700</v>
      </c>
    </row>
    <row r="270" spans="1:9" ht="13.9" x14ac:dyDescent="0.35">
      <c r="A270" s="2">
        <v>44230</v>
      </c>
      <c r="B270" s="3">
        <v>413731472000</v>
      </c>
      <c r="C270" s="3">
        <v>539994306799.99994</v>
      </c>
      <c r="D270" s="49">
        <f t="shared" si="15"/>
        <v>9537.2577880000008</v>
      </c>
      <c r="E270" s="4">
        <v>45730</v>
      </c>
      <c r="F270" s="5">
        <v>3222067108400</v>
      </c>
      <c r="H270" s="4">
        <v>45730</v>
      </c>
      <c r="I270" s="5">
        <v>4847793015300</v>
      </c>
    </row>
    <row r="271" spans="1:9" ht="13.9" x14ac:dyDescent="0.35">
      <c r="A271" s="2">
        <v>44231</v>
      </c>
      <c r="B271" s="3">
        <v>418742552800</v>
      </c>
      <c r="C271" s="3">
        <v>523754859500</v>
      </c>
      <c r="D271" s="49">
        <f t="shared" si="15"/>
        <v>9424.974123</v>
      </c>
      <c r="E271" s="4">
        <v>45737</v>
      </c>
      <c r="F271" s="5">
        <v>2974429999500</v>
      </c>
      <c r="H271" s="4">
        <v>45737</v>
      </c>
      <c r="I271" s="5">
        <v>4577115029800</v>
      </c>
    </row>
    <row r="272" spans="1:9" ht="13.9" x14ac:dyDescent="0.35">
      <c r="A272" s="2">
        <v>44232</v>
      </c>
      <c r="B272" s="3">
        <v>397391919600</v>
      </c>
      <c r="C272" s="3">
        <v>493715843600</v>
      </c>
      <c r="D272" s="49">
        <f t="shared" si="15"/>
        <v>8911.0776320000004</v>
      </c>
      <c r="E272" s="4">
        <v>45744</v>
      </c>
      <c r="F272" s="5">
        <v>2553631465900</v>
      </c>
      <c r="H272" s="4">
        <v>45744</v>
      </c>
      <c r="I272" s="5">
        <v>3619346718900</v>
      </c>
    </row>
    <row r="273" spans="1:9" ht="13.9" x14ac:dyDescent="0.35">
      <c r="A273" s="2">
        <v>44235</v>
      </c>
      <c r="B273" s="3">
        <v>359187319200</v>
      </c>
      <c r="C273" s="3">
        <v>447009121200</v>
      </c>
      <c r="D273" s="49">
        <f t="shared" si="15"/>
        <v>8061.9644040000003</v>
      </c>
      <c r="E273" s="4">
        <v>45750</v>
      </c>
      <c r="F273" s="5">
        <v>1929067894300</v>
      </c>
      <c r="H273" s="4">
        <v>45750</v>
      </c>
      <c r="I273" s="5">
        <v>2536841608400</v>
      </c>
    </row>
    <row r="274" spans="1:9" ht="13.9" x14ac:dyDescent="0.35">
      <c r="A274" s="2">
        <v>44236</v>
      </c>
      <c r="B274" s="3">
        <v>371567972500</v>
      </c>
      <c r="C274" s="3">
        <v>465785937800</v>
      </c>
      <c r="D274" s="49">
        <f t="shared" si="15"/>
        <v>8373.5391029999992</v>
      </c>
      <c r="E274" s="4">
        <v>45758</v>
      </c>
      <c r="F274" s="5">
        <v>3484111682600</v>
      </c>
      <c r="H274" s="4">
        <v>45758</v>
      </c>
      <c r="I274" s="5">
        <v>4387068985100</v>
      </c>
    </row>
    <row r="275" spans="1:9" ht="13.9" x14ac:dyDescent="0.35">
      <c r="A275" s="2">
        <v>44237</v>
      </c>
      <c r="B275" s="3">
        <v>392643389600</v>
      </c>
      <c r="C275" s="3">
        <v>482674164200</v>
      </c>
      <c r="D275" s="49">
        <f t="shared" si="15"/>
        <v>8753.1755379999995</v>
      </c>
      <c r="E275" s="4">
        <v>45765</v>
      </c>
      <c r="F275" s="5">
        <v>2312254971200</v>
      </c>
      <c r="H275" s="4">
        <v>45765</v>
      </c>
      <c r="I275" s="5">
        <v>3068427845700</v>
      </c>
    </row>
    <row r="276" spans="1:9" ht="13.9" x14ac:dyDescent="0.35">
      <c r="A276" s="2">
        <v>44245</v>
      </c>
      <c r="B276" s="3">
        <v>483546564600</v>
      </c>
      <c r="C276" s="3">
        <v>601642414200</v>
      </c>
      <c r="D276" s="49">
        <f t="shared" si="15"/>
        <v>10851.889788</v>
      </c>
      <c r="E276" s="4">
        <v>45772</v>
      </c>
      <c r="F276" s="5">
        <v>2248400109500</v>
      </c>
      <c r="H276" s="4">
        <v>45772</v>
      </c>
      <c r="I276" s="5">
        <v>3335307198700</v>
      </c>
    </row>
    <row r="277" spans="1:9" ht="13.9" x14ac:dyDescent="0.35">
      <c r="A277" s="2">
        <v>44246</v>
      </c>
      <c r="B277" s="3">
        <v>484990205800</v>
      </c>
      <c r="C277" s="3">
        <v>557583155800</v>
      </c>
      <c r="D277" s="49">
        <f t="shared" si="15"/>
        <v>10425.733616</v>
      </c>
      <c r="E277" s="4">
        <v>45777</v>
      </c>
      <c r="F277" s="5">
        <v>1378370000800</v>
      </c>
      <c r="H277" s="4">
        <v>45777</v>
      </c>
      <c r="I277" s="5">
        <v>1869335561900</v>
      </c>
    </row>
    <row r="278" spans="1:9" ht="13.9" x14ac:dyDescent="0.35">
      <c r="A278" s="2">
        <v>44249</v>
      </c>
      <c r="B278" s="3">
        <v>599323102100</v>
      </c>
      <c r="C278" s="3">
        <v>694092516300</v>
      </c>
      <c r="D278" s="49">
        <f t="shared" si="15"/>
        <v>12934.156183999999</v>
      </c>
      <c r="E278" s="4">
        <v>45786</v>
      </c>
      <c r="F278" s="5">
        <v>2113528891700</v>
      </c>
      <c r="H278" s="4">
        <v>45786</v>
      </c>
      <c r="I278" s="5">
        <v>3176346006300</v>
      </c>
    </row>
    <row r="279" spans="1:9" ht="13.9" x14ac:dyDescent="0.35">
      <c r="A279" s="2">
        <v>44250</v>
      </c>
      <c r="B279" s="3">
        <v>479631810200</v>
      </c>
      <c r="C279" s="3">
        <v>541901401000</v>
      </c>
      <c r="D279" s="49">
        <f t="shared" si="15"/>
        <v>10215.332112</v>
      </c>
      <c r="E279" s="4">
        <v>45793</v>
      </c>
      <c r="F279" s="5">
        <v>2460501882900</v>
      </c>
      <c r="H279" s="4">
        <v>45793</v>
      </c>
      <c r="I279" s="5">
        <v>3698082537900</v>
      </c>
    </row>
    <row r="280" spans="1:9" ht="13.9" x14ac:dyDescent="0.35">
      <c r="A280" s="2">
        <v>44251</v>
      </c>
      <c r="B280" s="3">
        <v>484430414600</v>
      </c>
      <c r="C280" s="3">
        <v>579471470700</v>
      </c>
      <c r="D280" s="49">
        <f t="shared" si="15"/>
        <v>10639.018853</v>
      </c>
      <c r="E280" s="4">
        <v>45800</v>
      </c>
      <c r="F280" s="5">
        <v>2260347424700</v>
      </c>
      <c r="H280" s="4">
        <v>45800</v>
      </c>
      <c r="I280" s="5">
        <v>3427505516600</v>
      </c>
    </row>
    <row r="281" spans="1:9" ht="13.9" x14ac:dyDescent="0.35">
      <c r="A281" s="2">
        <v>44252</v>
      </c>
      <c r="B281" s="3">
        <v>444735017100</v>
      </c>
      <c r="C281" s="3">
        <v>489437386900</v>
      </c>
      <c r="D281" s="49">
        <f t="shared" si="15"/>
        <v>9341.7240399999991</v>
      </c>
      <c r="E281" s="4">
        <v>45807</v>
      </c>
      <c r="F281" s="5">
        <v>2081376865900</v>
      </c>
      <c r="H281" s="4">
        <v>45807</v>
      </c>
      <c r="I281" s="5">
        <v>3262060695900</v>
      </c>
    </row>
    <row r="282" spans="1:9" ht="13.9" x14ac:dyDescent="0.35">
      <c r="A282" s="2">
        <v>44253</v>
      </c>
      <c r="B282" s="3">
        <v>424485913900</v>
      </c>
      <c r="C282" s="3">
        <v>482350458300</v>
      </c>
      <c r="D282" s="49">
        <f t="shared" si="15"/>
        <v>9068.3637220000001</v>
      </c>
      <c r="E282" s="4">
        <v>45814</v>
      </c>
      <c r="F282" s="5">
        <v>1866122226000</v>
      </c>
      <c r="H282" s="4">
        <v>45814</v>
      </c>
      <c r="I282" s="5">
        <v>2870717061800</v>
      </c>
    </row>
    <row r="283" spans="1:9" ht="13.9" x14ac:dyDescent="0.35">
      <c r="A283" s="2">
        <v>44256</v>
      </c>
      <c r="B283" s="3">
        <v>402477044200</v>
      </c>
      <c r="C283" s="3">
        <v>470711015900</v>
      </c>
      <c r="D283" s="49">
        <f t="shared" si="15"/>
        <v>8731.8806010000008</v>
      </c>
      <c r="E283" s="4">
        <v>45821</v>
      </c>
      <c r="F283" s="5">
        <v>2678124351800</v>
      </c>
      <c r="H283" s="4">
        <v>45821</v>
      </c>
      <c r="I283" s="5">
        <v>4018050753200</v>
      </c>
    </row>
    <row r="284" spans="1:9" ht="13.9" x14ac:dyDescent="0.35">
      <c r="A284" s="2">
        <v>44257</v>
      </c>
      <c r="B284" s="3">
        <v>427680453100</v>
      </c>
      <c r="C284" s="3">
        <v>489841780400</v>
      </c>
      <c r="D284" s="49">
        <f t="shared" si="15"/>
        <v>9175.2223350000004</v>
      </c>
      <c r="E284" s="4">
        <v>45828</v>
      </c>
      <c r="F284" s="5">
        <v>2264775531600</v>
      </c>
      <c r="H284" s="4">
        <v>45828</v>
      </c>
      <c r="I284" s="5">
        <v>3666890357900</v>
      </c>
    </row>
    <row r="285" spans="1:9" ht="13.9" x14ac:dyDescent="0.35">
      <c r="A285" s="2">
        <v>44258</v>
      </c>
      <c r="B285" s="3">
        <v>415490345700</v>
      </c>
      <c r="C285" s="3">
        <v>447694723700</v>
      </c>
      <c r="D285" s="49">
        <f t="shared" si="15"/>
        <v>8631.8506940000007</v>
      </c>
      <c r="E285" s="4">
        <v>45835</v>
      </c>
      <c r="F285" s="5">
        <v>2816671261900</v>
      </c>
      <c r="H285" s="4">
        <v>45835</v>
      </c>
      <c r="I285" s="5">
        <v>4447509436100</v>
      </c>
    </row>
    <row r="286" spans="1:9" ht="13.9" x14ac:dyDescent="0.35">
      <c r="A286" s="2">
        <v>44259</v>
      </c>
      <c r="B286" s="3">
        <v>462233734200</v>
      </c>
      <c r="C286" s="3">
        <v>509805705000</v>
      </c>
      <c r="D286" s="49">
        <f t="shared" si="15"/>
        <v>9720.3943920000002</v>
      </c>
      <c r="E286" s="4">
        <v>45842</v>
      </c>
      <c r="F286" s="5">
        <v>2731277549600</v>
      </c>
      <c r="H286" s="4">
        <v>45842</v>
      </c>
      <c r="I286" s="5">
        <v>4336840513200</v>
      </c>
    </row>
    <row r="287" spans="1:9" ht="13.9" x14ac:dyDescent="0.35">
      <c r="A287" s="2">
        <v>44260</v>
      </c>
      <c r="B287" s="3">
        <v>408849901900</v>
      </c>
      <c r="C287" s="3">
        <v>467595112700</v>
      </c>
      <c r="D287" s="49">
        <f t="shared" si="15"/>
        <v>8764.4501459999992</v>
      </c>
      <c r="E287" s="4">
        <v>45849</v>
      </c>
      <c r="F287" s="5">
        <v>3006376074300</v>
      </c>
      <c r="H287" s="4">
        <v>45849</v>
      </c>
      <c r="I287" s="5">
        <v>4367645988100</v>
      </c>
    </row>
    <row r="288" spans="1:9" ht="13.9" x14ac:dyDescent="0.35">
      <c r="A288" s="2">
        <v>44263</v>
      </c>
      <c r="B288" s="3">
        <v>453859203300</v>
      </c>
      <c r="C288" s="3">
        <v>525427575300</v>
      </c>
      <c r="D288" s="49">
        <f t="shared" si="15"/>
        <v>9792.8677860000007</v>
      </c>
      <c r="E288" s="4">
        <v>45856</v>
      </c>
      <c r="F288" s="5">
        <v>3095792051300</v>
      </c>
      <c r="H288" s="4">
        <v>45856</v>
      </c>
      <c r="I288" s="5">
        <v>4527445287900</v>
      </c>
    </row>
    <row r="289" spans="1:9" ht="13.9" x14ac:dyDescent="0.35">
      <c r="A289" s="2">
        <v>44264</v>
      </c>
      <c r="B289" s="3">
        <v>456196190300</v>
      </c>
      <c r="C289" s="3">
        <v>530548264700</v>
      </c>
      <c r="D289" s="49">
        <f t="shared" si="15"/>
        <v>9867.4445500000002</v>
      </c>
      <c r="E289" s="4">
        <v>45863</v>
      </c>
      <c r="F289" s="5">
        <v>4102374465500</v>
      </c>
      <c r="H289" s="4">
        <v>45863</v>
      </c>
      <c r="I289" s="5">
        <v>4987286302500</v>
      </c>
    </row>
    <row r="290" spans="1:9" ht="13.9" x14ac:dyDescent="0.35">
      <c r="A290" s="2">
        <v>44265</v>
      </c>
      <c r="B290" s="3">
        <v>339571691500</v>
      </c>
      <c r="C290" s="3">
        <v>410139558300</v>
      </c>
      <c r="D290" s="49">
        <f t="shared" si="15"/>
        <v>7497.1124980000004</v>
      </c>
      <c r="E290" s="4">
        <v>45870</v>
      </c>
      <c r="F290" s="5">
        <v>3905038095300</v>
      </c>
      <c r="H290" s="4">
        <v>45870</v>
      </c>
      <c r="I290" s="5">
        <v>5019105162500</v>
      </c>
    </row>
    <row r="291" spans="1:9" ht="13.9" x14ac:dyDescent="0.35">
      <c r="A291" s="2">
        <v>44266</v>
      </c>
      <c r="B291" s="3">
        <v>369805365500</v>
      </c>
      <c r="C291" s="3">
        <v>434160406800</v>
      </c>
      <c r="D291" s="49">
        <f t="shared" si="15"/>
        <v>8039.6577230000003</v>
      </c>
      <c r="E291" s="4">
        <v>45877</v>
      </c>
      <c r="F291" s="5">
        <v>3466649083600</v>
      </c>
      <c r="H291" s="4">
        <v>45877</v>
      </c>
      <c r="I291" s="5">
        <v>4897766111800</v>
      </c>
    </row>
    <row r="292" spans="1:9" ht="13.9" x14ac:dyDescent="0.35">
      <c r="A292" s="2">
        <v>44267</v>
      </c>
      <c r="B292" s="3">
        <v>381964281200</v>
      </c>
      <c r="C292" s="3">
        <v>435009479200</v>
      </c>
      <c r="D292" s="49">
        <f t="shared" si="15"/>
        <v>8169.7376039999999</v>
      </c>
      <c r="E292" s="4">
        <v>45884</v>
      </c>
      <c r="F292" s="5">
        <v>4326602339200</v>
      </c>
      <c r="H292" s="4">
        <v>45884</v>
      </c>
      <c r="I292" s="5">
        <v>6056648225500</v>
      </c>
    </row>
    <row r="293" spans="1:9" ht="13.9" x14ac:dyDescent="0.35">
      <c r="A293" s="2">
        <v>44270</v>
      </c>
      <c r="B293" s="3">
        <v>381646491300</v>
      </c>
      <c r="C293" s="3">
        <v>425353479200</v>
      </c>
      <c r="D293" s="49">
        <f t="shared" si="15"/>
        <v>8069.9997050000002</v>
      </c>
      <c r="E293" s="4">
        <v>45891</v>
      </c>
      <c r="F293" s="5">
        <v>5305174739500</v>
      </c>
      <c r="H293" s="4">
        <v>45891</v>
      </c>
      <c r="I293" s="5">
        <v>7426357756500</v>
      </c>
    </row>
    <row r="294" spans="1:9" ht="13.9" x14ac:dyDescent="0.35">
      <c r="A294" s="2">
        <v>44271</v>
      </c>
      <c r="B294" s="3">
        <v>332388484700</v>
      </c>
      <c r="C294" s="3">
        <v>403108393500</v>
      </c>
      <c r="D294" s="49">
        <f t="shared" si="15"/>
        <v>7354.9687819999999</v>
      </c>
      <c r="E294" s="4">
        <v>45898</v>
      </c>
      <c r="F294" s="5">
        <v>6288817894100</v>
      </c>
      <c r="H294" s="4">
        <v>45898</v>
      </c>
      <c r="I294" s="5">
        <v>8466004108500</v>
      </c>
    </row>
    <row r="295" spans="1:9" ht="13.9" x14ac:dyDescent="0.35">
      <c r="A295" s="2">
        <v>44272</v>
      </c>
      <c r="B295" s="3">
        <v>306630472100</v>
      </c>
      <c r="C295" s="3">
        <v>404193749900</v>
      </c>
      <c r="D295" s="49">
        <f t="shared" si="15"/>
        <v>7108.2422200000001</v>
      </c>
      <c r="E295" s="4">
        <v>45905</v>
      </c>
      <c r="F295" s="5">
        <v>5530375482300</v>
      </c>
      <c r="H295" s="4">
        <v>45905</v>
      </c>
      <c r="I295" s="5">
        <v>7307578708900</v>
      </c>
    </row>
    <row r="296" spans="1:9" ht="13.9" x14ac:dyDescent="0.35">
      <c r="A296" s="2">
        <v>44273</v>
      </c>
      <c r="B296" s="3">
        <v>316529174100</v>
      </c>
      <c r="C296" s="3">
        <v>420209819900</v>
      </c>
      <c r="D296" s="49">
        <f t="shared" si="15"/>
        <v>7367.38994</v>
      </c>
      <c r="E296" s="4">
        <v>45912</v>
      </c>
      <c r="F296" s="5">
        <v>4875393942800</v>
      </c>
      <c r="H296" s="4">
        <v>45912</v>
      </c>
      <c r="I296" s="5">
        <v>6598626233700</v>
      </c>
    </row>
    <row r="297" spans="1:9" ht="13.9" x14ac:dyDescent="0.35">
      <c r="A297" s="2">
        <v>44274</v>
      </c>
      <c r="B297" s="3">
        <v>339992292800</v>
      </c>
      <c r="C297" s="3">
        <v>432114921800</v>
      </c>
      <c r="D297" s="49">
        <f t="shared" si="15"/>
        <v>7721.0721460000004</v>
      </c>
      <c r="E297" s="4">
        <v>45919</v>
      </c>
      <c r="F297" s="5">
        <v>5364947947000</v>
      </c>
      <c r="H297" s="4">
        <v>45919</v>
      </c>
      <c r="I297" s="5">
        <v>7089563220200</v>
      </c>
    </row>
    <row r="298" spans="1:9" ht="13.9" x14ac:dyDescent="0.35">
      <c r="A298" s="2">
        <v>44277</v>
      </c>
      <c r="B298" s="3">
        <v>332535035800</v>
      </c>
      <c r="C298" s="3">
        <v>427356032400</v>
      </c>
      <c r="D298" s="49">
        <f t="shared" si="15"/>
        <v>7598.9106819999997</v>
      </c>
      <c r="E298" s="4">
        <v>45926</v>
      </c>
      <c r="F298" s="5">
        <v>4958281951200</v>
      </c>
      <c r="H298" s="4">
        <v>45926</v>
      </c>
      <c r="I298" s="5">
        <v>6502342609200</v>
      </c>
    </row>
    <row r="299" spans="1:9" ht="13.9" x14ac:dyDescent="0.35">
      <c r="A299" s="2">
        <v>44278</v>
      </c>
      <c r="B299" s="3">
        <v>343477167700</v>
      </c>
      <c r="C299" s="3">
        <v>445105340500</v>
      </c>
      <c r="D299" s="49">
        <f t="shared" si="15"/>
        <v>7885.8250820000003</v>
      </c>
      <c r="E299" s="4">
        <v>45930</v>
      </c>
      <c r="F299" s="5">
        <v>1941487349200</v>
      </c>
      <c r="H299" s="4">
        <v>45930</v>
      </c>
      <c r="I299" s="5">
        <v>2401384971100</v>
      </c>
    </row>
    <row r="300" spans="1:9" ht="13.9" x14ac:dyDescent="0.35">
      <c r="A300" s="2">
        <v>44279</v>
      </c>
      <c r="B300" s="3">
        <v>344800038200</v>
      </c>
      <c r="C300" s="3">
        <v>417549390200</v>
      </c>
      <c r="D300" s="49">
        <f t="shared" si="15"/>
        <v>7623.4942840000003</v>
      </c>
      <c r="E300" s="4">
        <v>45940</v>
      </c>
      <c r="F300" s="5">
        <v>2349015867800</v>
      </c>
      <c r="H300" s="4">
        <v>45940</v>
      </c>
      <c r="I300" s="5">
        <v>2819795087400</v>
      </c>
    </row>
    <row r="301" spans="1:9" ht="13.9" x14ac:dyDescent="0.35">
      <c r="A301" s="2">
        <v>44280</v>
      </c>
      <c r="B301" s="3">
        <v>290223442600</v>
      </c>
      <c r="C301" s="3">
        <v>385729038400</v>
      </c>
      <c r="D301" s="49">
        <f t="shared" si="15"/>
        <v>6759.5248099999999</v>
      </c>
      <c r="E301" s="4">
        <v>45947</v>
      </c>
      <c r="F301" s="5">
        <v>4999395763000</v>
      </c>
      <c r="H301" s="4">
        <v>45947</v>
      </c>
      <c r="I301" s="5">
        <v>5873690933900</v>
      </c>
    </row>
    <row r="302" spans="1:9" ht="13.9" x14ac:dyDescent="0.35">
      <c r="A302" s="2">
        <v>44281</v>
      </c>
      <c r="B302" s="3">
        <v>322408619900</v>
      </c>
      <c r="C302" s="3">
        <v>425546495800</v>
      </c>
      <c r="D302" s="49">
        <f t="shared" si="15"/>
        <v>7479.5511569999999</v>
      </c>
      <c r="E302" s="4">
        <v>45954</v>
      </c>
      <c r="F302" s="5">
        <v>3929388721500</v>
      </c>
      <c r="H302" s="4">
        <v>45954</v>
      </c>
      <c r="I302" s="5">
        <v>4968085775000</v>
      </c>
    </row>
    <row r="303" spans="1:9" ht="13.9" x14ac:dyDescent="0.35">
      <c r="A303" s="2">
        <v>44284</v>
      </c>
      <c r="B303" s="3">
        <v>327944119700</v>
      </c>
      <c r="C303" s="3">
        <v>429877063400</v>
      </c>
      <c r="D303" s="49">
        <f t="shared" si="15"/>
        <v>7578.2118309999996</v>
      </c>
      <c r="E303" s="4">
        <v>45961</v>
      </c>
      <c r="F303" s="5">
        <v>5053543827200</v>
      </c>
      <c r="H303" s="4">
        <v>45961</v>
      </c>
      <c r="I303" s="5">
        <v>6429946713400</v>
      </c>
    </row>
    <row r="304" spans="1:9" ht="13.9" x14ac:dyDescent="0.35">
      <c r="A304" s="2">
        <v>44285</v>
      </c>
      <c r="B304" s="3">
        <v>331625651200</v>
      </c>
      <c r="C304" s="3">
        <v>417716184600</v>
      </c>
      <c r="D304" s="49">
        <f t="shared" si="15"/>
        <v>7493.4183579999999</v>
      </c>
      <c r="E304" s="4">
        <v>45968</v>
      </c>
      <c r="F304" s="5">
        <v>4427537945400</v>
      </c>
      <c r="H304" s="4">
        <v>45968</v>
      </c>
      <c r="I304" s="5">
        <v>5521993024900</v>
      </c>
    </row>
    <row r="305" spans="1:9" ht="13.9" x14ac:dyDescent="0.35">
      <c r="A305" s="2">
        <v>44286</v>
      </c>
      <c r="B305" s="3">
        <v>314174120200</v>
      </c>
      <c r="C305" s="3">
        <v>373250713600</v>
      </c>
      <c r="D305" s="49">
        <f t="shared" si="15"/>
        <v>6874.2483380000003</v>
      </c>
      <c r="E305" s="4">
        <v>45975</v>
      </c>
      <c r="F305" s="5">
        <v>4373788424100</v>
      </c>
      <c r="H305" s="4">
        <v>45975</v>
      </c>
      <c r="I305" s="5">
        <v>5739326845700</v>
      </c>
    </row>
    <row r="306" spans="1:9" ht="13.9" x14ac:dyDescent="0.35">
      <c r="A306" s="2">
        <v>44287</v>
      </c>
      <c r="B306" s="3">
        <v>292651912300</v>
      </c>
      <c r="C306" s="3">
        <v>365020701300</v>
      </c>
      <c r="D306" s="49">
        <f t="shared" si="15"/>
        <v>6576.7261360000002</v>
      </c>
      <c r="E306" s="4">
        <v>45982</v>
      </c>
      <c r="F306" s="5">
        <v>3853862902100</v>
      </c>
      <c r="H306" s="4">
        <v>45982</v>
      </c>
      <c r="I306" s="5">
        <v>5382753772300</v>
      </c>
    </row>
    <row r="307" spans="1:9" ht="13.9" x14ac:dyDescent="0.35">
      <c r="A307" s="2">
        <v>44288</v>
      </c>
      <c r="B307" s="3">
        <v>317953200800</v>
      </c>
      <c r="C307" s="3">
        <v>398748315000</v>
      </c>
      <c r="D307" s="49">
        <f t="shared" si="15"/>
        <v>7167.0151580000002</v>
      </c>
      <c r="E307" s="4">
        <v>45989</v>
      </c>
      <c r="F307" s="5">
        <v>3483622825000</v>
      </c>
      <c r="H307" s="4">
        <v>45989</v>
      </c>
      <c r="I307" s="5">
        <v>5135234383700</v>
      </c>
    </row>
    <row r="308" spans="1:9" ht="13.9" x14ac:dyDescent="0.35">
      <c r="A308" s="2">
        <v>44292</v>
      </c>
      <c r="B308" s="3">
        <v>286329672700</v>
      </c>
      <c r="C308" s="3">
        <v>373867776700</v>
      </c>
      <c r="D308" s="49">
        <f t="shared" si="15"/>
        <v>6601.974494</v>
      </c>
      <c r="E308" s="4">
        <v>45996</v>
      </c>
      <c r="F308" s="5">
        <v>3400720563000</v>
      </c>
      <c r="H308" s="4">
        <v>45996</v>
      </c>
      <c r="I308" s="5">
        <v>5011340925400</v>
      </c>
    </row>
    <row r="309" spans="1:9" ht="13.9" x14ac:dyDescent="0.35">
      <c r="A309" s="2">
        <v>44293</v>
      </c>
      <c r="B309" s="3">
        <v>323650987000</v>
      </c>
      <c r="C309" s="3">
        <v>416358299500</v>
      </c>
      <c r="D309" s="49">
        <f t="shared" si="15"/>
        <v>7400.0928649999996</v>
      </c>
      <c r="E309" s="4">
        <v>46003</v>
      </c>
      <c r="F309" s="5">
        <v>4025260288300</v>
      </c>
      <c r="H309" s="4">
        <v>46003</v>
      </c>
      <c r="I309" s="5">
        <v>5643163169800</v>
      </c>
    </row>
    <row r="310" spans="1:9" ht="13.9" x14ac:dyDescent="0.35">
      <c r="A310" s="2">
        <v>44294</v>
      </c>
      <c r="B310" s="3">
        <v>348011326800</v>
      </c>
      <c r="C310" s="3">
        <v>419246748500</v>
      </c>
      <c r="D310" s="49">
        <f t="shared" si="15"/>
        <v>7672.5807530000002</v>
      </c>
      <c r="E310" s="4">
        <v>46010</v>
      </c>
      <c r="F310" s="5">
        <v>3707680945800</v>
      </c>
      <c r="H310" s="4">
        <v>46010</v>
      </c>
      <c r="I310" s="5">
        <v>4982474869800</v>
      </c>
    </row>
    <row r="311" spans="1:9" ht="13.9" x14ac:dyDescent="0.35">
      <c r="A311" s="2">
        <v>44295</v>
      </c>
      <c r="B311" s="3">
        <v>306422226300</v>
      </c>
      <c r="C311" s="3">
        <v>388224817900</v>
      </c>
      <c r="D311" s="49">
        <f t="shared" si="15"/>
        <v>6946.4704419999998</v>
      </c>
      <c r="E311" s="4">
        <v>46017</v>
      </c>
      <c r="F311" s="5">
        <v>4049201468300</v>
      </c>
      <c r="H311" s="4">
        <v>46017</v>
      </c>
      <c r="I311" s="5">
        <v>5677561403600</v>
      </c>
    </row>
    <row r="312" spans="1:9" ht="13.9" x14ac:dyDescent="0.35">
      <c r="A312" s="2">
        <v>44298</v>
      </c>
      <c r="B312" s="3">
        <v>338890339600</v>
      </c>
      <c r="C312" s="3">
        <v>436815557500</v>
      </c>
      <c r="D312" s="49">
        <f t="shared" si="15"/>
        <v>7757.0589710000004</v>
      </c>
      <c r="E312" s="4">
        <v>46022</v>
      </c>
      <c r="F312" s="5">
        <v>2620864942900</v>
      </c>
      <c r="H312" s="4">
        <v>46022</v>
      </c>
      <c r="I312" s="5">
        <v>3705940494800</v>
      </c>
    </row>
    <row r="313" spans="1:9" ht="13.9" x14ac:dyDescent="0.35">
      <c r="A313" s="2">
        <v>44299</v>
      </c>
      <c r="B313" s="3">
        <v>290539879900</v>
      </c>
      <c r="C313" s="3">
        <v>380936566900</v>
      </c>
      <c r="D313" s="49">
        <f t="shared" si="15"/>
        <v>6714.7644680000003</v>
      </c>
      <c r="E313" s="4">
        <v>46031</v>
      </c>
      <c r="F313" s="5">
        <v>5912920400800</v>
      </c>
      <c r="H313" s="4">
        <v>46031</v>
      </c>
      <c r="I313" s="5">
        <v>8216959435400</v>
      </c>
    </row>
    <row r="314" spans="1:9" ht="13.9" x14ac:dyDescent="0.35">
      <c r="A314" s="2">
        <v>44300</v>
      </c>
      <c r="B314" s="3">
        <v>269010070600.00003</v>
      </c>
      <c r="C314" s="3">
        <v>385010139200</v>
      </c>
      <c r="D314" s="49">
        <f t="shared" si="15"/>
        <v>6540.2020979999998</v>
      </c>
      <c r="E314" s="4">
        <v>46038</v>
      </c>
      <c r="F314" s="5">
        <v>7048777955800</v>
      </c>
      <c r="H314" s="4">
        <v>46038</v>
      </c>
      <c r="I314" s="5">
        <v>10076700637900</v>
      </c>
    </row>
    <row r="315" spans="1:9" ht="13.9" x14ac:dyDescent="0.35">
      <c r="A315" s="2">
        <v>44301</v>
      </c>
      <c r="B315" s="3">
        <v>272569196800</v>
      </c>
      <c r="C315" s="3">
        <v>388067544500</v>
      </c>
      <c r="D315" s="49">
        <f t="shared" si="15"/>
        <v>6606.3674129999999</v>
      </c>
      <c r="E315" s="4">
        <v>46045</v>
      </c>
      <c r="F315" s="5">
        <v>6130429261800</v>
      </c>
      <c r="H315" s="4">
        <v>46045</v>
      </c>
      <c r="I315" s="5">
        <v>7733132179200</v>
      </c>
    </row>
    <row r="316" spans="1:9" ht="13.9" x14ac:dyDescent="0.35">
      <c r="A316" s="2">
        <v>44302</v>
      </c>
      <c r="B316" s="3">
        <v>295951094700</v>
      </c>
      <c r="C316" s="3">
        <v>396212066200</v>
      </c>
      <c r="D316" s="49">
        <f t="shared" si="15"/>
        <v>6921.631609</v>
      </c>
      <c r="E316" s="4">
        <v>46052</v>
      </c>
      <c r="F316" s="5">
        <v>6862469360400</v>
      </c>
      <c r="H316" s="4">
        <v>46052</v>
      </c>
      <c r="I316" s="5">
        <v>8311671094600</v>
      </c>
    </row>
    <row r="317" spans="1:9" ht="13.9" x14ac:dyDescent="0.35">
      <c r="A317" s="2">
        <v>44305</v>
      </c>
      <c r="B317" s="3">
        <v>368472467500</v>
      </c>
      <c r="C317" s="3">
        <v>493066427400</v>
      </c>
      <c r="D317" s="49">
        <f t="shared" si="15"/>
        <v>8615.3889490000001</v>
      </c>
      <c r="E317" s="4">
        <v>46059</v>
      </c>
      <c r="F317" s="5">
        <v>5183441561400</v>
      </c>
      <c r="H317" s="4">
        <v>46059</v>
      </c>
      <c r="I317" s="5">
        <v>6748465091200</v>
      </c>
    </row>
    <row r="318" spans="1:9" ht="13.9" x14ac:dyDescent="0.35">
      <c r="A318" s="2">
        <v>44306</v>
      </c>
      <c r="B318" s="3">
        <v>358982768200</v>
      </c>
      <c r="C318" s="3">
        <v>486642148800</v>
      </c>
      <c r="D318" s="49">
        <f t="shared" si="15"/>
        <v>8456.2491699999991</v>
      </c>
      <c r="E318" s="4">
        <v>46066</v>
      </c>
      <c r="F318" s="5">
        <v>4399299002600</v>
      </c>
      <c r="H318" s="4">
        <v>46066</v>
      </c>
      <c r="I318" s="5">
        <v>6064380226000</v>
      </c>
    </row>
    <row r="319" spans="1:9" ht="13.9" x14ac:dyDescent="0.35">
      <c r="A319" s="2">
        <v>44307</v>
      </c>
      <c r="B319" s="3">
        <v>323914146200</v>
      </c>
      <c r="C319" s="3">
        <v>419609534100</v>
      </c>
      <c r="D319" s="49">
        <f t="shared" si="15"/>
        <v>7435.2368029999998</v>
      </c>
      <c r="E319" s="4">
        <v>46080</v>
      </c>
      <c r="F319" s="5">
        <v>4164147486200</v>
      </c>
      <c r="H319" s="4">
        <v>46080</v>
      </c>
      <c r="I319" s="5">
        <v>5526931505700</v>
      </c>
    </row>
    <row r="320" spans="1:9" ht="13.9" x14ac:dyDescent="0.35">
      <c r="A320" s="2">
        <v>44308</v>
      </c>
      <c r="B320" s="3">
        <v>317081034900</v>
      </c>
      <c r="C320" s="3">
        <v>423840346900</v>
      </c>
      <c r="D320" s="49">
        <f t="shared" si="15"/>
        <v>7409.2138180000002</v>
      </c>
      <c r="E320" s="4">
        <v>46087</v>
      </c>
      <c r="F320" s="5">
        <v>5931614319700</v>
      </c>
      <c r="H320" s="4">
        <v>46087</v>
      </c>
      <c r="I320" s="5">
        <v>7174555866200</v>
      </c>
    </row>
    <row r="321" spans="1:9" ht="13.9" x14ac:dyDescent="0.35">
      <c r="A321" s="2">
        <v>44309</v>
      </c>
      <c r="B321" s="3">
        <v>323015935300</v>
      </c>
      <c r="C321" s="3">
        <v>455592500200</v>
      </c>
      <c r="D321" s="49">
        <f t="shared" si="15"/>
        <v>7786.084355</v>
      </c>
      <c r="E321" s="4">
        <v>46094</v>
      </c>
      <c r="F321" s="5">
        <v>5436267772100</v>
      </c>
      <c r="H321" s="4">
        <v>46094</v>
      </c>
      <c r="I321" s="5">
        <v>6959757524600</v>
      </c>
    </row>
    <row r="322" spans="1:9" ht="13.9" x14ac:dyDescent="0.35">
      <c r="A322" s="2">
        <v>44312</v>
      </c>
      <c r="B322" s="3">
        <v>388161675600</v>
      </c>
      <c r="C322" s="3">
        <v>520269595100</v>
      </c>
      <c r="D322" s="49">
        <f t="shared" si="15"/>
        <v>9084.3127069999991</v>
      </c>
      <c r="E322" s="4">
        <v>46101</v>
      </c>
      <c r="F322" s="5">
        <v>4764907519400</v>
      </c>
      <c r="H322" s="4">
        <v>46101</v>
      </c>
      <c r="I322" s="5">
        <v>6212127623900</v>
      </c>
    </row>
    <row r="323" spans="1:9" ht="13.9" x14ac:dyDescent="0.35">
      <c r="A323" s="2">
        <v>44313</v>
      </c>
      <c r="B323" s="3">
        <v>327046020000</v>
      </c>
      <c r="C323" s="3">
        <v>437562781000</v>
      </c>
      <c r="D323" s="49">
        <f t="shared" si="15"/>
        <v>7646.0880100000004</v>
      </c>
      <c r="E323" s="4">
        <v>46108</v>
      </c>
      <c r="F323" s="5">
        <v>4633579155900</v>
      </c>
      <c r="H323" s="4">
        <v>46108</v>
      </c>
      <c r="I323" s="5">
        <v>5857450779000</v>
      </c>
    </row>
    <row r="324" spans="1:9" ht="13.9" x14ac:dyDescent="0.35">
      <c r="A324" s="2">
        <v>44314</v>
      </c>
      <c r="B324" s="3">
        <v>349669207300</v>
      </c>
      <c r="C324" s="3">
        <v>438481873600</v>
      </c>
      <c r="D324" s="49">
        <f t="shared" si="15"/>
        <v>7881.5108090000003</v>
      </c>
      <c r="E324" s="4">
        <v>46115</v>
      </c>
      <c r="F324" s="5">
        <v>4154772887300</v>
      </c>
      <c r="H324" s="4">
        <v>46115</v>
      </c>
      <c r="I324" s="5">
        <v>5265520232100</v>
      </c>
    </row>
    <row r="325" spans="1:9" ht="13.9" x14ac:dyDescent="0.35">
      <c r="A325" s="2">
        <v>44315</v>
      </c>
      <c r="B325" s="3">
        <v>371611589900</v>
      </c>
      <c r="C325" s="3">
        <v>450586988200</v>
      </c>
      <c r="D325" s="49">
        <f t="shared" si="15"/>
        <v>8221.9857809999994</v>
      </c>
      <c r="E325" s="4">
        <v>46122</v>
      </c>
      <c r="F325" s="5">
        <v>3656263485900</v>
      </c>
      <c r="H325" s="4">
        <v>46122</v>
      </c>
      <c r="I325" s="5">
        <v>4849478603300</v>
      </c>
    </row>
    <row r="326" spans="1:9" ht="13.9" x14ac:dyDescent="0.35">
      <c r="A326" s="2">
        <v>44316</v>
      </c>
      <c r="B326" s="3">
        <v>401442334700</v>
      </c>
      <c r="C326" s="3">
        <v>465320749200</v>
      </c>
      <c r="D326" s="49">
        <f t="shared" ref="D326:D389" si="16">(B326+C326)/100000000</f>
        <v>8667.6308389999995</v>
      </c>
      <c r="E326" s="4">
        <v>46129</v>
      </c>
      <c r="F326" s="5">
        <v>4936809635200</v>
      </c>
      <c r="H326" s="4">
        <v>46129</v>
      </c>
      <c r="I326" s="5">
        <v>6779735072400</v>
      </c>
    </row>
    <row r="327" spans="1:9" ht="13.9" x14ac:dyDescent="0.35">
      <c r="A327" s="2">
        <v>44322</v>
      </c>
      <c r="B327" s="3">
        <v>400525169600</v>
      </c>
      <c r="C327" s="3">
        <v>474967446000</v>
      </c>
      <c r="D327" s="49">
        <f t="shared" si="16"/>
        <v>8754.9261559999995</v>
      </c>
      <c r="E327" s="4">
        <v>46136</v>
      </c>
      <c r="F327" s="5">
        <v>5588949317700</v>
      </c>
      <c r="H327" s="4">
        <v>46136</v>
      </c>
      <c r="I327" s="5">
        <v>7404468659700</v>
      </c>
    </row>
    <row r="328" spans="1:9" ht="13.9" x14ac:dyDescent="0.35">
      <c r="A328" s="2">
        <v>44323</v>
      </c>
      <c r="B328" s="3">
        <v>411078841600</v>
      </c>
      <c r="C328" s="3">
        <v>472803798300</v>
      </c>
      <c r="D328" s="49">
        <f t="shared" si="16"/>
        <v>8838.8263989999996</v>
      </c>
      <c r="E328" s="4">
        <v>46142</v>
      </c>
      <c r="F328" s="5">
        <v>4652817593800</v>
      </c>
      <c r="H328" s="4">
        <v>46142</v>
      </c>
      <c r="I328" s="5">
        <v>5803990168900</v>
      </c>
    </row>
    <row r="329" spans="1:9" ht="13.9" x14ac:dyDescent="0.35">
      <c r="A329" s="2">
        <v>44326</v>
      </c>
      <c r="B329" s="3">
        <v>399717549000</v>
      </c>
      <c r="C329" s="3">
        <v>455282319600</v>
      </c>
      <c r="D329" s="49">
        <f t="shared" si="16"/>
        <v>8549.9986860000008</v>
      </c>
      <c r="E329" s="4">
        <v>46150</v>
      </c>
      <c r="F329" s="5">
        <v>4156675769500</v>
      </c>
      <c r="H329" s="4">
        <v>46150</v>
      </c>
      <c r="I329" s="5">
        <v>5262655994000</v>
      </c>
    </row>
    <row r="330" spans="1:9" ht="13.9" x14ac:dyDescent="0.35">
      <c r="A330" s="2">
        <v>44327</v>
      </c>
      <c r="B330" s="3">
        <v>390326273800</v>
      </c>
      <c r="C330" s="3">
        <v>452944309500</v>
      </c>
      <c r="D330" s="49">
        <f t="shared" si="16"/>
        <v>8432.705833</v>
      </c>
      <c r="E330" s="4">
        <v>46155</v>
      </c>
      <c r="F330" s="5">
        <v>3049639336800</v>
      </c>
      <c r="H330" s="4">
        <v>46155</v>
      </c>
      <c r="I330" s="5">
        <v>3731878491900</v>
      </c>
    </row>
    <row r="331" spans="1:9" ht="13.9" x14ac:dyDescent="0.35">
      <c r="A331" s="2">
        <v>44328</v>
      </c>
      <c r="B331" s="3">
        <v>343860406400</v>
      </c>
      <c r="C331" s="3">
        <v>421628758200</v>
      </c>
      <c r="D331" s="49">
        <f t="shared" si="16"/>
        <v>7654.891646</v>
      </c>
    </row>
    <row r="332" spans="1:9" ht="13.9" x14ac:dyDescent="0.35">
      <c r="A332" s="2">
        <v>44329</v>
      </c>
      <c r="B332" s="3">
        <v>356376917800</v>
      </c>
      <c r="C332" s="3">
        <v>445290719700</v>
      </c>
      <c r="D332" s="49">
        <f t="shared" si="16"/>
        <v>8016.676375</v>
      </c>
    </row>
    <row r="333" spans="1:9" ht="13.9" x14ac:dyDescent="0.35">
      <c r="A333" s="2">
        <v>44330</v>
      </c>
      <c r="B333" s="3">
        <v>411116942800</v>
      </c>
      <c r="C333" s="3">
        <v>490585191300</v>
      </c>
      <c r="D333" s="49">
        <f t="shared" si="16"/>
        <v>9017.0213409999997</v>
      </c>
    </row>
    <row r="334" spans="1:9" ht="13.9" x14ac:dyDescent="0.35">
      <c r="A334" s="2">
        <v>44333</v>
      </c>
      <c r="B334" s="3">
        <v>424476783400</v>
      </c>
      <c r="C334" s="3">
        <v>505567881300</v>
      </c>
      <c r="D334" s="49">
        <f t="shared" si="16"/>
        <v>9300.4466470000007</v>
      </c>
    </row>
    <row r="335" spans="1:9" ht="13.9" x14ac:dyDescent="0.35">
      <c r="A335" s="2">
        <v>44334</v>
      </c>
      <c r="B335" s="3">
        <v>336028774700</v>
      </c>
      <c r="C335" s="3">
        <v>416058794500</v>
      </c>
      <c r="D335" s="49">
        <f t="shared" si="16"/>
        <v>7520.8756919999996</v>
      </c>
    </row>
    <row r="336" spans="1:9" ht="13.9" x14ac:dyDescent="0.35">
      <c r="A336" s="2">
        <v>44335</v>
      </c>
      <c r="B336" s="3">
        <v>349973152300</v>
      </c>
      <c r="C336" s="3">
        <v>441511859600</v>
      </c>
      <c r="D336" s="49">
        <f t="shared" si="16"/>
        <v>7914.8501189999997</v>
      </c>
    </row>
    <row r="337" spans="1:4" ht="13.9" x14ac:dyDescent="0.35">
      <c r="A337" s="2">
        <v>44336</v>
      </c>
      <c r="B337" s="3">
        <v>390355321500</v>
      </c>
      <c r="C337" s="3">
        <v>474156192400</v>
      </c>
      <c r="D337" s="49">
        <f t="shared" si="16"/>
        <v>8645.1151389999995</v>
      </c>
    </row>
    <row r="338" spans="1:4" ht="13.9" x14ac:dyDescent="0.35">
      <c r="A338" s="2">
        <v>44337</v>
      </c>
      <c r="B338" s="3">
        <v>356025931300</v>
      </c>
      <c r="C338" s="3">
        <v>452008227400</v>
      </c>
      <c r="D338" s="49">
        <f t="shared" si="16"/>
        <v>8080.3415869999999</v>
      </c>
    </row>
    <row r="339" spans="1:4" ht="13.9" x14ac:dyDescent="0.35">
      <c r="A339" s="2">
        <v>44340</v>
      </c>
      <c r="B339" s="3">
        <v>367181627900</v>
      </c>
      <c r="C339" s="3">
        <v>475061950200</v>
      </c>
      <c r="D339" s="49">
        <f t="shared" si="16"/>
        <v>8422.4357810000001</v>
      </c>
    </row>
    <row r="340" spans="1:4" ht="13.9" x14ac:dyDescent="0.35">
      <c r="A340" s="2">
        <v>44341</v>
      </c>
      <c r="B340" s="3">
        <v>472213531400</v>
      </c>
      <c r="C340" s="3">
        <v>534114319500</v>
      </c>
      <c r="D340" s="49">
        <f t="shared" si="16"/>
        <v>10063.278509</v>
      </c>
    </row>
    <row r="341" spans="1:4" ht="13.9" x14ac:dyDescent="0.35">
      <c r="A341" s="2">
        <v>44342</v>
      </c>
      <c r="B341" s="3">
        <v>455831256700</v>
      </c>
      <c r="C341" s="3">
        <v>510938454100</v>
      </c>
      <c r="D341" s="49">
        <f t="shared" si="16"/>
        <v>9667.6971080000003</v>
      </c>
    </row>
    <row r="342" spans="1:4" ht="13.9" x14ac:dyDescent="0.35">
      <c r="A342" s="2">
        <v>44343</v>
      </c>
      <c r="B342" s="3">
        <v>429004239300</v>
      </c>
      <c r="C342" s="3">
        <v>510632650300</v>
      </c>
      <c r="D342" s="49">
        <f t="shared" si="16"/>
        <v>9396.3688959999999</v>
      </c>
    </row>
    <row r="343" spans="1:4" ht="13.9" x14ac:dyDescent="0.35">
      <c r="A343" s="2">
        <v>44344</v>
      </c>
      <c r="B343" s="3">
        <v>452445032000</v>
      </c>
      <c r="C343" s="3">
        <v>563726695500</v>
      </c>
      <c r="D343" s="49">
        <f t="shared" si="16"/>
        <v>10161.717275000001</v>
      </c>
    </row>
    <row r="344" spans="1:4" ht="13.9" x14ac:dyDescent="0.35">
      <c r="A344" s="2">
        <v>44347</v>
      </c>
      <c r="B344" s="3">
        <v>449694381000</v>
      </c>
      <c r="C344" s="3">
        <v>559737064700</v>
      </c>
      <c r="D344" s="49">
        <f t="shared" si="16"/>
        <v>10094.314457</v>
      </c>
    </row>
    <row r="345" spans="1:4" ht="13.9" x14ac:dyDescent="0.35">
      <c r="A345" s="2">
        <v>44348</v>
      </c>
      <c r="B345" s="3">
        <v>471663104800</v>
      </c>
      <c r="C345" s="3">
        <v>575197376800</v>
      </c>
      <c r="D345" s="49">
        <f t="shared" si="16"/>
        <v>10468.604815999999</v>
      </c>
    </row>
    <row r="346" spans="1:4" ht="13.9" x14ac:dyDescent="0.35">
      <c r="A346" s="2">
        <v>44349</v>
      </c>
      <c r="B346" s="3">
        <v>454678066400</v>
      </c>
      <c r="C346" s="3">
        <v>558298553500</v>
      </c>
      <c r="D346" s="49">
        <f t="shared" si="16"/>
        <v>10129.766199</v>
      </c>
    </row>
    <row r="347" spans="1:4" ht="13.9" x14ac:dyDescent="0.35">
      <c r="A347" s="2">
        <v>44350</v>
      </c>
      <c r="B347" s="3">
        <v>443506527300</v>
      </c>
      <c r="C347" s="3">
        <v>512268177100</v>
      </c>
      <c r="D347" s="49">
        <f t="shared" si="16"/>
        <v>9557.7470439999997</v>
      </c>
    </row>
    <row r="348" spans="1:4" ht="13.9" x14ac:dyDescent="0.35">
      <c r="A348" s="2">
        <v>44351</v>
      </c>
      <c r="B348" s="3">
        <v>435280519900</v>
      </c>
      <c r="C348" s="3">
        <v>502175165600</v>
      </c>
      <c r="D348" s="49">
        <f t="shared" si="16"/>
        <v>9374.5568550000007</v>
      </c>
    </row>
    <row r="349" spans="1:4" x14ac:dyDescent="0.3">
      <c r="A349" s="4">
        <v>44354</v>
      </c>
      <c r="B349" s="5">
        <v>432219952200</v>
      </c>
      <c r="C349" s="5">
        <v>516971645700</v>
      </c>
      <c r="D349" s="49">
        <f t="shared" si="16"/>
        <v>9491.9159789999994</v>
      </c>
    </row>
    <row r="350" spans="1:4" x14ac:dyDescent="0.3">
      <c r="A350" s="4">
        <v>44355</v>
      </c>
      <c r="B350" s="5">
        <v>443161808000</v>
      </c>
      <c r="C350" s="5">
        <v>542239900799.99994</v>
      </c>
      <c r="D350" s="49">
        <f t="shared" si="16"/>
        <v>9854.0170880000005</v>
      </c>
    </row>
    <row r="351" spans="1:4" x14ac:dyDescent="0.3">
      <c r="A351" s="4">
        <v>44356</v>
      </c>
      <c r="B351" s="5">
        <v>403236322800</v>
      </c>
      <c r="C351" s="5">
        <v>477796295000</v>
      </c>
      <c r="D351" s="49">
        <f t="shared" si="16"/>
        <v>8810.3261779999993</v>
      </c>
    </row>
    <row r="352" spans="1:4" x14ac:dyDescent="0.3">
      <c r="A352" s="4">
        <v>44357</v>
      </c>
      <c r="B352" s="5">
        <v>442117285400</v>
      </c>
      <c r="C352" s="5">
        <v>560145682900</v>
      </c>
      <c r="D352" s="49">
        <f t="shared" si="16"/>
        <v>10022.629682999999</v>
      </c>
    </row>
    <row r="353" spans="1:4" x14ac:dyDescent="0.3">
      <c r="A353" s="4">
        <v>44358</v>
      </c>
      <c r="B353" s="5">
        <v>495372693100</v>
      </c>
      <c r="C353" s="5">
        <v>625764425200</v>
      </c>
      <c r="D353" s="49">
        <f t="shared" si="16"/>
        <v>11211.371182999999</v>
      </c>
    </row>
    <row r="354" spans="1:4" x14ac:dyDescent="0.3">
      <c r="A354" s="4">
        <v>44362</v>
      </c>
      <c r="B354" s="5">
        <v>444719204200</v>
      </c>
      <c r="C354" s="5">
        <v>555804061500</v>
      </c>
      <c r="D354" s="49">
        <f t="shared" si="16"/>
        <v>10005.232657</v>
      </c>
    </row>
    <row r="355" spans="1:4" x14ac:dyDescent="0.3">
      <c r="A355" s="4">
        <v>44363</v>
      </c>
      <c r="B355" s="5">
        <v>410609314700</v>
      </c>
      <c r="C355" s="5">
        <v>521603623600</v>
      </c>
      <c r="D355" s="49">
        <f t="shared" si="16"/>
        <v>9322.1293829999995</v>
      </c>
    </row>
    <row r="356" spans="1:4" x14ac:dyDescent="0.3">
      <c r="A356" s="4">
        <v>44364</v>
      </c>
      <c r="B356" s="5">
        <v>388761041700</v>
      </c>
      <c r="C356" s="5">
        <v>503179206600</v>
      </c>
      <c r="D356" s="49">
        <f t="shared" si="16"/>
        <v>8919.4024829999998</v>
      </c>
    </row>
    <row r="357" spans="1:4" x14ac:dyDescent="0.3">
      <c r="A357" s="4">
        <v>44365</v>
      </c>
      <c r="B357" s="5">
        <v>446297401400</v>
      </c>
      <c r="C357" s="5">
        <v>563847243600</v>
      </c>
      <c r="D357" s="49">
        <f t="shared" si="16"/>
        <v>10101.446449999999</v>
      </c>
    </row>
    <row r="358" spans="1:4" x14ac:dyDescent="0.3">
      <c r="A358" s="4">
        <v>44368</v>
      </c>
      <c r="B358" s="5">
        <v>426562789100</v>
      </c>
      <c r="C358" s="5">
        <v>587706988600</v>
      </c>
      <c r="D358" s="49">
        <f t="shared" si="16"/>
        <v>10142.697776999999</v>
      </c>
    </row>
    <row r="359" spans="1:4" x14ac:dyDescent="0.3">
      <c r="A359" s="4">
        <v>44369</v>
      </c>
      <c r="B359" s="5">
        <v>437092259200</v>
      </c>
      <c r="C359" s="5">
        <v>574283295400</v>
      </c>
      <c r="D359" s="49">
        <f t="shared" si="16"/>
        <v>10113.755546</v>
      </c>
    </row>
    <row r="360" spans="1:4" x14ac:dyDescent="0.3">
      <c r="A360" s="4">
        <v>44370</v>
      </c>
      <c r="B360" s="5">
        <v>470347635600</v>
      </c>
      <c r="C360" s="5">
        <v>602984231800</v>
      </c>
      <c r="D360" s="49">
        <f t="shared" si="16"/>
        <v>10733.318674</v>
      </c>
    </row>
    <row r="361" spans="1:4" x14ac:dyDescent="0.3">
      <c r="A361" s="4">
        <v>44371</v>
      </c>
      <c r="B361" s="5">
        <v>461273595600</v>
      </c>
      <c r="C361" s="5">
        <v>551705160900</v>
      </c>
      <c r="D361" s="49">
        <f t="shared" si="16"/>
        <v>10129.787565000001</v>
      </c>
    </row>
    <row r="362" spans="1:4" x14ac:dyDescent="0.3">
      <c r="A362" s="4">
        <v>44372</v>
      </c>
      <c r="B362" s="5">
        <v>483898970900</v>
      </c>
      <c r="C362" s="5">
        <v>570699358000</v>
      </c>
      <c r="D362" s="49">
        <f t="shared" si="16"/>
        <v>10545.983289</v>
      </c>
    </row>
    <row r="363" spans="1:4" x14ac:dyDescent="0.3">
      <c r="A363" s="4">
        <v>44375</v>
      </c>
      <c r="B363" s="5">
        <v>456029594400</v>
      </c>
      <c r="C363" s="5">
        <v>561444827500</v>
      </c>
      <c r="D363" s="49">
        <f t="shared" si="16"/>
        <v>10174.744219</v>
      </c>
    </row>
    <row r="364" spans="1:4" x14ac:dyDescent="0.3">
      <c r="A364" s="4">
        <v>44376</v>
      </c>
      <c r="B364" s="5">
        <v>440898705200</v>
      </c>
      <c r="C364" s="5">
        <v>556530262800</v>
      </c>
      <c r="D364" s="49">
        <f t="shared" si="16"/>
        <v>9974.2896799999999</v>
      </c>
    </row>
    <row r="365" spans="1:4" x14ac:dyDescent="0.3">
      <c r="A365" s="4">
        <v>44377</v>
      </c>
      <c r="B365" s="5">
        <v>414698378900</v>
      </c>
      <c r="C365" s="5">
        <v>527773979900</v>
      </c>
      <c r="D365" s="49">
        <f t="shared" si="16"/>
        <v>9424.7235880000007</v>
      </c>
    </row>
    <row r="366" spans="1:4" x14ac:dyDescent="0.3">
      <c r="A366" s="4">
        <v>44378</v>
      </c>
      <c r="B366" s="5">
        <v>450639037000</v>
      </c>
      <c r="C366" s="5">
        <v>569280476100</v>
      </c>
      <c r="D366" s="49">
        <f t="shared" si="16"/>
        <v>10199.195131</v>
      </c>
    </row>
    <row r="367" spans="1:4" x14ac:dyDescent="0.3">
      <c r="A367" s="4">
        <v>44379</v>
      </c>
      <c r="B367" s="5">
        <v>452263194300</v>
      </c>
      <c r="C367" s="5">
        <v>550539066700</v>
      </c>
      <c r="D367" s="49">
        <f t="shared" si="16"/>
        <v>10028.02261</v>
      </c>
    </row>
    <row r="368" spans="1:4" x14ac:dyDescent="0.3">
      <c r="A368" s="4">
        <v>44382</v>
      </c>
      <c r="B368" s="5">
        <v>445431942100</v>
      </c>
      <c r="C368" s="5">
        <v>560581273600</v>
      </c>
      <c r="D368" s="49">
        <f t="shared" si="16"/>
        <v>10060.132157</v>
      </c>
    </row>
    <row r="369" spans="1:4" x14ac:dyDescent="0.3">
      <c r="A369" s="4">
        <v>44383</v>
      </c>
      <c r="B369" s="5">
        <v>492886901200</v>
      </c>
      <c r="C369" s="5">
        <v>627377463200</v>
      </c>
      <c r="D369" s="49">
        <f t="shared" si="16"/>
        <v>11202.643644</v>
      </c>
    </row>
    <row r="370" spans="1:4" x14ac:dyDescent="0.3">
      <c r="A370" s="4">
        <v>44384</v>
      </c>
      <c r="B370" s="5">
        <v>457607653200</v>
      </c>
      <c r="C370" s="5">
        <v>592871954100</v>
      </c>
      <c r="D370" s="49">
        <f t="shared" si="16"/>
        <v>10504.796073</v>
      </c>
    </row>
    <row r="371" spans="1:4" x14ac:dyDescent="0.3">
      <c r="A371" s="4">
        <v>44385</v>
      </c>
      <c r="B371" s="5">
        <v>526858673000</v>
      </c>
      <c r="C371" s="5">
        <v>670259718500</v>
      </c>
      <c r="D371" s="49">
        <f t="shared" si="16"/>
        <v>11971.183915</v>
      </c>
    </row>
    <row r="372" spans="1:4" x14ac:dyDescent="0.3">
      <c r="A372" s="4">
        <v>44386</v>
      </c>
      <c r="B372" s="5">
        <v>493020839300</v>
      </c>
      <c r="C372" s="5">
        <v>634600164200</v>
      </c>
      <c r="D372" s="49">
        <f t="shared" si="16"/>
        <v>11276.210035</v>
      </c>
    </row>
    <row r="373" spans="1:4" x14ac:dyDescent="0.3">
      <c r="A373" s="4">
        <v>44389</v>
      </c>
      <c r="B373" s="5">
        <v>564759282700</v>
      </c>
      <c r="C373" s="5">
        <v>753172632800</v>
      </c>
      <c r="D373" s="49">
        <f t="shared" si="16"/>
        <v>13179.319154999999</v>
      </c>
    </row>
    <row r="374" spans="1:4" x14ac:dyDescent="0.3">
      <c r="A374" s="4">
        <v>44390</v>
      </c>
      <c r="B374" s="5">
        <v>511917230700</v>
      </c>
      <c r="C374" s="5">
        <v>708320485100</v>
      </c>
      <c r="D374" s="49">
        <f t="shared" si="16"/>
        <v>12202.377157999999</v>
      </c>
    </row>
    <row r="375" spans="1:4" x14ac:dyDescent="0.3">
      <c r="A375" s="4">
        <v>44391</v>
      </c>
      <c r="B375" s="5">
        <v>507716415400</v>
      </c>
      <c r="C375" s="5">
        <v>707354833800</v>
      </c>
      <c r="D375" s="49">
        <f t="shared" si="16"/>
        <v>12150.712492000001</v>
      </c>
    </row>
    <row r="376" spans="1:4" x14ac:dyDescent="0.3">
      <c r="A376" s="4">
        <v>44392</v>
      </c>
      <c r="B376" s="5">
        <v>507481841300</v>
      </c>
      <c r="C376" s="5">
        <v>664266425700</v>
      </c>
      <c r="D376" s="49">
        <f t="shared" si="16"/>
        <v>11717.482669999999</v>
      </c>
    </row>
    <row r="377" spans="1:4" x14ac:dyDescent="0.3">
      <c r="A377" s="4">
        <v>44393</v>
      </c>
      <c r="B377" s="5">
        <v>518640630100</v>
      </c>
      <c r="C377" s="5">
        <v>663015723400</v>
      </c>
      <c r="D377" s="49">
        <f t="shared" si="16"/>
        <v>11816.563534999999</v>
      </c>
    </row>
    <row r="378" spans="1:4" x14ac:dyDescent="0.3">
      <c r="A378" s="4">
        <v>44396</v>
      </c>
      <c r="B378" s="5">
        <v>486952459400</v>
      </c>
      <c r="C378" s="5">
        <v>634827462100</v>
      </c>
      <c r="D378" s="49">
        <f t="shared" si="16"/>
        <v>11217.799214999999</v>
      </c>
    </row>
    <row r="379" spans="1:4" x14ac:dyDescent="0.3">
      <c r="A379" s="4">
        <v>44397</v>
      </c>
      <c r="B379" s="5">
        <v>422649888600</v>
      </c>
      <c r="C379" s="5">
        <v>544071655799.99994</v>
      </c>
      <c r="D379" s="49">
        <f t="shared" si="16"/>
        <v>9667.2154439999995</v>
      </c>
    </row>
    <row r="380" spans="1:4" x14ac:dyDescent="0.3">
      <c r="A380" s="4">
        <v>44398</v>
      </c>
      <c r="B380" s="5">
        <v>517239989200</v>
      </c>
      <c r="C380" s="5">
        <v>692001292100</v>
      </c>
      <c r="D380" s="49">
        <f t="shared" si="16"/>
        <v>12092.412813000001</v>
      </c>
    </row>
    <row r="381" spans="1:4" x14ac:dyDescent="0.3">
      <c r="A381" s="4">
        <v>44399</v>
      </c>
      <c r="B381" s="5">
        <v>566769499200</v>
      </c>
      <c r="C381" s="5">
        <v>734032743400</v>
      </c>
      <c r="D381" s="49">
        <f t="shared" si="16"/>
        <v>13008.022426</v>
      </c>
    </row>
    <row r="382" spans="1:4" x14ac:dyDescent="0.3">
      <c r="A382" s="4">
        <v>44400</v>
      </c>
      <c r="B382" s="5">
        <v>604195152700</v>
      </c>
      <c r="C382" s="5">
        <v>774494151200</v>
      </c>
      <c r="D382" s="49">
        <f t="shared" si="16"/>
        <v>13786.893039</v>
      </c>
    </row>
    <row r="383" spans="1:4" x14ac:dyDescent="0.3">
      <c r="A383" s="4">
        <v>44403</v>
      </c>
      <c r="B383" s="5">
        <v>639061193800</v>
      </c>
      <c r="C383" s="5">
        <v>779874322300</v>
      </c>
      <c r="D383" s="49">
        <f t="shared" si="16"/>
        <v>14189.355160999999</v>
      </c>
    </row>
    <row r="384" spans="1:4" x14ac:dyDescent="0.3">
      <c r="A384" s="4">
        <v>44404</v>
      </c>
      <c r="B384" s="5">
        <v>702741087500</v>
      </c>
      <c r="C384" s="5">
        <v>831414132200</v>
      </c>
      <c r="D384" s="49">
        <f t="shared" si="16"/>
        <v>15341.552197000001</v>
      </c>
    </row>
    <row r="385" spans="1:4" x14ac:dyDescent="0.3">
      <c r="A385" s="4">
        <v>44405</v>
      </c>
      <c r="B385" s="5">
        <v>564697720100</v>
      </c>
      <c r="C385" s="5">
        <v>705276658800</v>
      </c>
      <c r="D385" s="49">
        <f t="shared" si="16"/>
        <v>12699.743789</v>
      </c>
    </row>
    <row r="386" spans="1:4" x14ac:dyDescent="0.3">
      <c r="A386" s="4">
        <v>44406</v>
      </c>
      <c r="B386" s="5">
        <v>539748855400</v>
      </c>
      <c r="C386" s="5">
        <v>709729419900</v>
      </c>
      <c r="D386" s="49">
        <f t="shared" si="16"/>
        <v>12494.782753</v>
      </c>
    </row>
    <row r="387" spans="1:4" x14ac:dyDescent="0.3">
      <c r="A387" s="4">
        <v>44407</v>
      </c>
      <c r="B387" s="5">
        <v>568820969700</v>
      </c>
      <c r="C387" s="5">
        <v>770892176600</v>
      </c>
      <c r="D387" s="49">
        <f t="shared" si="16"/>
        <v>13397.131463</v>
      </c>
    </row>
    <row r="388" spans="1:4" x14ac:dyDescent="0.3">
      <c r="A388" s="4">
        <v>44410</v>
      </c>
      <c r="B388" s="5">
        <v>657885783900</v>
      </c>
      <c r="C388" s="5">
        <v>854940070700</v>
      </c>
      <c r="D388" s="49">
        <f t="shared" si="16"/>
        <v>15128.258545999999</v>
      </c>
    </row>
    <row r="389" spans="1:4" x14ac:dyDescent="0.3">
      <c r="A389" s="4">
        <v>44411</v>
      </c>
      <c r="B389" s="5">
        <v>603419198500</v>
      </c>
      <c r="C389" s="5">
        <v>812719326700</v>
      </c>
      <c r="D389" s="49">
        <f t="shared" si="16"/>
        <v>14161.385252</v>
      </c>
    </row>
    <row r="390" spans="1:4" x14ac:dyDescent="0.3">
      <c r="A390" s="4">
        <v>44412</v>
      </c>
      <c r="B390" s="5">
        <v>546820756000</v>
      </c>
      <c r="C390" s="5">
        <v>742210023300</v>
      </c>
      <c r="D390" s="49">
        <f t="shared" ref="D390:D453" si="17">(B390+C390)/100000000</f>
        <v>12890.307793</v>
      </c>
    </row>
    <row r="391" spans="1:4" x14ac:dyDescent="0.3">
      <c r="A391" s="4">
        <v>44413</v>
      </c>
      <c r="B391" s="5">
        <v>540401110900</v>
      </c>
      <c r="C391" s="5">
        <v>750461446500</v>
      </c>
      <c r="D391" s="49">
        <f t="shared" si="17"/>
        <v>12908.625574</v>
      </c>
    </row>
    <row r="392" spans="1:4" x14ac:dyDescent="0.3">
      <c r="A392" s="4">
        <v>44414</v>
      </c>
      <c r="B392" s="5">
        <v>516406643100</v>
      </c>
      <c r="C392" s="5">
        <v>708538577300</v>
      </c>
      <c r="D392" s="49">
        <f t="shared" si="17"/>
        <v>12249.452203999999</v>
      </c>
    </row>
    <row r="393" spans="1:4" x14ac:dyDescent="0.3">
      <c r="A393" s="4">
        <v>44417</v>
      </c>
      <c r="B393" s="5">
        <v>539498929600</v>
      </c>
      <c r="C393" s="5">
        <v>709518522200</v>
      </c>
      <c r="D393" s="49">
        <f t="shared" si="17"/>
        <v>12490.174518</v>
      </c>
    </row>
    <row r="394" spans="1:4" x14ac:dyDescent="0.3">
      <c r="A394" s="4">
        <v>44418</v>
      </c>
      <c r="B394" s="5">
        <v>553440311800</v>
      </c>
      <c r="C394" s="5">
        <v>790664187300</v>
      </c>
      <c r="D394" s="49">
        <f t="shared" si="17"/>
        <v>13441.044991000001</v>
      </c>
    </row>
    <row r="395" spans="1:4" x14ac:dyDescent="0.3">
      <c r="A395" s="4">
        <v>44419</v>
      </c>
      <c r="B395" s="5">
        <v>541942732600</v>
      </c>
      <c r="C395" s="5">
        <v>740717630500</v>
      </c>
      <c r="D395" s="49">
        <f t="shared" si="17"/>
        <v>12826.603631</v>
      </c>
    </row>
    <row r="396" spans="1:4" x14ac:dyDescent="0.3">
      <c r="A396" s="4">
        <v>44420</v>
      </c>
      <c r="B396" s="5">
        <v>538163449900</v>
      </c>
      <c r="C396" s="5">
        <v>766703452000</v>
      </c>
      <c r="D396" s="49">
        <f t="shared" si="17"/>
        <v>13048.669019000001</v>
      </c>
    </row>
    <row r="397" spans="1:4" x14ac:dyDescent="0.3">
      <c r="A397" s="4">
        <v>44421</v>
      </c>
      <c r="B397" s="5">
        <v>532907854300</v>
      </c>
      <c r="C397" s="5">
        <v>764282637900</v>
      </c>
      <c r="D397" s="49">
        <f t="shared" si="17"/>
        <v>12971.904922</v>
      </c>
    </row>
    <row r="398" spans="1:4" x14ac:dyDescent="0.3">
      <c r="A398" s="4">
        <v>44424</v>
      </c>
      <c r="B398" s="5">
        <v>535458941400</v>
      </c>
      <c r="C398" s="5">
        <v>721626174200</v>
      </c>
      <c r="D398" s="49">
        <f t="shared" si="17"/>
        <v>12570.851156000001</v>
      </c>
    </row>
    <row r="399" spans="1:4" x14ac:dyDescent="0.3">
      <c r="A399" s="4">
        <v>44425</v>
      </c>
      <c r="B399" s="5">
        <v>570430624000</v>
      </c>
      <c r="C399" s="5">
        <v>737900258300</v>
      </c>
      <c r="D399" s="49">
        <f t="shared" si="17"/>
        <v>13083.308822999999</v>
      </c>
    </row>
    <row r="400" spans="1:4" x14ac:dyDescent="0.3">
      <c r="A400" s="4">
        <v>44426</v>
      </c>
      <c r="B400" s="5">
        <v>535463068100</v>
      </c>
      <c r="C400" s="5">
        <v>661695426100</v>
      </c>
      <c r="D400" s="49">
        <f t="shared" si="17"/>
        <v>11971.584942</v>
      </c>
    </row>
    <row r="401" spans="1:4" x14ac:dyDescent="0.3">
      <c r="A401" s="4">
        <v>44427</v>
      </c>
      <c r="B401" s="5">
        <v>537926524400</v>
      </c>
      <c r="C401" s="5">
        <v>677092102700</v>
      </c>
      <c r="D401" s="49">
        <f t="shared" si="17"/>
        <v>12150.186271</v>
      </c>
    </row>
    <row r="402" spans="1:4" x14ac:dyDescent="0.3">
      <c r="A402" s="4">
        <v>44428</v>
      </c>
      <c r="B402" s="5">
        <v>552667602600</v>
      </c>
      <c r="C402" s="5">
        <v>699861588400</v>
      </c>
      <c r="D402" s="49">
        <f t="shared" si="17"/>
        <v>12525.29191</v>
      </c>
    </row>
    <row r="403" spans="1:4" x14ac:dyDescent="0.3">
      <c r="A403" s="4">
        <v>44431</v>
      </c>
      <c r="B403" s="5">
        <v>564308155500</v>
      </c>
      <c r="C403" s="5">
        <v>758240657700</v>
      </c>
      <c r="D403" s="49">
        <f t="shared" si="17"/>
        <v>13225.488132</v>
      </c>
    </row>
    <row r="404" spans="1:4" x14ac:dyDescent="0.3">
      <c r="A404" s="4">
        <v>44432</v>
      </c>
      <c r="B404" s="5">
        <v>616084137900</v>
      </c>
      <c r="C404" s="5">
        <v>792221180900</v>
      </c>
      <c r="D404" s="49">
        <f t="shared" si="17"/>
        <v>14083.053188</v>
      </c>
    </row>
    <row r="405" spans="1:4" x14ac:dyDescent="0.3">
      <c r="A405" s="4">
        <v>44433</v>
      </c>
      <c r="B405" s="5">
        <v>598611868700</v>
      </c>
      <c r="C405" s="5">
        <v>715832158400</v>
      </c>
      <c r="D405" s="49">
        <f t="shared" si="17"/>
        <v>13144.440270999999</v>
      </c>
    </row>
    <row r="406" spans="1:4" x14ac:dyDescent="0.3">
      <c r="A406" s="4">
        <v>44434</v>
      </c>
      <c r="B406" s="5">
        <v>622393476000</v>
      </c>
      <c r="C406" s="5">
        <v>751902188000</v>
      </c>
      <c r="D406" s="49">
        <f t="shared" si="17"/>
        <v>13742.95664</v>
      </c>
    </row>
    <row r="407" spans="1:4" x14ac:dyDescent="0.3">
      <c r="A407" s="4">
        <v>44435</v>
      </c>
      <c r="B407" s="5">
        <v>595518692600</v>
      </c>
      <c r="C407" s="5">
        <v>748739296500</v>
      </c>
      <c r="D407" s="49">
        <f t="shared" si="17"/>
        <v>13442.579890999999</v>
      </c>
    </row>
    <row r="408" spans="1:4" x14ac:dyDescent="0.3">
      <c r="A408" s="4">
        <v>44438</v>
      </c>
      <c r="B408" s="5">
        <v>699116242800</v>
      </c>
      <c r="C408" s="5">
        <v>879104569200</v>
      </c>
      <c r="D408" s="49">
        <f t="shared" si="17"/>
        <v>15782.208119999999</v>
      </c>
    </row>
    <row r="409" spans="1:4" x14ac:dyDescent="0.3">
      <c r="A409" s="4">
        <v>44439</v>
      </c>
      <c r="B409" s="5">
        <v>703504818900</v>
      </c>
      <c r="C409" s="5">
        <v>778576913700</v>
      </c>
      <c r="D409" s="49">
        <f t="shared" si="17"/>
        <v>14820.817326</v>
      </c>
    </row>
    <row r="410" spans="1:4" x14ac:dyDescent="0.3">
      <c r="A410" s="4">
        <v>44440</v>
      </c>
      <c r="B410" s="5">
        <v>842528984400</v>
      </c>
      <c r="C410" s="5">
        <v>868626061600</v>
      </c>
      <c r="D410" s="49">
        <f t="shared" si="17"/>
        <v>17111.550459999999</v>
      </c>
    </row>
    <row r="411" spans="1:4" x14ac:dyDescent="0.3">
      <c r="A411" s="4">
        <v>44441</v>
      </c>
      <c r="B411" s="5">
        <v>691113292800</v>
      </c>
      <c r="C411" s="5">
        <v>742937247600</v>
      </c>
      <c r="D411" s="49">
        <f t="shared" si="17"/>
        <v>14340.505404</v>
      </c>
    </row>
    <row r="412" spans="1:4" x14ac:dyDescent="0.3">
      <c r="A412" s="4">
        <v>44442</v>
      </c>
      <c r="B412" s="5">
        <v>743840780600</v>
      </c>
      <c r="C412" s="5">
        <v>829276449000</v>
      </c>
      <c r="D412" s="49">
        <f t="shared" si="17"/>
        <v>15731.172296000001</v>
      </c>
    </row>
    <row r="413" spans="1:4" x14ac:dyDescent="0.3">
      <c r="A413" s="4">
        <v>44445</v>
      </c>
      <c r="B413" s="5">
        <v>654085732900</v>
      </c>
      <c r="C413" s="5">
        <v>772062313900</v>
      </c>
      <c r="D413" s="49">
        <f t="shared" si="17"/>
        <v>14261.480468</v>
      </c>
    </row>
    <row r="414" spans="1:4" x14ac:dyDescent="0.3">
      <c r="A414" s="4">
        <v>44446</v>
      </c>
      <c r="B414" s="5">
        <v>658867924800</v>
      </c>
      <c r="C414" s="5">
        <v>743489213600</v>
      </c>
      <c r="D414" s="49">
        <f t="shared" si="17"/>
        <v>14023.571384000001</v>
      </c>
    </row>
    <row r="415" spans="1:4" x14ac:dyDescent="0.3">
      <c r="A415" s="4">
        <v>44447</v>
      </c>
      <c r="B415" s="5">
        <v>674348482700</v>
      </c>
      <c r="C415" s="5">
        <v>800435747200</v>
      </c>
      <c r="D415" s="49">
        <f t="shared" si="17"/>
        <v>14747.842299</v>
      </c>
    </row>
    <row r="416" spans="1:4" x14ac:dyDescent="0.3">
      <c r="A416" s="4">
        <v>44448</v>
      </c>
      <c r="B416" s="5">
        <v>679465424400</v>
      </c>
      <c r="C416" s="5">
        <v>752689921000</v>
      </c>
      <c r="D416" s="49">
        <f t="shared" si="17"/>
        <v>14321.553454000001</v>
      </c>
    </row>
    <row r="417" spans="1:4" x14ac:dyDescent="0.3">
      <c r="A417" s="4">
        <v>44449</v>
      </c>
      <c r="B417" s="5">
        <v>759084638100</v>
      </c>
      <c r="C417" s="5">
        <v>784853695000</v>
      </c>
      <c r="D417" s="49">
        <f t="shared" si="17"/>
        <v>15439.383331000001</v>
      </c>
    </row>
    <row r="418" spans="1:4" x14ac:dyDescent="0.3">
      <c r="A418" s="4">
        <v>44452</v>
      </c>
      <c r="B418" s="5">
        <v>696192354700</v>
      </c>
      <c r="C418" s="5">
        <v>767014745500</v>
      </c>
      <c r="D418" s="49">
        <f t="shared" si="17"/>
        <v>14632.071002000001</v>
      </c>
    </row>
    <row r="419" spans="1:4" x14ac:dyDescent="0.3">
      <c r="A419" s="4">
        <v>44453</v>
      </c>
      <c r="B419" s="5">
        <v>693778088300</v>
      </c>
      <c r="C419" s="5">
        <v>819405121200</v>
      </c>
      <c r="D419" s="49">
        <f t="shared" si="17"/>
        <v>15131.832095</v>
      </c>
    </row>
    <row r="420" spans="1:4" x14ac:dyDescent="0.3">
      <c r="A420" s="4">
        <v>44454</v>
      </c>
      <c r="B420" s="5">
        <v>604231544100</v>
      </c>
      <c r="C420" s="5">
        <v>750408019100</v>
      </c>
      <c r="D420" s="49">
        <f t="shared" si="17"/>
        <v>13546.395632</v>
      </c>
    </row>
    <row r="421" spans="1:4" x14ac:dyDescent="0.3">
      <c r="A421" s="4">
        <v>44455</v>
      </c>
      <c r="B421" s="5">
        <v>673955340400</v>
      </c>
      <c r="C421" s="5">
        <v>804472782800</v>
      </c>
      <c r="D421" s="49">
        <f t="shared" si="17"/>
        <v>14784.281231999999</v>
      </c>
    </row>
    <row r="422" spans="1:4" x14ac:dyDescent="0.3">
      <c r="A422" s="4">
        <v>44456</v>
      </c>
      <c r="B422" s="5">
        <v>628834394300</v>
      </c>
      <c r="C422" s="5">
        <v>714327595700</v>
      </c>
      <c r="D422" s="49">
        <f t="shared" si="17"/>
        <v>13431.6199</v>
      </c>
    </row>
    <row r="423" spans="1:4" x14ac:dyDescent="0.3">
      <c r="A423" s="4">
        <v>44461</v>
      </c>
      <c r="B423" s="5">
        <v>559874729600</v>
      </c>
      <c r="C423" s="5">
        <v>592758912600</v>
      </c>
      <c r="D423" s="49">
        <f t="shared" si="17"/>
        <v>11526.336422</v>
      </c>
    </row>
    <row r="424" spans="1:4" x14ac:dyDescent="0.3">
      <c r="A424" s="4">
        <v>44462</v>
      </c>
      <c r="B424" s="5">
        <v>633218929100</v>
      </c>
      <c r="C424" s="5">
        <v>688258045200</v>
      </c>
      <c r="D424" s="49">
        <f t="shared" si="17"/>
        <v>13214.769743000001</v>
      </c>
    </row>
    <row r="425" spans="1:4" x14ac:dyDescent="0.3">
      <c r="A425" s="4">
        <v>44463</v>
      </c>
      <c r="B425" s="5">
        <v>606788609100</v>
      </c>
      <c r="C425" s="5">
        <v>676605171200</v>
      </c>
      <c r="D425" s="49">
        <f t="shared" si="17"/>
        <v>12833.937803000001</v>
      </c>
    </row>
    <row r="426" spans="1:4" x14ac:dyDescent="0.3">
      <c r="A426" s="4">
        <v>44466</v>
      </c>
      <c r="B426" s="5">
        <v>640673648200</v>
      </c>
      <c r="C426" s="5">
        <v>725024676500</v>
      </c>
      <c r="D426" s="49">
        <f t="shared" si="17"/>
        <v>13656.983247</v>
      </c>
    </row>
    <row r="427" spans="1:4" x14ac:dyDescent="0.3">
      <c r="A427" s="4">
        <v>44467</v>
      </c>
      <c r="B427" s="5">
        <v>500081996100</v>
      </c>
      <c r="C427" s="5">
        <v>543683598500</v>
      </c>
      <c r="D427" s="49">
        <f t="shared" si="17"/>
        <v>10437.655946000001</v>
      </c>
    </row>
    <row r="428" spans="1:4" x14ac:dyDescent="0.3">
      <c r="A428" s="4">
        <v>44468</v>
      </c>
      <c r="B428" s="5">
        <v>511106926300</v>
      </c>
      <c r="C428" s="5">
        <v>566656928200</v>
      </c>
      <c r="D428" s="49">
        <f t="shared" si="17"/>
        <v>10777.638545</v>
      </c>
    </row>
    <row r="429" spans="1:4" x14ac:dyDescent="0.3">
      <c r="A429" s="4">
        <v>44469</v>
      </c>
      <c r="B429" s="5">
        <v>445734703100</v>
      </c>
      <c r="C429" s="5">
        <v>504703883900</v>
      </c>
      <c r="D429" s="49">
        <f t="shared" si="17"/>
        <v>9504.3858700000001</v>
      </c>
    </row>
    <row r="430" spans="1:4" x14ac:dyDescent="0.3">
      <c r="A430" s="4">
        <v>44477</v>
      </c>
      <c r="B430" s="5">
        <v>492964826400</v>
      </c>
      <c r="C430" s="5">
        <v>567706953700</v>
      </c>
      <c r="D430" s="49">
        <f t="shared" si="17"/>
        <v>10606.717801000001</v>
      </c>
    </row>
    <row r="431" spans="1:4" x14ac:dyDescent="0.3">
      <c r="A431" s="4">
        <v>44480</v>
      </c>
      <c r="B431" s="5">
        <v>468673831400</v>
      </c>
      <c r="C431" s="5">
        <v>523503526600</v>
      </c>
      <c r="D431" s="49">
        <f t="shared" si="17"/>
        <v>9921.7735799999991</v>
      </c>
    </row>
    <row r="432" spans="1:4" x14ac:dyDescent="0.3">
      <c r="A432" s="4">
        <v>44481</v>
      </c>
      <c r="B432" s="5">
        <v>461983492100</v>
      </c>
      <c r="C432" s="5">
        <v>534606735300</v>
      </c>
      <c r="D432" s="49">
        <f t="shared" si="17"/>
        <v>9965.902274</v>
      </c>
    </row>
    <row r="433" spans="1:4" x14ac:dyDescent="0.3">
      <c r="A433" s="4">
        <v>44482</v>
      </c>
      <c r="B433" s="5">
        <v>405020008800</v>
      </c>
      <c r="C433" s="5">
        <v>484657817900</v>
      </c>
      <c r="D433" s="49">
        <f t="shared" si="17"/>
        <v>8896.7782669999997</v>
      </c>
    </row>
    <row r="434" spans="1:4" x14ac:dyDescent="0.3">
      <c r="A434" s="4">
        <v>44483</v>
      </c>
      <c r="B434" s="5">
        <v>377519263100</v>
      </c>
      <c r="C434" s="5">
        <v>483313140300</v>
      </c>
      <c r="D434" s="49">
        <f t="shared" si="17"/>
        <v>8608.3240339999993</v>
      </c>
    </row>
    <row r="435" spans="1:4" x14ac:dyDescent="0.3">
      <c r="A435" s="4">
        <v>44484</v>
      </c>
      <c r="B435" s="5">
        <v>425924720900</v>
      </c>
      <c r="C435" s="5">
        <v>563137427600</v>
      </c>
      <c r="D435" s="49">
        <f t="shared" si="17"/>
        <v>9890.6214849999997</v>
      </c>
    </row>
    <row r="436" spans="1:4" x14ac:dyDescent="0.3">
      <c r="A436" s="4">
        <v>44487</v>
      </c>
      <c r="B436" s="5">
        <v>455787893400</v>
      </c>
      <c r="C436" s="5">
        <v>546460157200.00006</v>
      </c>
      <c r="D436" s="49">
        <f t="shared" si="17"/>
        <v>10022.480506</v>
      </c>
    </row>
    <row r="437" spans="1:4" x14ac:dyDescent="0.3">
      <c r="A437" s="4">
        <v>44488</v>
      </c>
      <c r="B437" s="5">
        <v>440181531800</v>
      </c>
      <c r="C437" s="5">
        <v>533139168400</v>
      </c>
      <c r="D437" s="49">
        <f t="shared" si="17"/>
        <v>9733.2070019999992</v>
      </c>
    </row>
    <row r="438" spans="1:4" x14ac:dyDescent="0.3">
      <c r="A438" s="4">
        <v>44489</v>
      </c>
      <c r="B438" s="5">
        <v>450482950900</v>
      </c>
      <c r="C438" s="5">
        <v>569678002100</v>
      </c>
      <c r="D438" s="49">
        <f t="shared" si="17"/>
        <v>10201.60953</v>
      </c>
    </row>
    <row r="439" spans="1:4" x14ac:dyDescent="0.3">
      <c r="A439" s="4">
        <v>44490</v>
      </c>
      <c r="B439" s="5">
        <v>453571672500</v>
      </c>
      <c r="C439" s="5">
        <v>539402770400</v>
      </c>
      <c r="D439" s="49">
        <f t="shared" si="17"/>
        <v>9929.7444290000003</v>
      </c>
    </row>
    <row r="440" spans="1:4" x14ac:dyDescent="0.3">
      <c r="A440" s="4">
        <v>44491</v>
      </c>
      <c r="B440" s="5">
        <v>455441250100</v>
      </c>
      <c r="C440" s="5">
        <v>559803944500</v>
      </c>
      <c r="D440" s="49">
        <f t="shared" si="17"/>
        <v>10152.451945999999</v>
      </c>
    </row>
    <row r="441" spans="1:4" x14ac:dyDescent="0.3">
      <c r="A441" s="4">
        <v>44494</v>
      </c>
      <c r="B441" s="5">
        <v>443961628800</v>
      </c>
      <c r="C441" s="5">
        <v>570790029700</v>
      </c>
      <c r="D441" s="49">
        <f t="shared" si="17"/>
        <v>10147.516584999999</v>
      </c>
    </row>
    <row r="442" spans="1:4" x14ac:dyDescent="0.3">
      <c r="A442" s="4">
        <v>44495</v>
      </c>
      <c r="B442" s="5">
        <v>465179593700</v>
      </c>
      <c r="C442" s="5">
        <v>617166437300</v>
      </c>
      <c r="D442" s="49">
        <f t="shared" si="17"/>
        <v>10823.46031</v>
      </c>
    </row>
    <row r="443" spans="1:4" x14ac:dyDescent="0.3">
      <c r="A443" s="4">
        <v>44496</v>
      </c>
      <c r="B443" s="5">
        <v>470777794100</v>
      </c>
      <c r="C443" s="5">
        <v>606050315200</v>
      </c>
      <c r="D443" s="49">
        <f t="shared" si="17"/>
        <v>10768.281093</v>
      </c>
    </row>
    <row r="444" spans="1:4" x14ac:dyDescent="0.3">
      <c r="A444" s="4">
        <v>44497</v>
      </c>
      <c r="B444" s="5">
        <v>502982768100</v>
      </c>
      <c r="C444" s="5">
        <v>604708157400</v>
      </c>
      <c r="D444" s="49">
        <f t="shared" si="17"/>
        <v>11076.909255</v>
      </c>
    </row>
    <row r="445" spans="1:4" x14ac:dyDescent="0.3">
      <c r="A445" s="4">
        <v>44498</v>
      </c>
      <c r="B445" s="5">
        <v>527231831400</v>
      </c>
      <c r="C445" s="5">
        <v>611152599100</v>
      </c>
      <c r="D445" s="49">
        <f t="shared" si="17"/>
        <v>11383.844305000001</v>
      </c>
    </row>
    <row r="446" spans="1:4" x14ac:dyDescent="0.3">
      <c r="A446" s="4">
        <v>44501</v>
      </c>
      <c r="B446" s="5">
        <v>564100255100</v>
      </c>
      <c r="C446" s="5">
        <v>659059306800</v>
      </c>
      <c r="D446" s="49">
        <f t="shared" si="17"/>
        <v>12231.595619</v>
      </c>
    </row>
    <row r="447" spans="1:4" x14ac:dyDescent="0.3">
      <c r="A447" s="4">
        <v>44502</v>
      </c>
      <c r="B447" s="5">
        <v>585519469800</v>
      </c>
      <c r="C447" s="5">
        <v>672622360100</v>
      </c>
      <c r="D447" s="49">
        <f t="shared" si="17"/>
        <v>12581.418299000001</v>
      </c>
    </row>
    <row r="448" spans="1:4" x14ac:dyDescent="0.3">
      <c r="A448" s="4">
        <v>44503</v>
      </c>
      <c r="B448" s="5">
        <v>449115126700</v>
      </c>
      <c r="C448" s="5">
        <v>551101973600</v>
      </c>
      <c r="D448" s="49">
        <f t="shared" si="17"/>
        <v>10002.171002999999</v>
      </c>
    </row>
    <row r="449" spans="1:4" x14ac:dyDescent="0.3">
      <c r="A449" s="4">
        <v>44504</v>
      </c>
      <c r="B449" s="5">
        <v>468829179600</v>
      </c>
      <c r="C449" s="5">
        <v>609881687700</v>
      </c>
      <c r="D449" s="49">
        <f t="shared" si="17"/>
        <v>10787.108673000001</v>
      </c>
    </row>
    <row r="450" spans="1:4" x14ac:dyDescent="0.3">
      <c r="A450" s="4">
        <v>44505</v>
      </c>
      <c r="B450" s="5">
        <v>485823223500</v>
      </c>
      <c r="C450" s="5">
        <v>665324270100</v>
      </c>
      <c r="D450" s="49">
        <f t="shared" si="17"/>
        <v>11511.474936000001</v>
      </c>
    </row>
    <row r="451" spans="1:4" x14ac:dyDescent="0.3">
      <c r="A451" s="4">
        <v>44508</v>
      </c>
      <c r="B451" s="5">
        <v>421968075400</v>
      </c>
      <c r="C451" s="5">
        <v>616865020900</v>
      </c>
      <c r="D451" s="49">
        <f t="shared" si="17"/>
        <v>10388.330963</v>
      </c>
    </row>
    <row r="452" spans="1:4" x14ac:dyDescent="0.3">
      <c r="A452" s="4">
        <v>44509</v>
      </c>
      <c r="B452" s="5">
        <v>421200703300</v>
      </c>
      <c r="C452" s="5">
        <v>589660627300</v>
      </c>
      <c r="D452" s="49">
        <f t="shared" si="17"/>
        <v>10108.613305999999</v>
      </c>
    </row>
    <row r="453" spans="1:4" x14ac:dyDescent="0.3">
      <c r="A453" s="4">
        <v>44510</v>
      </c>
      <c r="B453" s="5">
        <v>443112742300</v>
      </c>
      <c r="C453" s="5">
        <v>637062582200</v>
      </c>
      <c r="D453" s="49">
        <f t="shared" si="17"/>
        <v>10801.753245</v>
      </c>
    </row>
    <row r="454" spans="1:4" x14ac:dyDescent="0.3">
      <c r="A454" s="4">
        <v>44511</v>
      </c>
      <c r="B454" s="5">
        <v>464803859200</v>
      </c>
      <c r="C454" s="5">
        <v>658370156800</v>
      </c>
      <c r="D454" s="49">
        <f t="shared" ref="D454:D517" si="18">(B454+C454)/100000000</f>
        <v>11231.740159999999</v>
      </c>
    </row>
    <row r="455" spans="1:4" x14ac:dyDescent="0.3">
      <c r="A455" s="4">
        <v>44512</v>
      </c>
      <c r="B455" s="5">
        <v>443398367000</v>
      </c>
      <c r="C455" s="5">
        <v>655708878300</v>
      </c>
      <c r="D455" s="49">
        <f t="shared" si="18"/>
        <v>10991.072453000001</v>
      </c>
    </row>
    <row r="456" spans="1:4" x14ac:dyDescent="0.3">
      <c r="A456" s="4">
        <v>44515</v>
      </c>
      <c r="B456" s="5">
        <v>464065405700</v>
      </c>
      <c r="C456" s="5">
        <v>693965567400</v>
      </c>
      <c r="D456" s="49">
        <f t="shared" si="18"/>
        <v>11580.309730999999</v>
      </c>
    </row>
    <row r="457" spans="1:4" x14ac:dyDescent="0.3">
      <c r="A457" s="4">
        <v>44516</v>
      </c>
      <c r="B457" s="5">
        <v>444700782800</v>
      </c>
      <c r="C457" s="5">
        <v>668984629700</v>
      </c>
      <c r="D457" s="49">
        <f t="shared" si="18"/>
        <v>11136.854125</v>
      </c>
    </row>
    <row r="458" spans="1:4" x14ac:dyDescent="0.3">
      <c r="A458" s="4">
        <v>44517</v>
      </c>
      <c r="B458" s="5">
        <v>401552317900</v>
      </c>
      <c r="C458" s="5">
        <v>635624382800</v>
      </c>
      <c r="D458" s="49">
        <f t="shared" si="18"/>
        <v>10371.767007</v>
      </c>
    </row>
    <row r="459" spans="1:4" x14ac:dyDescent="0.3">
      <c r="A459" s="4">
        <v>44518</v>
      </c>
      <c r="B459" s="5">
        <v>432898314200</v>
      </c>
      <c r="C459" s="5">
        <v>691427290400</v>
      </c>
      <c r="D459" s="49">
        <f t="shared" si="18"/>
        <v>11243.256046</v>
      </c>
    </row>
    <row r="460" spans="1:4" x14ac:dyDescent="0.3">
      <c r="A460" s="4">
        <v>44519</v>
      </c>
      <c r="B460" s="5">
        <v>440593606000</v>
      </c>
      <c r="C460" s="5">
        <v>672557142600</v>
      </c>
      <c r="D460" s="49">
        <f t="shared" si="18"/>
        <v>11131.507486</v>
      </c>
    </row>
    <row r="461" spans="1:4" x14ac:dyDescent="0.3">
      <c r="A461" s="4">
        <v>44522</v>
      </c>
      <c r="B461" s="5">
        <v>509123407000</v>
      </c>
      <c r="C461" s="5">
        <v>745793607800</v>
      </c>
      <c r="D461" s="49">
        <f t="shared" si="18"/>
        <v>12549.170147999999</v>
      </c>
    </row>
    <row r="462" spans="1:4" x14ac:dyDescent="0.3">
      <c r="A462" s="4">
        <v>44523</v>
      </c>
      <c r="B462" s="5">
        <v>508083893800</v>
      </c>
      <c r="C462" s="5">
        <v>720402991400</v>
      </c>
      <c r="D462" s="49">
        <f t="shared" si="18"/>
        <v>12284.868852</v>
      </c>
    </row>
    <row r="463" spans="1:4" x14ac:dyDescent="0.3">
      <c r="A463" s="4">
        <v>44524</v>
      </c>
      <c r="B463" s="5">
        <v>481020420000</v>
      </c>
      <c r="C463" s="5">
        <v>721360130700</v>
      </c>
      <c r="D463" s="49">
        <f t="shared" si="18"/>
        <v>12023.805506999999</v>
      </c>
    </row>
    <row r="464" spans="1:4" x14ac:dyDescent="0.3">
      <c r="A464" s="4">
        <v>44525</v>
      </c>
      <c r="B464" s="5">
        <v>450558843100</v>
      </c>
      <c r="C464" s="5">
        <v>662565957500</v>
      </c>
      <c r="D464" s="49">
        <f t="shared" si="18"/>
        <v>11131.248006</v>
      </c>
    </row>
    <row r="465" spans="1:4" x14ac:dyDescent="0.3">
      <c r="A465" s="4">
        <v>44526</v>
      </c>
      <c r="B465" s="5">
        <v>434625236100</v>
      </c>
      <c r="C465" s="5">
        <v>667083885000</v>
      </c>
      <c r="D465" s="49">
        <f t="shared" si="18"/>
        <v>11017.091211000001</v>
      </c>
    </row>
    <row r="466" spans="1:4" x14ac:dyDescent="0.3">
      <c r="A466" s="4">
        <v>44529</v>
      </c>
      <c r="B466" s="5">
        <v>490038170200</v>
      </c>
      <c r="C466" s="5">
        <v>687529624800</v>
      </c>
      <c r="D466" s="49">
        <f t="shared" si="18"/>
        <v>11775.677949999999</v>
      </c>
    </row>
    <row r="467" spans="1:4" x14ac:dyDescent="0.3">
      <c r="A467" s="4">
        <v>44530</v>
      </c>
      <c r="B467" s="5">
        <v>493605518000</v>
      </c>
      <c r="C467" s="5">
        <v>728259547100</v>
      </c>
      <c r="D467" s="49">
        <f t="shared" si="18"/>
        <v>12218.650651</v>
      </c>
    </row>
    <row r="468" spans="1:4" x14ac:dyDescent="0.3">
      <c r="A468" s="4">
        <v>44531</v>
      </c>
      <c r="B468" s="5">
        <v>467522790600</v>
      </c>
      <c r="C468" s="5">
        <v>678971158200</v>
      </c>
      <c r="D468" s="49">
        <f t="shared" si="18"/>
        <v>11464.939488</v>
      </c>
    </row>
    <row r="469" spans="1:4" x14ac:dyDescent="0.3">
      <c r="A469" s="4">
        <v>44532</v>
      </c>
      <c r="B469" s="5">
        <v>468424828200</v>
      </c>
      <c r="C469" s="5">
        <v>684884159800</v>
      </c>
      <c r="D469" s="49">
        <f t="shared" si="18"/>
        <v>11533.08988</v>
      </c>
    </row>
    <row r="470" spans="1:4" x14ac:dyDescent="0.3">
      <c r="A470" s="4">
        <v>44533</v>
      </c>
      <c r="B470" s="5">
        <v>493565554800</v>
      </c>
      <c r="C470" s="5">
        <v>641750487900</v>
      </c>
      <c r="D470" s="49">
        <f t="shared" si="18"/>
        <v>11353.160427000001</v>
      </c>
    </row>
    <row r="471" spans="1:4" x14ac:dyDescent="0.3">
      <c r="A471" s="4">
        <v>44536</v>
      </c>
      <c r="B471" s="5">
        <v>528229670800</v>
      </c>
      <c r="C471" s="5">
        <v>675377501200</v>
      </c>
      <c r="D471" s="49">
        <f t="shared" si="18"/>
        <v>12036.07172</v>
      </c>
    </row>
    <row r="472" spans="1:4" x14ac:dyDescent="0.3">
      <c r="A472" s="4">
        <v>44537</v>
      </c>
      <c r="B472" s="5">
        <v>524119459400</v>
      </c>
      <c r="C472" s="5">
        <v>675619377400</v>
      </c>
      <c r="D472" s="49">
        <f t="shared" si="18"/>
        <v>11997.388368</v>
      </c>
    </row>
    <row r="473" spans="1:4" x14ac:dyDescent="0.3">
      <c r="A473" s="4">
        <v>44538</v>
      </c>
      <c r="B473" s="5">
        <v>486034352100</v>
      </c>
      <c r="C473" s="5">
        <v>615474166800</v>
      </c>
      <c r="D473" s="49">
        <f t="shared" si="18"/>
        <v>11015.085188999999</v>
      </c>
    </row>
    <row r="474" spans="1:4" x14ac:dyDescent="0.3">
      <c r="A474" s="4">
        <v>44539</v>
      </c>
      <c r="B474" s="5">
        <v>568529389600</v>
      </c>
      <c r="C474" s="5">
        <v>695503275200</v>
      </c>
      <c r="D474" s="49">
        <f t="shared" si="18"/>
        <v>12640.326648</v>
      </c>
    </row>
    <row r="475" spans="1:4" x14ac:dyDescent="0.3">
      <c r="A475" s="4">
        <v>44540</v>
      </c>
      <c r="B475" s="5">
        <v>556324240500</v>
      </c>
      <c r="C475" s="5">
        <v>679057146100</v>
      </c>
      <c r="D475" s="49">
        <f t="shared" si="18"/>
        <v>12353.813866</v>
      </c>
    </row>
    <row r="476" spans="1:4" x14ac:dyDescent="0.3">
      <c r="A476" s="4">
        <v>44543</v>
      </c>
      <c r="B476" s="5">
        <v>574187961700</v>
      </c>
      <c r="C476" s="5">
        <v>696525932200</v>
      </c>
      <c r="D476" s="49">
        <f t="shared" si="18"/>
        <v>12707.138939</v>
      </c>
    </row>
    <row r="477" spans="1:4" x14ac:dyDescent="0.3">
      <c r="A477" s="4">
        <v>44544</v>
      </c>
      <c r="B477" s="5">
        <v>487468521300</v>
      </c>
      <c r="C477" s="5">
        <v>653648447600</v>
      </c>
      <c r="D477" s="49">
        <f t="shared" si="18"/>
        <v>11411.169689</v>
      </c>
    </row>
    <row r="478" spans="1:4" x14ac:dyDescent="0.3">
      <c r="A478" s="4">
        <v>44545</v>
      </c>
      <c r="B478" s="5">
        <v>481134370300</v>
      </c>
      <c r="C478" s="5">
        <v>654947646600</v>
      </c>
      <c r="D478" s="49">
        <f t="shared" si="18"/>
        <v>11360.820169000001</v>
      </c>
    </row>
    <row r="479" spans="1:4" x14ac:dyDescent="0.3">
      <c r="A479" s="4">
        <v>44546</v>
      </c>
      <c r="B479" s="5">
        <v>465911359500</v>
      </c>
      <c r="C479" s="5">
        <v>647679981300</v>
      </c>
      <c r="D479" s="49">
        <f t="shared" si="18"/>
        <v>11135.913408</v>
      </c>
    </row>
    <row r="480" spans="1:4" x14ac:dyDescent="0.3">
      <c r="A480" s="4">
        <v>44547</v>
      </c>
      <c r="B480" s="5">
        <v>491952923500</v>
      </c>
      <c r="C480" s="5">
        <v>667484921200</v>
      </c>
      <c r="D480" s="49">
        <f t="shared" si="18"/>
        <v>11594.378446999999</v>
      </c>
    </row>
    <row r="481" spans="1:4" x14ac:dyDescent="0.3">
      <c r="A481" s="4">
        <v>44550</v>
      </c>
      <c r="B481" s="5">
        <v>491828987600</v>
      </c>
      <c r="C481" s="5">
        <v>666449901200</v>
      </c>
      <c r="D481" s="49">
        <f t="shared" si="18"/>
        <v>11582.788887999999</v>
      </c>
    </row>
    <row r="482" spans="1:4" x14ac:dyDescent="0.3">
      <c r="A482" s="4">
        <v>44551</v>
      </c>
      <c r="B482" s="5">
        <v>428379392300</v>
      </c>
      <c r="C482" s="5">
        <v>571999287300</v>
      </c>
      <c r="D482" s="49">
        <f t="shared" si="18"/>
        <v>10003.786796</v>
      </c>
    </row>
    <row r="483" spans="1:4" x14ac:dyDescent="0.3">
      <c r="A483" s="4">
        <v>44552</v>
      </c>
      <c r="B483" s="5">
        <v>432451306600</v>
      </c>
      <c r="C483" s="5">
        <v>630016031000</v>
      </c>
      <c r="D483" s="49">
        <f t="shared" si="18"/>
        <v>10624.673376000001</v>
      </c>
    </row>
    <row r="484" spans="1:4" x14ac:dyDescent="0.3">
      <c r="A484" s="4">
        <v>44553</v>
      </c>
      <c r="B484" s="5">
        <v>449988152700</v>
      </c>
      <c r="C484" s="5">
        <v>627289023600</v>
      </c>
      <c r="D484" s="49">
        <f t="shared" si="18"/>
        <v>10772.771763000001</v>
      </c>
    </row>
    <row r="485" spans="1:4" x14ac:dyDescent="0.3">
      <c r="A485" s="4">
        <v>44554</v>
      </c>
      <c r="B485" s="5">
        <v>476261146300</v>
      </c>
      <c r="C485" s="5">
        <v>655545720800</v>
      </c>
      <c r="D485" s="49">
        <f t="shared" si="18"/>
        <v>11318.068671000001</v>
      </c>
    </row>
    <row r="486" spans="1:4" x14ac:dyDescent="0.3">
      <c r="A486" s="4">
        <v>44557</v>
      </c>
      <c r="B486" s="5">
        <v>407482648400</v>
      </c>
      <c r="C486" s="5">
        <v>567285592200</v>
      </c>
      <c r="D486" s="49">
        <f t="shared" si="18"/>
        <v>9747.6824059999999</v>
      </c>
    </row>
    <row r="487" spans="1:4" x14ac:dyDescent="0.3">
      <c r="A487" s="4">
        <v>44558</v>
      </c>
      <c r="B487" s="5">
        <v>408761369700</v>
      </c>
      <c r="C487" s="5">
        <v>593880149700</v>
      </c>
      <c r="D487" s="49">
        <f t="shared" si="18"/>
        <v>10026.415193999999</v>
      </c>
    </row>
    <row r="488" spans="1:4" x14ac:dyDescent="0.3">
      <c r="A488" s="4">
        <v>44559</v>
      </c>
      <c r="B488" s="5">
        <v>410425339500</v>
      </c>
      <c r="C488" s="5">
        <v>586862051200</v>
      </c>
      <c r="D488" s="49">
        <f t="shared" si="18"/>
        <v>9972.8739069999992</v>
      </c>
    </row>
    <row r="489" spans="1:4" x14ac:dyDescent="0.3">
      <c r="A489" s="4">
        <v>44560</v>
      </c>
      <c r="B489" s="5">
        <v>413947692800</v>
      </c>
      <c r="C489" s="5">
        <v>603918623500</v>
      </c>
      <c r="D489" s="49">
        <f t="shared" si="18"/>
        <v>10178.663162999999</v>
      </c>
    </row>
    <row r="490" spans="1:4" x14ac:dyDescent="0.3">
      <c r="A490" s="4">
        <v>44561</v>
      </c>
      <c r="B490" s="5">
        <v>433489803100</v>
      </c>
      <c r="C490" s="5">
        <v>626736504900</v>
      </c>
      <c r="D490" s="49">
        <f t="shared" si="18"/>
        <v>10602.263080000001</v>
      </c>
    </row>
    <row r="491" spans="1:4" x14ac:dyDescent="0.3">
      <c r="A491" s="4">
        <v>44565</v>
      </c>
      <c r="B491" s="5">
        <v>510251060600</v>
      </c>
      <c r="C491" s="5">
        <v>756072965800</v>
      </c>
      <c r="D491" s="49">
        <f t="shared" si="18"/>
        <v>12663.240264</v>
      </c>
    </row>
    <row r="492" spans="1:4" x14ac:dyDescent="0.3">
      <c r="A492" s="4">
        <v>44566</v>
      </c>
      <c r="B492" s="5">
        <v>538963631700.00006</v>
      </c>
      <c r="C492" s="5">
        <v>766150488100</v>
      </c>
      <c r="D492" s="49">
        <f t="shared" si="18"/>
        <v>13051.141197999999</v>
      </c>
    </row>
    <row r="493" spans="1:4" x14ac:dyDescent="0.3">
      <c r="A493" s="4">
        <v>44567</v>
      </c>
      <c r="B493" s="5">
        <v>474284290000</v>
      </c>
      <c r="C493" s="5">
        <v>662400086400</v>
      </c>
      <c r="D493" s="49">
        <f t="shared" si="18"/>
        <v>11366.843763999999</v>
      </c>
    </row>
    <row r="494" spans="1:4" x14ac:dyDescent="0.3">
      <c r="A494" s="4">
        <v>44568</v>
      </c>
      <c r="B494" s="5">
        <v>502891435400</v>
      </c>
      <c r="C494" s="5">
        <v>704297621600</v>
      </c>
      <c r="D494" s="49">
        <f t="shared" si="18"/>
        <v>12071.89057</v>
      </c>
    </row>
    <row r="495" spans="1:4" x14ac:dyDescent="0.3">
      <c r="A495" s="4">
        <v>44571</v>
      </c>
      <c r="B495" s="5">
        <v>443400848600</v>
      </c>
      <c r="C495" s="5">
        <v>607982063600</v>
      </c>
      <c r="D495" s="49">
        <f t="shared" si="18"/>
        <v>10513.829121999999</v>
      </c>
    </row>
    <row r="496" spans="1:4" x14ac:dyDescent="0.3">
      <c r="A496" s="4">
        <v>44572</v>
      </c>
      <c r="B496" s="5">
        <v>441300566900</v>
      </c>
      <c r="C496" s="5">
        <v>614437722700</v>
      </c>
      <c r="D496" s="49">
        <f t="shared" si="18"/>
        <v>10557.382895999999</v>
      </c>
    </row>
    <row r="497" spans="1:4" x14ac:dyDescent="0.3">
      <c r="A497" s="4">
        <v>44573</v>
      </c>
      <c r="B497" s="5">
        <v>435817893000</v>
      </c>
      <c r="C497" s="5">
        <v>625336422300</v>
      </c>
      <c r="D497" s="49">
        <f t="shared" si="18"/>
        <v>10611.543153000001</v>
      </c>
    </row>
    <row r="498" spans="1:4" x14ac:dyDescent="0.3">
      <c r="A498" s="4">
        <v>44574</v>
      </c>
      <c r="B498" s="5">
        <v>457005419300</v>
      </c>
      <c r="C498" s="5">
        <v>636529733500</v>
      </c>
      <c r="D498" s="49">
        <f t="shared" si="18"/>
        <v>10935.351527999999</v>
      </c>
    </row>
    <row r="499" spans="1:4" x14ac:dyDescent="0.3">
      <c r="A499" s="4">
        <v>44575</v>
      </c>
      <c r="B499" s="5">
        <v>463197641900</v>
      </c>
      <c r="C499" s="5">
        <v>643758907300</v>
      </c>
      <c r="D499" s="49">
        <f t="shared" si="18"/>
        <v>11069.565492</v>
      </c>
    </row>
    <row r="500" spans="1:4" x14ac:dyDescent="0.3">
      <c r="A500" s="4">
        <v>44578</v>
      </c>
      <c r="B500" s="5">
        <v>438272981600</v>
      </c>
      <c r="C500" s="5">
        <v>681429703700</v>
      </c>
      <c r="D500" s="49">
        <f t="shared" si="18"/>
        <v>11197.026852999999</v>
      </c>
    </row>
    <row r="501" spans="1:4" x14ac:dyDescent="0.3">
      <c r="A501" s="4">
        <v>44579</v>
      </c>
      <c r="B501" s="5">
        <v>470832038600</v>
      </c>
      <c r="C501" s="5">
        <v>725086776400</v>
      </c>
      <c r="D501" s="49">
        <f t="shared" si="18"/>
        <v>11959.18815</v>
      </c>
    </row>
    <row r="502" spans="1:4" x14ac:dyDescent="0.3">
      <c r="A502" s="4">
        <v>44580</v>
      </c>
      <c r="B502" s="5">
        <v>420763364200</v>
      </c>
      <c r="C502" s="5">
        <v>644543877600</v>
      </c>
      <c r="D502" s="49">
        <f t="shared" si="18"/>
        <v>10653.072418</v>
      </c>
    </row>
    <row r="503" spans="1:4" x14ac:dyDescent="0.3">
      <c r="A503" s="4">
        <v>44581</v>
      </c>
      <c r="B503" s="5">
        <v>459701843400</v>
      </c>
      <c r="C503" s="5">
        <v>669283759400</v>
      </c>
      <c r="D503" s="49">
        <f t="shared" si="18"/>
        <v>11289.856028</v>
      </c>
    </row>
    <row r="504" spans="1:4" x14ac:dyDescent="0.3">
      <c r="A504" s="4">
        <v>44582</v>
      </c>
      <c r="B504" s="5">
        <v>417768922600</v>
      </c>
      <c r="C504" s="5">
        <v>566667205000</v>
      </c>
      <c r="D504" s="49">
        <f t="shared" si="18"/>
        <v>9844.3612759999996</v>
      </c>
    </row>
    <row r="505" spans="1:4" x14ac:dyDescent="0.3">
      <c r="A505" s="4">
        <v>44585</v>
      </c>
      <c r="B505" s="5">
        <v>358009694300</v>
      </c>
      <c r="C505" s="5">
        <v>506151382600</v>
      </c>
      <c r="D505" s="49">
        <f t="shared" si="18"/>
        <v>8641.6107690000008</v>
      </c>
    </row>
    <row r="506" spans="1:4" x14ac:dyDescent="0.3">
      <c r="A506" s="4">
        <v>44586</v>
      </c>
      <c r="B506" s="5">
        <v>383727737500</v>
      </c>
      <c r="C506" s="5">
        <v>553134101900</v>
      </c>
      <c r="D506" s="49">
        <f t="shared" si="18"/>
        <v>9368.6183939999992</v>
      </c>
    </row>
    <row r="507" spans="1:4" x14ac:dyDescent="0.3">
      <c r="A507" s="4">
        <v>44587</v>
      </c>
      <c r="B507" s="5">
        <v>338312361500</v>
      </c>
      <c r="C507" s="5">
        <v>455865831000</v>
      </c>
      <c r="D507" s="49">
        <f t="shared" si="18"/>
        <v>7941.7819250000002</v>
      </c>
    </row>
    <row r="508" spans="1:4" x14ac:dyDescent="0.3">
      <c r="A508" s="4">
        <v>44588</v>
      </c>
      <c r="B508" s="5">
        <v>346533957900</v>
      </c>
      <c r="C508" s="5">
        <v>476438480100</v>
      </c>
      <c r="D508" s="49">
        <f t="shared" si="18"/>
        <v>8229.7243799999997</v>
      </c>
    </row>
    <row r="509" spans="1:4" x14ac:dyDescent="0.3">
      <c r="A509" s="4">
        <v>44589</v>
      </c>
      <c r="B509" s="5">
        <v>353774612600</v>
      </c>
      <c r="C509" s="5">
        <v>465106774500</v>
      </c>
      <c r="D509" s="49">
        <f t="shared" si="18"/>
        <v>8188.8138710000003</v>
      </c>
    </row>
    <row r="510" spans="1:4" x14ac:dyDescent="0.3">
      <c r="A510" s="4">
        <v>44599</v>
      </c>
      <c r="B510" s="5">
        <v>357140422900</v>
      </c>
      <c r="C510" s="5">
        <v>465994019300</v>
      </c>
      <c r="D510" s="49">
        <f t="shared" si="18"/>
        <v>8231.3444220000001</v>
      </c>
    </row>
    <row r="511" spans="1:4" x14ac:dyDescent="0.3">
      <c r="A511" s="4">
        <v>44600</v>
      </c>
      <c r="B511" s="5">
        <v>387969865700</v>
      </c>
      <c r="C511" s="5">
        <v>490826040500</v>
      </c>
      <c r="D511" s="49">
        <f t="shared" si="18"/>
        <v>8787.9590619999999</v>
      </c>
    </row>
    <row r="512" spans="1:4" x14ac:dyDescent="0.3">
      <c r="A512" s="4">
        <v>44601</v>
      </c>
      <c r="B512" s="5">
        <v>393719989800</v>
      </c>
      <c r="C512" s="5">
        <v>538058905000</v>
      </c>
      <c r="D512" s="49">
        <f t="shared" si="18"/>
        <v>9317.7889479999994</v>
      </c>
    </row>
    <row r="513" spans="1:4" x14ac:dyDescent="0.3">
      <c r="A513" s="4">
        <v>44602</v>
      </c>
      <c r="B513" s="5">
        <v>404969419400</v>
      </c>
      <c r="C513" s="5">
        <v>531355975400</v>
      </c>
      <c r="D513" s="49">
        <f t="shared" si="18"/>
        <v>9363.2539479999996</v>
      </c>
    </row>
    <row r="514" spans="1:4" x14ac:dyDescent="0.3">
      <c r="A514" s="4">
        <v>44603</v>
      </c>
      <c r="B514" s="5">
        <v>426297923500</v>
      </c>
      <c r="C514" s="5">
        <v>565245646600</v>
      </c>
      <c r="D514" s="49">
        <f t="shared" si="18"/>
        <v>9915.4357010000003</v>
      </c>
    </row>
    <row r="515" spans="1:4" x14ac:dyDescent="0.3">
      <c r="A515" s="4">
        <v>44606</v>
      </c>
      <c r="B515" s="5">
        <v>361677855100</v>
      </c>
      <c r="C515" s="5">
        <v>500778935100</v>
      </c>
      <c r="D515" s="49">
        <f t="shared" si="18"/>
        <v>8624.5679020000007</v>
      </c>
    </row>
    <row r="516" spans="1:4" x14ac:dyDescent="0.3">
      <c r="A516" s="4">
        <v>44607</v>
      </c>
      <c r="B516" s="5">
        <v>341638876500</v>
      </c>
      <c r="C516" s="5">
        <v>485858666100</v>
      </c>
      <c r="D516" s="49">
        <f t="shared" si="18"/>
        <v>8274.9754260000009</v>
      </c>
    </row>
    <row r="517" spans="1:4" x14ac:dyDescent="0.3">
      <c r="A517" s="4">
        <v>44608</v>
      </c>
      <c r="B517" s="5">
        <v>325563412500</v>
      </c>
      <c r="C517" s="5">
        <v>481453456300</v>
      </c>
      <c r="D517" s="49">
        <f t="shared" si="18"/>
        <v>8070.1686879999997</v>
      </c>
    </row>
    <row r="518" spans="1:4" x14ac:dyDescent="0.3">
      <c r="A518" s="4">
        <v>44609</v>
      </c>
      <c r="B518" s="5">
        <v>355783125700</v>
      </c>
      <c r="C518" s="5">
        <v>553015968500</v>
      </c>
      <c r="D518" s="49">
        <f t="shared" ref="D518:D581" si="19">(B518+C518)/100000000</f>
        <v>9087.9909420000004</v>
      </c>
    </row>
    <row r="519" spans="1:4" x14ac:dyDescent="0.3">
      <c r="A519" s="4">
        <v>44610</v>
      </c>
      <c r="B519" s="5">
        <v>327220393300</v>
      </c>
      <c r="C519" s="5">
        <v>480329814200</v>
      </c>
      <c r="D519" s="49">
        <f t="shared" si="19"/>
        <v>8075.5020750000003</v>
      </c>
    </row>
    <row r="520" spans="1:4" x14ac:dyDescent="0.3">
      <c r="A520" s="4">
        <v>44613</v>
      </c>
      <c r="B520" s="5">
        <v>345398586100</v>
      </c>
      <c r="C520" s="5">
        <v>555046537600</v>
      </c>
      <c r="D520" s="49">
        <f t="shared" si="19"/>
        <v>9004.4512369999993</v>
      </c>
    </row>
    <row r="521" spans="1:4" x14ac:dyDescent="0.3">
      <c r="A521" s="4">
        <v>44614</v>
      </c>
      <c r="B521" s="5">
        <v>387678927600</v>
      </c>
      <c r="C521" s="5">
        <v>590595879300</v>
      </c>
      <c r="D521" s="49">
        <f t="shared" si="19"/>
        <v>9782.7480689999993</v>
      </c>
    </row>
    <row r="522" spans="1:4" x14ac:dyDescent="0.3">
      <c r="A522" s="4">
        <v>44615</v>
      </c>
      <c r="B522" s="5">
        <v>415630339800</v>
      </c>
      <c r="C522" s="5">
        <v>625266219000</v>
      </c>
      <c r="D522" s="49">
        <f t="shared" si="19"/>
        <v>10408.965587999999</v>
      </c>
    </row>
    <row r="523" spans="1:4" x14ac:dyDescent="0.3">
      <c r="A523" s="4">
        <v>44616</v>
      </c>
      <c r="B523" s="5">
        <v>569794044200</v>
      </c>
      <c r="C523" s="5">
        <v>792905223500</v>
      </c>
      <c r="D523" s="49">
        <f t="shared" si="19"/>
        <v>13626.992677</v>
      </c>
    </row>
    <row r="524" spans="1:4" x14ac:dyDescent="0.3">
      <c r="A524" s="4">
        <v>44617</v>
      </c>
      <c r="B524" s="5">
        <v>441659490600</v>
      </c>
      <c r="C524" s="5">
        <v>577064527200</v>
      </c>
      <c r="D524" s="49">
        <f t="shared" si="19"/>
        <v>10187.240178</v>
      </c>
    </row>
    <row r="525" spans="1:4" x14ac:dyDescent="0.3">
      <c r="A525" s="4">
        <v>44620</v>
      </c>
      <c r="B525" s="5">
        <v>413804526700</v>
      </c>
      <c r="C525" s="5">
        <v>535316715200</v>
      </c>
      <c r="D525" s="49">
        <f t="shared" si="19"/>
        <v>9491.2124189999995</v>
      </c>
    </row>
    <row r="526" spans="1:4" x14ac:dyDescent="0.3">
      <c r="A526" s="4">
        <v>44621</v>
      </c>
      <c r="B526" s="5">
        <v>412562471200</v>
      </c>
      <c r="C526" s="5">
        <v>556498527300</v>
      </c>
      <c r="D526" s="49">
        <f t="shared" si="19"/>
        <v>9690.6099849999991</v>
      </c>
    </row>
    <row r="527" spans="1:4" x14ac:dyDescent="0.3">
      <c r="A527" s="4">
        <v>44622</v>
      </c>
      <c r="B527" s="5">
        <v>380143816200</v>
      </c>
      <c r="C527" s="5">
        <v>517925859600</v>
      </c>
      <c r="D527" s="49">
        <f t="shared" si="19"/>
        <v>8980.696758</v>
      </c>
    </row>
    <row r="528" spans="1:4" x14ac:dyDescent="0.3">
      <c r="A528" s="4">
        <v>44623</v>
      </c>
      <c r="B528" s="5">
        <v>443621777200</v>
      </c>
      <c r="C528" s="5">
        <v>566547160700</v>
      </c>
      <c r="D528" s="49">
        <f t="shared" si="19"/>
        <v>10101.689378999999</v>
      </c>
    </row>
    <row r="529" spans="1:4" x14ac:dyDescent="0.3">
      <c r="A529" s="4">
        <v>44624</v>
      </c>
      <c r="B529" s="5">
        <v>430669055300</v>
      </c>
      <c r="C529" s="5">
        <v>575567256100</v>
      </c>
      <c r="D529" s="49">
        <f t="shared" si="19"/>
        <v>10062.363114</v>
      </c>
    </row>
    <row r="530" spans="1:4" x14ac:dyDescent="0.3">
      <c r="A530" s="4">
        <v>44627</v>
      </c>
      <c r="B530" s="5">
        <v>458156894800</v>
      </c>
      <c r="C530" s="5">
        <v>566406131100</v>
      </c>
      <c r="D530" s="49">
        <f t="shared" si="19"/>
        <v>10245.630259</v>
      </c>
    </row>
    <row r="531" spans="1:4" x14ac:dyDescent="0.3">
      <c r="A531" s="4">
        <v>44628</v>
      </c>
      <c r="B531" s="5">
        <v>485623581000</v>
      </c>
      <c r="C531" s="5">
        <v>624336264100</v>
      </c>
      <c r="D531" s="49">
        <f t="shared" si="19"/>
        <v>11099.598451</v>
      </c>
    </row>
    <row r="532" spans="1:4" x14ac:dyDescent="0.3">
      <c r="A532" s="4">
        <v>44629</v>
      </c>
      <c r="B532" s="5">
        <v>519833299600</v>
      </c>
      <c r="C532" s="5">
        <v>641926907600</v>
      </c>
      <c r="D532" s="49">
        <f t="shared" si="19"/>
        <v>11617.602072</v>
      </c>
    </row>
    <row r="533" spans="1:4" x14ac:dyDescent="0.3">
      <c r="A533" s="4">
        <v>44630</v>
      </c>
      <c r="B533" s="5">
        <v>466084008400</v>
      </c>
      <c r="C533" s="5">
        <v>612625620200</v>
      </c>
      <c r="D533" s="49">
        <f t="shared" si="19"/>
        <v>10787.096286</v>
      </c>
    </row>
    <row r="534" spans="1:4" x14ac:dyDescent="0.3">
      <c r="A534" s="4">
        <v>44631</v>
      </c>
      <c r="B534" s="5">
        <v>458687054700</v>
      </c>
      <c r="C534" s="5">
        <v>591465321300</v>
      </c>
      <c r="D534" s="49">
        <f t="shared" si="19"/>
        <v>10501.52376</v>
      </c>
    </row>
    <row r="535" spans="1:4" x14ac:dyDescent="0.3">
      <c r="A535" s="4">
        <v>44634</v>
      </c>
      <c r="B535" s="5">
        <v>418055596100</v>
      </c>
      <c r="C535" s="5">
        <v>551758539200</v>
      </c>
      <c r="D535" s="49">
        <f t="shared" si="19"/>
        <v>9698.1413530000009</v>
      </c>
    </row>
    <row r="536" spans="1:4" x14ac:dyDescent="0.3">
      <c r="A536" s="4">
        <v>44635</v>
      </c>
      <c r="B536" s="5">
        <v>508158410100</v>
      </c>
      <c r="C536" s="5">
        <v>616059879900</v>
      </c>
      <c r="D536" s="49">
        <f t="shared" si="19"/>
        <v>11242.1829</v>
      </c>
    </row>
    <row r="537" spans="1:4" x14ac:dyDescent="0.3">
      <c r="A537" s="4">
        <v>44636</v>
      </c>
      <c r="B537" s="5">
        <v>522305342500</v>
      </c>
      <c r="C537" s="5">
        <v>669733224300</v>
      </c>
      <c r="D537" s="49">
        <f t="shared" si="19"/>
        <v>11920.385668000001</v>
      </c>
    </row>
    <row r="538" spans="1:4" x14ac:dyDescent="0.3">
      <c r="A538" s="4">
        <v>44637</v>
      </c>
      <c r="B538" s="5">
        <v>532549484000</v>
      </c>
      <c r="C538" s="5">
        <v>742943661400</v>
      </c>
      <c r="D538" s="49">
        <f t="shared" si="19"/>
        <v>12754.931454</v>
      </c>
    </row>
    <row r="539" spans="1:4" x14ac:dyDescent="0.3">
      <c r="A539" s="4">
        <v>44638</v>
      </c>
      <c r="B539" s="5">
        <v>428415081600</v>
      </c>
      <c r="C539" s="5">
        <v>562050112500</v>
      </c>
      <c r="D539" s="49">
        <f t="shared" si="19"/>
        <v>9904.6519410000001</v>
      </c>
    </row>
    <row r="540" spans="1:4" x14ac:dyDescent="0.3">
      <c r="A540" s="4">
        <v>44641</v>
      </c>
      <c r="B540" s="5">
        <v>421076289700</v>
      </c>
      <c r="C540" s="5">
        <v>594069216700</v>
      </c>
      <c r="D540" s="49">
        <f t="shared" si="19"/>
        <v>10151.455064</v>
      </c>
    </row>
    <row r="541" spans="1:4" x14ac:dyDescent="0.3">
      <c r="A541" s="4">
        <v>44642</v>
      </c>
      <c r="B541" s="5">
        <v>402798964000</v>
      </c>
      <c r="C541" s="5">
        <v>559997430200</v>
      </c>
      <c r="D541" s="49">
        <f t="shared" si="19"/>
        <v>9627.9639420000003</v>
      </c>
    </row>
    <row r="542" spans="1:4" x14ac:dyDescent="0.3">
      <c r="A542" s="4">
        <v>44643</v>
      </c>
      <c r="B542" s="5">
        <v>405422033500</v>
      </c>
      <c r="C542" s="5">
        <v>537394684000</v>
      </c>
      <c r="D542" s="49">
        <f t="shared" si="19"/>
        <v>9428.1671750000005</v>
      </c>
    </row>
    <row r="543" spans="1:4" x14ac:dyDescent="0.3">
      <c r="A543" s="4">
        <v>44644</v>
      </c>
      <c r="B543" s="5">
        <v>390727516500</v>
      </c>
      <c r="C543" s="5">
        <v>529361678100</v>
      </c>
      <c r="D543" s="49">
        <f t="shared" si="19"/>
        <v>9200.8919459999997</v>
      </c>
    </row>
    <row r="544" spans="1:4" x14ac:dyDescent="0.3">
      <c r="A544" s="4">
        <v>44645</v>
      </c>
      <c r="B544" s="5">
        <v>389770396000</v>
      </c>
      <c r="C544" s="5">
        <v>528491846000</v>
      </c>
      <c r="D544" s="49">
        <f t="shared" si="19"/>
        <v>9182.6224199999997</v>
      </c>
    </row>
    <row r="545" spans="1:4" x14ac:dyDescent="0.3">
      <c r="A545" s="4">
        <v>44648</v>
      </c>
      <c r="B545" s="5">
        <v>374472280000</v>
      </c>
      <c r="C545" s="5">
        <v>495913898200</v>
      </c>
      <c r="D545" s="49">
        <f t="shared" si="19"/>
        <v>8703.8617819999999</v>
      </c>
    </row>
    <row r="546" spans="1:4" x14ac:dyDescent="0.3">
      <c r="A546" s="4">
        <v>44649</v>
      </c>
      <c r="B546" s="5">
        <v>363964468700</v>
      </c>
      <c r="C546" s="5">
        <v>500012942500</v>
      </c>
      <c r="D546" s="49">
        <f t="shared" si="19"/>
        <v>8639.7741119999991</v>
      </c>
    </row>
    <row r="547" spans="1:4" x14ac:dyDescent="0.3">
      <c r="A547" s="4">
        <v>44650</v>
      </c>
      <c r="B547" s="5">
        <v>413008941300</v>
      </c>
      <c r="C547" s="5">
        <v>545377037400</v>
      </c>
      <c r="D547" s="49">
        <f t="shared" si="19"/>
        <v>9583.8597869999994</v>
      </c>
    </row>
    <row r="548" spans="1:4" x14ac:dyDescent="0.3">
      <c r="A548" s="4">
        <v>44651</v>
      </c>
      <c r="B548" s="5">
        <v>428089033600</v>
      </c>
      <c r="C548" s="5">
        <v>581017358200</v>
      </c>
      <c r="D548" s="49">
        <f t="shared" si="19"/>
        <v>10091.063918</v>
      </c>
    </row>
    <row r="549" spans="1:4" x14ac:dyDescent="0.3">
      <c r="A549" s="4">
        <v>44652</v>
      </c>
      <c r="B549" s="5">
        <v>405675715400</v>
      </c>
      <c r="C549" s="5">
        <v>529916746700</v>
      </c>
      <c r="D549" s="49">
        <f t="shared" si="19"/>
        <v>9355.9246210000001</v>
      </c>
    </row>
    <row r="550" spans="1:4" x14ac:dyDescent="0.3">
      <c r="A550" s="4">
        <v>44657</v>
      </c>
      <c r="B550" s="5">
        <v>433556392500</v>
      </c>
      <c r="C550" s="5">
        <v>532502399500</v>
      </c>
      <c r="D550" s="49">
        <f t="shared" si="19"/>
        <v>9660.5879199999999</v>
      </c>
    </row>
    <row r="551" spans="1:4" x14ac:dyDescent="0.3">
      <c r="A551" s="4">
        <v>44658</v>
      </c>
      <c r="B551" s="5">
        <v>398081845500</v>
      </c>
      <c r="C551" s="5">
        <v>524892592100</v>
      </c>
      <c r="D551" s="49">
        <f t="shared" si="19"/>
        <v>9229.7443760000006</v>
      </c>
    </row>
    <row r="552" spans="1:4" x14ac:dyDescent="0.3">
      <c r="A552" s="4">
        <v>44659</v>
      </c>
      <c r="B552" s="5">
        <v>414037258400</v>
      </c>
      <c r="C552" s="5">
        <v>512401292300</v>
      </c>
      <c r="D552" s="49">
        <f t="shared" si="19"/>
        <v>9264.3855070000009</v>
      </c>
    </row>
    <row r="553" spans="1:4" x14ac:dyDescent="0.3">
      <c r="A553" s="4">
        <v>44662</v>
      </c>
      <c r="B553" s="5">
        <v>435129505100</v>
      </c>
      <c r="C553" s="5">
        <v>528592077300</v>
      </c>
      <c r="D553" s="49">
        <f t="shared" si="19"/>
        <v>9637.2158240000008</v>
      </c>
    </row>
    <row r="554" spans="1:4" x14ac:dyDescent="0.3">
      <c r="A554" s="4">
        <v>44663</v>
      </c>
      <c r="B554" s="5">
        <v>422455849000</v>
      </c>
      <c r="C554" s="5">
        <v>493975775600</v>
      </c>
      <c r="D554" s="49">
        <f t="shared" si="19"/>
        <v>9164.3162460000003</v>
      </c>
    </row>
    <row r="555" spans="1:4" x14ac:dyDescent="0.3">
      <c r="A555" s="4">
        <v>44664</v>
      </c>
      <c r="B555" s="5">
        <v>398216898500</v>
      </c>
      <c r="C555" s="5">
        <v>475223618700</v>
      </c>
      <c r="D555" s="49">
        <f t="shared" si="19"/>
        <v>8734.4051720000007</v>
      </c>
    </row>
    <row r="556" spans="1:4" x14ac:dyDescent="0.3">
      <c r="A556" s="4">
        <v>44665</v>
      </c>
      <c r="B556" s="5">
        <v>401191632100</v>
      </c>
      <c r="C556" s="5">
        <v>468901677200</v>
      </c>
      <c r="D556" s="49">
        <f t="shared" si="19"/>
        <v>8700.9330929999996</v>
      </c>
    </row>
    <row r="557" spans="1:4" x14ac:dyDescent="0.3">
      <c r="A557" s="4">
        <v>44666</v>
      </c>
      <c r="B557" s="5">
        <v>413498819900</v>
      </c>
      <c r="C557" s="5">
        <v>497739425800</v>
      </c>
      <c r="D557" s="49">
        <f t="shared" si="19"/>
        <v>9112.3824569999997</v>
      </c>
    </row>
    <row r="558" spans="1:4" x14ac:dyDescent="0.3">
      <c r="A558" s="4">
        <v>44669</v>
      </c>
      <c r="B558" s="5">
        <v>366380807900</v>
      </c>
      <c r="C558" s="5">
        <v>411908669000</v>
      </c>
      <c r="D558" s="49">
        <f t="shared" si="19"/>
        <v>7782.8947690000005</v>
      </c>
    </row>
    <row r="559" spans="1:4" x14ac:dyDescent="0.3">
      <c r="A559" s="4">
        <v>44670</v>
      </c>
      <c r="B559" s="5">
        <v>362769876700</v>
      </c>
      <c r="C559" s="5">
        <v>416624207300</v>
      </c>
      <c r="D559" s="49">
        <f t="shared" si="19"/>
        <v>7793.9408400000002</v>
      </c>
    </row>
    <row r="560" spans="1:4" x14ac:dyDescent="0.3">
      <c r="A560" s="4">
        <v>44671</v>
      </c>
      <c r="B560" s="5">
        <v>373572708100</v>
      </c>
      <c r="C560" s="5">
        <v>447105693600</v>
      </c>
      <c r="D560" s="49">
        <f t="shared" si="19"/>
        <v>8206.7840169999999</v>
      </c>
    </row>
    <row r="561" spans="1:4" x14ac:dyDescent="0.3">
      <c r="A561" s="4">
        <v>44672</v>
      </c>
      <c r="B561" s="5">
        <v>396542033900</v>
      </c>
      <c r="C561" s="5">
        <v>459812617000</v>
      </c>
      <c r="D561" s="49">
        <f t="shared" si="19"/>
        <v>8563.5465089999998</v>
      </c>
    </row>
    <row r="562" spans="1:4" x14ac:dyDescent="0.3">
      <c r="A562" s="4">
        <v>44673</v>
      </c>
      <c r="B562" s="5">
        <v>348793631100</v>
      </c>
      <c r="C562" s="5">
        <v>404474712800</v>
      </c>
      <c r="D562" s="49">
        <f t="shared" si="19"/>
        <v>7532.6834390000004</v>
      </c>
    </row>
    <row r="563" spans="1:4" x14ac:dyDescent="0.3">
      <c r="A563" s="4">
        <v>44676</v>
      </c>
      <c r="B563" s="5">
        <v>427077210400</v>
      </c>
      <c r="C563" s="5">
        <v>469816866400</v>
      </c>
      <c r="D563" s="49">
        <f t="shared" si="19"/>
        <v>8968.9407680000004</v>
      </c>
    </row>
    <row r="564" spans="1:4" x14ac:dyDescent="0.3">
      <c r="A564" s="4">
        <v>44677</v>
      </c>
      <c r="B564" s="5">
        <v>395985961300</v>
      </c>
      <c r="C564" s="5">
        <v>442820889100</v>
      </c>
      <c r="D564" s="49">
        <f t="shared" si="19"/>
        <v>8388.0685040000008</v>
      </c>
    </row>
    <row r="565" spans="1:4" x14ac:dyDescent="0.3">
      <c r="A565" s="4">
        <v>44678</v>
      </c>
      <c r="B565" s="5">
        <v>422928346500</v>
      </c>
      <c r="C565" s="5">
        <v>494759765700</v>
      </c>
      <c r="D565" s="49">
        <f t="shared" si="19"/>
        <v>9176.8811220000007</v>
      </c>
    </row>
    <row r="566" spans="1:4" x14ac:dyDescent="0.3">
      <c r="A566" s="4">
        <v>44679</v>
      </c>
      <c r="B566" s="5">
        <v>388743021900</v>
      </c>
      <c r="C566" s="5">
        <v>451836265300</v>
      </c>
      <c r="D566" s="49">
        <f t="shared" si="19"/>
        <v>8405.792872</v>
      </c>
    </row>
    <row r="567" spans="1:4" x14ac:dyDescent="0.3">
      <c r="A567" s="4">
        <v>44680</v>
      </c>
      <c r="B567" s="5">
        <v>440422728800</v>
      </c>
      <c r="C567" s="5">
        <v>524605252100</v>
      </c>
      <c r="D567" s="49">
        <f t="shared" si="19"/>
        <v>9650.2798089999997</v>
      </c>
    </row>
    <row r="568" spans="1:4" x14ac:dyDescent="0.3">
      <c r="A568" s="4">
        <v>44686</v>
      </c>
      <c r="B568" s="5">
        <v>409352003200</v>
      </c>
      <c r="C568" s="5">
        <v>491556404900</v>
      </c>
      <c r="D568" s="49">
        <f t="shared" si="19"/>
        <v>9009.0840810000009</v>
      </c>
    </row>
    <row r="569" spans="1:4" x14ac:dyDescent="0.3">
      <c r="A569" s="4">
        <v>44687</v>
      </c>
      <c r="B569" s="5">
        <v>346214397700</v>
      </c>
      <c r="C569" s="5">
        <v>413582133700</v>
      </c>
      <c r="D569" s="49">
        <f t="shared" si="19"/>
        <v>7597.965314</v>
      </c>
    </row>
    <row r="570" spans="1:4" x14ac:dyDescent="0.3">
      <c r="A570" s="4">
        <v>44690</v>
      </c>
      <c r="B570" s="5">
        <v>299983258900</v>
      </c>
      <c r="C570" s="5">
        <v>371397517200</v>
      </c>
      <c r="D570" s="49">
        <f t="shared" si="19"/>
        <v>6713.807761</v>
      </c>
    </row>
    <row r="571" spans="1:4" x14ac:dyDescent="0.3">
      <c r="A571" s="4">
        <v>44691</v>
      </c>
      <c r="B571" s="5">
        <v>384012598375</v>
      </c>
      <c r="C571" s="5">
        <v>462831979300</v>
      </c>
      <c r="D571" s="49">
        <f t="shared" si="19"/>
        <v>8468.4457767500007</v>
      </c>
    </row>
    <row r="572" spans="1:4" x14ac:dyDescent="0.3">
      <c r="A572" s="4">
        <v>44692</v>
      </c>
      <c r="B572" s="5">
        <v>472963382200</v>
      </c>
      <c r="C572" s="5">
        <v>605072521200</v>
      </c>
      <c r="D572" s="49">
        <f t="shared" si="19"/>
        <v>10780.359033999999</v>
      </c>
    </row>
    <row r="573" spans="1:4" x14ac:dyDescent="0.3">
      <c r="A573" s="4">
        <v>44693</v>
      </c>
      <c r="B573" s="5">
        <v>368879652300</v>
      </c>
      <c r="C573" s="5">
        <v>452362047000</v>
      </c>
      <c r="D573" s="49">
        <f t="shared" si="19"/>
        <v>8212.4169930000007</v>
      </c>
    </row>
    <row r="574" spans="1:4" x14ac:dyDescent="0.3">
      <c r="A574" s="4">
        <v>44694</v>
      </c>
      <c r="B574" s="5">
        <v>340942192700</v>
      </c>
      <c r="C574" s="5">
        <v>416213568100</v>
      </c>
      <c r="D574" s="49">
        <f t="shared" si="19"/>
        <v>7571.5576080000001</v>
      </c>
    </row>
    <row r="575" spans="1:4" x14ac:dyDescent="0.3">
      <c r="A575" s="4">
        <v>44697</v>
      </c>
      <c r="B575" s="5">
        <v>348957705500</v>
      </c>
      <c r="C575" s="5">
        <v>437216532100</v>
      </c>
      <c r="D575" s="49">
        <f t="shared" si="19"/>
        <v>7861.7423760000001</v>
      </c>
    </row>
    <row r="576" spans="1:4" x14ac:dyDescent="0.3">
      <c r="A576" s="4">
        <v>44698</v>
      </c>
      <c r="B576" s="5">
        <v>351671298500</v>
      </c>
      <c r="C576" s="5">
        <v>438261203800</v>
      </c>
      <c r="D576" s="49">
        <f t="shared" si="19"/>
        <v>7899.3250230000003</v>
      </c>
    </row>
    <row r="577" spans="1:4" x14ac:dyDescent="0.3">
      <c r="A577" s="4">
        <v>44699</v>
      </c>
      <c r="B577" s="5">
        <v>338849162200</v>
      </c>
      <c r="C577" s="5">
        <v>431494830400</v>
      </c>
      <c r="D577" s="49">
        <f t="shared" si="19"/>
        <v>7703.439926</v>
      </c>
    </row>
    <row r="578" spans="1:4" x14ac:dyDescent="0.3">
      <c r="A578" s="4">
        <v>44700</v>
      </c>
      <c r="B578" s="5">
        <v>360018210700</v>
      </c>
      <c r="C578" s="5">
        <v>446671269100</v>
      </c>
      <c r="D578" s="49">
        <f t="shared" si="19"/>
        <v>8066.8947980000003</v>
      </c>
    </row>
    <row r="579" spans="1:4" x14ac:dyDescent="0.3">
      <c r="A579" s="4">
        <v>44701</v>
      </c>
      <c r="B579" s="5">
        <v>415306218200</v>
      </c>
      <c r="C579" s="5">
        <v>505340902700</v>
      </c>
      <c r="D579" s="49">
        <f t="shared" si="19"/>
        <v>9206.4712089999994</v>
      </c>
    </row>
    <row r="580" spans="1:4" x14ac:dyDescent="0.3">
      <c r="A580" s="4">
        <v>44704</v>
      </c>
      <c r="B580" s="5">
        <v>381178569200</v>
      </c>
      <c r="C580" s="5">
        <v>478499286700</v>
      </c>
      <c r="D580" s="49">
        <f t="shared" si="19"/>
        <v>8596.7785590000003</v>
      </c>
    </row>
    <row r="581" spans="1:4" x14ac:dyDescent="0.3">
      <c r="A581" s="4">
        <v>44705</v>
      </c>
      <c r="B581" s="5">
        <v>438605376500</v>
      </c>
      <c r="C581" s="5">
        <v>551769376000</v>
      </c>
      <c r="D581" s="49">
        <f t="shared" si="19"/>
        <v>9903.7475250000007</v>
      </c>
    </row>
    <row r="582" spans="1:4" x14ac:dyDescent="0.3">
      <c r="A582" s="4">
        <v>44706</v>
      </c>
      <c r="B582" s="5">
        <v>342322167700</v>
      </c>
      <c r="C582" s="5">
        <v>419830456800</v>
      </c>
      <c r="D582" s="49">
        <f t="shared" ref="D582:D645" si="20">(B582+C582)/100000000</f>
        <v>7621.526245</v>
      </c>
    </row>
    <row r="583" spans="1:4" x14ac:dyDescent="0.3">
      <c r="A583" s="4">
        <v>44707</v>
      </c>
      <c r="B583" s="5">
        <v>377364655300</v>
      </c>
      <c r="C583" s="5">
        <v>445519716100</v>
      </c>
      <c r="D583" s="49">
        <f t="shared" si="20"/>
        <v>8228.8437140000005</v>
      </c>
    </row>
    <row r="584" spans="1:4" x14ac:dyDescent="0.3">
      <c r="A584" s="4">
        <v>44708</v>
      </c>
      <c r="B584" s="5">
        <v>372631595500</v>
      </c>
      <c r="C584" s="5">
        <v>443122738500</v>
      </c>
      <c r="D584" s="49">
        <f t="shared" si="20"/>
        <v>8157.5433400000002</v>
      </c>
    </row>
    <row r="585" spans="1:4" x14ac:dyDescent="0.3">
      <c r="A585" s="4">
        <v>44711</v>
      </c>
      <c r="B585" s="5">
        <v>376667694200</v>
      </c>
      <c r="C585" s="5">
        <v>434348796600</v>
      </c>
      <c r="D585" s="49">
        <f t="shared" si="20"/>
        <v>8110.1649079999997</v>
      </c>
    </row>
    <row r="586" spans="1:4" x14ac:dyDescent="0.3">
      <c r="A586" s="4">
        <v>44712</v>
      </c>
      <c r="B586" s="5">
        <v>432528021900</v>
      </c>
      <c r="C586" s="5">
        <v>503501498000</v>
      </c>
      <c r="D586" s="49">
        <f t="shared" si="20"/>
        <v>9360.2951990000001</v>
      </c>
    </row>
    <row r="587" spans="1:4" x14ac:dyDescent="0.3">
      <c r="A587" s="4">
        <v>44713</v>
      </c>
      <c r="B587" s="5">
        <v>402419941200</v>
      </c>
      <c r="C587" s="5">
        <v>482675713500</v>
      </c>
      <c r="D587" s="49">
        <f t="shared" si="20"/>
        <v>8850.9565469999998</v>
      </c>
    </row>
    <row r="588" spans="1:4" x14ac:dyDescent="0.3">
      <c r="A588" s="4">
        <v>44714</v>
      </c>
      <c r="B588" s="5">
        <v>413729263900</v>
      </c>
      <c r="C588" s="5">
        <v>477859353700</v>
      </c>
      <c r="D588" s="49">
        <f t="shared" si="20"/>
        <v>8915.886176</v>
      </c>
    </row>
    <row r="589" spans="1:4" x14ac:dyDescent="0.3">
      <c r="A589" s="4">
        <v>44718</v>
      </c>
      <c r="B589" s="5">
        <v>517314346900</v>
      </c>
      <c r="C589" s="5">
        <v>595015108400</v>
      </c>
      <c r="D589" s="49">
        <f t="shared" si="20"/>
        <v>11123.294553</v>
      </c>
    </row>
    <row r="590" spans="1:4" x14ac:dyDescent="0.3">
      <c r="A590" s="4">
        <v>44719</v>
      </c>
      <c r="B590" s="5">
        <v>482203196900</v>
      </c>
      <c r="C590" s="5">
        <v>556581981900</v>
      </c>
      <c r="D590" s="49">
        <f t="shared" si="20"/>
        <v>10387.851788</v>
      </c>
    </row>
    <row r="591" spans="1:4" x14ac:dyDescent="0.3">
      <c r="A591" s="4">
        <v>44720</v>
      </c>
      <c r="B591" s="5">
        <v>508408534900</v>
      </c>
      <c r="C591" s="5">
        <v>592665813100</v>
      </c>
      <c r="D591" s="49">
        <f t="shared" si="20"/>
        <v>11010.743479999999</v>
      </c>
    </row>
    <row r="592" spans="1:4" x14ac:dyDescent="0.3">
      <c r="A592" s="4">
        <v>44721</v>
      </c>
      <c r="B592" s="5">
        <v>468458214300</v>
      </c>
      <c r="C592" s="5">
        <v>508211756300</v>
      </c>
      <c r="D592" s="49">
        <f t="shared" si="20"/>
        <v>9766.6997059999994</v>
      </c>
    </row>
    <row r="593" spans="1:4" x14ac:dyDescent="0.3">
      <c r="A593" s="4">
        <v>44722</v>
      </c>
      <c r="B593" s="5">
        <v>504153681100</v>
      </c>
      <c r="C593" s="5">
        <v>546164946000</v>
      </c>
      <c r="D593" s="49">
        <f t="shared" si="20"/>
        <v>10503.186271</v>
      </c>
    </row>
    <row r="594" spans="1:4" x14ac:dyDescent="0.3">
      <c r="A594" s="4">
        <v>44725</v>
      </c>
      <c r="B594" s="5">
        <v>511966171800</v>
      </c>
      <c r="C594" s="5">
        <v>578736506200</v>
      </c>
      <c r="D594" s="49">
        <f t="shared" si="20"/>
        <v>10907.02678</v>
      </c>
    </row>
    <row r="595" spans="1:4" x14ac:dyDescent="0.3">
      <c r="A595" s="4">
        <v>44726</v>
      </c>
      <c r="B595" s="5">
        <v>513844989500</v>
      </c>
      <c r="C595" s="5">
        <v>585416759900</v>
      </c>
      <c r="D595" s="49">
        <f t="shared" si="20"/>
        <v>10992.617494</v>
      </c>
    </row>
    <row r="596" spans="1:4" x14ac:dyDescent="0.3">
      <c r="A596" s="4">
        <v>44727</v>
      </c>
      <c r="B596" s="5">
        <v>621972527700</v>
      </c>
      <c r="C596" s="5">
        <v>676767703000</v>
      </c>
      <c r="D596" s="49">
        <f t="shared" si="20"/>
        <v>12987.402307</v>
      </c>
    </row>
    <row r="597" spans="1:4" x14ac:dyDescent="0.3">
      <c r="A597" s="4">
        <v>44728</v>
      </c>
      <c r="B597" s="5">
        <v>506053993800</v>
      </c>
      <c r="C597" s="5">
        <v>574535844400</v>
      </c>
      <c r="D597" s="49">
        <f t="shared" si="20"/>
        <v>10805.898381999999</v>
      </c>
    </row>
    <row r="598" spans="1:4" x14ac:dyDescent="0.3">
      <c r="A598" s="4">
        <v>44729</v>
      </c>
      <c r="B598" s="5">
        <v>497252170200</v>
      </c>
      <c r="C598" s="5">
        <v>595942662000</v>
      </c>
      <c r="D598" s="49">
        <f t="shared" si="20"/>
        <v>10931.948322</v>
      </c>
    </row>
    <row r="599" spans="1:4" x14ac:dyDescent="0.3">
      <c r="A599" s="4">
        <v>44732</v>
      </c>
      <c r="B599" s="5">
        <v>527751758000</v>
      </c>
      <c r="C599" s="5">
        <v>636552702100</v>
      </c>
      <c r="D599" s="49">
        <f t="shared" si="20"/>
        <v>11643.044601</v>
      </c>
    </row>
    <row r="600" spans="1:4" x14ac:dyDescent="0.3">
      <c r="A600" s="4">
        <v>44733</v>
      </c>
      <c r="B600" s="5">
        <v>471793645400</v>
      </c>
      <c r="C600" s="5">
        <v>608079023500</v>
      </c>
      <c r="D600" s="49">
        <f t="shared" si="20"/>
        <v>10798.726688999999</v>
      </c>
    </row>
    <row r="601" spans="1:4" x14ac:dyDescent="0.3">
      <c r="A601" s="4">
        <v>44734</v>
      </c>
      <c r="B601" s="5">
        <v>440850994300</v>
      </c>
      <c r="C601" s="5">
        <v>555435229900</v>
      </c>
      <c r="D601" s="49">
        <f t="shared" si="20"/>
        <v>9962.8622419999992</v>
      </c>
    </row>
    <row r="602" spans="1:4" x14ac:dyDescent="0.3">
      <c r="A602" s="4">
        <v>44735</v>
      </c>
      <c r="B602" s="5">
        <v>474200107500</v>
      </c>
      <c r="C602" s="5">
        <v>601724803800</v>
      </c>
      <c r="D602" s="49">
        <f t="shared" si="20"/>
        <v>10759.249113</v>
      </c>
    </row>
    <row r="603" spans="1:4" x14ac:dyDescent="0.3">
      <c r="A603" s="4">
        <v>44736</v>
      </c>
      <c r="B603" s="5">
        <v>509615998500</v>
      </c>
      <c r="C603" s="5">
        <v>650459589400</v>
      </c>
      <c r="D603" s="49">
        <f t="shared" si="20"/>
        <v>11600.755879</v>
      </c>
    </row>
    <row r="604" spans="1:4" x14ac:dyDescent="0.3">
      <c r="A604" s="4">
        <v>44739</v>
      </c>
      <c r="B604" s="5">
        <v>541573846100</v>
      </c>
      <c r="C604" s="5">
        <v>687112406100</v>
      </c>
      <c r="D604" s="49">
        <f t="shared" si="20"/>
        <v>12286.862521999999</v>
      </c>
    </row>
    <row r="605" spans="1:4" x14ac:dyDescent="0.3">
      <c r="A605" s="4">
        <v>44740</v>
      </c>
      <c r="B605" s="5">
        <v>525512509300</v>
      </c>
      <c r="C605" s="5">
        <v>695684361700</v>
      </c>
      <c r="D605" s="49">
        <f t="shared" si="20"/>
        <v>12211.968709999999</v>
      </c>
    </row>
    <row r="606" spans="1:4" x14ac:dyDescent="0.3">
      <c r="A606" s="4">
        <v>44741</v>
      </c>
      <c r="B606" s="5">
        <v>561306976800</v>
      </c>
      <c r="C606" s="5">
        <v>754858640400</v>
      </c>
      <c r="D606" s="49">
        <f t="shared" si="20"/>
        <v>13161.656172000001</v>
      </c>
    </row>
    <row r="607" spans="1:4" x14ac:dyDescent="0.3">
      <c r="A607" s="4">
        <v>44742</v>
      </c>
      <c r="B607" s="5">
        <v>510307202900</v>
      </c>
      <c r="C607" s="5">
        <v>649474154600</v>
      </c>
      <c r="D607" s="49">
        <f t="shared" si="20"/>
        <v>11597.813575</v>
      </c>
    </row>
    <row r="608" spans="1:4" x14ac:dyDescent="0.3">
      <c r="A608" s="4">
        <v>44743</v>
      </c>
      <c r="B608" s="5">
        <v>458435288500</v>
      </c>
      <c r="C608" s="5">
        <v>592858468900</v>
      </c>
      <c r="D608" s="49">
        <f t="shared" si="20"/>
        <v>10512.937574</v>
      </c>
    </row>
    <row r="609" spans="1:4" x14ac:dyDescent="0.3">
      <c r="A609" s="4">
        <v>44746</v>
      </c>
      <c r="B609" s="5">
        <v>489347955300</v>
      </c>
      <c r="C609" s="5">
        <v>641126829500</v>
      </c>
      <c r="D609" s="49">
        <f t="shared" si="20"/>
        <v>11304.747848000001</v>
      </c>
    </row>
    <row r="610" spans="1:4" x14ac:dyDescent="0.3">
      <c r="A610" s="4">
        <v>44747</v>
      </c>
      <c r="B610" s="5">
        <v>516605703900</v>
      </c>
      <c r="C610" s="5">
        <v>664378439100</v>
      </c>
      <c r="D610" s="49">
        <f t="shared" si="20"/>
        <v>11809.84143</v>
      </c>
    </row>
    <row r="611" spans="1:4" x14ac:dyDescent="0.3">
      <c r="A611" s="4">
        <v>44748</v>
      </c>
      <c r="B611" s="5">
        <v>487474666900</v>
      </c>
      <c r="C611" s="5">
        <v>599172090000</v>
      </c>
      <c r="D611" s="49">
        <f t="shared" si="20"/>
        <v>10866.467569</v>
      </c>
    </row>
    <row r="612" spans="1:4" x14ac:dyDescent="0.3">
      <c r="A612" s="4">
        <v>44749</v>
      </c>
      <c r="B612" s="5">
        <v>438203112900</v>
      </c>
      <c r="C612" s="5">
        <v>614824414900</v>
      </c>
      <c r="D612" s="49">
        <f t="shared" si="20"/>
        <v>10530.275277999999</v>
      </c>
    </row>
    <row r="613" spans="1:4" x14ac:dyDescent="0.3">
      <c r="A613" s="4">
        <v>44750</v>
      </c>
      <c r="B613" s="5">
        <v>421883933100</v>
      </c>
      <c r="C613" s="5">
        <v>607479340800</v>
      </c>
      <c r="D613" s="49">
        <f t="shared" si="20"/>
        <v>10293.632739000001</v>
      </c>
    </row>
    <row r="614" spans="1:4" x14ac:dyDescent="0.3">
      <c r="A614" s="4">
        <v>44753</v>
      </c>
      <c r="B614" s="5">
        <v>424942266300</v>
      </c>
      <c r="C614" s="5">
        <v>583792943200</v>
      </c>
      <c r="D614" s="49">
        <f t="shared" si="20"/>
        <v>10087.352095</v>
      </c>
    </row>
    <row r="615" spans="1:4" x14ac:dyDescent="0.3">
      <c r="A615" s="4">
        <v>44754</v>
      </c>
      <c r="B615" s="5">
        <v>410950560700</v>
      </c>
      <c r="C615" s="5">
        <v>565774930200</v>
      </c>
      <c r="D615" s="49">
        <f t="shared" si="20"/>
        <v>9767.2549089999993</v>
      </c>
    </row>
    <row r="616" spans="1:4" x14ac:dyDescent="0.3">
      <c r="A616" s="4">
        <v>44755</v>
      </c>
      <c r="B616" s="5">
        <v>394134617500</v>
      </c>
      <c r="C616" s="5">
        <v>548175186600</v>
      </c>
      <c r="D616" s="49">
        <f t="shared" si="20"/>
        <v>9423.0980409999993</v>
      </c>
    </row>
    <row r="617" spans="1:4" x14ac:dyDescent="0.3">
      <c r="A617" s="4">
        <v>44756</v>
      </c>
      <c r="B617" s="5">
        <v>431969353500</v>
      </c>
      <c r="C617" s="5">
        <v>595851640000</v>
      </c>
      <c r="D617" s="49">
        <f t="shared" si="20"/>
        <v>10278.209935000001</v>
      </c>
    </row>
    <row r="618" spans="1:4" x14ac:dyDescent="0.3">
      <c r="A618" s="4">
        <v>44757</v>
      </c>
      <c r="B618" s="5">
        <v>460877019100</v>
      </c>
      <c r="C618" s="5">
        <v>627239630200</v>
      </c>
      <c r="D618" s="49">
        <f t="shared" si="20"/>
        <v>10881.166493000001</v>
      </c>
    </row>
    <row r="619" spans="1:4" x14ac:dyDescent="0.3">
      <c r="A619" s="4">
        <v>44760</v>
      </c>
      <c r="B619" s="5">
        <v>423357272300</v>
      </c>
      <c r="C619" s="5">
        <v>598045522400</v>
      </c>
      <c r="D619" s="49">
        <f t="shared" si="20"/>
        <v>10214.027947</v>
      </c>
    </row>
    <row r="620" spans="1:4" x14ac:dyDescent="0.3">
      <c r="A620" s="4">
        <v>44761</v>
      </c>
      <c r="B620" s="5">
        <v>396042358300</v>
      </c>
      <c r="C620" s="5">
        <v>600720026400</v>
      </c>
      <c r="D620" s="49">
        <f t="shared" si="20"/>
        <v>9967.6238470000008</v>
      </c>
    </row>
    <row r="621" spans="1:4" x14ac:dyDescent="0.3">
      <c r="A621" s="4">
        <v>44762</v>
      </c>
      <c r="B621" s="5">
        <v>383422746800</v>
      </c>
      <c r="C621" s="5">
        <v>569050297700</v>
      </c>
      <c r="D621" s="49">
        <f t="shared" si="20"/>
        <v>9524.7304449999992</v>
      </c>
    </row>
    <row r="622" spans="1:4" x14ac:dyDescent="0.3">
      <c r="A622" s="4">
        <v>44763</v>
      </c>
      <c r="B622" s="5">
        <v>420696576700</v>
      </c>
      <c r="C622" s="5">
        <v>597513194000</v>
      </c>
      <c r="D622" s="49">
        <f t="shared" si="20"/>
        <v>10182.097707000001</v>
      </c>
    </row>
    <row r="623" spans="1:4" x14ac:dyDescent="0.3">
      <c r="A623" s="4">
        <v>44764</v>
      </c>
      <c r="B623" s="5">
        <v>383576011600</v>
      </c>
      <c r="C623" s="5">
        <v>557838964300</v>
      </c>
      <c r="D623" s="49">
        <f t="shared" si="20"/>
        <v>9414.1497589999999</v>
      </c>
    </row>
    <row r="624" spans="1:4" x14ac:dyDescent="0.3">
      <c r="A624" s="4">
        <v>44767</v>
      </c>
      <c r="B624" s="5">
        <v>348281871000</v>
      </c>
      <c r="C624" s="5">
        <v>513894847700</v>
      </c>
      <c r="D624" s="49">
        <f t="shared" si="20"/>
        <v>8621.7671869999995</v>
      </c>
    </row>
    <row r="625" spans="1:4" x14ac:dyDescent="0.3">
      <c r="A625" s="4">
        <v>44768</v>
      </c>
      <c r="B625" s="5">
        <v>334421587000</v>
      </c>
      <c r="C625" s="5">
        <v>499711803600</v>
      </c>
      <c r="D625" s="49">
        <f t="shared" si="20"/>
        <v>8341.3339059999998</v>
      </c>
    </row>
    <row r="626" spans="1:4" x14ac:dyDescent="0.3">
      <c r="A626" s="4">
        <v>44769</v>
      </c>
      <c r="B626" s="5">
        <v>339768241100</v>
      </c>
      <c r="C626" s="5">
        <v>528343550200</v>
      </c>
      <c r="D626" s="49">
        <f t="shared" si="20"/>
        <v>8681.117913</v>
      </c>
    </row>
    <row r="627" spans="1:4" x14ac:dyDescent="0.3">
      <c r="A627" s="4">
        <v>44770</v>
      </c>
      <c r="B627" s="5">
        <v>395925555500</v>
      </c>
      <c r="C627" s="5">
        <v>611466432300</v>
      </c>
      <c r="D627" s="49">
        <f t="shared" si="20"/>
        <v>10073.919878000001</v>
      </c>
    </row>
    <row r="628" spans="1:4" x14ac:dyDescent="0.3">
      <c r="A628" s="4">
        <v>44771</v>
      </c>
      <c r="B628" s="5">
        <v>410553093400</v>
      </c>
      <c r="C628" s="5">
        <v>604184364900</v>
      </c>
      <c r="D628" s="49">
        <f t="shared" si="20"/>
        <v>10147.374583000001</v>
      </c>
    </row>
    <row r="629" spans="1:4" x14ac:dyDescent="0.3">
      <c r="A629" s="4">
        <v>44774</v>
      </c>
      <c r="B629" s="5">
        <v>399000239700</v>
      </c>
      <c r="C629" s="5">
        <v>594861070500</v>
      </c>
      <c r="D629" s="49">
        <f t="shared" si="20"/>
        <v>9938.6131019999993</v>
      </c>
    </row>
    <row r="630" spans="1:4" x14ac:dyDescent="0.3">
      <c r="A630" s="4">
        <v>44775</v>
      </c>
      <c r="B630" s="5">
        <v>475962696200</v>
      </c>
      <c r="C630" s="5">
        <v>705161509100</v>
      </c>
      <c r="D630" s="49">
        <f t="shared" si="20"/>
        <v>11811.242053</v>
      </c>
    </row>
    <row r="631" spans="1:4" x14ac:dyDescent="0.3">
      <c r="A631" s="4">
        <v>44776</v>
      </c>
      <c r="B631" s="5">
        <v>455409764900</v>
      </c>
      <c r="C631" s="5">
        <v>659550015700</v>
      </c>
      <c r="D631" s="49">
        <f t="shared" si="20"/>
        <v>11149.597806</v>
      </c>
    </row>
    <row r="632" spans="1:4" x14ac:dyDescent="0.3">
      <c r="A632" s="4">
        <v>44777</v>
      </c>
      <c r="B632" s="5">
        <v>371146916100</v>
      </c>
      <c r="C632" s="5">
        <v>528256488900</v>
      </c>
      <c r="D632" s="49">
        <f t="shared" si="20"/>
        <v>8994.0340500000002</v>
      </c>
    </row>
    <row r="633" spans="1:4" x14ac:dyDescent="0.3">
      <c r="A633" s="4">
        <v>44778</v>
      </c>
      <c r="B633" s="5">
        <v>414055641500</v>
      </c>
      <c r="C633" s="5">
        <v>581338906700</v>
      </c>
      <c r="D633" s="49">
        <f t="shared" si="20"/>
        <v>9953.9454819999992</v>
      </c>
    </row>
    <row r="634" spans="1:4" x14ac:dyDescent="0.3">
      <c r="A634" s="4">
        <v>44781</v>
      </c>
      <c r="B634" s="5">
        <v>392277178500</v>
      </c>
      <c r="C634" s="5">
        <v>560327245600</v>
      </c>
      <c r="D634" s="49">
        <f t="shared" si="20"/>
        <v>9526.0442409999996</v>
      </c>
    </row>
    <row r="635" spans="1:4" x14ac:dyDescent="0.3">
      <c r="A635" s="4">
        <v>44782</v>
      </c>
      <c r="B635" s="5">
        <v>391415560300</v>
      </c>
      <c r="C635" s="5">
        <v>561587343700</v>
      </c>
      <c r="D635" s="49">
        <f t="shared" si="20"/>
        <v>9530.0290399999994</v>
      </c>
    </row>
    <row r="636" spans="1:4" x14ac:dyDescent="0.3">
      <c r="A636" s="4">
        <v>44783</v>
      </c>
      <c r="B636" s="5">
        <v>390066120100</v>
      </c>
      <c r="C636" s="5">
        <v>576112336200</v>
      </c>
      <c r="D636" s="49">
        <f t="shared" si="20"/>
        <v>9661.7845629999993</v>
      </c>
    </row>
    <row r="637" spans="1:4" x14ac:dyDescent="0.3">
      <c r="A637" s="4">
        <v>44784</v>
      </c>
      <c r="B637" s="5">
        <v>427399149600</v>
      </c>
      <c r="C637" s="5">
        <v>639275391800</v>
      </c>
      <c r="D637" s="49">
        <f t="shared" si="20"/>
        <v>10666.745414000001</v>
      </c>
    </row>
    <row r="638" spans="1:4" x14ac:dyDescent="0.3">
      <c r="A638" s="4">
        <v>44785</v>
      </c>
      <c r="B638" s="5">
        <v>403906156300</v>
      </c>
      <c r="C638" s="5">
        <v>595631296400</v>
      </c>
      <c r="D638" s="49">
        <f t="shared" si="20"/>
        <v>9995.3745269999999</v>
      </c>
    </row>
    <row r="639" spans="1:4" x14ac:dyDescent="0.3">
      <c r="A639" s="4">
        <v>44788</v>
      </c>
      <c r="B639" s="5">
        <v>387257744600</v>
      </c>
      <c r="C639" s="5">
        <v>589050552100</v>
      </c>
      <c r="D639" s="49">
        <f t="shared" si="20"/>
        <v>9763.0829670000003</v>
      </c>
    </row>
    <row r="640" spans="1:4" x14ac:dyDescent="0.3">
      <c r="A640" s="4">
        <v>44789</v>
      </c>
      <c r="B640" s="5">
        <v>409210082300</v>
      </c>
      <c r="C640" s="5">
        <v>610983946600</v>
      </c>
      <c r="D640" s="49">
        <f t="shared" si="20"/>
        <v>10201.940289</v>
      </c>
    </row>
    <row r="641" spans="1:4" x14ac:dyDescent="0.3">
      <c r="A641" s="4">
        <v>44790</v>
      </c>
      <c r="B641" s="5">
        <v>423859011400</v>
      </c>
      <c r="C641" s="5">
        <v>650590483600</v>
      </c>
      <c r="D641" s="49">
        <f t="shared" si="20"/>
        <v>10744.49495</v>
      </c>
    </row>
    <row r="642" spans="1:4" x14ac:dyDescent="0.3">
      <c r="A642" s="4">
        <v>44791</v>
      </c>
      <c r="B642" s="5">
        <v>418075199700</v>
      </c>
      <c r="C642" s="5">
        <v>635990044600</v>
      </c>
      <c r="D642" s="49">
        <f t="shared" si="20"/>
        <v>10540.652443000001</v>
      </c>
    </row>
    <row r="643" spans="1:4" x14ac:dyDescent="0.3">
      <c r="A643" s="4">
        <v>44792</v>
      </c>
      <c r="B643" s="5">
        <v>457863361100</v>
      </c>
      <c r="C643" s="5">
        <v>662348563000</v>
      </c>
      <c r="D643" s="49">
        <f t="shared" si="20"/>
        <v>11202.119241</v>
      </c>
    </row>
    <row r="644" spans="1:4" x14ac:dyDescent="0.3">
      <c r="A644" s="4">
        <v>44795</v>
      </c>
      <c r="B644" s="5">
        <v>427653295800</v>
      </c>
      <c r="C644" s="5">
        <v>598705296900</v>
      </c>
      <c r="D644" s="49">
        <f t="shared" si="20"/>
        <v>10263.585927</v>
      </c>
    </row>
    <row r="645" spans="1:4" x14ac:dyDescent="0.3">
      <c r="A645" s="4">
        <v>44796</v>
      </c>
      <c r="B645" s="5">
        <v>418311744000</v>
      </c>
      <c r="C645" s="5">
        <v>583980846400</v>
      </c>
      <c r="D645" s="49">
        <f t="shared" si="20"/>
        <v>10022.925904</v>
      </c>
    </row>
    <row r="646" spans="1:4" x14ac:dyDescent="0.3">
      <c r="A646" s="4">
        <v>44797</v>
      </c>
      <c r="B646" s="5">
        <v>458360278400</v>
      </c>
      <c r="C646" s="5">
        <v>667671574700</v>
      </c>
      <c r="D646" s="49">
        <f t="shared" ref="D646:D709" si="21">(B646+C646)/100000000</f>
        <v>11260.318531000001</v>
      </c>
    </row>
    <row r="647" spans="1:4" x14ac:dyDescent="0.3">
      <c r="A647" s="4">
        <v>44798</v>
      </c>
      <c r="B647" s="5">
        <v>419464277000</v>
      </c>
      <c r="C647" s="5">
        <v>567022952000</v>
      </c>
      <c r="D647" s="49">
        <f t="shared" si="21"/>
        <v>9864.8722899999993</v>
      </c>
    </row>
    <row r="648" spans="1:4" x14ac:dyDescent="0.3">
      <c r="A648" s="4">
        <v>44799</v>
      </c>
      <c r="B648" s="5">
        <v>397556251300</v>
      </c>
      <c r="C648" s="5">
        <v>531590580200</v>
      </c>
      <c r="D648" s="49">
        <f t="shared" si="21"/>
        <v>9291.4683150000001</v>
      </c>
    </row>
    <row r="649" spans="1:4" x14ac:dyDescent="0.3">
      <c r="A649" s="4">
        <v>44802</v>
      </c>
      <c r="B649" s="5">
        <v>363729979800</v>
      </c>
      <c r="C649" s="5">
        <v>482076759100</v>
      </c>
      <c r="D649" s="49">
        <f t="shared" si="21"/>
        <v>8458.0673889999998</v>
      </c>
    </row>
    <row r="650" spans="1:4" x14ac:dyDescent="0.3">
      <c r="A650" s="4">
        <v>44803</v>
      </c>
      <c r="B650" s="5">
        <v>353775673800</v>
      </c>
      <c r="C650" s="5">
        <v>484735739700</v>
      </c>
      <c r="D650" s="49">
        <f t="shared" si="21"/>
        <v>8385.1141349999998</v>
      </c>
    </row>
    <row r="651" spans="1:4" x14ac:dyDescent="0.3">
      <c r="A651" s="4">
        <v>44804</v>
      </c>
      <c r="B651" s="5">
        <v>431758007400</v>
      </c>
      <c r="C651" s="5">
        <v>570596999700</v>
      </c>
      <c r="D651" s="49">
        <f t="shared" si="21"/>
        <v>10023.550071</v>
      </c>
    </row>
    <row r="652" spans="1:4" x14ac:dyDescent="0.3">
      <c r="A652" s="4">
        <v>44805</v>
      </c>
      <c r="B652" s="5">
        <v>336978641200</v>
      </c>
      <c r="C652" s="5">
        <v>457759357600</v>
      </c>
      <c r="D652" s="49">
        <f t="shared" si="21"/>
        <v>7947.3799879999997</v>
      </c>
    </row>
    <row r="653" spans="1:4" x14ac:dyDescent="0.3">
      <c r="A653" s="4">
        <v>44806</v>
      </c>
      <c r="B653" s="5">
        <v>313337604100</v>
      </c>
      <c r="C653" s="5">
        <v>433294733300</v>
      </c>
      <c r="D653" s="49">
        <f t="shared" si="21"/>
        <v>7466.3233739999996</v>
      </c>
    </row>
    <row r="654" spans="1:4" x14ac:dyDescent="0.3">
      <c r="A654" s="4">
        <v>44809</v>
      </c>
      <c r="B654" s="5">
        <v>339591536300</v>
      </c>
      <c r="C654" s="5">
        <v>430071345000</v>
      </c>
      <c r="D654" s="49">
        <f t="shared" si="21"/>
        <v>7696.6288130000003</v>
      </c>
    </row>
    <row r="655" spans="1:4" x14ac:dyDescent="0.3">
      <c r="A655" s="4">
        <v>44810</v>
      </c>
      <c r="B655" s="5">
        <v>378636070300</v>
      </c>
      <c r="C655" s="5">
        <v>490521342000</v>
      </c>
      <c r="D655" s="49">
        <f t="shared" si="21"/>
        <v>8691.5741230000003</v>
      </c>
    </row>
    <row r="656" spans="1:4" x14ac:dyDescent="0.3">
      <c r="A656" s="4">
        <v>44811</v>
      </c>
      <c r="B656" s="5">
        <v>368608741500</v>
      </c>
      <c r="C656" s="5">
        <v>503263088600</v>
      </c>
      <c r="D656" s="49">
        <f t="shared" si="21"/>
        <v>8718.7183010000008</v>
      </c>
    </row>
    <row r="657" spans="1:4" x14ac:dyDescent="0.3">
      <c r="A657" s="4">
        <v>44812</v>
      </c>
      <c r="B657" s="5">
        <v>328657091600</v>
      </c>
      <c r="C657" s="5">
        <v>459600786200</v>
      </c>
      <c r="D657" s="49">
        <f t="shared" si="21"/>
        <v>7882.5787780000001</v>
      </c>
    </row>
    <row r="658" spans="1:4" x14ac:dyDescent="0.3">
      <c r="A658" s="4">
        <v>44813</v>
      </c>
      <c r="B658" s="5">
        <v>338566713300</v>
      </c>
      <c r="C658" s="5">
        <v>440969016800</v>
      </c>
      <c r="D658" s="49">
        <f t="shared" si="21"/>
        <v>7795.357301</v>
      </c>
    </row>
    <row r="659" spans="1:4" x14ac:dyDescent="0.3">
      <c r="A659" s="4">
        <v>44817</v>
      </c>
      <c r="B659" s="5">
        <v>339021890600</v>
      </c>
      <c r="C659" s="5">
        <v>432328505800</v>
      </c>
      <c r="D659" s="49">
        <f t="shared" si="21"/>
        <v>7713.5039640000005</v>
      </c>
    </row>
    <row r="660" spans="1:4" x14ac:dyDescent="0.3">
      <c r="A660" s="4">
        <v>44818</v>
      </c>
      <c r="B660" s="5">
        <v>306452822200</v>
      </c>
      <c r="C660" s="5">
        <v>416273968700</v>
      </c>
      <c r="D660" s="49">
        <f t="shared" si="21"/>
        <v>7227.2679090000001</v>
      </c>
    </row>
    <row r="661" spans="1:4" x14ac:dyDescent="0.3">
      <c r="A661" s="4">
        <v>44819</v>
      </c>
      <c r="B661" s="5">
        <v>392490591500</v>
      </c>
      <c r="C661" s="5">
        <v>526626934600</v>
      </c>
      <c r="D661" s="49">
        <f t="shared" si="21"/>
        <v>9191.1752610000003</v>
      </c>
    </row>
    <row r="662" spans="1:4" x14ac:dyDescent="0.3">
      <c r="A662" s="4">
        <v>44820</v>
      </c>
      <c r="B662" s="5">
        <v>355085342900</v>
      </c>
      <c r="C662" s="5">
        <v>444267901600</v>
      </c>
      <c r="D662" s="49">
        <f t="shared" si="21"/>
        <v>7993.5324449999998</v>
      </c>
    </row>
    <row r="663" spans="1:4" x14ac:dyDescent="0.3">
      <c r="A663" s="4">
        <v>44823</v>
      </c>
      <c r="B663" s="5">
        <v>289918817100</v>
      </c>
      <c r="C663" s="5">
        <v>375430720900</v>
      </c>
      <c r="D663" s="49">
        <f t="shared" si="21"/>
        <v>6653.4953800000003</v>
      </c>
    </row>
    <row r="664" spans="1:4" x14ac:dyDescent="0.3">
      <c r="A664" s="4">
        <v>44824</v>
      </c>
      <c r="B664" s="5">
        <v>268600300200</v>
      </c>
      <c r="C664" s="5">
        <v>382373091100</v>
      </c>
      <c r="D664" s="49">
        <f t="shared" si="21"/>
        <v>6509.733913</v>
      </c>
    </row>
    <row r="665" spans="1:4" x14ac:dyDescent="0.3">
      <c r="A665" s="4">
        <v>44825</v>
      </c>
      <c r="B665" s="5">
        <v>269513754500</v>
      </c>
      <c r="C665" s="5">
        <v>366446632800</v>
      </c>
      <c r="D665" s="49">
        <f t="shared" si="21"/>
        <v>6359.603873</v>
      </c>
    </row>
    <row r="666" spans="1:4" x14ac:dyDescent="0.3">
      <c r="A666" s="4">
        <v>44826</v>
      </c>
      <c r="B666" s="5">
        <v>269978597600.00003</v>
      </c>
      <c r="C666" s="5">
        <v>368469428200</v>
      </c>
      <c r="D666" s="49">
        <f t="shared" si="21"/>
        <v>6384.4802579999996</v>
      </c>
    </row>
    <row r="667" spans="1:4" x14ac:dyDescent="0.3">
      <c r="A667" s="4">
        <v>44827</v>
      </c>
      <c r="B667" s="5">
        <v>285552915200</v>
      </c>
      <c r="C667" s="5">
        <v>381988411200</v>
      </c>
      <c r="D667" s="49">
        <f t="shared" si="21"/>
        <v>6675.4132639999998</v>
      </c>
    </row>
    <row r="668" spans="1:4" x14ac:dyDescent="0.3">
      <c r="A668" s="4">
        <v>44830</v>
      </c>
      <c r="B668" s="5">
        <v>293536440800</v>
      </c>
      <c r="C668" s="5">
        <v>374418070500</v>
      </c>
      <c r="D668" s="49">
        <f t="shared" si="21"/>
        <v>6679.5451130000001</v>
      </c>
    </row>
    <row r="669" spans="1:4" x14ac:dyDescent="0.3">
      <c r="A669" s="4">
        <v>44831</v>
      </c>
      <c r="B669" s="5">
        <v>290065702700</v>
      </c>
      <c r="C669" s="5">
        <v>376138593500</v>
      </c>
      <c r="D669" s="49">
        <f t="shared" si="21"/>
        <v>6662.0429620000004</v>
      </c>
    </row>
    <row r="670" spans="1:4" x14ac:dyDescent="0.3">
      <c r="A670" s="4">
        <v>44832</v>
      </c>
      <c r="B670" s="5">
        <v>276039741600</v>
      </c>
      <c r="C670" s="5">
        <v>371216304100</v>
      </c>
      <c r="D670" s="49">
        <f t="shared" si="21"/>
        <v>6472.5604569999996</v>
      </c>
    </row>
    <row r="671" spans="1:4" x14ac:dyDescent="0.3">
      <c r="A671" s="4">
        <v>44833</v>
      </c>
      <c r="B671" s="5">
        <v>276441059400</v>
      </c>
      <c r="C671" s="5">
        <v>348132411200</v>
      </c>
      <c r="D671" s="49">
        <f t="shared" si="21"/>
        <v>6245.7347060000002</v>
      </c>
    </row>
    <row r="672" spans="1:4" x14ac:dyDescent="0.3">
      <c r="A672" s="4">
        <v>44834</v>
      </c>
      <c r="B672" s="5">
        <v>240262768400</v>
      </c>
      <c r="C672" s="5">
        <v>320578275700</v>
      </c>
      <c r="D672" s="49">
        <f t="shared" si="21"/>
        <v>5608.410441</v>
      </c>
    </row>
    <row r="673" spans="1:4" x14ac:dyDescent="0.3">
      <c r="A673" s="4">
        <v>44844</v>
      </c>
      <c r="B673" s="5">
        <v>290120024200</v>
      </c>
      <c r="C673" s="5">
        <v>337870025400</v>
      </c>
      <c r="D673" s="49">
        <f t="shared" si="21"/>
        <v>6279.9004960000002</v>
      </c>
    </row>
    <row r="674" spans="1:4" x14ac:dyDescent="0.3">
      <c r="A674" s="4">
        <v>44845</v>
      </c>
      <c r="B674" s="5">
        <v>246715637000</v>
      </c>
      <c r="C674" s="5">
        <v>317100032600</v>
      </c>
      <c r="D674" s="49">
        <f t="shared" si="21"/>
        <v>5638.156696</v>
      </c>
    </row>
    <row r="675" spans="1:4" x14ac:dyDescent="0.3">
      <c r="A675" s="4">
        <v>44846</v>
      </c>
      <c r="B675" s="5">
        <v>306871328800</v>
      </c>
      <c r="C675" s="5">
        <v>403345996000</v>
      </c>
      <c r="D675" s="49">
        <f t="shared" si="21"/>
        <v>7102.1732480000001</v>
      </c>
    </row>
    <row r="676" spans="1:4" x14ac:dyDescent="0.3">
      <c r="A676" s="4">
        <v>44847</v>
      </c>
      <c r="B676" s="5">
        <v>317764786700</v>
      </c>
      <c r="C676" s="5">
        <v>410574203500</v>
      </c>
      <c r="D676" s="49">
        <f t="shared" si="21"/>
        <v>7283.3899019999999</v>
      </c>
    </row>
    <row r="677" spans="1:4" x14ac:dyDescent="0.3">
      <c r="A677" s="4">
        <v>44848</v>
      </c>
      <c r="B677" s="5">
        <v>372050694600</v>
      </c>
      <c r="C677" s="5">
        <v>488757894700</v>
      </c>
      <c r="D677" s="49">
        <f t="shared" si="21"/>
        <v>8608.0858929999995</v>
      </c>
    </row>
    <row r="678" spans="1:4" x14ac:dyDescent="0.3">
      <c r="A678" s="4">
        <v>44851</v>
      </c>
      <c r="B678" s="5">
        <v>349214469700</v>
      </c>
      <c r="C678" s="5">
        <v>458064126300</v>
      </c>
      <c r="D678" s="49">
        <f t="shared" si="21"/>
        <v>8072.7859600000002</v>
      </c>
    </row>
    <row r="679" spans="1:4" x14ac:dyDescent="0.3">
      <c r="A679" s="4">
        <v>44852</v>
      </c>
      <c r="B679" s="5">
        <v>326002905400</v>
      </c>
      <c r="C679" s="5">
        <v>467799549200</v>
      </c>
      <c r="D679" s="49">
        <f t="shared" si="21"/>
        <v>7938.0245459999996</v>
      </c>
    </row>
    <row r="680" spans="1:4" x14ac:dyDescent="0.3">
      <c r="A680" s="4">
        <v>44853</v>
      </c>
      <c r="B680" s="5">
        <v>313108348700</v>
      </c>
      <c r="C680" s="5">
        <v>445291209700</v>
      </c>
      <c r="D680" s="49">
        <f t="shared" si="21"/>
        <v>7583.9955840000002</v>
      </c>
    </row>
    <row r="681" spans="1:4" x14ac:dyDescent="0.3">
      <c r="A681" s="4">
        <v>44854</v>
      </c>
      <c r="B681" s="5">
        <v>340091337800</v>
      </c>
      <c r="C681" s="5">
        <v>456150968100</v>
      </c>
      <c r="D681" s="49">
        <f t="shared" si="21"/>
        <v>7962.4230589999997</v>
      </c>
    </row>
    <row r="682" spans="1:4" x14ac:dyDescent="0.3">
      <c r="A682" s="4">
        <v>44855</v>
      </c>
      <c r="B682" s="5">
        <v>315110985800</v>
      </c>
      <c r="C682" s="5">
        <v>397212755000</v>
      </c>
      <c r="D682" s="49">
        <f t="shared" si="21"/>
        <v>7123.237408</v>
      </c>
    </row>
    <row r="683" spans="1:4" x14ac:dyDescent="0.3">
      <c r="A683" s="4">
        <v>44858</v>
      </c>
      <c r="B683" s="5">
        <v>394725942500</v>
      </c>
      <c r="C683" s="5">
        <v>486317578500</v>
      </c>
      <c r="D683" s="49">
        <f t="shared" si="21"/>
        <v>8810.4352099999996</v>
      </c>
    </row>
    <row r="684" spans="1:4" x14ac:dyDescent="0.3">
      <c r="A684" s="4">
        <v>44859</v>
      </c>
      <c r="B684" s="5">
        <v>337519280800</v>
      </c>
      <c r="C684" s="5">
        <v>465368850000</v>
      </c>
      <c r="D684" s="49">
        <f t="shared" si="21"/>
        <v>8028.881308</v>
      </c>
    </row>
    <row r="685" spans="1:4" x14ac:dyDescent="0.3">
      <c r="A685" s="4">
        <v>44860</v>
      </c>
      <c r="B685" s="5">
        <v>372845274600</v>
      </c>
      <c r="C685" s="5">
        <v>541376237700.00006</v>
      </c>
      <c r="D685" s="49">
        <f t="shared" si="21"/>
        <v>9142.2151229999999</v>
      </c>
    </row>
    <row r="686" spans="1:4" x14ac:dyDescent="0.3">
      <c r="A686" s="4">
        <v>44861</v>
      </c>
      <c r="B686" s="5">
        <v>381330371100</v>
      </c>
      <c r="C686" s="5">
        <v>542578935100</v>
      </c>
      <c r="D686" s="49">
        <f t="shared" si="21"/>
        <v>9239.0930619999999</v>
      </c>
    </row>
    <row r="687" spans="1:4" x14ac:dyDescent="0.3">
      <c r="A687" s="4">
        <v>44862</v>
      </c>
      <c r="B687" s="5">
        <v>385261361900</v>
      </c>
      <c r="C687" s="5">
        <v>524397371000</v>
      </c>
      <c r="D687" s="49">
        <f t="shared" si="21"/>
        <v>9096.587329</v>
      </c>
    </row>
    <row r="688" spans="1:4" x14ac:dyDescent="0.3">
      <c r="A688" s="4">
        <v>44865</v>
      </c>
      <c r="B688" s="5">
        <v>396654162100</v>
      </c>
      <c r="C688" s="5">
        <v>486465964600</v>
      </c>
      <c r="D688" s="49">
        <f t="shared" si="21"/>
        <v>8831.2012670000004</v>
      </c>
    </row>
    <row r="689" spans="1:4" x14ac:dyDescent="0.3">
      <c r="A689" s="4">
        <v>44866</v>
      </c>
      <c r="B689" s="5">
        <v>431015902900</v>
      </c>
      <c r="C689" s="5">
        <v>546530955000</v>
      </c>
      <c r="D689" s="49">
        <f t="shared" si="21"/>
        <v>9775.4685790000003</v>
      </c>
    </row>
    <row r="690" spans="1:4" x14ac:dyDescent="0.3">
      <c r="A690" s="4">
        <v>44867</v>
      </c>
      <c r="B690" s="5">
        <v>457581522000</v>
      </c>
      <c r="C690" s="5">
        <v>594556048400</v>
      </c>
      <c r="D690" s="49">
        <f t="shared" si="21"/>
        <v>10521.375704</v>
      </c>
    </row>
    <row r="691" spans="1:4" x14ac:dyDescent="0.3">
      <c r="A691" s="4">
        <v>44868</v>
      </c>
      <c r="B691" s="5">
        <v>370653283800</v>
      </c>
      <c r="C691" s="5">
        <v>515881815800</v>
      </c>
      <c r="D691" s="49">
        <f t="shared" si="21"/>
        <v>8865.3509959999992</v>
      </c>
    </row>
    <row r="692" spans="1:4" x14ac:dyDescent="0.3">
      <c r="A692" s="4">
        <v>44869</v>
      </c>
      <c r="B692" s="5">
        <v>458770093700</v>
      </c>
      <c r="C692" s="5">
        <v>621906969900</v>
      </c>
      <c r="D692" s="49">
        <f t="shared" si="21"/>
        <v>10806.770635999999</v>
      </c>
    </row>
    <row r="693" spans="1:4" x14ac:dyDescent="0.3">
      <c r="A693" s="4">
        <v>44872</v>
      </c>
      <c r="B693" s="5">
        <v>424429131500</v>
      </c>
      <c r="C693" s="5">
        <v>581740214500</v>
      </c>
      <c r="D693" s="49">
        <f t="shared" si="21"/>
        <v>10061.69346</v>
      </c>
    </row>
    <row r="694" spans="1:4" x14ac:dyDescent="0.3">
      <c r="A694" s="4">
        <v>44873</v>
      </c>
      <c r="B694" s="5">
        <v>338966942000</v>
      </c>
      <c r="C694" s="5">
        <v>496794896900</v>
      </c>
      <c r="D694" s="49">
        <f t="shared" si="21"/>
        <v>8357.6183889999993</v>
      </c>
    </row>
    <row r="695" spans="1:4" x14ac:dyDescent="0.3">
      <c r="A695" s="4">
        <v>44874</v>
      </c>
      <c r="B695" s="5">
        <v>306860895700</v>
      </c>
      <c r="C695" s="5">
        <v>471819769400</v>
      </c>
      <c r="D695" s="49">
        <f t="shared" si="21"/>
        <v>7786.8066509999999</v>
      </c>
    </row>
    <row r="696" spans="1:4" x14ac:dyDescent="0.3">
      <c r="A696" s="4">
        <v>44875</v>
      </c>
      <c r="B696" s="5">
        <v>335925917700</v>
      </c>
      <c r="C696" s="5">
        <v>506896460300</v>
      </c>
      <c r="D696" s="49">
        <f t="shared" si="21"/>
        <v>8428.2237800000003</v>
      </c>
    </row>
    <row r="697" spans="1:4" x14ac:dyDescent="0.3">
      <c r="A697" s="4">
        <v>44876</v>
      </c>
      <c r="B697" s="5">
        <v>513784597300</v>
      </c>
      <c r="C697" s="5">
        <v>709334987000</v>
      </c>
      <c r="D697" s="49">
        <f t="shared" si="21"/>
        <v>12231.195843</v>
      </c>
    </row>
    <row r="698" spans="1:4" x14ac:dyDescent="0.3">
      <c r="A698" s="4">
        <v>44879</v>
      </c>
      <c r="B698" s="5">
        <v>454546731400</v>
      </c>
      <c r="C698" s="5">
        <v>612751091900</v>
      </c>
      <c r="D698" s="49">
        <f t="shared" si="21"/>
        <v>10672.978233</v>
      </c>
    </row>
    <row r="699" spans="1:4" x14ac:dyDescent="0.3">
      <c r="A699" s="4">
        <v>44880</v>
      </c>
      <c r="B699" s="5">
        <v>446460007900</v>
      </c>
      <c r="C699" s="5">
        <v>612151515100</v>
      </c>
      <c r="D699" s="49">
        <f t="shared" si="21"/>
        <v>10586.115229999999</v>
      </c>
    </row>
    <row r="700" spans="1:4" x14ac:dyDescent="0.3">
      <c r="A700" s="4">
        <v>44881</v>
      </c>
      <c r="B700" s="5">
        <v>386992905100</v>
      </c>
      <c r="C700" s="5">
        <v>555714062600</v>
      </c>
      <c r="D700" s="49">
        <f t="shared" si="21"/>
        <v>9427.0696769999995</v>
      </c>
    </row>
    <row r="701" spans="1:4" x14ac:dyDescent="0.3">
      <c r="A701" s="4">
        <v>44882</v>
      </c>
      <c r="B701" s="5">
        <v>377900109300</v>
      </c>
      <c r="C701" s="5">
        <v>535216708400</v>
      </c>
      <c r="D701" s="49">
        <f t="shared" si="21"/>
        <v>9131.1681769999996</v>
      </c>
    </row>
    <row r="702" spans="1:4" x14ac:dyDescent="0.3">
      <c r="A702" s="4">
        <v>44883</v>
      </c>
      <c r="B702" s="5">
        <v>389207386500</v>
      </c>
      <c r="C702" s="5">
        <v>589522447400</v>
      </c>
      <c r="D702" s="49">
        <f t="shared" si="21"/>
        <v>9787.2983390000009</v>
      </c>
    </row>
    <row r="703" spans="1:4" x14ac:dyDescent="0.3">
      <c r="A703" s="4">
        <v>44886</v>
      </c>
      <c r="B703" s="5">
        <v>345025496500</v>
      </c>
      <c r="C703" s="5">
        <v>504248444000</v>
      </c>
      <c r="D703" s="49">
        <f t="shared" si="21"/>
        <v>8492.7394050000003</v>
      </c>
    </row>
    <row r="704" spans="1:4" x14ac:dyDescent="0.3">
      <c r="A704" s="4">
        <v>44887</v>
      </c>
      <c r="B704" s="5">
        <v>374142821100</v>
      </c>
      <c r="C704" s="5">
        <v>510483607800</v>
      </c>
      <c r="D704" s="49">
        <f t="shared" si="21"/>
        <v>8846.2642890000006</v>
      </c>
    </row>
    <row r="705" spans="1:4" x14ac:dyDescent="0.3">
      <c r="A705" s="4">
        <v>44888</v>
      </c>
      <c r="B705" s="5">
        <v>356400844300</v>
      </c>
      <c r="C705" s="5">
        <v>474079302400</v>
      </c>
      <c r="D705" s="49">
        <f t="shared" si="21"/>
        <v>8304.8014669999993</v>
      </c>
    </row>
    <row r="706" spans="1:4" x14ac:dyDescent="0.3">
      <c r="A706" s="4">
        <v>44889</v>
      </c>
      <c r="B706" s="5">
        <v>308190185800</v>
      </c>
      <c r="C706" s="5">
        <v>439869209100</v>
      </c>
      <c r="D706" s="49">
        <f t="shared" si="21"/>
        <v>7480.5939490000001</v>
      </c>
    </row>
    <row r="707" spans="1:4" x14ac:dyDescent="0.3">
      <c r="A707" s="4">
        <v>44890</v>
      </c>
      <c r="B707" s="5">
        <v>325426338400</v>
      </c>
      <c r="C707" s="5">
        <v>414462585800</v>
      </c>
      <c r="D707" s="49">
        <f t="shared" si="21"/>
        <v>7398.8892420000002</v>
      </c>
    </row>
    <row r="708" spans="1:4" x14ac:dyDescent="0.3">
      <c r="A708" s="4">
        <v>44893</v>
      </c>
      <c r="B708" s="5">
        <v>338549350800</v>
      </c>
      <c r="C708" s="5">
        <v>419844174800</v>
      </c>
      <c r="D708" s="49">
        <f t="shared" si="21"/>
        <v>7583.9352559999998</v>
      </c>
    </row>
    <row r="709" spans="1:4" x14ac:dyDescent="0.3">
      <c r="A709" s="4">
        <v>44894</v>
      </c>
      <c r="B709" s="5">
        <v>439102619300</v>
      </c>
      <c r="C709" s="5">
        <v>529016062300</v>
      </c>
      <c r="D709" s="49">
        <f t="shared" si="21"/>
        <v>9681.1868159999995</v>
      </c>
    </row>
    <row r="710" spans="1:4" x14ac:dyDescent="0.3">
      <c r="A710" s="4">
        <v>44895</v>
      </c>
      <c r="B710" s="5">
        <v>404504379300</v>
      </c>
      <c r="C710" s="5">
        <v>527150019800</v>
      </c>
      <c r="D710" s="49">
        <f t="shared" ref="D710:D773" si="22">(B710+C710)/100000000</f>
        <v>9316.5439910000005</v>
      </c>
    </row>
    <row r="711" spans="1:4" x14ac:dyDescent="0.3">
      <c r="A711" s="4">
        <v>44896</v>
      </c>
      <c r="B711" s="5">
        <v>462184974000</v>
      </c>
      <c r="C711" s="5">
        <v>596166106700</v>
      </c>
      <c r="D711" s="49">
        <f t="shared" si="22"/>
        <v>10583.510807000001</v>
      </c>
    </row>
    <row r="712" spans="1:4" x14ac:dyDescent="0.3">
      <c r="A712" s="4">
        <v>44897</v>
      </c>
      <c r="B712" s="5">
        <v>366318678800</v>
      </c>
      <c r="C712" s="5">
        <v>498207073000</v>
      </c>
      <c r="D712" s="49">
        <f t="shared" si="22"/>
        <v>8645.2575180000003</v>
      </c>
    </row>
    <row r="713" spans="1:4" x14ac:dyDescent="0.3">
      <c r="A713" s="4">
        <v>44900</v>
      </c>
      <c r="B713" s="5">
        <v>479203617400</v>
      </c>
      <c r="C713" s="5">
        <v>575901446000</v>
      </c>
      <c r="D713" s="49">
        <f t="shared" si="22"/>
        <v>10551.050633999999</v>
      </c>
    </row>
    <row r="714" spans="1:4" x14ac:dyDescent="0.3">
      <c r="A714" s="4">
        <v>44901</v>
      </c>
      <c r="B714" s="5">
        <v>435248700200</v>
      </c>
      <c r="C714" s="5">
        <v>562964953800</v>
      </c>
      <c r="D714" s="49">
        <f t="shared" si="22"/>
        <v>9982.1365399999995</v>
      </c>
    </row>
    <row r="715" spans="1:4" x14ac:dyDescent="0.3">
      <c r="A715" s="4">
        <v>44902</v>
      </c>
      <c r="B715" s="5">
        <v>402146133100</v>
      </c>
      <c r="C715" s="5">
        <v>546530031600</v>
      </c>
      <c r="D715" s="49">
        <f t="shared" si="22"/>
        <v>9486.7616469999994</v>
      </c>
    </row>
    <row r="716" spans="1:4" x14ac:dyDescent="0.3">
      <c r="A716" s="4">
        <v>44903</v>
      </c>
      <c r="B716" s="5">
        <v>364935622700</v>
      </c>
      <c r="C716" s="5">
        <v>504931899300</v>
      </c>
      <c r="D716" s="49">
        <f t="shared" si="22"/>
        <v>8698.6752199999992</v>
      </c>
    </row>
    <row r="717" spans="1:4" x14ac:dyDescent="0.3">
      <c r="A717" s="4">
        <v>44904</v>
      </c>
      <c r="B717" s="5">
        <v>447750222000</v>
      </c>
      <c r="C717" s="5">
        <v>561346221300</v>
      </c>
      <c r="D717" s="49">
        <f t="shared" si="22"/>
        <v>10090.964432999999</v>
      </c>
    </row>
    <row r="718" spans="1:4" x14ac:dyDescent="0.3">
      <c r="A718" s="4">
        <v>44907</v>
      </c>
      <c r="B718" s="5">
        <v>394919615200</v>
      </c>
      <c r="C718" s="5">
        <v>514862328400</v>
      </c>
      <c r="D718" s="49">
        <f t="shared" si="22"/>
        <v>9097.8194359999998</v>
      </c>
    </row>
    <row r="719" spans="1:4" x14ac:dyDescent="0.3">
      <c r="A719" s="4">
        <v>44908</v>
      </c>
      <c r="B719" s="5">
        <v>333539763000</v>
      </c>
      <c r="C719" s="5">
        <v>482901926300</v>
      </c>
      <c r="D719" s="49">
        <f t="shared" si="22"/>
        <v>8164.4168929999996</v>
      </c>
    </row>
    <row r="720" spans="1:4" x14ac:dyDescent="0.3">
      <c r="A720" s="4">
        <v>44909</v>
      </c>
      <c r="B720" s="5">
        <v>333950671100</v>
      </c>
      <c r="C720" s="5">
        <v>476926630800</v>
      </c>
      <c r="D720" s="49">
        <f t="shared" si="22"/>
        <v>8108.7730190000002</v>
      </c>
    </row>
    <row r="721" spans="1:4" x14ac:dyDescent="0.3">
      <c r="A721" s="4">
        <v>44910</v>
      </c>
      <c r="B721" s="5">
        <v>305204998600</v>
      </c>
      <c r="C721" s="5">
        <v>461043860400</v>
      </c>
      <c r="D721" s="49">
        <f t="shared" si="22"/>
        <v>7662.4885899999999</v>
      </c>
    </row>
    <row r="722" spans="1:4" x14ac:dyDescent="0.3">
      <c r="A722" s="4">
        <v>44911</v>
      </c>
      <c r="B722" s="5">
        <v>307227738400</v>
      </c>
      <c r="C722" s="5">
        <v>454187249000</v>
      </c>
      <c r="D722" s="49">
        <f t="shared" si="22"/>
        <v>7614.1498739999997</v>
      </c>
    </row>
    <row r="723" spans="1:4" x14ac:dyDescent="0.3">
      <c r="A723" s="4">
        <v>44914</v>
      </c>
      <c r="B723" s="5">
        <v>307934621500</v>
      </c>
      <c r="C723" s="5">
        <v>448907977600</v>
      </c>
      <c r="D723" s="49">
        <f t="shared" si="22"/>
        <v>7568.4259910000001</v>
      </c>
    </row>
    <row r="724" spans="1:4" x14ac:dyDescent="0.3">
      <c r="A724" s="4">
        <v>44915</v>
      </c>
      <c r="B724" s="5">
        <v>261716073400</v>
      </c>
      <c r="C724" s="5">
        <v>378107632800</v>
      </c>
      <c r="D724" s="49">
        <f t="shared" si="22"/>
        <v>6398.2370620000002</v>
      </c>
    </row>
    <row r="725" spans="1:4" x14ac:dyDescent="0.3">
      <c r="A725" s="4">
        <v>44916</v>
      </c>
      <c r="B725" s="5">
        <v>226852792600</v>
      </c>
      <c r="C725" s="5">
        <v>347827238900</v>
      </c>
      <c r="D725" s="49">
        <f t="shared" si="22"/>
        <v>5746.8003150000004</v>
      </c>
    </row>
    <row r="726" spans="1:4" x14ac:dyDescent="0.3">
      <c r="A726" s="4">
        <v>44917</v>
      </c>
      <c r="B726" s="5">
        <v>266315477400</v>
      </c>
      <c r="C726" s="5">
        <v>391173438000</v>
      </c>
      <c r="D726" s="49">
        <f t="shared" si="22"/>
        <v>6574.8891540000004</v>
      </c>
    </row>
    <row r="727" spans="1:4" x14ac:dyDescent="0.3">
      <c r="A727" s="4">
        <v>44918</v>
      </c>
      <c r="B727" s="5">
        <v>233335246200</v>
      </c>
      <c r="C727" s="5">
        <v>352043828700</v>
      </c>
      <c r="D727" s="49">
        <f t="shared" si="22"/>
        <v>5853.7907489999998</v>
      </c>
    </row>
    <row r="728" spans="1:4" x14ac:dyDescent="0.3">
      <c r="A728" s="4">
        <v>44921</v>
      </c>
      <c r="B728" s="5">
        <v>255470265300</v>
      </c>
      <c r="C728" s="5">
        <v>368805661800</v>
      </c>
      <c r="D728" s="49">
        <f t="shared" si="22"/>
        <v>6242.7592709999999</v>
      </c>
    </row>
    <row r="729" spans="1:4" x14ac:dyDescent="0.3">
      <c r="A729" s="4">
        <v>44922</v>
      </c>
      <c r="B729" s="5">
        <v>267946785400</v>
      </c>
      <c r="C729" s="5">
        <v>400690168500</v>
      </c>
      <c r="D729" s="49">
        <f t="shared" si="22"/>
        <v>6686.3695390000003</v>
      </c>
    </row>
    <row r="730" spans="1:4" x14ac:dyDescent="0.3">
      <c r="A730" s="4">
        <v>44923</v>
      </c>
      <c r="B730" s="5">
        <v>260508525700</v>
      </c>
      <c r="C730" s="5">
        <v>390261750000</v>
      </c>
      <c r="D730" s="49">
        <f t="shared" si="22"/>
        <v>6507.702757</v>
      </c>
    </row>
    <row r="731" spans="1:4" x14ac:dyDescent="0.3">
      <c r="A731" s="4">
        <v>44924</v>
      </c>
      <c r="B731" s="5">
        <v>253916981200</v>
      </c>
      <c r="C731" s="5">
        <v>360827045200</v>
      </c>
      <c r="D731" s="49">
        <f t="shared" si="22"/>
        <v>6147.4402639999998</v>
      </c>
    </row>
    <row r="732" spans="1:4" x14ac:dyDescent="0.3">
      <c r="A732" s="4">
        <v>44925</v>
      </c>
      <c r="B732" s="5">
        <v>250355950900</v>
      </c>
      <c r="C732" s="5">
        <v>353707649800</v>
      </c>
      <c r="D732" s="49">
        <f t="shared" si="22"/>
        <v>6040.6360070000001</v>
      </c>
    </row>
    <row r="733" spans="1:4" x14ac:dyDescent="0.3">
      <c r="A733" s="4">
        <v>44929</v>
      </c>
      <c r="B733" s="5">
        <v>331392138900</v>
      </c>
      <c r="C733" s="5">
        <v>457443911900</v>
      </c>
      <c r="D733" s="49">
        <f t="shared" si="22"/>
        <v>7888.3605079999998</v>
      </c>
    </row>
    <row r="734" spans="1:4" x14ac:dyDescent="0.3">
      <c r="A734" s="4">
        <v>44930</v>
      </c>
      <c r="B734" s="5">
        <v>316391228700</v>
      </c>
      <c r="C734" s="5">
        <v>467334510200</v>
      </c>
      <c r="D734" s="49">
        <f t="shared" si="22"/>
        <v>7837.2573890000003</v>
      </c>
    </row>
    <row r="735" spans="1:4" x14ac:dyDescent="0.3">
      <c r="A735" s="4">
        <v>44931</v>
      </c>
      <c r="B735" s="5">
        <v>335635934500</v>
      </c>
      <c r="C735" s="5">
        <v>507125753800</v>
      </c>
      <c r="D735" s="49">
        <f t="shared" si="22"/>
        <v>8427.6168830000006</v>
      </c>
    </row>
    <row r="736" spans="1:4" x14ac:dyDescent="0.3">
      <c r="A736" s="4">
        <v>44932</v>
      </c>
      <c r="B736" s="5">
        <v>338539843700</v>
      </c>
      <c r="C736" s="5">
        <v>499549690500</v>
      </c>
      <c r="D736" s="49">
        <f t="shared" si="22"/>
        <v>8380.8953419999998</v>
      </c>
    </row>
    <row r="737" spans="1:4" x14ac:dyDescent="0.3">
      <c r="A737" s="4">
        <v>44935</v>
      </c>
      <c r="B737" s="5">
        <v>342693771000</v>
      </c>
      <c r="C737" s="5">
        <v>464473354300</v>
      </c>
      <c r="D737" s="49">
        <f t="shared" si="22"/>
        <v>8071.6712530000004</v>
      </c>
    </row>
    <row r="738" spans="1:4" x14ac:dyDescent="0.3">
      <c r="A738" s="4">
        <v>44936</v>
      </c>
      <c r="B738" s="5">
        <v>310357698600</v>
      </c>
      <c r="C738" s="5">
        <v>436844214800</v>
      </c>
      <c r="D738" s="49">
        <f t="shared" si="22"/>
        <v>7472.0191340000001</v>
      </c>
    </row>
    <row r="739" spans="1:4" x14ac:dyDescent="0.3">
      <c r="A739" s="4">
        <v>44937</v>
      </c>
      <c r="B739" s="5">
        <v>309248892900</v>
      </c>
      <c r="C739" s="5">
        <v>432601300500</v>
      </c>
      <c r="D739" s="49">
        <f t="shared" si="22"/>
        <v>7418.5019339999999</v>
      </c>
    </row>
    <row r="740" spans="1:4" x14ac:dyDescent="0.3">
      <c r="A740" s="4">
        <v>44938</v>
      </c>
      <c r="B740" s="5">
        <v>275371843300</v>
      </c>
      <c r="C740" s="5">
        <v>406082464900</v>
      </c>
      <c r="D740" s="49">
        <f t="shared" si="22"/>
        <v>6814.5430820000001</v>
      </c>
    </row>
    <row r="741" spans="1:4" x14ac:dyDescent="0.3">
      <c r="A741" s="4">
        <v>44939</v>
      </c>
      <c r="B741" s="5">
        <v>288062499100</v>
      </c>
      <c r="C741" s="5">
        <v>414249451500</v>
      </c>
      <c r="D741" s="49">
        <f t="shared" si="22"/>
        <v>7023.119506</v>
      </c>
    </row>
    <row r="742" spans="1:4" x14ac:dyDescent="0.3">
      <c r="A742" s="4">
        <v>44942</v>
      </c>
      <c r="B742" s="5">
        <v>413219641000</v>
      </c>
      <c r="C742" s="5">
        <v>503878168700</v>
      </c>
      <c r="D742" s="49">
        <f t="shared" si="22"/>
        <v>9170.9780969999993</v>
      </c>
    </row>
    <row r="743" spans="1:4" x14ac:dyDescent="0.3">
      <c r="A743" s="4">
        <v>44943</v>
      </c>
      <c r="B743" s="5">
        <v>302611778500</v>
      </c>
      <c r="C743" s="5">
        <v>404543870900</v>
      </c>
      <c r="D743" s="49">
        <f t="shared" si="22"/>
        <v>7071.5564940000004</v>
      </c>
    </row>
    <row r="744" spans="1:4" x14ac:dyDescent="0.3">
      <c r="A744" s="4">
        <v>44944</v>
      </c>
      <c r="B744" s="5">
        <v>266068176700</v>
      </c>
      <c r="C744" s="5">
        <v>369658040600</v>
      </c>
      <c r="D744" s="49">
        <f t="shared" si="22"/>
        <v>6357.2621730000001</v>
      </c>
    </row>
    <row r="745" spans="1:4" x14ac:dyDescent="0.3">
      <c r="A745" s="4">
        <v>44945</v>
      </c>
      <c r="B745" s="5">
        <v>296815557300</v>
      </c>
      <c r="C745" s="5">
        <v>390151666400</v>
      </c>
      <c r="D745" s="49">
        <f t="shared" si="22"/>
        <v>6869.6722369999998</v>
      </c>
    </row>
    <row r="746" spans="1:4" x14ac:dyDescent="0.3">
      <c r="A746" s="4">
        <v>44946</v>
      </c>
      <c r="B746" s="5">
        <v>329028168400</v>
      </c>
      <c r="C746" s="5">
        <v>420081970800</v>
      </c>
      <c r="D746" s="49">
        <f t="shared" si="22"/>
        <v>7491.1013919999996</v>
      </c>
    </row>
    <row r="747" spans="1:4" x14ac:dyDescent="0.3">
      <c r="A747" s="4">
        <v>44956</v>
      </c>
      <c r="B747" s="5">
        <v>453177014100</v>
      </c>
      <c r="C747" s="5">
        <v>608917708200</v>
      </c>
      <c r="D747" s="49">
        <f t="shared" si="22"/>
        <v>10620.947222999999</v>
      </c>
    </row>
    <row r="748" spans="1:4" x14ac:dyDescent="0.3">
      <c r="A748" s="4">
        <v>44957</v>
      </c>
      <c r="B748" s="5">
        <v>375260749600</v>
      </c>
      <c r="C748" s="5">
        <v>524922474800</v>
      </c>
      <c r="D748" s="49">
        <f t="shared" si="22"/>
        <v>9001.8322439999993</v>
      </c>
    </row>
    <row r="749" spans="1:4" x14ac:dyDescent="0.3">
      <c r="A749" s="4">
        <v>44958</v>
      </c>
      <c r="B749" s="5">
        <v>413395187700</v>
      </c>
      <c r="C749" s="5">
        <v>591211958800</v>
      </c>
      <c r="D749" s="49">
        <f t="shared" si="22"/>
        <v>10046.071465000001</v>
      </c>
    </row>
    <row r="750" spans="1:4" x14ac:dyDescent="0.3">
      <c r="A750" s="4">
        <v>44959</v>
      </c>
      <c r="B750" s="5">
        <v>428662803400</v>
      </c>
      <c r="C750" s="5">
        <v>595594549900</v>
      </c>
      <c r="D750" s="49">
        <f t="shared" si="22"/>
        <v>10242.573533000001</v>
      </c>
    </row>
    <row r="751" spans="1:4" x14ac:dyDescent="0.3">
      <c r="A751" s="4">
        <v>44960</v>
      </c>
      <c r="B751" s="5">
        <v>378648523000</v>
      </c>
      <c r="C751" s="5">
        <v>536009517800</v>
      </c>
      <c r="D751" s="49">
        <f t="shared" si="22"/>
        <v>9146.5804079999998</v>
      </c>
    </row>
    <row r="752" spans="1:4" x14ac:dyDescent="0.3">
      <c r="A752" s="4">
        <v>44963</v>
      </c>
      <c r="B752" s="5">
        <v>349127264900</v>
      </c>
      <c r="C752" s="5">
        <v>525584144400</v>
      </c>
      <c r="D752" s="49">
        <f t="shared" si="22"/>
        <v>8747.1140930000001</v>
      </c>
    </row>
    <row r="753" spans="1:4" x14ac:dyDescent="0.3">
      <c r="A753" s="4">
        <v>44964</v>
      </c>
      <c r="B753" s="5">
        <v>321257641900</v>
      </c>
      <c r="C753" s="5">
        <v>524398559200</v>
      </c>
      <c r="D753" s="49">
        <f t="shared" si="22"/>
        <v>8456.562011</v>
      </c>
    </row>
    <row r="754" spans="1:4" x14ac:dyDescent="0.3">
      <c r="A754" s="4">
        <v>44965</v>
      </c>
      <c r="B754" s="5">
        <v>293332736100</v>
      </c>
      <c r="C754" s="5">
        <v>511448766900</v>
      </c>
      <c r="D754" s="49">
        <f t="shared" si="22"/>
        <v>8047.8150299999998</v>
      </c>
    </row>
    <row r="755" spans="1:4" x14ac:dyDescent="0.3">
      <c r="A755" s="4">
        <v>44966</v>
      </c>
      <c r="B755" s="5">
        <v>351760831700</v>
      </c>
      <c r="C755" s="5">
        <v>549344191400</v>
      </c>
      <c r="D755" s="49">
        <f t="shared" si="22"/>
        <v>9011.0502309999993</v>
      </c>
    </row>
    <row r="756" spans="1:4" x14ac:dyDescent="0.3">
      <c r="A756" s="4">
        <v>44967</v>
      </c>
      <c r="B756" s="5">
        <v>341749872000</v>
      </c>
      <c r="C756" s="5">
        <v>551126051000</v>
      </c>
      <c r="D756" s="49">
        <f t="shared" si="22"/>
        <v>8928.7592299999997</v>
      </c>
    </row>
    <row r="757" spans="1:4" x14ac:dyDescent="0.3">
      <c r="A757" s="4">
        <v>44970</v>
      </c>
      <c r="B757" s="5">
        <v>397011413400</v>
      </c>
      <c r="C757" s="5">
        <v>582132385100</v>
      </c>
      <c r="D757" s="49">
        <f t="shared" si="22"/>
        <v>9791.4379850000005</v>
      </c>
    </row>
    <row r="758" spans="1:4" x14ac:dyDescent="0.3">
      <c r="A758" s="4">
        <v>44971</v>
      </c>
      <c r="B758" s="5">
        <v>355558052400</v>
      </c>
      <c r="C758" s="5">
        <v>558431029800</v>
      </c>
      <c r="D758" s="49">
        <f t="shared" si="22"/>
        <v>9139.8908219999994</v>
      </c>
    </row>
    <row r="759" spans="1:4" x14ac:dyDescent="0.3">
      <c r="A759" s="4">
        <v>44972</v>
      </c>
      <c r="B759" s="5">
        <v>357621816100</v>
      </c>
      <c r="C759" s="5">
        <v>579686819500</v>
      </c>
      <c r="D759" s="49">
        <f t="shared" si="22"/>
        <v>9373.0863559999998</v>
      </c>
    </row>
    <row r="760" spans="1:4" x14ac:dyDescent="0.3">
      <c r="A760" s="4">
        <v>44973</v>
      </c>
      <c r="B760" s="5">
        <v>468382512200</v>
      </c>
      <c r="C760" s="5">
        <v>724618469000</v>
      </c>
      <c r="D760" s="49">
        <f t="shared" si="22"/>
        <v>11930.009812</v>
      </c>
    </row>
    <row r="761" spans="1:4" x14ac:dyDescent="0.3">
      <c r="A761" s="4">
        <v>44974</v>
      </c>
      <c r="B761" s="5">
        <v>355625842500</v>
      </c>
      <c r="C761" s="5">
        <v>558493619100</v>
      </c>
      <c r="D761" s="49">
        <f t="shared" si="22"/>
        <v>9141.1946160000007</v>
      </c>
    </row>
    <row r="762" spans="1:4" x14ac:dyDescent="0.3">
      <c r="A762" s="4">
        <v>44977</v>
      </c>
      <c r="B762" s="5">
        <v>397720315300</v>
      </c>
      <c r="C762" s="5">
        <v>552058242200</v>
      </c>
      <c r="D762" s="49">
        <f t="shared" si="22"/>
        <v>9497.7855749999999</v>
      </c>
    </row>
    <row r="763" spans="1:4" x14ac:dyDescent="0.3">
      <c r="A763" s="4">
        <v>44978</v>
      </c>
      <c r="B763" s="5">
        <v>390691271600</v>
      </c>
      <c r="C763" s="5">
        <v>530710903400</v>
      </c>
      <c r="D763" s="49">
        <f t="shared" si="22"/>
        <v>9214.0217499999999</v>
      </c>
    </row>
    <row r="764" spans="1:4" x14ac:dyDescent="0.3">
      <c r="A764" s="4">
        <v>44979</v>
      </c>
      <c r="B764" s="5">
        <v>320515620000</v>
      </c>
      <c r="C764" s="5">
        <v>462831583800</v>
      </c>
      <c r="D764" s="49">
        <f t="shared" si="22"/>
        <v>7833.4720379999999</v>
      </c>
    </row>
    <row r="765" spans="1:4" x14ac:dyDescent="0.3">
      <c r="A765" s="4">
        <v>44980</v>
      </c>
      <c r="B765" s="5">
        <v>334364534400</v>
      </c>
      <c r="C765" s="5">
        <v>472884405000</v>
      </c>
      <c r="D765" s="49">
        <f t="shared" si="22"/>
        <v>8072.4893940000002</v>
      </c>
    </row>
    <row r="766" spans="1:4" x14ac:dyDescent="0.3">
      <c r="A766" s="4">
        <v>44981</v>
      </c>
      <c r="B766" s="5">
        <v>308004347700</v>
      </c>
      <c r="C766" s="5">
        <v>417778046800</v>
      </c>
      <c r="D766" s="49">
        <f t="shared" si="22"/>
        <v>7257.8239450000001</v>
      </c>
    </row>
    <row r="767" spans="1:4" x14ac:dyDescent="0.3">
      <c r="A767" s="4">
        <v>44984</v>
      </c>
      <c r="B767" s="5">
        <v>324605090900</v>
      </c>
      <c r="C767" s="5">
        <v>429031645700</v>
      </c>
      <c r="D767" s="49">
        <f t="shared" si="22"/>
        <v>7536.3673660000004</v>
      </c>
    </row>
    <row r="768" spans="1:4" x14ac:dyDescent="0.3">
      <c r="A768" s="4">
        <v>44985</v>
      </c>
      <c r="B768" s="5">
        <v>318030137300</v>
      </c>
      <c r="C768" s="5">
        <v>438728229900</v>
      </c>
      <c r="D768" s="49">
        <f t="shared" si="22"/>
        <v>7567.5836719999998</v>
      </c>
    </row>
    <row r="769" spans="1:4" x14ac:dyDescent="0.3">
      <c r="A769" s="4">
        <v>44986</v>
      </c>
      <c r="B769" s="5">
        <v>384387413800</v>
      </c>
      <c r="C769" s="5">
        <v>534542031200</v>
      </c>
      <c r="D769" s="49">
        <f t="shared" si="22"/>
        <v>9189.2944499999994</v>
      </c>
    </row>
    <row r="770" spans="1:4" x14ac:dyDescent="0.3">
      <c r="A770" s="4">
        <v>44987</v>
      </c>
      <c r="B770" s="5">
        <v>389390626900</v>
      </c>
      <c r="C770" s="5">
        <v>544079910400</v>
      </c>
      <c r="D770" s="49">
        <f t="shared" si="22"/>
        <v>9334.7053730000007</v>
      </c>
    </row>
    <row r="771" spans="1:4" x14ac:dyDescent="0.3">
      <c r="A771" s="4">
        <v>44988</v>
      </c>
      <c r="B771" s="5">
        <v>388860006700</v>
      </c>
      <c r="C771" s="5">
        <v>480634863200</v>
      </c>
      <c r="D771" s="49">
        <f t="shared" si="22"/>
        <v>8694.9486990000005</v>
      </c>
    </row>
    <row r="772" spans="1:4" x14ac:dyDescent="0.3">
      <c r="A772" s="4">
        <v>44991</v>
      </c>
      <c r="B772" s="5">
        <v>431616811100</v>
      </c>
      <c r="C772" s="5">
        <v>519291321900</v>
      </c>
      <c r="D772" s="49">
        <f t="shared" si="22"/>
        <v>9509.0813300000009</v>
      </c>
    </row>
    <row r="773" spans="1:4" x14ac:dyDescent="0.3">
      <c r="A773" s="4">
        <v>44992</v>
      </c>
      <c r="B773" s="5">
        <v>430081145200</v>
      </c>
      <c r="C773" s="5">
        <v>502562851600</v>
      </c>
      <c r="D773" s="49">
        <f t="shared" si="22"/>
        <v>9326.4399680000006</v>
      </c>
    </row>
    <row r="774" spans="1:4" x14ac:dyDescent="0.3">
      <c r="A774" s="4">
        <v>44993</v>
      </c>
      <c r="B774" s="5">
        <v>312822175700</v>
      </c>
      <c r="C774" s="5">
        <v>405672051600</v>
      </c>
      <c r="D774" s="49">
        <f t="shared" ref="D774:D837" si="23">(B774+C774)/100000000</f>
        <v>7184.9422729999997</v>
      </c>
    </row>
    <row r="775" spans="1:4" x14ac:dyDescent="0.3">
      <c r="A775" s="4">
        <v>44994</v>
      </c>
      <c r="B775" s="5">
        <v>328825695500</v>
      </c>
      <c r="C775" s="5">
        <v>427827723200</v>
      </c>
      <c r="D775" s="49">
        <f t="shared" si="23"/>
        <v>7566.5341870000002</v>
      </c>
    </row>
    <row r="776" spans="1:4" x14ac:dyDescent="0.3">
      <c r="A776" s="4">
        <v>44995</v>
      </c>
      <c r="B776" s="5">
        <v>342198577600</v>
      </c>
      <c r="C776" s="5">
        <v>467353246800</v>
      </c>
      <c r="D776" s="49">
        <f t="shared" si="23"/>
        <v>8095.5182439999999</v>
      </c>
    </row>
    <row r="777" spans="1:4" x14ac:dyDescent="0.3">
      <c r="A777" s="4">
        <v>44998</v>
      </c>
      <c r="B777" s="5">
        <v>364414206500</v>
      </c>
      <c r="C777" s="5">
        <v>474946171000</v>
      </c>
      <c r="D777" s="49">
        <f t="shared" si="23"/>
        <v>8393.6037749999996</v>
      </c>
    </row>
    <row r="778" spans="1:4" x14ac:dyDescent="0.3">
      <c r="A778" s="4">
        <v>44999</v>
      </c>
      <c r="B778" s="5">
        <v>409976276100</v>
      </c>
      <c r="C778" s="5">
        <v>522440932700</v>
      </c>
      <c r="D778" s="49">
        <f t="shared" si="23"/>
        <v>9324.1720879999993</v>
      </c>
    </row>
    <row r="779" spans="1:4" x14ac:dyDescent="0.3">
      <c r="A779" s="4">
        <v>45000</v>
      </c>
      <c r="B779" s="5">
        <v>373276384400</v>
      </c>
      <c r="C779" s="5">
        <v>445104875400</v>
      </c>
      <c r="D779" s="49">
        <f t="shared" si="23"/>
        <v>8183.8125980000004</v>
      </c>
    </row>
    <row r="780" spans="1:4" x14ac:dyDescent="0.3">
      <c r="A780" s="4">
        <v>45001</v>
      </c>
      <c r="B780" s="5">
        <v>392910208400</v>
      </c>
      <c r="C780" s="5">
        <v>452132167200</v>
      </c>
      <c r="D780" s="49">
        <f t="shared" si="23"/>
        <v>8450.4237560000001</v>
      </c>
    </row>
    <row r="781" spans="1:4" x14ac:dyDescent="0.3">
      <c r="A781" s="4">
        <v>45002</v>
      </c>
      <c r="B781" s="5">
        <v>431983057700</v>
      </c>
      <c r="C781" s="5">
        <v>541126224299.99994</v>
      </c>
      <c r="D781" s="49">
        <f t="shared" si="23"/>
        <v>9731.0928199999998</v>
      </c>
    </row>
    <row r="782" spans="1:4" x14ac:dyDescent="0.3">
      <c r="A782" s="4">
        <v>45005</v>
      </c>
      <c r="B782" s="5">
        <v>480292404900</v>
      </c>
      <c r="C782" s="5">
        <v>577224812700</v>
      </c>
      <c r="D782" s="49">
        <f t="shared" si="23"/>
        <v>10575.172176</v>
      </c>
    </row>
    <row r="783" spans="1:4" x14ac:dyDescent="0.3">
      <c r="A783" s="4">
        <v>45006</v>
      </c>
      <c r="B783" s="5">
        <v>388047055900</v>
      </c>
      <c r="C783" s="5">
        <v>504999749000</v>
      </c>
      <c r="D783" s="49">
        <f t="shared" si="23"/>
        <v>8930.4680489999992</v>
      </c>
    </row>
    <row r="784" spans="1:4" x14ac:dyDescent="0.3">
      <c r="A784" s="4">
        <v>45007</v>
      </c>
      <c r="B784" s="5">
        <v>382509081300</v>
      </c>
      <c r="C784" s="5">
        <v>575341080600</v>
      </c>
      <c r="D784" s="49">
        <f t="shared" si="23"/>
        <v>9578.5016190000006</v>
      </c>
    </row>
    <row r="785" spans="1:4" x14ac:dyDescent="0.3">
      <c r="A785" s="4">
        <v>45008</v>
      </c>
      <c r="B785" s="5">
        <v>426564792600</v>
      </c>
      <c r="C785" s="5">
        <v>594115483000</v>
      </c>
      <c r="D785" s="49">
        <f t="shared" si="23"/>
        <v>10206.802755999999</v>
      </c>
    </row>
    <row r="786" spans="1:4" x14ac:dyDescent="0.3">
      <c r="A786" s="4">
        <v>45009</v>
      </c>
      <c r="B786" s="5">
        <v>430761598900</v>
      </c>
      <c r="C786" s="5">
        <v>643967262500</v>
      </c>
      <c r="D786" s="49">
        <f t="shared" si="23"/>
        <v>10747.288613999999</v>
      </c>
    </row>
    <row r="787" spans="1:4" x14ac:dyDescent="0.3">
      <c r="A787" s="4">
        <v>45012</v>
      </c>
      <c r="B787" s="5">
        <v>453585768700</v>
      </c>
      <c r="C787" s="5">
        <v>686374442100</v>
      </c>
      <c r="D787" s="49">
        <f t="shared" si="23"/>
        <v>11399.602107999999</v>
      </c>
    </row>
    <row r="788" spans="1:4" x14ac:dyDescent="0.3">
      <c r="A788" s="4">
        <v>45013</v>
      </c>
      <c r="B788" s="5">
        <v>396882943400</v>
      </c>
      <c r="C788" s="5">
        <v>607318157300</v>
      </c>
      <c r="D788" s="49">
        <f t="shared" si="23"/>
        <v>10042.011006999999</v>
      </c>
    </row>
    <row r="789" spans="1:4" x14ac:dyDescent="0.3">
      <c r="A789" s="4">
        <v>45014</v>
      </c>
      <c r="B789" s="5">
        <v>405542776900</v>
      </c>
      <c r="C789" s="5">
        <v>575550878900</v>
      </c>
      <c r="D789" s="49">
        <f t="shared" si="23"/>
        <v>9810.9365579999994</v>
      </c>
    </row>
    <row r="790" spans="1:4" x14ac:dyDescent="0.3">
      <c r="A790" s="4">
        <v>45015</v>
      </c>
      <c r="B790" s="5">
        <v>401634271100</v>
      </c>
      <c r="C790" s="5">
        <v>543036386500</v>
      </c>
      <c r="D790" s="49">
        <f t="shared" si="23"/>
        <v>9446.7065760000005</v>
      </c>
    </row>
    <row r="791" spans="1:4" x14ac:dyDescent="0.3">
      <c r="A791" s="4">
        <v>45016</v>
      </c>
      <c r="B791" s="5">
        <v>396689286300</v>
      </c>
      <c r="C791" s="5">
        <v>556599139900</v>
      </c>
      <c r="D791" s="49">
        <f t="shared" si="23"/>
        <v>9532.8842619999996</v>
      </c>
    </row>
    <row r="792" spans="1:4" x14ac:dyDescent="0.3">
      <c r="A792" s="4">
        <v>45019</v>
      </c>
      <c r="B792" s="5">
        <v>513390565500</v>
      </c>
      <c r="C792" s="5">
        <v>739594240700</v>
      </c>
      <c r="D792" s="49">
        <f t="shared" si="23"/>
        <v>12529.848061999999</v>
      </c>
    </row>
    <row r="793" spans="1:4" x14ac:dyDescent="0.3">
      <c r="A793" s="4">
        <v>45020</v>
      </c>
      <c r="B793" s="5">
        <v>555811064000</v>
      </c>
      <c r="C793" s="5">
        <v>768756861500</v>
      </c>
      <c r="D793" s="49">
        <f t="shared" si="23"/>
        <v>13245.679254999999</v>
      </c>
    </row>
    <row r="794" spans="1:4" x14ac:dyDescent="0.3">
      <c r="A794" s="4">
        <v>45022</v>
      </c>
      <c r="B794" s="5">
        <v>506500167200</v>
      </c>
      <c r="C794" s="5">
        <v>686781052700</v>
      </c>
      <c r="D794" s="49">
        <f t="shared" si="23"/>
        <v>11932.812199</v>
      </c>
    </row>
    <row r="795" spans="1:4" x14ac:dyDescent="0.3">
      <c r="A795" s="4">
        <v>45023</v>
      </c>
      <c r="B795" s="5">
        <v>436372798900</v>
      </c>
      <c r="C795" s="5">
        <v>617625658300</v>
      </c>
      <c r="D795" s="49">
        <f t="shared" si="23"/>
        <v>10539.984571999999</v>
      </c>
    </row>
    <row r="796" spans="1:4" x14ac:dyDescent="0.3">
      <c r="A796" s="4">
        <v>45026</v>
      </c>
      <c r="B796" s="5">
        <v>516434325400</v>
      </c>
      <c r="C796" s="5">
        <v>709144488900</v>
      </c>
      <c r="D796" s="49">
        <f t="shared" si="23"/>
        <v>12255.788143</v>
      </c>
    </row>
    <row r="797" spans="1:4" x14ac:dyDescent="0.3">
      <c r="A797" s="4">
        <v>45027</v>
      </c>
      <c r="B797" s="5">
        <v>466895849300</v>
      </c>
      <c r="C797" s="5">
        <v>616280318600</v>
      </c>
      <c r="D797" s="49">
        <f t="shared" si="23"/>
        <v>10831.761678999999</v>
      </c>
    </row>
    <row r="798" spans="1:4" x14ac:dyDescent="0.3">
      <c r="A798" s="4">
        <v>45028</v>
      </c>
      <c r="B798" s="5">
        <v>482066170100</v>
      </c>
      <c r="C798" s="5">
        <v>650077105600</v>
      </c>
      <c r="D798" s="49">
        <f t="shared" si="23"/>
        <v>11321.432757</v>
      </c>
    </row>
    <row r="799" spans="1:4" x14ac:dyDescent="0.3">
      <c r="A799" s="4">
        <v>45029</v>
      </c>
      <c r="B799" s="5">
        <v>477587943400</v>
      </c>
      <c r="C799" s="5">
        <v>659253406500</v>
      </c>
      <c r="D799" s="49">
        <f t="shared" si="23"/>
        <v>11368.413499</v>
      </c>
    </row>
    <row r="800" spans="1:4" x14ac:dyDescent="0.3">
      <c r="A800" s="4">
        <v>45030</v>
      </c>
      <c r="B800" s="5">
        <v>478345417500</v>
      </c>
      <c r="C800" s="5">
        <v>636677409100</v>
      </c>
      <c r="D800" s="49">
        <f t="shared" si="23"/>
        <v>11150.228266</v>
      </c>
    </row>
    <row r="801" spans="1:4" x14ac:dyDescent="0.3">
      <c r="A801" s="4">
        <v>45033</v>
      </c>
      <c r="B801" s="5">
        <v>523790271000</v>
      </c>
      <c r="C801" s="5">
        <v>597034448700</v>
      </c>
      <c r="D801" s="49">
        <f t="shared" si="23"/>
        <v>11208.247197000001</v>
      </c>
    </row>
    <row r="802" spans="1:4" x14ac:dyDescent="0.3">
      <c r="A802" s="4">
        <v>45034</v>
      </c>
      <c r="B802" s="5">
        <v>474287388900</v>
      </c>
      <c r="C802" s="5">
        <v>585692909700</v>
      </c>
      <c r="D802" s="49">
        <f t="shared" si="23"/>
        <v>10599.802986000001</v>
      </c>
    </row>
    <row r="803" spans="1:4" x14ac:dyDescent="0.3">
      <c r="A803" s="4">
        <v>45035</v>
      </c>
      <c r="B803" s="5">
        <v>476496941000</v>
      </c>
      <c r="C803" s="5">
        <v>606129019800</v>
      </c>
      <c r="D803" s="49">
        <f t="shared" si="23"/>
        <v>10826.259608</v>
      </c>
    </row>
    <row r="804" spans="1:4" x14ac:dyDescent="0.3">
      <c r="A804" s="4">
        <v>45036</v>
      </c>
      <c r="B804" s="5">
        <v>499672394200</v>
      </c>
      <c r="C804" s="5">
        <v>639013483700</v>
      </c>
      <c r="D804" s="49">
        <f t="shared" si="23"/>
        <v>11386.858779</v>
      </c>
    </row>
    <row r="805" spans="1:4" x14ac:dyDescent="0.3">
      <c r="A805" s="4">
        <v>45037</v>
      </c>
      <c r="B805" s="5">
        <v>530517857800</v>
      </c>
      <c r="C805" s="5">
        <v>687349533800</v>
      </c>
      <c r="D805" s="49">
        <f t="shared" si="23"/>
        <v>12178.673916</v>
      </c>
    </row>
    <row r="806" spans="1:4" x14ac:dyDescent="0.3">
      <c r="A806" s="4">
        <v>45040</v>
      </c>
      <c r="B806" s="5">
        <v>473265986300</v>
      </c>
      <c r="C806" s="5">
        <v>610062481200</v>
      </c>
      <c r="D806" s="49">
        <f t="shared" si="23"/>
        <v>10833.284675000001</v>
      </c>
    </row>
    <row r="807" spans="1:4" x14ac:dyDescent="0.3">
      <c r="A807" s="4">
        <v>45041</v>
      </c>
      <c r="B807" s="5">
        <v>494240131400</v>
      </c>
      <c r="C807" s="5">
        <v>639693500600</v>
      </c>
      <c r="D807" s="49">
        <f t="shared" si="23"/>
        <v>11339.33632</v>
      </c>
    </row>
    <row r="808" spans="1:4" x14ac:dyDescent="0.3">
      <c r="A808" s="4">
        <v>45042</v>
      </c>
      <c r="B808" s="5">
        <v>480418149400</v>
      </c>
      <c r="C808" s="5">
        <v>641802706100</v>
      </c>
      <c r="D808" s="49">
        <f t="shared" si="23"/>
        <v>11222.208554999999</v>
      </c>
    </row>
    <row r="809" spans="1:4" x14ac:dyDescent="0.3">
      <c r="A809" s="4">
        <v>45043</v>
      </c>
      <c r="B809" s="5">
        <v>466175350400</v>
      </c>
      <c r="C809" s="5">
        <v>578698180300</v>
      </c>
      <c r="D809" s="49">
        <f t="shared" si="23"/>
        <v>10448.735307000001</v>
      </c>
    </row>
    <row r="810" spans="1:4" x14ac:dyDescent="0.3">
      <c r="A810" s="4">
        <v>45044</v>
      </c>
      <c r="B810" s="5">
        <v>514904620700</v>
      </c>
      <c r="C810" s="5">
        <v>601892954700</v>
      </c>
      <c r="D810" s="49">
        <f t="shared" si="23"/>
        <v>11167.975753999999</v>
      </c>
    </row>
    <row r="811" spans="1:4" x14ac:dyDescent="0.3">
      <c r="A811" s="4">
        <v>45050</v>
      </c>
      <c r="B811" s="5">
        <v>550494850300</v>
      </c>
      <c r="C811" s="5">
        <v>621189213600</v>
      </c>
      <c r="D811" s="49">
        <f t="shared" si="23"/>
        <v>11716.840639</v>
      </c>
    </row>
    <row r="812" spans="1:4" x14ac:dyDescent="0.3">
      <c r="A812" s="4">
        <v>45051</v>
      </c>
      <c r="B812" s="5">
        <v>499294430500</v>
      </c>
      <c r="C812" s="5">
        <v>571854889800</v>
      </c>
      <c r="D812" s="49">
        <f t="shared" si="23"/>
        <v>10711.493203</v>
      </c>
    </row>
    <row r="813" spans="1:4" x14ac:dyDescent="0.3">
      <c r="A813" s="4">
        <v>45054</v>
      </c>
      <c r="B813" s="5">
        <v>564661993500</v>
      </c>
      <c r="C813" s="5">
        <v>572226574700</v>
      </c>
      <c r="D813" s="49">
        <f t="shared" si="23"/>
        <v>11368.885682</v>
      </c>
    </row>
    <row r="814" spans="1:4" x14ac:dyDescent="0.3">
      <c r="A814" s="4">
        <v>45055</v>
      </c>
      <c r="B814" s="5">
        <v>619108477500</v>
      </c>
      <c r="C814" s="5">
        <v>602613001100</v>
      </c>
      <c r="D814" s="49">
        <f t="shared" si="23"/>
        <v>12217.214786</v>
      </c>
    </row>
    <row r="815" spans="1:4" x14ac:dyDescent="0.3">
      <c r="A815" s="4">
        <v>45056</v>
      </c>
      <c r="B815" s="5">
        <v>489553667300</v>
      </c>
      <c r="C815" s="5">
        <v>530434508400</v>
      </c>
      <c r="D815" s="49">
        <f t="shared" si="23"/>
        <v>10199.881756999999</v>
      </c>
    </row>
    <row r="816" spans="1:4" x14ac:dyDescent="0.3">
      <c r="A816" s="4">
        <v>45057</v>
      </c>
      <c r="B816" s="5">
        <v>401313953400</v>
      </c>
      <c r="C816" s="5">
        <v>494561743600</v>
      </c>
      <c r="D816" s="49">
        <f t="shared" si="23"/>
        <v>8958.7569700000004</v>
      </c>
    </row>
    <row r="817" spans="1:4" x14ac:dyDescent="0.3">
      <c r="A817" s="4">
        <v>45058</v>
      </c>
      <c r="B817" s="5">
        <v>387081199300</v>
      </c>
      <c r="C817" s="5">
        <v>460978545700</v>
      </c>
      <c r="D817" s="49">
        <f t="shared" si="23"/>
        <v>8480.5974499999993</v>
      </c>
    </row>
    <row r="818" spans="1:4" x14ac:dyDescent="0.3">
      <c r="A818" s="4">
        <v>45061</v>
      </c>
      <c r="B818" s="5">
        <v>431706863300</v>
      </c>
      <c r="C818" s="5">
        <v>506569506000</v>
      </c>
      <c r="D818" s="49">
        <f t="shared" si="23"/>
        <v>9382.7636930000008</v>
      </c>
    </row>
    <row r="819" spans="1:4" x14ac:dyDescent="0.3">
      <c r="A819" s="4">
        <v>45062</v>
      </c>
      <c r="B819" s="5">
        <v>385386011200</v>
      </c>
      <c r="C819" s="5">
        <v>480861767200</v>
      </c>
      <c r="D819" s="49">
        <f t="shared" si="23"/>
        <v>8662.4777840000006</v>
      </c>
    </row>
    <row r="820" spans="1:4" x14ac:dyDescent="0.3">
      <c r="A820" s="4">
        <v>45063</v>
      </c>
      <c r="B820" s="5">
        <v>340482661500</v>
      </c>
      <c r="C820" s="5">
        <v>440904311000</v>
      </c>
      <c r="D820" s="49">
        <f t="shared" si="23"/>
        <v>7813.8697249999996</v>
      </c>
    </row>
    <row r="821" spans="1:4" x14ac:dyDescent="0.3">
      <c r="A821" s="4">
        <v>45064</v>
      </c>
      <c r="B821" s="5">
        <v>368435071000</v>
      </c>
      <c r="C821" s="5">
        <v>511460754700</v>
      </c>
      <c r="D821" s="49">
        <f t="shared" si="23"/>
        <v>8798.9582570000002</v>
      </c>
    </row>
    <row r="822" spans="1:4" x14ac:dyDescent="0.3">
      <c r="A822" s="4">
        <v>45065</v>
      </c>
      <c r="B822" s="5">
        <v>359507956500</v>
      </c>
      <c r="C822" s="5">
        <v>488437270900</v>
      </c>
      <c r="D822" s="49">
        <f t="shared" si="23"/>
        <v>8479.4522739999993</v>
      </c>
    </row>
    <row r="823" spans="1:4" x14ac:dyDescent="0.3">
      <c r="A823" s="4">
        <v>45068</v>
      </c>
      <c r="B823" s="5">
        <v>342448401600</v>
      </c>
      <c r="C823" s="5">
        <v>452958772700</v>
      </c>
      <c r="D823" s="49">
        <f t="shared" si="23"/>
        <v>7954.0717430000004</v>
      </c>
    </row>
    <row r="824" spans="1:4" x14ac:dyDescent="0.3">
      <c r="A824" s="4">
        <v>45069</v>
      </c>
      <c r="B824" s="5">
        <v>324667932900</v>
      </c>
      <c r="C824" s="5">
        <v>441061218900</v>
      </c>
      <c r="D824" s="49">
        <f t="shared" si="23"/>
        <v>7657.291518</v>
      </c>
    </row>
    <row r="825" spans="1:4" x14ac:dyDescent="0.3">
      <c r="A825" s="4">
        <v>45070</v>
      </c>
      <c r="B825" s="5">
        <v>342677325700</v>
      </c>
      <c r="C825" s="5">
        <v>460008235600</v>
      </c>
      <c r="D825" s="49">
        <f t="shared" si="23"/>
        <v>8026.8556129999997</v>
      </c>
    </row>
    <row r="826" spans="1:4" x14ac:dyDescent="0.3">
      <c r="A826" s="4">
        <v>45071</v>
      </c>
      <c r="B826" s="5">
        <v>347709231700</v>
      </c>
      <c r="C826" s="5">
        <v>509217799400</v>
      </c>
      <c r="D826" s="49">
        <f t="shared" si="23"/>
        <v>8569.2703110000002</v>
      </c>
    </row>
    <row r="827" spans="1:4" x14ac:dyDescent="0.3">
      <c r="A827" s="4">
        <v>45072</v>
      </c>
      <c r="B827" s="5">
        <v>333319266000</v>
      </c>
      <c r="C827" s="5">
        <v>487173622500</v>
      </c>
      <c r="D827" s="49">
        <f t="shared" si="23"/>
        <v>8204.9288849999994</v>
      </c>
    </row>
    <row r="828" spans="1:4" x14ac:dyDescent="0.3">
      <c r="A828" s="4">
        <v>45075</v>
      </c>
      <c r="B828" s="5">
        <v>377875996100</v>
      </c>
      <c r="C828" s="5">
        <v>542920609299.99994</v>
      </c>
      <c r="D828" s="49">
        <f t="shared" si="23"/>
        <v>9207.9660540000004</v>
      </c>
    </row>
    <row r="829" spans="1:4" x14ac:dyDescent="0.3">
      <c r="A829" s="4">
        <v>45076</v>
      </c>
      <c r="B829" s="5">
        <v>376622572900</v>
      </c>
      <c r="C829" s="5">
        <v>556589545800</v>
      </c>
      <c r="D829" s="49">
        <f t="shared" si="23"/>
        <v>9332.1211870000006</v>
      </c>
    </row>
    <row r="830" spans="1:4" x14ac:dyDescent="0.3">
      <c r="A830" s="4">
        <v>45077</v>
      </c>
      <c r="B830" s="5">
        <v>384999190200</v>
      </c>
      <c r="C830" s="5">
        <v>553781824200</v>
      </c>
      <c r="D830" s="49">
        <f t="shared" si="23"/>
        <v>9387.8101439999991</v>
      </c>
    </row>
    <row r="831" spans="1:4" x14ac:dyDescent="0.3">
      <c r="A831" s="4">
        <v>45078</v>
      </c>
      <c r="B831" s="5">
        <v>400981483200</v>
      </c>
      <c r="C831" s="5">
        <v>585600591800</v>
      </c>
      <c r="D831" s="49">
        <f t="shared" si="23"/>
        <v>9865.8207500000008</v>
      </c>
    </row>
    <row r="832" spans="1:4" x14ac:dyDescent="0.3">
      <c r="A832" s="4">
        <v>45079</v>
      </c>
      <c r="B832" s="5">
        <v>377507927700</v>
      </c>
      <c r="C832" s="5">
        <v>563121358400</v>
      </c>
      <c r="D832" s="49">
        <f t="shared" si="23"/>
        <v>9406.2928609999999</v>
      </c>
    </row>
    <row r="833" spans="1:4" x14ac:dyDescent="0.3">
      <c r="A833" s="4">
        <v>45082</v>
      </c>
      <c r="B833" s="5">
        <v>357810090600</v>
      </c>
      <c r="C833" s="5">
        <v>515963796700</v>
      </c>
      <c r="D833" s="49">
        <f t="shared" si="23"/>
        <v>8737.7388730000002</v>
      </c>
    </row>
    <row r="834" spans="1:4" x14ac:dyDescent="0.3">
      <c r="A834" s="4">
        <v>45083</v>
      </c>
      <c r="B834" s="5">
        <v>387492228800</v>
      </c>
      <c r="C834" s="5">
        <v>549964902600</v>
      </c>
      <c r="D834" s="49">
        <f t="shared" si="23"/>
        <v>9374.5713140000007</v>
      </c>
    </row>
    <row r="835" spans="1:4" x14ac:dyDescent="0.3">
      <c r="A835" s="4">
        <v>45084</v>
      </c>
      <c r="B835" s="5">
        <v>331083866700</v>
      </c>
      <c r="C835" s="5">
        <v>483428011500</v>
      </c>
      <c r="D835" s="49">
        <f t="shared" si="23"/>
        <v>8145.1187819999996</v>
      </c>
    </row>
    <row r="836" spans="1:4" x14ac:dyDescent="0.3">
      <c r="A836" s="4">
        <v>45085</v>
      </c>
      <c r="B836" s="5">
        <v>353551633200</v>
      </c>
      <c r="C836" s="5">
        <v>505966211100</v>
      </c>
      <c r="D836" s="49">
        <f t="shared" si="23"/>
        <v>8595.1784430000007</v>
      </c>
    </row>
    <row r="837" spans="1:4" x14ac:dyDescent="0.3">
      <c r="A837" s="4">
        <v>45086</v>
      </c>
      <c r="B837" s="5">
        <v>413341768400</v>
      </c>
      <c r="C837" s="5">
        <v>576348803000</v>
      </c>
      <c r="D837" s="49">
        <f t="shared" si="23"/>
        <v>9896.9057140000004</v>
      </c>
    </row>
    <row r="838" spans="1:4" x14ac:dyDescent="0.3">
      <c r="A838" s="4">
        <v>45089</v>
      </c>
      <c r="B838" s="5">
        <v>403241619600</v>
      </c>
      <c r="C838" s="5">
        <v>562164566400</v>
      </c>
      <c r="D838" s="49">
        <f t="shared" ref="D838:D901" si="24">(B838+C838)/100000000</f>
        <v>9654.0618599999998</v>
      </c>
    </row>
    <row r="839" spans="1:4" x14ac:dyDescent="0.3">
      <c r="A839" s="4">
        <v>45090</v>
      </c>
      <c r="B839" s="5">
        <v>377193491400</v>
      </c>
      <c r="C839" s="5">
        <v>564979962200</v>
      </c>
      <c r="D839" s="49">
        <f t="shared" si="24"/>
        <v>9421.7345359999999</v>
      </c>
    </row>
    <row r="840" spans="1:4" x14ac:dyDescent="0.3">
      <c r="A840" s="4">
        <v>45091</v>
      </c>
      <c r="B840" s="5">
        <v>404009517800</v>
      </c>
      <c r="C840" s="5">
        <v>596560477500</v>
      </c>
      <c r="D840" s="49">
        <f t="shared" si="24"/>
        <v>10005.699952999999</v>
      </c>
    </row>
    <row r="841" spans="1:4" x14ac:dyDescent="0.3">
      <c r="A841" s="4">
        <v>45092</v>
      </c>
      <c r="B841" s="5">
        <v>437522981500</v>
      </c>
      <c r="C841" s="5">
        <v>634830980600</v>
      </c>
      <c r="D841" s="49">
        <f t="shared" si="24"/>
        <v>10723.539621</v>
      </c>
    </row>
    <row r="842" spans="1:4" x14ac:dyDescent="0.3">
      <c r="A842" s="4">
        <v>45093</v>
      </c>
      <c r="B842" s="5">
        <v>444375632400</v>
      </c>
      <c r="C842" s="5">
        <v>623260890900</v>
      </c>
      <c r="D842" s="49">
        <f t="shared" si="24"/>
        <v>10676.365233</v>
      </c>
    </row>
    <row r="843" spans="1:4" x14ac:dyDescent="0.3">
      <c r="A843" s="4">
        <v>45096</v>
      </c>
      <c r="B843" s="5">
        <v>455226178200</v>
      </c>
      <c r="C843" s="5">
        <v>651260366500</v>
      </c>
      <c r="D843" s="49">
        <f t="shared" si="24"/>
        <v>11064.865447</v>
      </c>
    </row>
    <row r="844" spans="1:4" x14ac:dyDescent="0.3">
      <c r="A844" s="4">
        <v>45097</v>
      </c>
      <c r="B844" s="5">
        <v>433243981500</v>
      </c>
      <c r="C844" s="5">
        <v>656500454600</v>
      </c>
      <c r="D844" s="49">
        <f t="shared" si="24"/>
        <v>10897.444361</v>
      </c>
    </row>
    <row r="845" spans="1:4" x14ac:dyDescent="0.3">
      <c r="A845" s="4">
        <v>45098</v>
      </c>
      <c r="B845" s="5">
        <v>406234561400</v>
      </c>
      <c r="C845" s="5">
        <v>615571109900</v>
      </c>
      <c r="D845" s="49">
        <f t="shared" si="24"/>
        <v>10218.056713</v>
      </c>
    </row>
    <row r="846" spans="1:4" x14ac:dyDescent="0.3">
      <c r="A846" s="4">
        <v>45103</v>
      </c>
      <c r="B846" s="5">
        <v>398859657400</v>
      </c>
      <c r="C846" s="5">
        <v>578271793600</v>
      </c>
      <c r="D846" s="49">
        <f t="shared" si="24"/>
        <v>9771.3145100000002</v>
      </c>
    </row>
    <row r="847" spans="1:4" x14ac:dyDescent="0.3">
      <c r="A847" s="4">
        <v>45104</v>
      </c>
      <c r="B847" s="5">
        <v>354487810600</v>
      </c>
      <c r="C847" s="5">
        <v>486441509800</v>
      </c>
      <c r="D847" s="49">
        <f t="shared" si="24"/>
        <v>8409.2932039999996</v>
      </c>
    </row>
    <row r="848" spans="1:4" x14ac:dyDescent="0.3">
      <c r="A848" s="4">
        <v>45105</v>
      </c>
      <c r="B848" s="5">
        <v>360118192500</v>
      </c>
      <c r="C848" s="5">
        <v>527868516000</v>
      </c>
      <c r="D848" s="49">
        <f t="shared" si="24"/>
        <v>8879.8670849999999</v>
      </c>
    </row>
    <row r="849" spans="1:4" x14ac:dyDescent="0.3">
      <c r="A849" s="4">
        <v>45106</v>
      </c>
      <c r="B849" s="5">
        <v>340636710900</v>
      </c>
      <c r="C849" s="5">
        <v>524238390400</v>
      </c>
      <c r="D849" s="49">
        <f t="shared" si="24"/>
        <v>8648.7510129999991</v>
      </c>
    </row>
    <row r="850" spans="1:4" x14ac:dyDescent="0.3">
      <c r="A850" s="4">
        <v>45107</v>
      </c>
      <c r="B850" s="5">
        <v>359739563400</v>
      </c>
      <c r="C850" s="5">
        <v>558752689400</v>
      </c>
      <c r="D850" s="49">
        <f t="shared" si="24"/>
        <v>9184.9225279999991</v>
      </c>
    </row>
    <row r="851" spans="1:4" x14ac:dyDescent="0.3">
      <c r="A851" s="4">
        <v>45110</v>
      </c>
      <c r="B851" s="5">
        <v>421353472400</v>
      </c>
      <c r="C851" s="5">
        <v>603094147000</v>
      </c>
      <c r="D851" s="49">
        <f t="shared" si="24"/>
        <v>10244.476194000001</v>
      </c>
    </row>
    <row r="852" spans="1:4" x14ac:dyDescent="0.3">
      <c r="A852" s="4">
        <v>45111</v>
      </c>
      <c r="B852" s="5">
        <v>387115944100</v>
      </c>
      <c r="C852" s="5">
        <v>542016354500</v>
      </c>
      <c r="D852" s="49">
        <f t="shared" si="24"/>
        <v>9291.3229859999992</v>
      </c>
    </row>
    <row r="853" spans="1:4" x14ac:dyDescent="0.3">
      <c r="A853" s="4">
        <v>45112</v>
      </c>
      <c r="B853" s="5">
        <v>351234984700</v>
      </c>
      <c r="C853" s="5">
        <v>516418678100</v>
      </c>
      <c r="D853" s="49">
        <f t="shared" si="24"/>
        <v>8676.5366279999998</v>
      </c>
    </row>
    <row r="854" spans="1:4" x14ac:dyDescent="0.3">
      <c r="A854" s="4">
        <v>45113</v>
      </c>
      <c r="B854" s="5">
        <v>320808312600</v>
      </c>
      <c r="C854" s="5">
        <v>498914642900</v>
      </c>
      <c r="D854" s="49">
        <f t="shared" si="24"/>
        <v>8197.2295549999999</v>
      </c>
    </row>
    <row r="855" spans="1:4" x14ac:dyDescent="0.3">
      <c r="A855" s="4">
        <v>45114</v>
      </c>
      <c r="B855" s="5">
        <v>313607453200</v>
      </c>
      <c r="C855" s="5">
        <v>486094877400</v>
      </c>
      <c r="D855" s="49">
        <f t="shared" si="24"/>
        <v>7997.023306</v>
      </c>
    </row>
    <row r="856" spans="1:4" x14ac:dyDescent="0.3">
      <c r="A856" s="4">
        <v>45117</v>
      </c>
      <c r="B856" s="5">
        <v>311462495600</v>
      </c>
      <c r="C856" s="5">
        <v>449784877200</v>
      </c>
      <c r="D856" s="49">
        <f t="shared" si="24"/>
        <v>7612.4737279999999</v>
      </c>
    </row>
    <row r="857" spans="1:4" x14ac:dyDescent="0.3">
      <c r="A857" s="4">
        <v>45118</v>
      </c>
      <c r="B857" s="5">
        <v>309950254700</v>
      </c>
      <c r="C857" s="5">
        <v>463515203000</v>
      </c>
      <c r="D857" s="49">
        <f t="shared" si="24"/>
        <v>7734.6545770000002</v>
      </c>
    </row>
    <row r="858" spans="1:4" x14ac:dyDescent="0.3">
      <c r="A858" s="4">
        <v>45119</v>
      </c>
      <c r="B858" s="5">
        <v>365433182300</v>
      </c>
      <c r="C858" s="5">
        <v>546420224900</v>
      </c>
      <c r="D858" s="49">
        <f t="shared" si="24"/>
        <v>9118.5340720000004</v>
      </c>
    </row>
    <row r="859" spans="1:4" x14ac:dyDescent="0.3">
      <c r="A859" s="4">
        <v>45120</v>
      </c>
      <c r="B859" s="5">
        <v>373242517800</v>
      </c>
      <c r="C859" s="5">
        <v>547542679700.00006</v>
      </c>
      <c r="D859" s="49">
        <f t="shared" si="24"/>
        <v>9207.8519749999996</v>
      </c>
    </row>
    <row r="860" spans="1:4" x14ac:dyDescent="0.3">
      <c r="A860" s="4">
        <v>45121</v>
      </c>
      <c r="B860" s="5">
        <v>368337829100</v>
      </c>
      <c r="C860" s="5">
        <v>554228056000</v>
      </c>
      <c r="D860" s="49">
        <f t="shared" si="24"/>
        <v>9225.6588510000001</v>
      </c>
    </row>
    <row r="861" spans="1:4" x14ac:dyDescent="0.3">
      <c r="A861" s="4">
        <v>45124</v>
      </c>
      <c r="B861" s="5">
        <v>322074497100</v>
      </c>
      <c r="C861" s="5">
        <v>480497000100</v>
      </c>
      <c r="D861" s="49">
        <f t="shared" si="24"/>
        <v>8025.7149719999998</v>
      </c>
    </row>
    <row r="862" spans="1:4" x14ac:dyDescent="0.3">
      <c r="A862" s="4">
        <v>45125</v>
      </c>
      <c r="B862" s="5">
        <v>307331649300</v>
      </c>
      <c r="C862" s="5">
        <v>469777623600</v>
      </c>
      <c r="D862" s="49">
        <f t="shared" si="24"/>
        <v>7771.092729</v>
      </c>
    </row>
    <row r="863" spans="1:4" x14ac:dyDescent="0.3">
      <c r="A863" s="4">
        <v>45126</v>
      </c>
      <c r="B863" s="5">
        <v>281206091200</v>
      </c>
      <c r="C863" s="5">
        <v>421242032800</v>
      </c>
      <c r="D863" s="49">
        <f t="shared" si="24"/>
        <v>7024.4812400000001</v>
      </c>
    </row>
    <row r="864" spans="1:4" x14ac:dyDescent="0.3">
      <c r="A864" s="4">
        <v>45127</v>
      </c>
      <c r="B864" s="5">
        <v>302376024100</v>
      </c>
      <c r="C864" s="5">
        <v>483235253700</v>
      </c>
      <c r="D864" s="49">
        <f t="shared" si="24"/>
        <v>7856.1127779999997</v>
      </c>
    </row>
    <row r="865" spans="1:4" x14ac:dyDescent="0.3">
      <c r="A865" s="4">
        <v>45128</v>
      </c>
      <c r="B865" s="5">
        <v>280673190400</v>
      </c>
      <c r="C865" s="5">
        <v>430277669400</v>
      </c>
      <c r="D865" s="49">
        <f t="shared" si="24"/>
        <v>7109.5085980000003</v>
      </c>
    </row>
    <row r="866" spans="1:4" x14ac:dyDescent="0.3">
      <c r="A866" s="4">
        <v>45131</v>
      </c>
      <c r="B866" s="5">
        <v>260119088900</v>
      </c>
      <c r="C866" s="5">
        <v>398795431800</v>
      </c>
      <c r="D866" s="49">
        <f t="shared" si="24"/>
        <v>6589.1452069999996</v>
      </c>
    </row>
    <row r="867" spans="1:4" x14ac:dyDescent="0.3">
      <c r="A867" s="4">
        <v>45132</v>
      </c>
      <c r="B867" s="5">
        <v>410846601100</v>
      </c>
      <c r="C867" s="5">
        <v>537269565700.00006</v>
      </c>
      <c r="D867" s="49">
        <f t="shared" si="24"/>
        <v>9481.1616680000006</v>
      </c>
    </row>
    <row r="868" spans="1:4" x14ac:dyDescent="0.3">
      <c r="A868" s="4">
        <v>45133</v>
      </c>
      <c r="B868" s="5">
        <v>328306929400</v>
      </c>
      <c r="C868" s="5">
        <v>463845096800</v>
      </c>
      <c r="D868" s="49">
        <f t="shared" si="24"/>
        <v>7921.520262</v>
      </c>
    </row>
    <row r="869" spans="1:4" x14ac:dyDescent="0.3">
      <c r="A869" s="4">
        <v>45134</v>
      </c>
      <c r="B869" s="5">
        <v>332145068300</v>
      </c>
      <c r="C869" s="5">
        <v>447863377000</v>
      </c>
      <c r="D869" s="49">
        <f t="shared" si="24"/>
        <v>7800.0844530000004</v>
      </c>
    </row>
    <row r="870" spans="1:4" x14ac:dyDescent="0.3">
      <c r="A870" s="4">
        <v>45135</v>
      </c>
      <c r="B870" s="5">
        <v>436923617400</v>
      </c>
      <c r="C870" s="5">
        <v>511355319600</v>
      </c>
      <c r="D870" s="49">
        <f t="shared" si="24"/>
        <v>9482.7893700000004</v>
      </c>
    </row>
    <row r="871" spans="1:4" x14ac:dyDescent="0.3">
      <c r="A871" s="4">
        <v>45138</v>
      </c>
      <c r="B871" s="5">
        <v>511505348400</v>
      </c>
      <c r="C871" s="5">
        <v>593689024800</v>
      </c>
      <c r="D871" s="49">
        <f t="shared" si="24"/>
        <v>11051.943732</v>
      </c>
    </row>
    <row r="872" spans="1:4" x14ac:dyDescent="0.3">
      <c r="A872" s="4">
        <v>45139</v>
      </c>
      <c r="B872" s="5">
        <v>441023318600</v>
      </c>
      <c r="C872" s="5">
        <v>515654864800</v>
      </c>
      <c r="D872" s="49">
        <f t="shared" si="24"/>
        <v>9566.7818339999994</v>
      </c>
    </row>
    <row r="873" spans="1:4" x14ac:dyDescent="0.3">
      <c r="A873" s="4">
        <v>45140</v>
      </c>
      <c r="B873" s="5">
        <v>388952704000</v>
      </c>
      <c r="C873" s="5">
        <v>447062408000</v>
      </c>
      <c r="D873" s="49">
        <f t="shared" si="24"/>
        <v>8360.1511200000004</v>
      </c>
    </row>
    <row r="874" spans="1:4" x14ac:dyDescent="0.3">
      <c r="A874" s="4">
        <v>45141</v>
      </c>
      <c r="B874" s="5">
        <v>389530672000</v>
      </c>
      <c r="C874" s="5">
        <v>443344550600</v>
      </c>
      <c r="D874" s="49">
        <f t="shared" si="24"/>
        <v>8328.7522260000005</v>
      </c>
    </row>
    <row r="875" spans="1:4" x14ac:dyDescent="0.3">
      <c r="A875" s="4">
        <v>45142</v>
      </c>
      <c r="B875" s="5">
        <v>497188089400</v>
      </c>
      <c r="C875" s="5">
        <v>551972087000</v>
      </c>
      <c r="D875" s="49">
        <f t="shared" si="24"/>
        <v>10491.601763999999</v>
      </c>
    </row>
    <row r="876" spans="1:4" x14ac:dyDescent="0.3">
      <c r="A876" s="4">
        <v>45145</v>
      </c>
      <c r="B876" s="5">
        <v>393056934200</v>
      </c>
      <c r="C876" s="5">
        <v>497019702500</v>
      </c>
      <c r="D876" s="49">
        <f t="shared" si="24"/>
        <v>8900.7663670000002</v>
      </c>
    </row>
    <row r="877" spans="1:4" x14ac:dyDescent="0.3">
      <c r="A877" s="4">
        <v>45146</v>
      </c>
      <c r="B877" s="5">
        <v>355750325300</v>
      </c>
      <c r="C877" s="5">
        <v>443144463000</v>
      </c>
      <c r="D877" s="49">
        <f t="shared" si="24"/>
        <v>7988.9478829999998</v>
      </c>
    </row>
    <row r="878" spans="1:4" x14ac:dyDescent="0.3">
      <c r="A878" s="4">
        <v>45147</v>
      </c>
      <c r="B878" s="5">
        <v>309778299600</v>
      </c>
      <c r="C878" s="5">
        <v>426798581800</v>
      </c>
      <c r="D878" s="49">
        <f t="shared" si="24"/>
        <v>7365.768814</v>
      </c>
    </row>
    <row r="879" spans="1:4" x14ac:dyDescent="0.3">
      <c r="A879" s="4">
        <v>45148</v>
      </c>
      <c r="B879" s="5">
        <v>307263291700</v>
      </c>
      <c r="C879" s="5">
        <v>386871601700</v>
      </c>
      <c r="D879" s="49">
        <f t="shared" si="24"/>
        <v>6941.3489339999996</v>
      </c>
    </row>
    <row r="880" spans="1:4" x14ac:dyDescent="0.3">
      <c r="A880" s="4">
        <v>45149</v>
      </c>
      <c r="B880" s="5">
        <v>339187129800</v>
      </c>
      <c r="C880" s="5">
        <v>424303880900</v>
      </c>
      <c r="D880" s="49">
        <f t="shared" si="24"/>
        <v>7634.9101069999997</v>
      </c>
    </row>
    <row r="881" spans="1:4" x14ac:dyDescent="0.3">
      <c r="A881" s="4">
        <v>45152</v>
      </c>
      <c r="B881" s="5">
        <v>322632054400</v>
      </c>
      <c r="C881" s="5">
        <v>419328589700</v>
      </c>
      <c r="D881" s="49">
        <f t="shared" si="24"/>
        <v>7419.6064409999999</v>
      </c>
    </row>
    <row r="882" spans="1:4" x14ac:dyDescent="0.3">
      <c r="A882" s="4">
        <v>45153</v>
      </c>
      <c r="B882" s="5">
        <v>300827985400</v>
      </c>
      <c r="C882" s="5">
        <v>405668296600</v>
      </c>
      <c r="D882" s="49">
        <f t="shared" si="24"/>
        <v>7064.9628199999997</v>
      </c>
    </row>
    <row r="883" spans="1:4" x14ac:dyDescent="0.3">
      <c r="A883" s="4">
        <v>45154</v>
      </c>
      <c r="B883" s="5">
        <v>303611332600</v>
      </c>
      <c r="C883" s="5">
        <v>400622307600</v>
      </c>
      <c r="D883" s="49">
        <f t="shared" si="24"/>
        <v>7042.3364019999999</v>
      </c>
    </row>
    <row r="884" spans="1:4" x14ac:dyDescent="0.3">
      <c r="A884" s="4">
        <v>45155</v>
      </c>
      <c r="B884" s="5">
        <v>320785474100</v>
      </c>
      <c r="C884" s="5">
        <v>419033826000</v>
      </c>
      <c r="D884" s="49">
        <f t="shared" si="24"/>
        <v>7398.1930009999996</v>
      </c>
    </row>
    <row r="885" spans="1:4" x14ac:dyDescent="0.3">
      <c r="A885" s="4">
        <v>45156</v>
      </c>
      <c r="B885" s="5">
        <v>320449006900</v>
      </c>
      <c r="C885" s="5">
        <v>424224876300</v>
      </c>
      <c r="D885" s="49">
        <f t="shared" si="24"/>
        <v>7446.738832</v>
      </c>
    </row>
    <row r="886" spans="1:4" x14ac:dyDescent="0.3">
      <c r="A886" s="4">
        <v>45159</v>
      </c>
      <c r="B886" s="5">
        <v>293721061600</v>
      </c>
      <c r="C886" s="5">
        <v>384541011600</v>
      </c>
      <c r="D886" s="49">
        <f t="shared" si="24"/>
        <v>6782.6207320000003</v>
      </c>
    </row>
    <row r="887" spans="1:4" x14ac:dyDescent="0.3">
      <c r="A887" s="4">
        <v>45160</v>
      </c>
      <c r="B887" s="5">
        <v>348637687600</v>
      </c>
      <c r="C887" s="5">
        <v>469741718300</v>
      </c>
      <c r="D887" s="49">
        <f t="shared" si="24"/>
        <v>8183.7940589999998</v>
      </c>
    </row>
    <row r="888" spans="1:4" x14ac:dyDescent="0.3">
      <c r="A888" s="4">
        <v>45161</v>
      </c>
      <c r="B888" s="5">
        <v>297986364400</v>
      </c>
      <c r="C888" s="5">
        <v>407929683800</v>
      </c>
      <c r="D888" s="49">
        <f t="shared" si="24"/>
        <v>7059.1604820000002</v>
      </c>
    </row>
    <row r="889" spans="1:4" x14ac:dyDescent="0.3">
      <c r="A889" s="4">
        <v>45162</v>
      </c>
      <c r="B889" s="5">
        <v>332447831300</v>
      </c>
      <c r="C889" s="5">
        <v>453283452500</v>
      </c>
      <c r="D889" s="49">
        <f t="shared" si="24"/>
        <v>7857.3128379999998</v>
      </c>
    </row>
    <row r="890" spans="1:4" x14ac:dyDescent="0.3">
      <c r="A890" s="4">
        <v>45163</v>
      </c>
      <c r="B890" s="5">
        <v>317757173400</v>
      </c>
      <c r="C890" s="5">
        <v>448534888100</v>
      </c>
      <c r="D890" s="49">
        <f t="shared" si="24"/>
        <v>7662.920615</v>
      </c>
    </row>
    <row r="891" spans="1:4" x14ac:dyDescent="0.3">
      <c r="A891" s="4">
        <v>45166</v>
      </c>
      <c r="B891" s="5">
        <v>517234120900</v>
      </c>
      <c r="C891" s="5">
        <v>609414535400</v>
      </c>
      <c r="D891" s="49">
        <f t="shared" si="24"/>
        <v>11266.486563</v>
      </c>
    </row>
    <row r="892" spans="1:4" x14ac:dyDescent="0.3">
      <c r="A892" s="4">
        <v>45167</v>
      </c>
      <c r="B892" s="5">
        <v>443979437000</v>
      </c>
      <c r="C892" s="5">
        <v>593126465600</v>
      </c>
      <c r="D892" s="49">
        <f t="shared" si="24"/>
        <v>10371.059026000001</v>
      </c>
    </row>
    <row r="893" spans="1:4" x14ac:dyDescent="0.3">
      <c r="A893" s="4">
        <v>45168</v>
      </c>
      <c r="B893" s="5">
        <v>414729469600</v>
      </c>
      <c r="C893" s="5">
        <v>569619933000</v>
      </c>
      <c r="D893" s="49">
        <f t="shared" si="24"/>
        <v>9843.4940260000003</v>
      </c>
    </row>
    <row r="894" spans="1:4" x14ac:dyDescent="0.3">
      <c r="A894" s="4">
        <v>45169</v>
      </c>
      <c r="B894" s="5">
        <v>362507128800</v>
      </c>
      <c r="C894" s="5">
        <v>466692822700</v>
      </c>
      <c r="D894" s="49">
        <f t="shared" si="24"/>
        <v>8291.9995149999995</v>
      </c>
    </row>
    <row r="895" spans="1:4" x14ac:dyDescent="0.3">
      <c r="A895" s="4">
        <v>45170</v>
      </c>
      <c r="B895" s="5">
        <v>334739632900</v>
      </c>
      <c r="C895" s="5">
        <v>410622387800</v>
      </c>
      <c r="D895" s="49">
        <f t="shared" si="24"/>
        <v>7453.6202069999999</v>
      </c>
    </row>
    <row r="896" spans="1:4" x14ac:dyDescent="0.3">
      <c r="A896" s="4">
        <v>45173</v>
      </c>
      <c r="B896" s="5">
        <v>404500273000</v>
      </c>
      <c r="C896" s="5">
        <v>480361264700</v>
      </c>
      <c r="D896" s="49">
        <f t="shared" si="24"/>
        <v>8848.6153770000001</v>
      </c>
    </row>
    <row r="897" spans="1:4" x14ac:dyDescent="0.3">
      <c r="A897" s="4">
        <v>45174</v>
      </c>
      <c r="B897" s="5">
        <v>342760613400</v>
      </c>
      <c r="C897" s="5">
        <v>461095800900</v>
      </c>
      <c r="D897" s="49">
        <f t="shared" si="24"/>
        <v>8038.5641429999996</v>
      </c>
    </row>
    <row r="898" spans="1:4" x14ac:dyDescent="0.3">
      <c r="A898" s="4">
        <v>45175</v>
      </c>
      <c r="B898" s="5">
        <v>324001129700</v>
      </c>
      <c r="C898" s="5">
        <v>447278746800</v>
      </c>
      <c r="D898" s="49">
        <f t="shared" si="24"/>
        <v>7712.7987649999995</v>
      </c>
    </row>
    <row r="899" spans="1:4" x14ac:dyDescent="0.3">
      <c r="A899" s="4">
        <v>45176</v>
      </c>
      <c r="B899" s="5">
        <v>317186963300</v>
      </c>
      <c r="C899" s="5">
        <v>449647709400</v>
      </c>
      <c r="D899" s="49">
        <f t="shared" si="24"/>
        <v>7668.3467270000001</v>
      </c>
    </row>
    <row r="900" spans="1:4" x14ac:dyDescent="0.3">
      <c r="A900" s="4">
        <v>45177</v>
      </c>
      <c r="B900" s="5">
        <v>270006714899.99997</v>
      </c>
      <c r="C900" s="5">
        <v>411802523000</v>
      </c>
      <c r="D900" s="49">
        <f t="shared" si="24"/>
        <v>6818.0923789999997</v>
      </c>
    </row>
    <row r="901" spans="1:4" x14ac:dyDescent="0.3">
      <c r="A901" s="4">
        <v>45180</v>
      </c>
      <c r="B901" s="5">
        <v>351883736000</v>
      </c>
      <c r="C901" s="5">
        <v>489275538000</v>
      </c>
      <c r="D901" s="49">
        <f t="shared" si="24"/>
        <v>8411.59274</v>
      </c>
    </row>
    <row r="902" spans="1:4" x14ac:dyDescent="0.3">
      <c r="A902" s="4">
        <v>45181</v>
      </c>
      <c r="B902" s="5">
        <v>281897501800</v>
      </c>
      <c r="C902" s="5">
        <v>426410705000</v>
      </c>
      <c r="D902" s="49">
        <f t="shared" ref="D902:D965" si="25">(B902+C902)/100000000</f>
        <v>7083.0820679999997</v>
      </c>
    </row>
    <row r="903" spans="1:4" x14ac:dyDescent="0.3">
      <c r="A903" s="4">
        <v>45182</v>
      </c>
      <c r="B903" s="5">
        <v>282015557200</v>
      </c>
      <c r="C903" s="5">
        <v>416172855900</v>
      </c>
      <c r="D903" s="49">
        <f t="shared" si="25"/>
        <v>6981.8841309999998</v>
      </c>
    </row>
    <row r="904" spans="1:4" x14ac:dyDescent="0.3">
      <c r="A904" s="4">
        <v>45183</v>
      </c>
      <c r="B904" s="5">
        <v>281641855500</v>
      </c>
      <c r="C904" s="5">
        <v>384223741400</v>
      </c>
      <c r="D904" s="49">
        <f t="shared" si="25"/>
        <v>6658.6559690000004</v>
      </c>
    </row>
    <row r="905" spans="1:4" x14ac:dyDescent="0.3">
      <c r="A905" s="4">
        <v>45184</v>
      </c>
      <c r="B905" s="5">
        <v>326091455900</v>
      </c>
      <c r="C905" s="5">
        <v>395642647100</v>
      </c>
      <c r="D905" s="49">
        <f t="shared" si="25"/>
        <v>7217.3410299999996</v>
      </c>
    </row>
    <row r="906" spans="1:4" x14ac:dyDescent="0.3">
      <c r="A906" s="4">
        <v>45187</v>
      </c>
      <c r="B906" s="5">
        <v>299644725400</v>
      </c>
      <c r="C906" s="5">
        <v>398900705800</v>
      </c>
      <c r="D906" s="49">
        <f t="shared" si="25"/>
        <v>6985.4543119999998</v>
      </c>
    </row>
    <row r="907" spans="1:4" x14ac:dyDescent="0.3">
      <c r="A907" s="4">
        <v>45188</v>
      </c>
      <c r="B907" s="5">
        <v>274062664399.99997</v>
      </c>
      <c r="C907" s="5">
        <v>360902289100</v>
      </c>
      <c r="D907" s="49">
        <f t="shared" si="25"/>
        <v>6349.6495349999996</v>
      </c>
    </row>
    <row r="908" spans="1:4" x14ac:dyDescent="0.3">
      <c r="A908" s="4">
        <v>45189</v>
      </c>
      <c r="B908" s="5">
        <v>243019998700</v>
      </c>
      <c r="C908" s="5">
        <v>330242547900</v>
      </c>
      <c r="D908" s="49">
        <f t="shared" si="25"/>
        <v>5732.6254660000004</v>
      </c>
    </row>
    <row r="909" spans="1:4" x14ac:dyDescent="0.3">
      <c r="A909" s="4">
        <v>45190</v>
      </c>
      <c r="B909" s="5">
        <v>243536277500</v>
      </c>
      <c r="C909" s="5">
        <v>335490145900</v>
      </c>
      <c r="D909" s="49">
        <f t="shared" si="25"/>
        <v>5790.2642340000002</v>
      </c>
    </row>
    <row r="910" spans="1:4" x14ac:dyDescent="0.3">
      <c r="A910" s="4">
        <v>45191</v>
      </c>
      <c r="B910" s="5">
        <v>321443778900</v>
      </c>
      <c r="C910" s="5">
        <v>444014591100</v>
      </c>
      <c r="D910" s="49">
        <f t="shared" si="25"/>
        <v>7654.5837000000001</v>
      </c>
    </row>
    <row r="911" spans="1:4" x14ac:dyDescent="0.3">
      <c r="A911" s="4">
        <v>45194</v>
      </c>
      <c r="B911" s="5">
        <v>294635829600</v>
      </c>
      <c r="C911" s="5">
        <v>423275869400</v>
      </c>
      <c r="D911" s="49">
        <f t="shared" si="25"/>
        <v>7179.1169900000004</v>
      </c>
    </row>
    <row r="912" spans="1:4" x14ac:dyDescent="0.3">
      <c r="A912" s="4">
        <v>45195</v>
      </c>
      <c r="B912" s="5">
        <v>270006131000</v>
      </c>
      <c r="C912" s="5">
        <v>395614576900</v>
      </c>
      <c r="D912" s="49">
        <f t="shared" si="25"/>
        <v>6656.2070789999998</v>
      </c>
    </row>
    <row r="913" spans="1:4" x14ac:dyDescent="0.3">
      <c r="A913" s="4">
        <v>45196</v>
      </c>
      <c r="B913" s="5">
        <v>293421022400</v>
      </c>
      <c r="C913" s="5">
        <v>423112882600</v>
      </c>
      <c r="D913" s="49">
        <f t="shared" si="25"/>
        <v>7165.3390499999996</v>
      </c>
    </row>
    <row r="914" spans="1:4" x14ac:dyDescent="0.3">
      <c r="A914" s="4">
        <v>45197</v>
      </c>
      <c r="B914" s="5">
        <v>288396222800</v>
      </c>
      <c r="C914" s="5">
        <v>428793641100</v>
      </c>
      <c r="D914" s="49">
        <f t="shared" si="25"/>
        <v>7171.898639</v>
      </c>
    </row>
    <row r="915" spans="1:4" x14ac:dyDescent="0.3">
      <c r="A915" s="4">
        <v>45208</v>
      </c>
      <c r="B915" s="5">
        <v>302662162100</v>
      </c>
      <c r="C915" s="5">
        <v>467325974800</v>
      </c>
      <c r="D915" s="49">
        <f t="shared" si="25"/>
        <v>7699.8813689999997</v>
      </c>
    </row>
    <row r="916" spans="1:4" x14ac:dyDescent="0.3">
      <c r="A916" s="4">
        <v>45209</v>
      </c>
      <c r="B916" s="5">
        <v>293653291700</v>
      </c>
      <c r="C916" s="5">
        <v>481015828300</v>
      </c>
      <c r="D916" s="49">
        <f t="shared" si="25"/>
        <v>7746.6912000000002</v>
      </c>
    </row>
    <row r="917" spans="1:4" x14ac:dyDescent="0.3">
      <c r="A917" s="4">
        <v>45210</v>
      </c>
      <c r="B917" s="5">
        <v>326562386200</v>
      </c>
      <c r="C917" s="5">
        <v>512172676800</v>
      </c>
      <c r="D917" s="49">
        <f t="shared" si="25"/>
        <v>8387.3506300000008</v>
      </c>
    </row>
    <row r="918" spans="1:4" x14ac:dyDescent="0.3">
      <c r="A918" s="4">
        <v>45211</v>
      </c>
      <c r="B918" s="5">
        <v>325865894400</v>
      </c>
      <c r="C918" s="5">
        <v>505430977000</v>
      </c>
      <c r="D918" s="49">
        <f t="shared" si="25"/>
        <v>8312.9687140000005</v>
      </c>
    </row>
    <row r="919" spans="1:4" x14ac:dyDescent="0.3">
      <c r="A919" s="4">
        <v>45212</v>
      </c>
      <c r="B919" s="5">
        <v>309538085300</v>
      </c>
      <c r="C919" s="5">
        <v>498900705700</v>
      </c>
      <c r="D919" s="49">
        <f t="shared" si="25"/>
        <v>8084.3879100000004</v>
      </c>
    </row>
    <row r="920" spans="1:4" x14ac:dyDescent="0.3">
      <c r="A920" s="4">
        <v>45215</v>
      </c>
      <c r="B920" s="5">
        <v>314394203000</v>
      </c>
      <c r="C920" s="5">
        <v>498543938100</v>
      </c>
      <c r="D920" s="49">
        <f t="shared" si="25"/>
        <v>8129.3814110000003</v>
      </c>
    </row>
    <row r="921" spans="1:4" x14ac:dyDescent="0.3">
      <c r="A921" s="4">
        <v>45216</v>
      </c>
      <c r="B921" s="5">
        <v>300026228500</v>
      </c>
      <c r="C921" s="5">
        <v>435335290600</v>
      </c>
      <c r="D921" s="49">
        <f t="shared" si="25"/>
        <v>7353.6151909999999</v>
      </c>
    </row>
    <row r="922" spans="1:4" x14ac:dyDescent="0.3">
      <c r="A922" s="4">
        <v>45217</v>
      </c>
      <c r="B922" s="5">
        <v>310306035800</v>
      </c>
      <c r="C922" s="5">
        <v>456343828300</v>
      </c>
      <c r="D922" s="49">
        <f t="shared" si="25"/>
        <v>7666.4986410000001</v>
      </c>
    </row>
    <row r="923" spans="1:4" x14ac:dyDescent="0.3">
      <c r="A923" s="4">
        <v>45218</v>
      </c>
      <c r="B923" s="5">
        <v>355069177000</v>
      </c>
      <c r="C923" s="5">
        <v>457615135800</v>
      </c>
      <c r="D923" s="49">
        <f t="shared" si="25"/>
        <v>8126.8431280000004</v>
      </c>
    </row>
    <row r="924" spans="1:4" x14ac:dyDescent="0.3">
      <c r="A924" s="4">
        <v>45219</v>
      </c>
      <c r="B924" s="5">
        <v>307388393300</v>
      </c>
      <c r="C924" s="5">
        <v>424332538800</v>
      </c>
      <c r="D924" s="49">
        <f t="shared" si="25"/>
        <v>7317.2093210000003</v>
      </c>
    </row>
    <row r="925" spans="1:4" x14ac:dyDescent="0.3">
      <c r="A925" s="4">
        <v>45222</v>
      </c>
      <c r="B925" s="5">
        <v>304028962500</v>
      </c>
      <c r="C925" s="5">
        <v>417090860600</v>
      </c>
      <c r="D925" s="49">
        <f t="shared" si="25"/>
        <v>7211.1982310000003</v>
      </c>
    </row>
    <row r="926" spans="1:4" x14ac:dyDescent="0.3">
      <c r="A926" s="4">
        <v>45223</v>
      </c>
      <c r="B926" s="5">
        <v>339902176900</v>
      </c>
      <c r="C926" s="5">
        <v>464159717200</v>
      </c>
      <c r="D926" s="49">
        <f t="shared" si="25"/>
        <v>8040.6189409999997</v>
      </c>
    </row>
    <row r="927" spans="1:4" x14ac:dyDescent="0.3">
      <c r="A927" s="4">
        <v>45224</v>
      </c>
      <c r="B927" s="5">
        <v>362846635500</v>
      </c>
      <c r="C927" s="5">
        <v>510929773500</v>
      </c>
      <c r="D927" s="49">
        <f t="shared" si="25"/>
        <v>8737.7640900000006</v>
      </c>
    </row>
    <row r="928" spans="1:4" x14ac:dyDescent="0.3">
      <c r="A928" s="4">
        <v>45225</v>
      </c>
      <c r="B928" s="5">
        <v>332258828000</v>
      </c>
      <c r="C928" s="5">
        <v>510189439800</v>
      </c>
      <c r="D928" s="49">
        <f t="shared" si="25"/>
        <v>8424.4826780000003</v>
      </c>
    </row>
    <row r="929" spans="1:4" x14ac:dyDescent="0.3">
      <c r="A929" s="4">
        <v>45226</v>
      </c>
      <c r="B929" s="5">
        <v>385692318100</v>
      </c>
      <c r="C929" s="5">
        <v>578695625100</v>
      </c>
      <c r="D929" s="49">
        <f t="shared" si="25"/>
        <v>9643.8794319999997</v>
      </c>
    </row>
    <row r="930" spans="1:4" x14ac:dyDescent="0.3">
      <c r="A930" s="4">
        <v>45229</v>
      </c>
      <c r="B930" s="5">
        <v>439587974800</v>
      </c>
      <c r="C930" s="5">
        <v>598518490100</v>
      </c>
      <c r="D930" s="49">
        <f t="shared" si="25"/>
        <v>10381.064649</v>
      </c>
    </row>
    <row r="931" spans="1:4" x14ac:dyDescent="0.3">
      <c r="A931" s="4">
        <v>45230</v>
      </c>
      <c r="B931" s="5">
        <v>386277226400</v>
      </c>
      <c r="C931" s="5">
        <v>532043957600</v>
      </c>
      <c r="D931" s="49">
        <f t="shared" si="25"/>
        <v>9183.2118399999999</v>
      </c>
    </row>
    <row r="932" spans="1:4" x14ac:dyDescent="0.3">
      <c r="A932" s="4">
        <v>45231</v>
      </c>
      <c r="B932" s="5">
        <v>347121456500</v>
      </c>
      <c r="C932" s="5">
        <v>464810907900</v>
      </c>
      <c r="D932" s="49">
        <f t="shared" si="25"/>
        <v>8119.3236440000001</v>
      </c>
    </row>
    <row r="933" spans="1:4" x14ac:dyDescent="0.3">
      <c r="A933" s="4">
        <v>45232</v>
      </c>
      <c r="B933" s="5">
        <v>311936400800</v>
      </c>
      <c r="C933" s="5">
        <v>454843216300</v>
      </c>
      <c r="D933" s="49">
        <f t="shared" si="25"/>
        <v>7667.796171</v>
      </c>
    </row>
    <row r="934" spans="1:4" x14ac:dyDescent="0.3">
      <c r="A934" s="4">
        <v>45233</v>
      </c>
      <c r="B934" s="5">
        <v>329300477500</v>
      </c>
      <c r="C934" s="5">
        <v>480246665500</v>
      </c>
      <c r="D934" s="49">
        <f t="shared" si="25"/>
        <v>8095.4714299999996</v>
      </c>
    </row>
    <row r="935" spans="1:4" x14ac:dyDescent="0.3">
      <c r="A935" s="4">
        <v>45236</v>
      </c>
      <c r="B935" s="5">
        <v>447638159900</v>
      </c>
      <c r="C935" s="5">
        <v>616550311100</v>
      </c>
      <c r="D935" s="49">
        <f t="shared" si="25"/>
        <v>10641.88471</v>
      </c>
    </row>
    <row r="936" spans="1:4" x14ac:dyDescent="0.3">
      <c r="A936" s="4">
        <v>45237</v>
      </c>
      <c r="B936" s="5">
        <v>401065573900</v>
      </c>
      <c r="C936" s="5">
        <v>591933989900</v>
      </c>
      <c r="D936" s="49">
        <f t="shared" si="25"/>
        <v>9929.9956380000003</v>
      </c>
    </row>
    <row r="937" spans="1:4" x14ac:dyDescent="0.3">
      <c r="A937" s="4">
        <v>45238</v>
      </c>
      <c r="B937" s="5">
        <v>415289260100</v>
      </c>
      <c r="C937" s="5">
        <v>621326423700</v>
      </c>
      <c r="D937" s="49">
        <f t="shared" si="25"/>
        <v>10366.156838000001</v>
      </c>
    </row>
    <row r="938" spans="1:4" x14ac:dyDescent="0.3">
      <c r="A938" s="4">
        <v>45239</v>
      </c>
      <c r="B938" s="5">
        <v>388556747100</v>
      </c>
      <c r="C938" s="5">
        <v>573888744700</v>
      </c>
      <c r="D938" s="49">
        <f t="shared" si="25"/>
        <v>9624.4549179999995</v>
      </c>
    </row>
    <row r="939" spans="1:4" x14ac:dyDescent="0.3">
      <c r="A939" s="4">
        <v>45240</v>
      </c>
      <c r="B939" s="5">
        <v>346913084500</v>
      </c>
      <c r="C939" s="5">
        <v>480532950100</v>
      </c>
      <c r="D939" s="49">
        <f t="shared" si="25"/>
        <v>8274.4603459999998</v>
      </c>
    </row>
    <row r="940" spans="1:4" x14ac:dyDescent="0.3">
      <c r="A940" s="4">
        <v>45243</v>
      </c>
      <c r="B940" s="5">
        <v>344120017200</v>
      </c>
      <c r="C940" s="5">
        <v>524462039300</v>
      </c>
      <c r="D940" s="49">
        <f t="shared" si="25"/>
        <v>8685.820565</v>
      </c>
    </row>
    <row r="941" spans="1:4" x14ac:dyDescent="0.3">
      <c r="A941" s="4">
        <v>45244</v>
      </c>
      <c r="B941" s="5">
        <v>358249840200</v>
      </c>
      <c r="C941" s="5">
        <v>535239000600</v>
      </c>
      <c r="D941" s="49">
        <f t="shared" si="25"/>
        <v>8934.8884080000007</v>
      </c>
    </row>
    <row r="942" spans="1:4" x14ac:dyDescent="0.3">
      <c r="A942" s="4">
        <v>45245</v>
      </c>
      <c r="B942" s="5">
        <v>389515978000</v>
      </c>
      <c r="C942" s="5">
        <v>600546928300</v>
      </c>
      <c r="D942" s="49">
        <f t="shared" si="25"/>
        <v>9900.6290630000003</v>
      </c>
    </row>
    <row r="943" spans="1:4" x14ac:dyDescent="0.3">
      <c r="A943" s="4">
        <v>45246</v>
      </c>
      <c r="B943" s="5">
        <v>329364382700</v>
      </c>
      <c r="C943" s="5">
        <v>521282824000</v>
      </c>
      <c r="D943" s="49">
        <f t="shared" si="25"/>
        <v>8506.4720670000006</v>
      </c>
    </row>
    <row r="944" spans="1:4" x14ac:dyDescent="0.3">
      <c r="A944" s="4">
        <v>45247</v>
      </c>
      <c r="B944" s="5">
        <v>328568598800</v>
      </c>
      <c r="C944" s="5">
        <v>498076823000</v>
      </c>
      <c r="D944" s="49">
        <f t="shared" si="25"/>
        <v>8266.4542180000008</v>
      </c>
    </row>
    <row r="945" spans="1:4" x14ac:dyDescent="0.3">
      <c r="A945" s="4">
        <v>45250</v>
      </c>
      <c r="B945" s="5">
        <v>367109310200</v>
      </c>
      <c r="C945" s="5">
        <v>560232951500</v>
      </c>
      <c r="D945" s="49">
        <f t="shared" si="25"/>
        <v>9273.4226170000002</v>
      </c>
    </row>
    <row r="946" spans="1:4" x14ac:dyDescent="0.3">
      <c r="A946" s="4">
        <v>45251</v>
      </c>
      <c r="B946" s="5">
        <v>391558034900</v>
      </c>
      <c r="C946" s="5">
        <v>606515259400</v>
      </c>
      <c r="D946" s="49">
        <f t="shared" si="25"/>
        <v>9980.7329430000009</v>
      </c>
    </row>
    <row r="947" spans="1:4" x14ac:dyDescent="0.3">
      <c r="A947" s="4">
        <v>45252</v>
      </c>
      <c r="B947" s="5">
        <v>330385482700</v>
      </c>
      <c r="C947" s="5">
        <v>545051033900</v>
      </c>
      <c r="D947" s="49">
        <f t="shared" si="25"/>
        <v>8754.3651659999996</v>
      </c>
    </row>
    <row r="948" spans="1:4" x14ac:dyDescent="0.3">
      <c r="A948" s="4">
        <v>45253</v>
      </c>
      <c r="B948" s="5">
        <v>315612515600</v>
      </c>
      <c r="C948" s="5">
        <v>508590880000</v>
      </c>
      <c r="D948" s="49">
        <f t="shared" si="25"/>
        <v>8242.0339559999993</v>
      </c>
    </row>
    <row r="949" spans="1:4" x14ac:dyDescent="0.3">
      <c r="A949" s="4">
        <v>45254</v>
      </c>
      <c r="B949" s="5">
        <v>311509355900</v>
      </c>
      <c r="C949" s="5">
        <v>501783839700</v>
      </c>
      <c r="D949" s="49">
        <f t="shared" si="25"/>
        <v>8132.9319560000004</v>
      </c>
    </row>
    <row r="950" spans="1:4" x14ac:dyDescent="0.3">
      <c r="A950" s="4">
        <v>45257</v>
      </c>
      <c r="B950" s="5">
        <v>350705835500</v>
      </c>
      <c r="C950" s="5">
        <v>478095879600</v>
      </c>
      <c r="D950" s="49">
        <f t="shared" si="25"/>
        <v>8288.017151</v>
      </c>
    </row>
    <row r="951" spans="1:4" x14ac:dyDescent="0.3">
      <c r="A951" s="4">
        <v>45258</v>
      </c>
      <c r="B951" s="5">
        <v>317303697700</v>
      </c>
      <c r="C951" s="5">
        <v>455463964000</v>
      </c>
      <c r="D951" s="49">
        <f t="shared" si="25"/>
        <v>7727.6766170000001</v>
      </c>
    </row>
    <row r="952" spans="1:4" x14ac:dyDescent="0.3">
      <c r="A952" s="4">
        <v>45259</v>
      </c>
      <c r="B952" s="5">
        <v>322141206100</v>
      </c>
      <c r="C952" s="5">
        <v>452910473500</v>
      </c>
      <c r="D952" s="49">
        <f t="shared" si="25"/>
        <v>7750.5167959999999</v>
      </c>
    </row>
    <row r="953" spans="1:4" x14ac:dyDescent="0.3">
      <c r="A953" s="4">
        <v>45260</v>
      </c>
      <c r="B953" s="5">
        <v>326755696100</v>
      </c>
      <c r="C953" s="5">
        <v>446730903500</v>
      </c>
      <c r="D953" s="49">
        <f t="shared" si="25"/>
        <v>7734.8659960000005</v>
      </c>
    </row>
    <row r="954" spans="1:4" x14ac:dyDescent="0.3">
      <c r="A954" s="4">
        <v>45261</v>
      </c>
      <c r="B954" s="5">
        <v>335547176400</v>
      </c>
      <c r="C954" s="5">
        <v>498585865700</v>
      </c>
      <c r="D954" s="49">
        <f t="shared" si="25"/>
        <v>8341.3304210000006</v>
      </c>
    </row>
    <row r="955" spans="1:4" x14ac:dyDescent="0.3">
      <c r="A955" s="4">
        <v>45264</v>
      </c>
      <c r="B955" s="5">
        <v>344279696000</v>
      </c>
      <c r="C955" s="5">
        <v>506888133600</v>
      </c>
      <c r="D955" s="49">
        <f t="shared" si="25"/>
        <v>8511.678296</v>
      </c>
    </row>
    <row r="956" spans="1:4" x14ac:dyDescent="0.3">
      <c r="A956" s="4">
        <v>45265</v>
      </c>
      <c r="B956" s="5">
        <v>340454488100</v>
      </c>
      <c r="C956" s="5">
        <v>482035889200</v>
      </c>
      <c r="D956" s="49">
        <f t="shared" si="25"/>
        <v>8224.903773</v>
      </c>
    </row>
    <row r="957" spans="1:4" x14ac:dyDescent="0.3">
      <c r="A957" s="4">
        <v>45266</v>
      </c>
      <c r="B957" s="5">
        <v>336218906400</v>
      </c>
      <c r="C957" s="5">
        <v>480819528100</v>
      </c>
      <c r="D957" s="49">
        <f t="shared" si="25"/>
        <v>8170.3843450000004</v>
      </c>
    </row>
    <row r="958" spans="1:4" x14ac:dyDescent="0.3">
      <c r="A958" s="4">
        <v>45267</v>
      </c>
      <c r="B958" s="5">
        <v>348039624000</v>
      </c>
      <c r="C958" s="5">
        <v>472176918600</v>
      </c>
      <c r="D958" s="49">
        <f t="shared" si="25"/>
        <v>8202.1654259999996</v>
      </c>
    </row>
    <row r="959" spans="1:4" x14ac:dyDescent="0.3">
      <c r="A959" s="4">
        <v>45268</v>
      </c>
      <c r="B959" s="5">
        <v>423492311900</v>
      </c>
      <c r="C959" s="5">
        <v>538252151000</v>
      </c>
      <c r="D959" s="49">
        <f t="shared" si="25"/>
        <v>9617.4446289999996</v>
      </c>
    </row>
    <row r="960" spans="1:4" x14ac:dyDescent="0.3">
      <c r="A960" s="4">
        <v>45271</v>
      </c>
      <c r="B960" s="5">
        <v>405351583200</v>
      </c>
      <c r="C960" s="5">
        <v>506145969500</v>
      </c>
      <c r="D960" s="49">
        <f t="shared" si="25"/>
        <v>9114.9755270000005</v>
      </c>
    </row>
    <row r="961" spans="1:4" x14ac:dyDescent="0.3">
      <c r="A961" s="4">
        <v>45272</v>
      </c>
      <c r="B961" s="5">
        <v>333170576400</v>
      </c>
      <c r="C961" s="5">
        <v>454324857100</v>
      </c>
      <c r="D961" s="49">
        <f t="shared" si="25"/>
        <v>7874.9543350000004</v>
      </c>
    </row>
    <row r="962" spans="1:4" x14ac:dyDescent="0.3">
      <c r="A962" s="4">
        <v>45273</v>
      </c>
      <c r="B962" s="5">
        <v>331476614700</v>
      </c>
      <c r="C962" s="5">
        <v>437067128800</v>
      </c>
      <c r="D962" s="49">
        <f t="shared" si="25"/>
        <v>7685.4374349999998</v>
      </c>
    </row>
    <row r="963" spans="1:4" x14ac:dyDescent="0.3">
      <c r="A963" s="4">
        <v>45274</v>
      </c>
      <c r="B963" s="5">
        <v>312658124600</v>
      </c>
      <c r="C963" s="5">
        <v>424317999600</v>
      </c>
      <c r="D963" s="49">
        <f t="shared" si="25"/>
        <v>7369.7612419999996</v>
      </c>
    </row>
    <row r="964" spans="1:4" x14ac:dyDescent="0.3">
      <c r="A964" s="4">
        <v>45275</v>
      </c>
      <c r="B964" s="5">
        <v>322083690800</v>
      </c>
      <c r="C964" s="5">
        <v>411123703200</v>
      </c>
      <c r="D964" s="49">
        <f t="shared" si="25"/>
        <v>7332.0739400000002</v>
      </c>
    </row>
    <row r="965" spans="1:4" x14ac:dyDescent="0.3">
      <c r="A965" s="4">
        <v>45278</v>
      </c>
      <c r="B965" s="5">
        <v>304915893000</v>
      </c>
      <c r="C965" s="5">
        <v>387729425300</v>
      </c>
      <c r="D965" s="49">
        <f t="shared" si="25"/>
        <v>6926.4531829999996</v>
      </c>
    </row>
    <row r="966" spans="1:4" x14ac:dyDescent="0.3">
      <c r="A966" s="4">
        <v>45279</v>
      </c>
      <c r="B966" s="5">
        <v>283234126200</v>
      </c>
      <c r="C966" s="5">
        <v>359542447300</v>
      </c>
      <c r="D966" s="49">
        <f t="shared" ref="D966:D1029" si="26">(B966+C966)/100000000</f>
        <v>6427.7657349999999</v>
      </c>
    </row>
    <row r="967" spans="1:4" x14ac:dyDescent="0.3">
      <c r="A967" s="4">
        <v>45280</v>
      </c>
      <c r="B967" s="5">
        <v>290838402100</v>
      </c>
      <c r="C967" s="5">
        <v>372789942200</v>
      </c>
      <c r="D967" s="49">
        <f t="shared" si="26"/>
        <v>6636.2834430000003</v>
      </c>
    </row>
    <row r="968" spans="1:4" x14ac:dyDescent="0.3">
      <c r="A968" s="4">
        <v>45281</v>
      </c>
      <c r="B968" s="5">
        <v>315943775500</v>
      </c>
      <c r="C968" s="5">
        <v>416543193700</v>
      </c>
      <c r="D968" s="49">
        <f t="shared" si="26"/>
        <v>7324.8696920000002</v>
      </c>
    </row>
    <row r="969" spans="1:4" x14ac:dyDescent="0.3">
      <c r="A969" s="4">
        <v>45282</v>
      </c>
      <c r="B969" s="5">
        <v>327498019600</v>
      </c>
      <c r="C969" s="5">
        <v>451945061300</v>
      </c>
      <c r="D969" s="49">
        <f t="shared" si="26"/>
        <v>7794.4308090000004</v>
      </c>
    </row>
    <row r="970" spans="1:4" x14ac:dyDescent="0.3">
      <c r="A970" s="4">
        <v>45285</v>
      </c>
      <c r="B970" s="5">
        <v>261487251000</v>
      </c>
      <c r="C970" s="5">
        <v>346625188400</v>
      </c>
      <c r="D970" s="49">
        <f t="shared" si="26"/>
        <v>6081.1243940000004</v>
      </c>
    </row>
    <row r="971" spans="1:4" x14ac:dyDescent="0.3">
      <c r="A971" s="4">
        <v>45286</v>
      </c>
      <c r="B971" s="5">
        <v>260220552800</v>
      </c>
      <c r="C971" s="5">
        <v>349655025900</v>
      </c>
      <c r="D971" s="49">
        <f t="shared" si="26"/>
        <v>6098.7557870000001</v>
      </c>
    </row>
    <row r="972" spans="1:4" x14ac:dyDescent="0.3">
      <c r="A972" s="4">
        <v>45287</v>
      </c>
      <c r="B972" s="5">
        <v>279048608000</v>
      </c>
      <c r="C972" s="5">
        <v>357786160700</v>
      </c>
      <c r="D972" s="49">
        <f t="shared" si="26"/>
        <v>6368.3476870000004</v>
      </c>
    </row>
    <row r="973" spans="1:4" x14ac:dyDescent="0.3">
      <c r="A973" s="4">
        <v>45288</v>
      </c>
      <c r="B973" s="5">
        <v>392449073500</v>
      </c>
      <c r="C973" s="5">
        <v>491969687000</v>
      </c>
      <c r="D973" s="49">
        <f t="shared" si="26"/>
        <v>8844.1876049999992</v>
      </c>
    </row>
    <row r="974" spans="1:4" x14ac:dyDescent="0.3">
      <c r="A974" s="4">
        <v>45289</v>
      </c>
      <c r="B974" s="5">
        <v>349002967300</v>
      </c>
      <c r="C974" s="5">
        <v>473608947000</v>
      </c>
      <c r="D974" s="49">
        <f t="shared" si="26"/>
        <v>8226.1191429999999</v>
      </c>
    </row>
    <row r="975" spans="1:4" x14ac:dyDescent="0.3">
      <c r="A975" s="4">
        <v>45293</v>
      </c>
      <c r="B975" s="5">
        <v>345950729200</v>
      </c>
      <c r="C975" s="5">
        <v>441826397300</v>
      </c>
      <c r="D975" s="49">
        <f t="shared" si="26"/>
        <v>7877.7712650000003</v>
      </c>
    </row>
    <row r="976" spans="1:4" x14ac:dyDescent="0.3">
      <c r="A976" s="4">
        <v>45294</v>
      </c>
      <c r="B976" s="5">
        <v>321018391300</v>
      </c>
      <c r="C976" s="5">
        <v>416452702100</v>
      </c>
      <c r="D976" s="49">
        <f t="shared" si="26"/>
        <v>7374.7109339999997</v>
      </c>
    </row>
    <row r="977" spans="1:4" x14ac:dyDescent="0.3">
      <c r="A977" s="4">
        <v>45295</v>
      </c>
      <c r="B977" s="5">
        <v>296291346900</v>
      </c>
      <c r="C977" s="5">
        <v>377140370100</v>
      </c>
      <c r="D977" s="49">
        <f t="shared" si="26"/>
        <v>6734.3171700000003</v>
      </c>
    </row>
    <row r="978" spans="1:4" x14ac:dyDescent="0.3">
      <c r="A978" s="4">
        <v>45296</v>
      </c>
      <c r="B978" s="5">
        <v>325917001200</v>
      </c>
      <c r="C978" s="5">
        <v>410386979300</v>
      </c>
      <c r="D978" s="49">
        <f t="shared" si="26"/>
        <v>7363.0398050000003</v>
      </c>
    </row>
    <row r="979" spans="1:4" x14ac:dyDescent="0.3">
      <c r="A979" s="4">
        <v>45299</v>
      </c>
      <c r="B979" s="5">
        <v>290730589600</v>
      </c>
      <c r="C979" s="5">
        <v>366871509500</v>
      </c>
      <c r="D979" s="49">
        <f t="shared" si="26"/>
        <v>6576.0209910000003</v>
      </c>
    </row>
    <row r="980" spans="1:4" x14ac:dyDescent="0.3">
      <c r="A980" s="4">
        <v>45300</v>
      </c>
      <c r="B980" s="5">
        <v>294446373700</v>
      </c>
      <c r="C980" s="5">
        <v>379819298600</v>
      </c>
      <c r="D980" s="49">
        <f t="shared" si="26"/>
        <v>6742.6567230000001</v>
      </c>
    </row>
    <row r="981" spans="1:4" x14ac:dyDescent="0.3">
      <c r="A981" s="4">
        <v>45301</v>
      </c>
      <c r="B981" s="5">
        <v>281192192400</v>
      </c>
      <c r="C981" s="5">
        <v>365827057800</v>
      </c>
      <c r="D981" s="49">
        <f t="shared" si="26"/>
        <v>6470.1925019999999</v>
      </c>
    </row>
    <row r="982" spans="1:4" x14ac:dyDescent="0.3">
      <c r="A982" s="4">
        <v>45302</v>
      </c>
      <c r="B982" s="5">
        <v>298552532900</v>
      </c>
      <c r="C982" s="5">
        <v>413523453300</v>
      </c>
      <c r="D982" s="49">
        <f t="shared" si="26"/>
        <v>7120.7598619999999</v>
      </c>
    </row>
    <row r="983" spans="1:4" x14ac:dyDescent="0.3">
      <c r="A983" s="4">
        <v>45303</v>
      </c>
      <c r="B983" s="5">
        <v>282877466300</v>
      </c>
      <c r="C983" s="5">
        <v>393788411700</v>
      </c>
      <c r="D983" s="49">
        <f t="shared" si="26"/>
        <v>6766.6587799999998</v>
      </c>
    </row>
    <row r="984" spans="1:4" x14ac:dyDescent="0.3">
      <c r="A984" s="4">
        <v>45306</v>
      </c>
      <c r="B984" s="5">
        <v>269229737100.00003</v>
      </c>
      <c r="C984" s="5">
        <v>341693774100</v>
      </c>
      <c r="D984" s="49">
        <f t="shared" si="26"/>
        <v>6109.2351120000003</v>
      </c>
    </row>
    <row r="985" spans="1:4" x14ac:dyDescent="0.3">
      <c r="A985" s="4">
        <v>45307</v>
      </c>
      <c r="B985" s="5">
        <v>300837919200</v>
      </c>
      <c r="C985" s="5">
        <v>383997197900</v>
      </c>
      <c r="D985" s="49">
        <f t="shared" si="26"/>
        <v>6848.3511710000002</v>
      </c>
    </row>
    <row r="986" spans="1:4" x14ac:dyDescent="0.3">
      <c r="A986" s="4">
        <v>45308</v>
      </c>
      <c r="B986" s="5">
        <v>283073939800</v>
      </c>
      <c r="C986" s="5">
        <v>354455914300</v>
      </c>
      <c r="D986" s="49">
        <f t="shared" si="26"/>
        <v>6375.2985410000001</v>
      </c>
    </row>
    <row r="987" spans="1:4" x14ac:dyDescent="0.3">
      <c r="A987" s="4">
        <v>45309</v>
      </c>
      <c r="B987" s="5">
        <v>400709904700</v>
      </c>
      <c r="C987" s="5">
        <v>464080667800</v>
      </c>
      <c r="D987" s="49">
        <f t="shared" si="26"/>
        <v>8647.9057250000005</v>
      </c>
    </row>
    <row r="988" spans="1:4" x14ac:dyDescent="0.3">
      <c r="A988" s="4">
        <v>45310</v>
      </c>
      <c r="B988" s="5">
        <v>296717043800</v>
      </c>
      <c r="C988" s="5">
        <v>369892377000</v>
      </c>
      <c r="D988" s="49">
        <f t="shared" si="26"/>
        <v>6666.0942080000004</v>
      </c>
    </row>
    <row r="989" spans="1:4" x14ac:dyDescent="0.3">
      <c r="A989" s="4">
        <v>45313</v>
      </c>
      <c r="B989" s="5">
        <v>359918989600</v>
      </c>
      <c r="C989" s="5">
        <v>434149104400</v>
      </c>
      <c r="D989" s="49">
        <f t="shared" si="26"/>
        <v>7940.6809400000002</v>
      </c>
    </row>
    <row r="990" spans="1:4" x14ac:dyDescent="0.3">
      <c r="A990" s="4">
        <v>45314</v>
      </c>
      <c r="B990" s="5">
        <v>312191330200</v>
      </c>
      <c r="C990" s="5">
        <v>392050613600</v>
      </c>
      <c r="D990" s="49">
        <f t="shared" si="26"/>
        <v>7042.4194379999999</v>
      </c>
    </row>
    <row r="991" spans="1:4" x14ac:dyDescent="0.3">
      <c r="A991" s="4">
        <v>45315</v>
      </c>
      <c r="B991" s="5">
        <v>357316181600</v>
      </c>
      <c r="C991" s="5">
        <v>409638474000</v>
      </c>
      <c r="D991" s="49">
        <f t="shared" si="26"/>
        <v>7669.5465560000002</v>
      </c>
    </row>
    <row r="992" spans="1:4" x14ac:dyDescent="0.3">
      <c r="A992" s="4">
        <v>45316</v>
      </c>
      <c r="B992" s="5">
        <v>437679811300</v>
      </c>
      <c r="C992" s="5">
        <v>453753233000</v>
      </c>
      <c r="D992" s="49">
        <f t="shared" si="26"/>
        <v>8914.3304430000007</v>
      </c>
    </row>
    <row r="993" spans="1:4" x14ac:dyDescent="0.3">
      <c r="A993" s="4">
        <v>45317</v>
      </c>
      <c r="B993" s="5">
        <v>402400231300</v>
      </c>
      <c r="C993" s="5">
        <v>426293465200</v>
      </c>
      <c r="D993" s="49">
        <f t="shared" si="26"/>
        <v>8286.9369650000008</v>
      </c>
    </row>
    <row r="994" spans="1:4" x14ac:dyDescent="0.3">
      <c r="A994" s="4">
        <v>45320</v>
      </c>
      <c r="B994" s="5">
        <v>397014731400</v>
      </c>
      <c r="C994" s="5">
        <v>408207940100</v>
      </c>
      <c r="D994" s="49">
        <f t="shared" si="26"/>
        <v>8052.2267149999998</v>
      </c>
    </row>
    <row r="995" spans="1:4" x14ac:dyDescent="0.3">
      <c r="A995" s="4">
        <v>45321</v>
      </c>
      <c r="B995" s="5">
        <v>329254005900</v>
      </c>
      <c r="C995" s="5">
        <v>334386095300</v>
      </c>
      <c r="D995" s="49">
        <f t="shared" si="26"/>
        <v>6636.4010120000003</v>
      </c>
    </row>
    <row r="996" spans="1:4" x14ac:dyDescent="0.3">
      <c r="A996" s="4">
        <v>45322</v>
      </c>
      <c r="B996" s="5">
        <v>355636999800</v>
      </c>
      <c r="C996" s="5">
        <v>402618307500</v>
      </c>
      <c r="D996" s="49">
        <f t="shared" si="26"/>
        <v>7582.553073</v>
      </c>
    </row>
    <row r="997" spans="1:4" x14ac:dyDescent="0.3">
      <c r="A997" s="4">
        <v>45323</v>
      </c>
      <c r="B997" s="5">
        <v>337547960500</v>
      </c>
      <c r="C997" s="5">
        <v>365451472800</v>
      </c>
      <c r="D997" s="49">
        <f t="shared" si="26"/>
        <v>7029.9943329999996</v>
      </c>
    </row>
    <row r="998" spans="1:4" x14ac:dyDescent="0.3">
      <c r="A998" s="4">
        <v>45324</v>
      </c>
      <c r="B998" s="5">
        <v>392661142300</v>
      </c>
      <c r="C998" s="5">
        <v>413026082200</v>
      </c>
      <c r="D998" s="49">
        <f t="shared" si="26"/>
        <v>8056.8722449999996</v>
      </c>
    </row>
    <row r="999" spans="1:4" x14ac:dyDescent="0.3">
      <c r="A999" s="4">
        <v>45327</v>
      </c>
      <c r="B999" s="5">
        <v>424877418300</v>
      </c>
      <c r="C999" s="5">
        <v>452502742900</v>
      </c>
      <c r="D999" s="49">
        <f t="shared" si="26"/>
        <v>8773.8016119999993</v>
      </c>
    </row>
    <row r="1000" spans="1:4" x14ac:dyDescent="0.3">
      <c r="A1000" s="4">
        <v>45328</v>
      </c>
      <c r="B1000" s="5">
        <v>441215054100</v>
      </c>
      <c r="C1000" s="5">
        <v>485109903000</v>
      </c>
      <c r="D1000" s="49">
        <f t="shared" si="26"/>
        <v>9263.2495710000003</v>
      </c>
    </row>
    <row r="1001" spans="1:4" x14ac:dyDescent="0.3">
      <c r="A1001" s="4">
        <v>45329</v>
      </c>
      <c r="B1001" s="5">
        <v>495919878100</v>
      </c>
      <c r="C1001" s="5">
        <v>526013314800</v>
      </c>
      <c r="D1001" s="49">
        <f t="shared" si="26"/>
        <v>10219.331929</v>
      </c>
    </row>
    <row r="1002" spans="1:4" x14ac:dyDescent="0.3">
      <c r="A1002" s="4">
        <v>45330</v>
      </c>
      <c r="B1002" s="5">
        <v>482939732000</v>
      </c>
      <c r="C1002" s="5">
        <v>534522708200</v>
      </c>
      <c r="D1002" s="49">
        <f t="shared" si="26"/>
        <v>10174.624401999999</v>
      </c>
    </row>
    <row r="1003" spans="1:4" x14ac:dyDescent="0.3">
      <c r="A1003" s="4">
        <v>45341</v>
      </c>
      <c r="B1003" s="5">
        <v>442148454600</v>
      </c>
      <c r="C1003" s="5">
        <v>515139483400</v>
      </c>
      <c r="D1003" s="49">
        <f t="shared" si="26"/>
        <v>9572.8793800000003</v>
      </c>
    </row>
    <row r="1004" spans="1:4" x14ac:dyDescent="0.3">
      <c r="A1004" s="4">
        <v>45342</v>
      </c>
      <c r="B1004" s="5">
        <v>357057492000</v>
      </c>
      <c r="C1004" s="5">
        <v>432390342900</v>
      </c>
      <c r="D1004" s="49">
        <f t="shared" si="26"/>
        <v>7894.478349</v>
      </c>
    </row>
    <row r="1005" spans="1:4" x14ac:dyDescent="0.3">
      <c r="A1005" s="4">
        <v>45343</v>
      </c>
      <c r="B1005" s="5">
        <v>450922050700</v>
      </c>
      <c r="C1005" s="5">
        <v>529328781500</v>
      </c>
      <c r="D1005" s="49">
        <f t="shared" si="26"/>
        <v>9802.5083219999997</v>
      </c>
    </row>
    <row r="1006" spans="1:4" x14ac:dyDescent="0.3">
      <c r="A1006" s="4">
        <v>45344</v>
      </c>
      <c r="B1006" s="5">
        <v>365264217900</v>
      </c>
      <c r="C1006" s="5">
        <v>457124201200</v>
      </c>
      <c r="D1006" s="49">
        <f t="shared" si="26"/>
        <v>8223.8841909999992</v>
      </c>
    </row>
    <row r="1007" spans="1:4" x14ac:dyDescent="0.3">
      <c r="A1007" s="4">
        <v>45345</v>
      </c>
      <c r="B1007" s="5">
        <v>398232220700</v>
      </c>
      <c r="C1007" s="5">
        <v>523724591600</v>
      </c>
      <c r="D1007" s="49">
        <f t="shared" si="26"/>
        <v>9219.5681229999991</v>
      </c>
    </row>
    <row r="1008" spans="1:4" x14ac:dyDescent="0.3">
      <c r="A1008" s="4">
        <v>45348</v>
      </c>
      <c r="B1008" s="5">
        <v>427564895800</v>
      </c>
      <c r="C1008" s="5">
        <v>561535479000</v>
      </c>
      <c r="D1008" s="49">
        <f t="shared" si="26"/>
        <v>9891.0037479999992</v>
      </c>
    </row>
    <row r="1009" spans="1:4" x14ac:dyDescent="0.3">
      <c r="A1009" s="4">
        <v>45349</v>
      </c>
      <c r="B1009" s="5">
        <v>412614978500</v>
      </c>
      <c r="C1009" s="5">
        <v>577389504500</v>
      </c>
      <c r="D1009" s="49">
        <f t="shared" si="26"/>
        <v>9900.0448300000007</v>
      </c>
    </row>
    <row r="1010" spans="1:4" x14ac:dyDescent="0.3">
      <c r="A1010" s="4">
        <v>45350</v>
      </c>
      <c r="B1010" s="5">
        <v>576555221700</v>
      </c>
      <c r="C1010" s="5">
        <v>780099170800</v>
      </c>
      <c r="D1010" s="49">
        <f t="shared" si="26"/>
        <v>13566.543925</v>
      </c>
    </row>
    <row r="1011" spans="1:4" x14ac:dyDescent="0.3">
      <c r="A1011" s="4">
        <v>45351</v>
      </c>
      <c r="B1011" s="5">
        <v>452808746100</v>
      </c>
      <c r="C1011" s="5">
        <v>599849958700</v>
      </c>
      <c r="D1011" s="49">
        <f t="shared" si="26"/>
        <v>10526.587047999999</v>
      </c>
    </row>
    <row r="1012" spans="1:4" x14ac:dyDescent="0.3">
      <c r="A1012" s="4">
        <v>45352</v>
      </c>
      <c r="B1012" s="5">
        <v>442984248200</v>
      </c>
      <c r="C1012" s="5">
        <v>612260432100</v>
      </c>
      <c r="D1012" s="49">
        <f t="shared" si="26"/>
        <v>10552.446803000001</v>
      </c>
    </row>
    <row r="1013" spans="1:4" x14ac:dyDescent="0.3">
      <c r="A1013" s="4">
        <v>45355</v>
      </c>
      <c r="B1013" s="5">
        <v>461727516600</v>
      </c>
      <c r="C1013" s="5">
        <v>615375587100</v>
      </c>
      <c r="D1013" s="49">
        <f t="shared" si="26"/>
        <v>10771.031037000001</v>
      </c>
    </row>
    <row r="1014" spans="1:4" x14ac:dyDescent="0.3">
      <c r="A1014" s="4">
        <v>45356</v>
      </c>
      <c r="B1014" s="5">
        <v>458900476800</v>
      </c>
      <c r="C1014" s="5">
        <v>608149760400</v>
      </c>
      <c r="D1014" s="49">
        <f t="shared" si="26"/>
        <v>10670.502372000001</v>
      </c>
    </row>
    <row r="1015" spans="1:4" x14ac:dyDescent="0.3">
      <c r="A1015" s="4">
        <v>45357</v>
      </c>
      <c r="B1015" s="5">
        <v>401334635600</v>
      </c>
      <c r="C1015" s="5">
        <v>530447564700</v>
      </c>
      <c r="D1015" s="49">
        <f t="shared" si="26"/>
        <v>9317.8220029999993</v>
      </c>
    </row>
    <row r="1016" spans="1:4" x14ac:dyDescent="0.3">
      <c r="A1016" s="4">
        <v>45358</v>
      </c>
      <c r="B1016" s="5">
        <v>423391257000</v>
      </c>
      <c r="C1016" s="5">
        <v>558270858900</v>
      </c>
      <c r="D1016" s="49">
        <f t="shared" si="26"/>
        <v>9816.6211590000003</v>
      </c>
    </row>
    <row r="1017" spans="1:4" x14ac:dyDescent="0.3">
      <c r="A1017" s="4">
        <v>45359</v>
      </c>
      <c r="B1017" s="5">
        <v>370647474800</v>
      </c>
      <c r="C1017" s="5">
        <v>489979325200</v>
      </c>
      <c r="D1017" s="49">
        <f t="shared" si="26"/>
        <v>8606.268</v>
      </c>
    </row>
    <row r="1018" spans="1:4" x14ac:dyDescent="0.3">
      <c r="A1018" s="4">
        <v>45362</v>
      </c>
      <c r="B1018" s="5">
        <v>427851361300</v>
      </c>
      <c r="C1018" s="5">
        <v>577960576000</v>
      </c>
      <c r="D1018" s="49">
        <f t="shared" si="26"/>
        <v>10058.119373</v>
      </c>
    </row>
    <row r="1019" spans="1:4" x14ac:dyDescent="0.3">
      <c r="A1019" s="4">
        <v>45363</v>
      </c>
      <c r="B1019" s="5">
        <v>494558502800</v>
      </c>
      <c r="C1019" s="5">
        <v>650816829400</v>
      </c>
      <c r="D1019" s="49">
        <f t="shared" si="26"/>
        <v>11453.753322</v>
      </c>
    </row>
    <row r="1020" spans="1:4" x14ac:dyDescent="0.3">
      <c r="A1020" s="4">
        <v>45364</v>
      </c>
      <c r="B1020" s="5">
        <v>442453946300</v>
      </c>
      <c r="C1020" s="5">
        <v>612318352600</v>
      </c>
      <c r="D1020" s="49">
        <f t="shared" si="26"/>
        <v>10547.722989</v>
      </c>
    </row>
    <row r="1021" spans="1:4" x14ac:dyDescent="0.3">
      <c r="A1021" s="4">
        <v>45365</v>
      </c>
      <c r="B1021" s="5">
        <v>436338838300</v>
      </c>
      <c r="C1021" s="5">
        <v>570907335100</v>
      </c>
      <c r="D1021" s="49">
        <f t="shared" si="26"/>
        <v>10072.461734</v>
      </c>
    </row>
    <row r="1022" spans="1:4" x14ac:dyDescent="0.3">
      <c r="A1022" s="4">
        <v>45366</v>
      </c>
      <c r="B1022" s="5">
        <v>405917704000</v>
      </c>
      <c r="C1022" s="5">
        <v>538637335200.00006</v>
      </c>
      <c r="D1022" s="49">
        <f t="shared" si="26"/>
        <v>9445.5503919999992</v>
      </c>
    </row>
    <row r="1023" spans="1:4" x14ac:dyDescent="0.3">
      <c r="A1023" s="4">
        <v>45369</v>
      </c>
      <c r="B1023" s="5">
        <v>485520636500</v>
      </c>
      <c r="C1023" s="5">
        <v>652383878100</v>
      </c>
      <c r="D1023" s="49">
        <f t="shared" si="26"/>
        <v>11379.045146</v>
      </c>
    </row>
    <row r="1024" spans="1:4" x14ac:dyDescent="0.3">
      <c r="A1024" s="4">
        <v>45370</v>
      </c>
      <c r="B1024" s="5">
        <v>446930657800</v>
      </c>
      <c r="C1024" s="5">
        <v>631009846300</v>
      </c>
      <c r="D1024" s="49">
        <f t="shared" si="26"/>
        <v>10779.405041</v>
      </c>
    </row>
    <row r="1025" spans="1:4" x14ac:dyDescent="0.3">
      <c r="A1025" s="4">
        <v>45371</v>
      </c>
      <c r="B1025" s="5">
        <v>407432569700</v>
      </c>
      <c r="C1025" s="5">
        <v>592551703400</v>
      </c>
      <c r="D1025" s="49">
        <f t="shared" si="26"/>
        <v>9999.8427310000006</v>
      </c>
    </row>
    <row r="1026" spans="1:4" x14ac:dyDescent="0.3">
      <c r="A1026" s="4">
        <v>45372</v>
      </c>
      <c r="B1026" s="5">
        <v>437634616300</v>
      </c>
      <c r="C1026" s="5">
        <v>630132949200</v>
      </c>
      <c r="D1026" s="49">
        <f t="shared" si="26"/>
        <v>10677.675654999999</v>
      </c>
    </row>
    <row r="1027" spans="1:4" x14ac:dyDescent="0.3">
      <c r="A1027" s="4">
        <v>45373</v>
      </c>
      <c r="B1027" s="5">
        <v>456762466600</v>
      </c>
      <c r="C1027" s="5">
        <v>640543546600</v>
      </c>
      <c r="D1027" s="49">
        <f t="shared" si="26"/>
        <v>10973.060132000001</v>
      </c>
    </row>
    <row r="1028" spans="1:4" x14ac:dyDescent="0.3">
      <c r="A1028" s="4">
        <v>45376</v>
      </c>
      <c r="B1028" s="5">
        <v>443472341300</v>
      </c>
      <c r="C1028" s="5">
        <v>599961542400</v>
      </c>
      <c r="D1028" s="49">
        <f t="shared" si="26"/>
        <v>10434.338836999999</v>
      </c>
    </row>
    <row r="1029" spans="1:4" x14ac:dyDescent="0.3">
      <c r="A1029" s="4">
        <v>45377</v>
      </c>
      <c r="B1029" s="5">
        <v>396410716100</v>
      </c>
      <c r="C1029" s="5">
        <v>559544397100</v>
      </c>
      <c r="D1029" s="49">
        <f t="shared" si="26"/>
        <v>9559.5511320000005</v>
      </c>
    </row>
    <row r="1030" spans="1:4" x14ac:dyDescent="0.3">
      <c r="A1030" s="4">
        <v>45378</v>
      </c>
      <c r="B1030" s="5">
        <v>376242896100</v>
      </c>
      <c r="C1030" s="5">
        <v>512601122800</v>
      </c>
      <c r="D1030" s="49">
        <f t="shared" ref="D1030:D1093" si="27">(B1030+C1030)/100000000</f>
        <v>8888.4401890000008</v>
      </c>
    </row>
    <row r="1031" spans="1:4" x14ac:dyDescent="0.3">
      <c r="A1031" s="4">
        <v>45379</v>
      </c>
      <c r="B1031" s="5">
        <v>392929088700</v>
      </c>
      <c r="C1031" s="5">
        <v>539300591600</v>
      </c>
      <c r="D1031" s="49">
        <f t="shared" si="27"/>
        <v>9322.2968029999993</v>
      </c>
    </row>
    <row r="1032" spans="1:4" x14ac:dyDescent="0.3">
      <c r="A1032" s="4">
        <v>45380</v>
      </c>
      <c r="B1032" s="5">
        <v>364571210100</v>
      </c>
      <c r="C1032" s="5">
        <v>494000509700</v>
      </c>
      <c r="D1032" s="49">
        <f t="shared" si="27"/>
        <v>8585.7171980000003</v>
      </c>
    </row>
    <row r="1033" spans="1:4" x14ac:dyDescent="0.3">
      <c r="A1033" s="4">
        <v>45383</v>
      </c>
      <c r="B1033" s="5">
        <v>420902006800</v>
      </c>
      <c r="C1033" s="5">
        <v>578417634300</v>
      </c>
      <c r="D1033" s="49">
        <f t="shared" si="27"/>
        <v>9993.1964110000008</v>
      </c>
    </row>
    <row r="1034" spans="1:4" x14ac:dyDescent="0.3">
      <c r="A1034" s="4">
        <v>45384</v>
      </c>
      <c r="B1034" s="5">
        <v>396705813300</v>
      </c>
      <c r="C1034" s="5">
        <v>570933557500</v>
      </c>
      <c r="D1034" s="49">
        <f t="shared" si="27"/>
        <v>9676.3937079999996</v>
      </c>
    </row>
    <row r="1035" spans="1:4" x14ac:dyDescent="0.3">
      <c r="A1035" s="4">
        <v>45385</v>
      </c>
      <c r="B1035" s="5">
        <v>392704394000</v>
      </c>
      <c r="C1035" s="5">
        <v>525224147900</v>
      </c>
      <c r="D1035" s="49">
        <f t="shared" si="27"/>
        <v>9179.2854189999998</v>
      </c>
    </row>
    <row r="1036" spans="1:4" x14ac:dyDescent="0.3">
      <c r="A1036" s="4">
        <v>45390</v>
      </c>
      <c r="B1036" s="5">
        <v>421808399700</v>
      </c>
      <c r="C1036" s="5">
        <v>509541036800</v>
      </c>
      <c r="D1036" s="49">
        <f t="shared" si="27"/>
        <v>9313.4943650000005</v>
      </c>
    </row>
    <row r="1037" spans="1:4" x14ac:dyDescent="0.3">
      <c r="A1037" s="4">
        <v>45391</v>
      </c>
      <c r="B1037" s="5">
        <v>347834663500</v>
      </c>
      <c r="C1037" s="5">
        <v>448490514900</v>
      </c>
      <c r="D1037" s="49">
        <f t="shared" si="27"/>
        <v>7963.251784</v>
      </c>
    </row>
    <row r="1038" spans="1:4" x14ac:dyDescent="0.3">
      <c r="A1038" s="4">
        <v>45392</v>
      </c>
      <c r="B1038" s="5">
        <v>364717833500</v>
      </c>
      <c r="C1038" s="5">
        <v>465259775100</v>
      </c>
      <c r="D1038" s="49">
        <f t="shared" si="27"/>
        <v>8299.7760859999999</v>
      </c>
    </row>
    <row r="1039" spans="1:4" x14ac:dyDescent="0.3">
      <c r="A1039" s="4">
        <v>45393</v>
      </c>
      <c r="B1039" s="5">
        <v>364147836500</v>
      </c>
      <c r="C1039" s="5">
        <v>448638280000</v>
      </c>
      <c r="D1039" s="49">
        <f t="shared" si="27"/>
        <v>8127.8611650000003</v>
      </c>
    </row>
    <row r="1040" spans="1:4" x14ac:dyDescent="0.3">
      <c r="A1040" s="4">
        <v>45394</v>
      </c>
      <c r="B1040" s="5">
        <v>363119193000</v>
      </c>
      <c r="C1040" s="5">
        <v>447034865000</v>
      </c>
      <c r="D1040" s="49">
        <f t="shared" si="27"/>
        <v>8101.5405799999999</v>
      </c>
    </row>
    <row r="1041" spans="1:4" x14ac:dyDescent="0.3">
      <c r="A1041" s="4">
        <v>45397</v>
      </c>
      <c r="B1041" s="5">
        <v>459849043300</v>
      </c>
      <c r="C1041" s="5">
        <v>537279447299.99994</v>
      </c>
      <c r="D1041" s="49">
        <f t="shared" si="27"/>
        <v>9971.2849060000008</v>
      </c>
    </row>
    <row r="1042" spans="1:4" x14ac:dyDescent="0.3">
      <c r="A1042" s="4">
        <v>45398</v>
      </c>
      <c r="B1042" s="5">
        <v>435170805500</v>
      </c>
      <c r="C1042" s="5">
        <v>511939842800</v>
      </c>
      <c r="D1042" s="49">
        <f t="shared" si="27"/>
        <v>9471.1064829999996</v>
      </c>
    </row>
    <row r="1043" spans="1:4" x14ac:dyDescent="0.3">
      <c r="A1043" s="4">
        <v>45399</v>
      </c>
      <c r="B1043" s="5">
        <v>416254660800</v>
      </c>
      <c r="C1043" s="5">
        <v>502192779000</v>
      </c>
      <c r="D1043" s="49">
        <f t="shared" si="27"/>
        <v>9184.4743980000003</v>
      </c>
    </row>
    <row r="1044" spans="1:4" x14ac:dyDescent="0.3">
      <c r="A1044" s="4">
        <v>45400</v>
      </c>
      <c r="B1044" s="5">
        <v>441432075800</v>
      </c>
      <c r="C1044" s="5">
        <v>508191179300</v>
      </c>
      <c r="D1044" s="49">
        <f t="shared" si="27"/>
        <v>9496.2325509999991</v>
      </c>
    </row>
    <row r="1045" spans="1:4" x14ac:dyDescent="0.3">
      <c r="A1045" s="4">
        <v>45401</v>
      </c>
      <c r="B1045" s="5">
        <v>396614941100</v>
      </c>
      <c r="C1045" s="5">
        <v>463720868200</v>
      </c>
      <c r="D1045" s="49">
        <f t="shared" si="27"/>
        <v>8603.3580930000007</v>
      </c>
    </row>
    <row r="1046" spans="1:4" x14ac:dyDescent="0.3">
      <c r="A1046" s="4">
        <v>45404</v>
      </c>
      <c r="B1046" s="5">
        <v>382192259200</v>
      </c>
      <c r="C1046" s="5">
        <v>439878814200</v>
      </c>
      <c r="D1046" s="49">
        <f t="shared" si="27"/>
        <v>8220.7107340000002</v>
      </c>
    </row>
    <row r="1047" spans="1:4" x14ac:dyDescent="0.3">
      <c r="A1047" s="4">
        <v>45405</v>
      </c>
      <c r="B1047" s="5">
        <v>348651765400</v>
      </c>
      <c r="C1047" s="5">
        <v>426693435500</v>
      </c>
      <c r="D1047" s="49">
        <f t="shared" si="27"/>
        <v>7753.4520089999996</v>
      </c>
    </row>
    <row r="1048" spans="1:4" x14ac:dyDescent="0.3">
      <c r="A1048" s="4">
        <v>45406</v>
      </c>
      <c r="B1048" s="5">
        <v>335157362700</v>
      </c>
      <c r="C1048" s="5">
        <v>460189348800</v>
      </c>
      <c r="D1048" s="49">
        <f t="shared" si="27"/>
        <v>7953.4671150000004</v>
      </c>
    </row>
    <row r="1049" spans="1:4" x14ac:dyDescent="0.3">
      <c r="A1049" s="4">
        <v>45407</v>
      </c>
      <c r="B1049" s="5">
        <v>315797661200</v>
      </c>
      <c r="C1049" s="5">
        <v>458498057900</v>
      </c>
      <c r="D1049" s="49">
        <f t="shared" si="27"/>
        <v>7742.9571910000004</v>
      </c>
    </row>
    <row r="1050" spans="1:4" x14ac:dyDescent="0.3">
      <c r="A1050" s="4">
        <v>45408</v>
      </c>
      <c r="B1050" s="5">
        <v>484160093000</v>
      </c>
      <c r="C1050" s="5">
        <v>602218160000</v>
      </c>
      <c r="D1050" s="49">
        <f t="shared" si="27"/>
        <v>10863.78253</v>
      </c>
    </row>
    <row r="1051" spans="1:4" x14ac:dyDescent="0.3">
      <c r="A1051" s="4">
        <v>45411</v>
      </c>
      <c r="B1051" s="5">
        <v>554918811200</v>
      </c>
      <c r="C1051" s="5">
        <v>656212223700</v>
      </c>
      <c r="D1051" s="49">
        <f t="shared" si="27"/>
        <v>12111.310348999999</v>
      </c>
    </row>
    <row r="1052" spans="1:4" x14ac:dyDescent="0.3">
      <c r="A1052" s="4">
        <v>45412</v>
      </c>
      <c r="B1052" s="5">
        <v>473803228500</v>
      </c>
      <c r="C1052" s="5">
        <v>556846038500</v>
      </c>
      <c r="D1052" s="49">
        <f t="shared" si="27"/>
        <v>10306.49267</v>
      </c>
    </row>
    <row r="1053" spans="1:4" x14ac:dyDescent="0.3">
      <c r="A1053" s="4">
        <v>45418</v>
      </c>
      <c r="B1053" s="5">
        <v>511256135600</v>
      </c>
      <c r="C1053" s="5">
        <v>591203235500</v>
      </c>
      <c r="D1053" s="49">
        <f t="shared" si="27"/>
        <v>11024.593711</v>
      </c>
    </row>
    <row r="1054" spans="1:4" x14ac:dyDescent="0.3">
      <c r="A1054" s="4">
        <v>45419</v>
      </c>
      <c r="B1054" s="5">
        <v>426951665900</v>
      </c>
      <c r="C1054" s="5">
        <v>541742341299.99994</v>
      </c>
      <c r="D1054" s="49">
        <f t="shared" si="27"/>
        <v>9686.9400719999994</v>
      </c>
    </row>
    <row r="1055" spans="1:4" x14ac:dyDescent="0.3">
      <c r="A1055" s="4">
        <v>45420</v>
      </c>
      <c r="B1055" s="5">
        <v>367220116500</v>
      </c>
      <c r="C1055" s="5">
        <v>497163155100</v>
      </c>
      <c r="D1055" s="49">
        <f t="shared" si="27"/>
        <v>8643.8327160000008</v>
      </c>
    </row>
    <row r="1056" spans="1:4" x14ac:dyDescent="0.3">
      <c r="A1056" s="4">
        <v>45421</v>
      </c>
      <c r="B1056" s="5">
        <v>398979066900</v>
      </c>
      <c r="C1056" s="5">
        <v>502136810600</v>
      </c>
      <c r="D1056" s="49">
        <f t="shared" si="27"/>
        <v>9011.1587749999999</v>
      </c>
    </row>
    <row r="1057" spans="1:4" x14ac:dyDescent="0.3">
      <c r="A1057" s="4">
        <v>45422</v>
      </c>
      <c r="B1057" s="5">
        <v>406707822800</v>
      </c>
      <c r="C1057" s="5">
        <v>505824672500</v>
      </c>
      <c r="D1057" s="49">
        <f t="shared" si="27"/>
        <v>9125.3249529999994</v>
      </c>
    </row>
    <row r="1058" spans="1:4" x14ac:dyDescent="0.3">
      <c r="A1058" s="4">
        <v>45425</v>
      </c>
      <c r="B1058" s="5">
        <v>425963088200</v>
      </c>
      <c r="C1058" s="5">
        <v>483756728300</v>
      </c>
      <c r="D1058" s="49">
        <f t="shared" si="27"/>
        <v>9097.1981649999998</v>
      </c>
    </row>
    <row r="1059" spans="1:4" x14ac:dyDescent="0.3">
      <c r="A1059" s="4">
        <v>45426</v>
      </c>
      <c r="B1059" s="5">
        <v>370069674900</v>
      </c>
      <c r="C1059" s="5">
        <v>454492183900</v>
      </c>
      <c r="D1059" s="49">
        <f t="shared" si="27"/>
        <v>8245.6185879999994</v>
      </c>
    </row>
    <row r="1060" spans="1:4" x14ac:dyDescent="0.3">
      <c r="A1060" s="4">
        <v>45427</v>
      </c>
      <c r="B1060" s="5">
        <v>333005622200</v>
      </c>
      <c r="C1060" s="5">
        <v>428065544000</v>
      </c>
      <c r="D1060" s="49">
        <f t="shared" si="27"/>
        <v>7610.7116619999997</v>
      </c>
    </row>
    <row r="1061" spans="1:4" x14ac:dyDescent="0.3">
      <c r="A1061" s="4">
        <v>45428</v>
      </c>
      <c r="B1061" s="5">
        <v>377502921500</v>
      </c>
      <c r="C1061" s="5">
        <v>470285318500</v>
      </c>
      <c r="D1061" s="49">
        <f t="shared" si="27"/>
        <v>8477.8824000000004</v>
      </c>
    </row>
    <row r="1062" spans="1:4" x14ac:dyDescent="0.3">
      <c r="A1062" s="4">
        <v>45429</v>
      </c>
      <c r="B1062" s="5">
        <v>389572549300</v>
      </c>
      <c r="C1062" s="5">
        <v>497791150300</v>
      </c>
      <c r="D1062" s="49">
        <f t="shared" si="27"/>
        <v>8873.6369959999993</v>
      </c>
    </row>
    <row r="1063" spans="1:4" x14ac:dyDescent="0.3">
      <c r="A1063" s="4">
        <v>45432</v>
      </c>
      <c r="B1063" s="5">
        <v>448816915000</v>
      </c>
      <c r="C1063" s="5">
        <v>546626812600</v>
      </c>
      <c r="D1063" s="49">
        <f t="shared" si="27"/>
        <v>9954.4372760000006</v>
      </c>
    </row>
    <row r="1064" spans="1:4" x14ac:dyDescent="0.3">
      <c r="A1064" s="4">
        <v>45433</v>
      </c>
      <c r="B1064" s="5">
        <v>346584200800</v>
      </c>
      <c r="C1064" s="5">
        <v>452661450100</v>
      </c>
      <c r="D1064" s="49">
        <f t="shared" si="27"/>
        <v>7992.4565089999996</v>
      </c>
    </row>
    <row r="1065" spans="1:4" x14ac:dyDescent="0.3">
      <c r="A1065" s="4">
        <v>45434</v>
      </c>
      <c r="B1065" s="5">
        <v>364137830700</v>
      </c>
      <c r="C1065" s="5">
        <v>467146384200</v>
      </c>
      <c r="D1065" s="49">
        <f t="shared" si="27"/>
        <v>8312.8421490000001</v>
      </c>
    </row>
    <row r="1066" spans="1:4" x14ac:dyDescent="0.3">
      <c r="A1066" s="4">
        <v>45435</v>
      </c>
      <c r="B1066" s="5">
        <v>356689462900</v>
      </c>
      <c r="C1066" s="5">
        <v>491013757800</v>
      </c>
      <c r="D1066" s="49">
        <f t="shared" si="27"/>
        <v>8477.0322070000002</v>
      </c>
    </row>
    <row r="1067" spans="1:4" x14ac:dyDescent="0.3">
      <c r="A1067" s="4">
        <v>45436</v>
      </c>
      <c r="B1067" s="5">
        <v>322748606400</v>
      </c>
      <c r="C1067" s="5">
        <v>441175644600</v>
      </c>
      <c r="D1067" s="49">
        <f t="shared" si="27"/>
        <v>7639.24251</v>
      </c>
    </row>
    <row r="1068" spans="1:4" x14ac:dyDescent="0.3">
      <c r="A1068" s="4">
        <v>45439</v>
      </c>
      <c r="B1068" s="5">
        <v>345383767800</v>
      </c>
      <c r="C1068" s="5">
        <v>429422966300</v>
      </c>
      <c r="D1068" s="49">
        <f t="shared" si="27"/>
        <v>7748.0673409999999</v>
      </c>
    </row>
    <row r="1069" spans="1:4" x14ac:dyDescent="0.3">
      <c r="A1069" s="4">
        <v>45440</v>
      </c>
      <c r="B1069" s="5">
        <v>320985406500</v>
      </c>
      <c r="C1069" s="5">
        <v>420739719500</v>
      </c>
      <c r="D1069" s="49">
        <f t="shared" si="27"/>
        <v>7417.25126</v>
      </c>
    </row>
    <row r="1070" spans="1:4" x14ac:dyDescent="0.3">
      <c r="A1070" s="4">
        <v>45441</v>
      </c>
      <c r="B1070" s="5">
        <v>297512177300</v>
      </c>
      <c r="C1070" s="5">
        <v>410878750700</v>
      </c>
      <c r="D1070" s="49">
        <f t="shared" si="27"/>
        <v>7083.9092799999999</v>
      </c>
    </row>
    <row r="1071" spans="1:4" x14ac:dyDescent="0.3">
      <c r="A1071" s="4">
        <v>45442</v>
      </c>
      <c r="B1071" s="5">
        <v>318475183000</v>
      </c>
      <c r="C1071" s="5">
        <v>404813032400</v>
      </c>
      <c r="D1071" s="49">
        <f t="shared" si="27"/>
        <v>7232.8821539999999</v>
      </c>
    </row>
    <row r="1072" spans="1:4" x14ac:dyDescent="0.3">
      <c r="A1072" s="4">
        <v>45443</v>
      </c>
      <c r="B1072" s="5">
        <v>301121881300</v>
      </c>
      <c r="C1072" s="5">
        <v>413836989200</v>
      </c>
      <c r="D1072" s="49">
        <f t="shared" si="27"/>
        <v>7149.5887050000001</v>
      </c>
    </row>
    <row r="1073" spans="1:4" x14ac:dyDescent="0.3">
      <c r="A1073" s="4">
        <v>45446</v>
      </c>
      <c r="B1073" s="5">
        <v>367608352500</v>
      </c>
      <c r="C1073" s="5">
        <v>463090357300</v>
      </c>
      <c r="D1073" s="49">
        <f t="shared" si="27"/>
        <v>8306.9870979999996</v>
      </c>
    </row>
    <row r="1074" spans="1:4" x14ac:dyDescent="0.3">
      <c r="A1074" s="4">
        <v>45447</v>
      </c>
      <c r="B1074" s="5">
        <v>325589691900</v>
      </c>
      <c r="C1074" s="5">
        <v>420123243500</v>
      </c>
      <c r="D1074" s="49">
        <f t="shared" si="27"/>
        <v>7457.1293539999997</v>
      </c>
    </row>
    <row r="1075" spans="1:4" x14ac:dyDescent="0.3">
      <c r="A1075" s="4">
        <v>45448</v>
      </c>
      <c r="B1075" s="5">
        <v>299722764400</v>
      </c>
      <c r="C1075" s="5">
        <v>388856345900</v>
      </c>
      <c r="D1075" s="49">
        <f t="shared" si="27"/>
        <v>6885.7911029999996</v>
      </c>
    </row>
    <row r="1076" spans="1:4" x14ac:dyDescent="0.3">
      <c r="A1076" s="4">
        <v>45449</v>
      </c>
      <c r="B1076" s="5">
        <v>371317019000</v>
      </c>
      <c r="C1076" s="5">
        <v>474575479800</v>
      </c>
      <c r="D1076" s="49">
        <f t="shared" si="27"/>
        <v>8458.9249880000007</v>
      </c>
    </row>
    <row r="1077" spans="1:4" x14ac:dyDescent="0.3">
      <c r="A1077" s="4">
        <v>45450</v>
      </c>
      <c r="B1077" s="5">
        <v>318911097500</v>
      </c>
      <c r="C1077" s="5">
        <v>397900984200</v>
      </c>
      <c r="D1077" s="49">
        <f t="shared" si="27"/>
        <v>7168.120817</v>
      </c>
    </row>
    <row r="1078" spans="1:4" x14ac:dyDescent="0.3">
      <c r="A1078" s="4">
        <v>45454</v>
      </c>
      <c r="B1078" s="5">
        <v>332683377800</v>
      </c>
      <c r="C1078" s="5">
        <v>370232405900</v>
      </c>
      <c r="D1078" s="49">
        <f t="shared" si="27"/>
        <v>7029.1578369999997</v>
      </c>
    </row>
    <row r="1079" spans="1:4" x14ac:dyDescent="0.3">
      <c r="A1079" s="4">
        <v>45455</v>
      </c>
      <c r="B1079" s="5">
        <v>312058601500</v>
      </c>
      <c r="C1079" s="5">
        <v>379853638000</v>
      </c>
      <c r="D1079" s="49">
        <f t="shared" si="27"/>
        <v>6919.1223950000003</v>
      </c>
    </row>
    <row r="1080" spans="1:4" x14ac:dyDescent="0.3">
      <c r="A1080" s="4">
        <v>45456</v>
      </c>
      <c r="B1080" s="5">
        <v>336871037100</v>
      </c>
      <c r="C1080" s="5">
        <v>415602507600</v>
      </c>
      <c r="D1080" s="49">
        <f t="shared" si="27"/>
        <v>7524.735447</v>
      </c>
    </row>
    <row r="1081" spans="1:4" x14ac:dyDescent="0.3">
      <c r="A1081" s="4">
        <v>45457</v>
      </c>
      <c r="B1081" s="5">
        <v>396194698300</v>
      </c>
      <c r="C1081" s="5">
        <v>451857661300</v>
      </c>
      <c r="D1081" s="49">
        <f t="shared" si="27"/>
        <v>8480.5235960000009</v>
      </c>
    </row>
    <row r="1082" spans="1:4" x14ac:dyDescent="0.3">
      <c r="A1082" s="4">
        <v>45460</v>
      </c>
      <c r="B1082" s="5">
        <v>338146875600</v>
      </c>
      <c r="C1082" s="5">
        <v>413425805100</v>
      </c>
      <c r="D1082" s="49">
        <f t="shared" si="27"/>
        <v>7515.726807</v>
      </c>
    </row>
    <row r="1083" spans="1:4" x14ac:dyDescent="0.3">
      <c r="A1083" s="4">
        <v>45461</v>
      </c>
      <c r="B1083" s="5">
        <v>317319995700</v>
      </c>
      <c r="C1083" s="5">
        <v>419683139000</v>
      </c>
      <c r="D1083" s="49">
        <f t="shared" si="27"/>
        <v>7370.0313470000001</v>
      </c>
    </row>
    <row r="1084" spans="1:4" x14ac:dyDescent="0.3">
      <c r="A1084" s="4">
        <v>45462</v>
      </c>
      <c r="B1084" s="5">
        <v>300290286700</v>
      </c>
      <c r="C1084" s="5">
        <v>404438476900</v>
      </c>
      <c r="D1084" s="49">
        <f t="shared" si="27"/>
        <v>7047.287636</v>
      </c>
    </row>
    <row r="1085" spans="1:4" x14ac:dyDescent="0.3">
      <c r="A1085" s="4">
        <v>45463</v>
      </c>
      <c r="B1085" s="5">
        <v>324101266400</v>
      </c>
      <c r="C1085" s="5">
        <v>400277389500</v>
      </c>
      <c r="D1085" s="49">
        <f t="shared" si="27"/>
        <v>7243.7865590000001</v>
      </c>
    </row>
    <row r="1086" spans="1:4" x14ac:dyDescent="0.3">
      <c r="A1086" s="4">
        <v>45464</v>
      </c>
      <c r="B1086" s="5">
        <v>280275384800</v>
      </c>
      <c r="C1086" s="5">
        <v>339311003300</v>
      </c>
      <c r="D1086" s="49">
        <f t="shared" si="27"/>
        <v>6195.8638810000002</v>
      </c>
    </row>
    <row r="1087" spans="1:4" x14ac:dyDescent="0.3">
      <c r="A1087" s="4">
        <v>45467</v>
      </c>
      <c r="B1087" s="5">
        <v>318595817700</v>
      </c>
      <c r="C1087" s="5">
        <v>376999773600</v>
      </c>
      <c r="D1087" s="49">
        <f t="shared" si="27"/>
        <v>6955.9559129999998</v>
      </c>
    </row>
    <row r="1088" spans="1:4" x14ac:dyDescent="0.3">
      <c r="A1088" s="4">
        <v>45468</v>
      </c>
      <c r="B1088" s="5">
        <v>296569297300</v>
      </c>
      <c r="C1088" s="5">
        <v>351603124000</v>
      </c>
      <c r="D1088" s="49">
        <f t="shared" si="27"/>
        <v>6481.7242130000004</v>
      </c>
    </row>
    <row r="1089" spans="1:4" x14ac:dyDescent="0.3">
      <c r="A1089" s="4">
        <v>45469</v>
      </c>
      <c r="B1089" s="5">
        <v>276215175500</v>
      </c>
      <c r="C1089" s="5">
        <v>367150019100</v>
      </c>
      <c r="D1089" s="49">
        <f t="shared" si="27"/>
        <v>6433.651946</v>
      </c>
    </row>
    <row r="1090" spans="1:4" x14ac:dyDescent="0.3">
      <c r="A1090" s="4">
        <v>45470</v>
      </c>
      <c r="B1090" s="5">
        <v>266670979400</v>
      </c>
      <c r="C1090" s="5">
        <v>359610178100</v>
      </c>
      <c r="D1090" s="49">
        <f t="shared" si="27"/>
        <v>6262.8115749999997</v>
      </c>
    </row>
    <row r="1091" spans="1:4" x14ac:dyDescent="0.3">
      <c r="A1091" s="4">
        <v>45471</v>
      </c>
      <c r="B1091" s="5">
        <v>313347004200</v>
      </c>
      <c r="C1091" s="5">
        <v>389895432900</v>
      </c>
      <c r="D1091" s="49">
        <f t="shared" si="27"/>
        <v>7032.4243710000001</v>
      </c>
    </row>
    <row r="1092" spans="1:4" x14ac:dyDescent="0.3">
      <c r="A1092" s="4">
        <v>45474</v>
      </c>
      <c r="B1092" s="5">
        <v>294321888800</v>
      </c>
      <c r="C1092" s="5">
        <v>363715989500</v>
      </c>
      <c r="D1092" s="49">
        <f t="shared" si="27"/>
        <v>6580.3787830000001</v>
      </c>
    </row>
    <row r="1093" spans="1:4" x14ac:dyDescent="0.3">
      <c r="A1093" s="4">
        <v>45475</v>
      </c>
      <c r="B1093" s="5">
        <v>282559369500</v>
      </c>
      <c r="C1093" s="5">
        <v>362067433600</v>
      </c>
      <c r="D1093" s="49">
        <f t="shared" si="27"/>
        <v>6446.2680309999996</v>
      </c>
    </row>
    <row r="1094" spans="1:4" x14ac:dyDescent="0.3">
      <c r="A1094" s="4">
        <v>45476</v>
      </c>
      <c r="B1094" s="5">
        <v>257840296800</v>
      </c>
      <c r="C1094" s="5">
        <v>322510597800</v>
      </c>
      <c r="D1094" s="49">
        <f t="shared" ref="D1094:D1157" si="28">(B1094+C1094)/100000000</f>
        <v>5803.5089459999999</v>
      </c>
    </row>
    <row r="1095" spans="1:4" x14ac:dyDescent="0.3">
      <c r="A1095" s="4">
        <v>45477</v>
      </c>
      <c r="B1095" s="5">
        <v>259006711000</v>
      </c>
      <c r="C1095" s="5">
        <v>324104814900</v>
      </c>
      <c r="D1095" s="49">
        <f t="shared" si="28"/>
        <v>5831.1152590000002</v>
      </c>
    </row>
    <row r="1096" spans="1:4" x14ac:dyDescent="0.3">
      <c r="A1096" s="4">
        <v>45478</v>
      </c>
      <c r="B1096" s="5">
        <v>271508929399.99997</v>
      </c>
      <c r="C1096" s="5">
        <v>303332264300</v>
      </c>
      <c r="D1096" s="49">
        <f t="shared" si="28"/>
        <v>5748.4119369999999</v>
      </c>
    </row>
    <row r="1097" spans="1:4" x14ac:dyDescent="0.3">
      <c r="A1097" s="4">
        <v>45481</v>
      </c>
      <c r="B1097" s="5">
        <v>270872022899.99997</v>
      </c>
      <c r="C1097" s="5">
        <v>311089980700</v>
      </c>
      <c r="D1097" s="49">
        <f t="shared" si="28"/>
        <v>5819.6200360000003</v>
      </c>
    </row>
    <row r="1098" spans="1:4" x14ac:dyDescent="0.3">
      <c r="A1098" s="4">
        <v>45482</v>
      </c>
      <c r="B1098" s="5">
        <v>320361092800</v>
      </c>
      <c r="C1098" s="5">
        <v>404065817400</v>
      </c>
      <c r="D1098" s="49">
        <f t="shared" si="28"/>
        <v>7244.2691020000002</v>
      </c>
    </row>
    <row r="1099" spans="1:4" x14ac:dyDescent="0.3">
      <c r="A1099" s="4">
        <v>45483</v>
      </c>
      <c r="B1099" s="5">
        <v>306035255400</v>
      </c>
      <c r="C1099" s="5">
        <v>371533957500</v>
      </c>
      <c r="D1099" s="49">
        <f t="shared" si="28"/>
        <v>6775.692129</v>
      </c>
    </row>
    <row r="1100" spans="1:4" x14ac:dyDescent="0.3">
      <c r="A1100" s="4">
        <v>45484</v>
      </c>
      <c r="B1100" s="5">
        <v>337653177100</v>
      </c>
      <c r="C1100" s="5">
        <v>449339836600</v>
      </c>
      <c r="D1100" s="49">
        <f t="shared" si="28"/>
        <v>7869.9301370000003</v>
      </c>
    </row>
    <row r="1101" spans="1:4" x14ac:dyDescent="0.3">
      <c r="A1101" s="4">
        <v>45485</v>
      </c>
      <c r="B1101" s="5">
        <v>302581576000</v>
      </c>
      <c r="C1101" s="5">
        <v>384399742300</v>
      </c>
      <c r="D1101" s="49">
        <f t="shared" si="28"/>
        <v>6869.8131830000002</v>
      </c>
    </row>
    <row r="1102" spans="1:4" x14ac:dyDescent="0.3">
      <c r="A1102" s="4">
        <v>45488</v>
      </c>
      <c r="B1102" s="5">
        <v>268733339500</v>
      </c>
      <c r="C1102" s="5">
        <v>333424117500</v>
      </c>
      <c r="D1102" s="49">
        <f t="shared" si="28"/>
        <v>6021.5745699999998</v>
      </c>
    </row>
    <row r="1103" spans="1:4" x14ac:dyDescent="0.3">
      <c r="A1103" s="4">
        <v>45489</v>
      </c>
      <c r="B1103" s="5">
        <v>279121370500</v>
      </c>
      <c r="C1103" s="5">
        <v>361572907500</v>
      </c>
      <c r="D1103" s="49">
        <f t="shared" si="28"/>
        <v>6406.9427800000003</v>
      </c>
    </row>
    <row r="1104" spans="1:4" x14ac:dyDescent="0.3">
      <c r="A1104" s="4">
        <v>45490</v>
      </c>
      <c r="B1104" s="5">
        <v>305469106000</v>
      </c>
      <c r="C1104" s="5">
        <v>369613482700</v>
      </c>
      <c r="D1104" s="49">
        <f t="shared" si="28"/>
        <v>6750.825887</v>
      </c>
    </row>
    <row r="1105" spans="1:4" x14ac:dyDescent="0.3">
      <c r="A1105" s="4">
        <v>45491</v>
      </c>
      <c r="B1105" s="5">
        <v>301283750600</v>
      </c>
      <c r="C1105" s="5">
        <v>370951505400</v>
      </c>
      <c r="D1105" s="49">
        <f t="shared" si="28"/>
        <v>6722.3525600000003</v>
      </c>
    </row>
    <row r="1106" spans="1:4" x14ac:dyDescent="0.3">
      <c r="A1106" s="4">
        <v>45492</v>
      </c>
      <c r="B1106" s="5">
        <v>319112460500</v>
      </c>
      <c r="C1106" s="5">
        <v>350721406900</v>
      </c>
      <c r="D1106" s="49">
        <f t="shared" si="28"/>
        <v>6698.3386739999996</v>
      </c>
    </row>
    <row r="1107" spans="1:4" x14ac:dyDescent="0.3">
      <c r="A1107" s="4">
        <v>45495</v>
      </c>
      <c r="B1107" s="5">
        <v>316415459900</v>
      </c>
      <c r="C1107" s="5">
        <v>340096458900</v>
      </c>
      <c r="D1107" s="49">
        <f t="shared" si="28"/>
        <v>6565.1191879999997</v>
      </c>
    </row>
    <row r="1108" spans="1:4" x14ac:dyDescent="0.3">
      <c r="A1108" s="4">
        <v>45496</v>
      </c>
      <c r="B1108" s="5">
        <v>307194049900</v>
      </c>
      <c r="C1108" s="5">
        <v>354989423900</v>
      </c>
      <c r="D1108" s="49">
        <f t="shared" si="28"/>
        <v>6621.8347379999996</v>
      </c>
    </row>
    <row r="1109" spans="1:4" x14ac:dyDescent="0.3">
      <c r="A1109" s="4">
        <v>45497</v>
      </c>
      <c r="B1109" s="5">
        <v>288660361600</v>
      </c>
      <c r="C1109" s="5">
        <v>338547710100</v>
      </c>
      <c r="D1109" s="49">
        <f t="shared" si="28"/>
        <v>6272.0807169999998</v>
      </c>
    </row>
    <row r="1110" spans="1:4" x14ac:dyDescent="0.3">
      <c r="A1110" s="4">
        <v>45498</v>
      </c>
      <c r="B1110" s="5">
        <v>273281622500</v>
      </c>
      <c r="C1110" s="5">
        <v>315344737500</v>
      </c>
      <c r="D1110" s="49">
        <f t="shared" si="28"/>
        <v>5886.2636000000002</v>
      </c>
    </row>
    <row r="1111" spans="1:4" x14ac:dyDescent="0.3">
      <c r="A1111" s="4">
        <v>45499</v>
      </c>
      <c r="B1111" s="5">
        <v>275443435000</v>
      </c>
      <c r="C1111" s="5">
        <v>330657561700</v>
      </c>
      <c r="D1111" s="49">
        <f t="shared" si="28"/>
        <v>6061.009967</v>
      </c>
    </row>
    <row r="1112" spans="1:4" x14ac:dyDescent="0.3">
      <c r="A1112" s="4">
        <v>45502</v>
      </c>
      <c r="B1112" s="5">
        <v>260094898400</v>
      </c>
      <c r="C1112" s="5">
        <v>325844608500</v>
      </c>
      <c r="D1112" s="49">
        <f t="shared" si="28"/>
        <v>5859.3950690000001</v>
      </c>
    </row>
    <row r="1113" spans="1:4" x14ac:dyDescent="0.3">
      <c r="A1113" s="4">
        <v>45503</v>
      </c>
      <c r="B1113" s="5">
        <v>269477482600.00003</v>
      </c>
      <c r="C1113" s="5">
        <v>329999501700</v>
      </c>
      <c r="D1113" s="49">
        <f t="shared" si="28"/>
        <v>5994.769843</v>
      </c>
    </row>
    <row r="1114" spans="1:4" x14ac:dyDescent="0.3">
      <c r="A1114" s="4">
        <v>45504</v>
      </c>
      <c r="B1114" s="5">
        <v>418871723400</v>
      </c>
      <c r="C1114" s="5">
        <v>484430145900</v>
      </c>
      <c r="D1114" s="49">
        <f t="shared" si="28"/>
        <v>9033.018693</v>
      </c>
    </row>
    <row r="1115" spans="1:4" x14ac:dyDescent="0.3">
      <c r="A1115" s="4">
        <v>45505</v>
      </c>
      <c r="B1115" s="5">
        <v>352586120400</v>
      </c>
      <c r="C1115" s="5">
        <v>429663281000</v>
      </c>
      <c r="D1115" s="49">
        <f t="shared" si="28"/>
        <v>7822.4940139999999</v>
      </c>
    </row>
    <row r="1116" spans="1:4" x14ac:dyDescent="0.3">
      <c r="A1116" s="4">
        <v>45506</v>
      </c>
      <c r="B1116" s="5">
        <v>314917985400</v>
      </c>
      <c r="C1116" s="5">
        <v>407442285300</v>
      </c>
      <c r="D1116" s="49">
        <f t="shared" si="28"/>
        <v>7223.602707</v>
      </c>
    </row>
    <row r="1117" spans="1:4" x14ac:dyDescent="0.3">
      <c r="A1117" s="4">
        <v>45509</v>
      </c>
      <c r="B1117" s="5">
        <v>356863001400</v>
      </c>
      <c r="C1117" s="5">
        <v>433619549500</v>
      </c>
      <c r="D1117" s="49">
        <f t="shared" si="28"/>
        <v>7904.8255090000002</v>
      </c>
    </row>
    <row r="1118" spans="1:4" x14ac:dyDescent="0.3">
      <c r="A1118" s="4">
        <v>45510</v>
      </c>
      <c r="B1118" s="5">
        <v>295835558800</v>
      </c>
      <c r="C1118" s="5">
        <v>358354485200</v>
      </c>
      <c r="D1118" s="49">
        <f t="shared" si="28"/>
        <v>6541.9004400000003</v>
      </c>
    </row>
    <row r="1119" spans="1:4" x14ac:dyDescent="0.3">
      <c r="A1119" s="4">
        <v>45511</v>
      </c>
      <c r="B1119" s="5">
        <v>263793649800</v>
      </c>
      <c r="C1119" s="5">
        <v>328241148400</v>
      </c>
      <c r="D1119" s="49">
        <f t="shared" si="28"/>
        <v>5920.3479820000002</v>
      </c>
    </row>
    <row r="1120" spans="1:4" x14ac:dyDescent="0.3">
      <c r="A1120" s="4">
        <v>45512</v>
      </c>
      <c r="B1120" s="5">
        <v>271107919500</v>
      </c>
      <c r="C1120" s="5">
        <v>348767350400</v>
      </c>
      <c r="D1120" s="49">
        <f t="shared" si="28"/>
        <v>6198.7526989999997</v>
      </c>
    </row>
    <row r="1121" spans="1:4" x14ac:dyDescent="0.3">
      <c r="A1121" s="4">
        <v>45513</v>
      </c>
      <c r="B1121" s="5">
        <v>252884027000</v>
      </c>
      <c r="C1121" s="5">
        <v>310192845500</v>
      </c>
      <c r="D1121" s="49">
        <f t="shared" si="28"/>
        <v>5630.7687249999999</v>
      </c>
    </row>
    <row r="1122" spans="1:4" x14ac:dyDescent="0.3">
      <c r="A1122" s="4">
        <v>45516</v>
      </c>
      <c r="B1122" s="5">
        <v>217626684500</v>
      </c>
      <c r="C1122" s="5">
        <v>278254690500</v>
      </c>
      <c r="D1122" s="49">
        <f t="shared" si="28"/>
        <v>4958.8137500000003</v>
      </c>
    </row>
    <row r="1123" spans="1:4" x14ac:dyDescent="0.3">
      <c r="A1123" s="4">
        <v>45517</v>
      </c>
      <c r="B1123" s="5">
        <v>210908509400</v>
      </c>
      <c r="C1123" s="5">
        <v>266414003800</v>
      </c>
      <c r="D1123" s="49">
        <f t="shared" si="28"/>
        <v>4773.2251319999996</v>
      </c>
    </row>
    <row r="1124" spans="1:4" x14ac:dyDescent="0.3">
      <c r="A1124" s="4">
        <v>45518</v>
      </c>
      <c r="B1124" s="5">
        <v>207457552400</v>
      </c>
      <c r="C1124" s="5">
        <v>269995914300</v>
      </c>
      <c r="D1124" s="49">
        <f t="shared" si="28"/>
        <v>4774.5346669999999</v>
      </c>
    </row>
    <row r="1125" spans="1:4" x14ac:dyDescent="0.3">
      <c r="A1125" s="4">
        <v>45519</v>
      </c>
      <c r="B1125" s="5">
        <v>254987115600</v>
      </c>
      <c r="C1125" s="5">
        <v>336535483500</v>
      </c>
      <c r="D1125" s="49">
        <f t="shared" si="28"/>
        <v>5915.2259910000002</v>
      </c>
    </row>
    <row r="1126" spans="1:4" x14ac:dyDescent="0.3">
      <c r="A1126" s="4">
        <v>45520</v>
      </c>
      <c r="B1126" s="5">
        <v>243608265400</v>
      </c>
      <c r="C1126" s="5">
        <v>347548660600</v>
      </c>
      <c r="D1126" s="49">
        <f t="shared" si="28"/>
        <v>5911.5692600000002</v>
      </c>
    </row>
    <row r="1127" spans="1:4" x14ac:dyDescent="0.3">
      <c r="A1127" s="4">
        <v>45523</v>
      </c>
      <c r="B1127" s="5">
        <v>242994885300</v>
      </c>
      <c r="C1127" s="5">
        <v>327622468200</v>
      </c>
      <c r="D1127" s="49">
        <f t="shared" si="28"/>
        <v>5706.1735349999999</v>
      </c>
    </row>
    <row r="1128" spans="1:4" x14ac:dyDescent="0.3">
      <c r="A1128" s="4">
        <v>45524</v>
      </c>
      <c r="B1128" s="5">
        <v>237307804000</v>
      </c>
      <c r="C1128" s="5">
        <v>320474631200</v>
      </c>
      <c r="D1128" s="49">
        <f t="shared" si="28"/>
        <v>5577.8243519999996</v>
      </c>
    </row>
    <row r="1129" spans="1:4" x14ac:dyDescent="0.3">
      <c r="A1129" s="4">
        <v>45525</v>
      </c>
      <c r="B1129" s="5">
        <v>209909187800</v>
      </c>
      <c r="C1129" s="5">
        <v>299645618300</v>
      </c>
      <c r="D1129" s="49">
        <f t="shared" si="28"/>
        <v>5095.5480610000004</v>
      </c>
    </row>
    <row r="1130" spans="1:4" x14ac:dyDescent="0.3">
      <c r="A1130" s="4">
        <v>45526</v>
      </c>
      <c r="B1130" s="5">
        <v>230124077200</v>
      </c>
      <c r="C1130" s="5">
        <v>319029043100</v>
      </c>
      <c r="D1130" s="49">
        <f t="shared" si="28"/>
        <v>5491.5312029999996</v>
      </c>
    </row>
    <row r="1131" spans="1:4" x14ac:dyDescent="0.3">
      <c r="A1131" s="4">
        <v>45527</v>
      </c>
      <c r="B1131" s="5">
        <v>214581900300</v>
      </c>
      <c r="C1131" s="5">
        <v>295643540700</v>
      </c>
      <c r="D1131" s="49">
        <f t="shared" si="28"/>
        <v>5102.2544099999996</v>
      </c>
    </row>
    <row r="1132" spans="1:4" x14ac:dyDescent="0.3">
      <c r="A1132" s="4">
        <v>45530</v>
      </c>
      <c r="B1132" s="5">
        <v>216806649000</v>
      </c>
      <c r="C1132" s="5">
        <v>309718933600</v>
      </c>
      <c r="D1132" s="49">
        <f t="shared" si="28"/>
        <v>5265.2558259999996</v>
      </c>
    </row>
    <row r="1133" spans="1:4" x14ac:dyDescent="0.3">
      <c r="A1133" s="4">
        <v>45531</v>
      </c>
      <c r="B1133" s="5">
        <v>215686326200</v>
      </c>
      <c r="C1133" s="5">
        <v>295770774400</v>
      </c>
      <c r="D1133" s="49">
        <f t="shared" si="28"/>
        <v>5114.5710060000001</v>
      </c>
    </row>
    <row r="1134" spans="1:4" x14ac:dyDescent="0.3">
      <c r="A1134" s="4">
        <v>45532</v>
      </c>
      <c r="B1134" s="5">
        <v>213862368700</v>
      </c>
      <c r="C1134" s="5">
        <v>282744362200</v>
      </c>
      <c r="D1134" s="49">
        <f t="shared" si="28"/>
        <v>4966.067309</v>
      </c>
    </row>
    <row r="1135" spans="1:4" x14ac:dyDescent="0.3">
      <c r="A1135" s="4">
        <v>45533</v>
      </c>
      <c r="B1135" s="5">
        <v>257644228800</v>
      </c>
      <c r="C1135" s="5">
        <v>349603402000</v>
      </c>
      <c r="D1135" s="49">
        <f t="shared" si="28"/>
        <v>6072.4763080000002</v>
      </c>
    </row>
    <row r="1136" spans="1:4" x14ac:dyDescent="0.3">
      <c r="A1136" s="4">
        <v>45534</v>
      </c>
      <c r="B1136" s="5">
        <v>384092892100</v>
      </c>
      <c r="C1136" s="5">
        <v>492495772900</v>
      </c>
      <c r="D1136" s="49">
        <f t="shared" si="28"/>
        <v>8765.8866500000004</v>
      </c>
    </row>
    <row r="1137" spans="1:4" x14ac:dyDescent="0.3">
      <c r="A1137" s="4">
        <v>45537</v>
      </c>
      <c r="B1137" s="5">
        <v>314813036700</v>
      </c>
      <c r="C1137" s="5">
        <v>390919821400</v>
      </c>
      <c r="D1137" s="49">
        <f t="shared" si="28"/>
        <v>7057.3285809999998</v>
      </c>
    </row>
    <row r="1138" spans="1:4" x14ac:dyDescent="0.3">
      <c r="A1138" s="4">
        <v>45538</v>
      </c>
      <c r="B1138" s="5">
        <v>252782482500</v>
      </c>
      <c r="C1138" s="5">
        <v>327818301700</v>
      </c>
      <c r="D1138" s="49">
        <f t="shared" si="28"/>
        <v>5806.007842</v>
      </c>
    </row>
    <row r="1139" spans="1:4" x14ac:dyDescent="0.3">
      <c r="A1139" s="4">
        <v>45539</v>
      </c>
      <c r="B1139" s="5">
        <v>234711697300</v>
      </c>
      <c r="C1139" s="5">
        <v>324668079600</v>
      </c>
      <c r="D1139" s="49">
        <f t="shared" si="28"/>
        <v>5593.7977689999998</v>
      </c>
    </row>
    <row r="1140" spans="1:4" x14ac:dyDescent="0.3">
      <c r="A1140" s="4">
        <v>45540</v>
      </c>
      <c r="B1140" s="5">
        <v>227514507200</v>
      </c>
      <c r="C1140" s="5">
        <v>307323902500</v>
      </c>
      <c r="D1140" s="49">
        <f t="shared" si="28"/>
        <v>5348.3840970000001</v>
      </c>
    </row>
    <row r="1141" spans="1:4" x14ac:dyDescent="0.3">
      <c r="A1141" s="4">
        <v>45541</v>
      </c>
      <c r="B1141" s="5">
        <v>228570135000</v>
      </c>
      <c r="C1141" s="5">
        <v>314062277000</v>
      </c>
      <c r="D1141" s="49">
        <f t="shared" si="28"/>
        <v>5426.3241200000002</v>
      </c>
    </row>
    <row r="1142" spans="1:4" x14ac:dyDescent="0.3">
      <c r="A1142" s="4">
        <v>45544</v>
      </c>
      <c r="B1142" s="5">
        <v>236605848500</v>
      </c>
      <c r="C1142" s="5">
        <v>282030698200</v>
      </c>
      <c r="D1142" s="49">
        <f t="shared" si="28"/>
        <v>5186.3654669999996</v>
      </c>
    </row>
    <row r="1143" spans="1:4" x14ac:dyDescent="0.3">
      <c r="A1143" s="4">
        <v>45545</v>
      </c>
      <c r="B1143" s="5">
        <v>226408493000</v>
      </c>
      <c r="C1143" s="5">
        <v>301239632000</v>
      </c>
      <c r="D1143" s="49">
        <f t="shared" si="28"/>
        <v>5276.4812499999998</v>
      </c>
    </row>
    <row r="1144" spans="1:4" x14ac:dyDescent="0.3">
      <c r="A1144" s="4">
        <v>45546</v>
      </c>
      <c r="B1144" s="5">
        <v>219755948400</v>
      </c>
      <c r="C1144" s="5">
        <v>279800064100</v>
      </c>
      <c r="D1144" s="49">
        <f t="shared" si="28"/>
        <v>4995.560125</v>
      </c>
    </row>
    <row r="1145" spans="1:4" x14ac:dyDescent="0.3">
      <c r="A1145" s="4">
        <v>45547</v>
      </c>
      <c r="B1145" s="5">
        <v>218571098700</v>
      </c>
      <c r="C1145" s="5">
        <v>296996277100</v>
      </c>
      <c r="D1145" s="49">
        <f t="shared" si="28"/>
        <v>5155.6737579999999</v>
      </c>
    </row>
    <row r="1146" spans="1:4" x14ac:dyDescent="0.3">
      <c r="A1146" s="4">
        <v>45548</v>
      </c>
      <c r="B1146" s="5">
        <v>227818801100</v>
      </c>
      <c r="C1146" s="5">
        <v>296940694500</v>
      </c>
      <c r="D1146" s="49">
        <f t="shared" si="28"/>
        <v>5247.5949559999999</v>
      </c>
    </row>
    <row r="1147" spans="1:4" x14ac:dyDescent="0.3">
      <c r="A1147" s="4">
        <v>45553</v>
      </c>
      <c r="B1147" s="5">
        <v>213090588600</v>
      </c>
      <c r="C1147" s="5">
        <v>266237690200</v>
      </c>
      <c r="D1147" s="49">
        <f t="shared" si="28"/>
        <v>4793.2827880000004</v>
      </c>
    </row>
    <row r="1148" spans="1:4" x14ac:dyDescent="0.3">
      <c r="A1148" s="4">
        <v>45554</v>
      </c>
      <c r="B1148" s="5">
        <v>280536046200</v>
      </c>
      <c r="C1148" s="5">
        <v>346464780200</v>
      </c>
      <c r="D1148" s="49">
        <f t="shared" si="28"/>
        <v>6270.0082640000001</v>
      </c>
    </row>
    <row r="1149" spans="1:4" x14ac:dyDescent="0.3">
      <c r="A1149" s="4">
        <v>45555</v>
      </c>
      <c r="B1149" s="5">
        <v>255433329900</v>
      </c>
      <c r="C1149" s="5">
        <v>319314897300</v>
      </c>
      <c r="D1149" s="49">
        <f t="shared" si="28"/>
        <v>5747.4822720000002</v>
      </c>
    </row>
    <row r="1150" spans="1:4" x14ac:dyDescent="0.3">
      <c r="A1150" s="4">
        <v>45558</v>
      </c>
      <c r="B1150" s="5">
        <v>235214505900</v>
      </c>
      <c r="C1150" s="5">
        <v>315787407900</v>
      </c>
      <c r="D1150" s="49">
        <f t="shared" si="28"/>
        <v>5510.0191379999997</v>
      </c>
    </row>
    <row r="1151" spans="1:4" x14ac:dyDescent="0.3">
      <c r="A1151" s="4">
        <v>45559</v>
      </c>
      <c r="B1151" s="5">
        <v>442795296900</v>
      </c>
      <c r="C1151" s="5">
        <v>528547322700</v>
      </c>
      <c r="D1151" s="49">
        <f t="shared" si="28"/>
        <v>9713.4261960000003</v>
      </c>
    </row>
    <row r="1152" spans="1:4" x14ac:dyDescent="0.3">
      <c r="A1152" s="4">
        <v>45560</v>
      </c>
      <c r="B1152" s="5">
        <v>516698093600</v>
      </c>
      <c r="C1152" s="5">
        <v>640673015500</v>
      </c>
      <c r="D1152" s="49">
        <f t="shared" si="28"/>
        <v>11573.711090999999</v>
      </c>
    </row>
    <row r="1153" spans="1:4" x14ac:dyDescent="0.3">
      <c r="A1153" s="4">
        <v>45561</v>
      </c>
      <c r="B1153" s="5">
        <v>524669070900</v>
      </c>
      <c r="C1153" s="5">
        <v>637766326700</v>
      </c>
      <c r="D1153" s="49">
        <f t="shared" si="28"/>
        <v>11624.353976</v>
      </c>
    </row>
    <row r="1154" spans="1:4" x14ac:dyDescent="0.3">
      <c r="A1154" s="4">
        <v>45562</v>
      </c>
      <c r="B1154" s="5">
        <v>480612559500</v>
      </c>
      <c r="C1154" s="5">
        <v>965392384000</v>
      </c>
      <c r="D1154" s="49">
        <f t="shared" si="28"/>
        <v>14460.049435000001</v>
      </c>
    </row>
    <row r="1155" spans="1:4" x14ac:dyDescent="0.3">
      <c r="A1155" s="4">
        <v>45565</v>
      </c>
      <c r="B1155" s="5">
        <v>1167772550000</v>
      </c>
      <c r="C1155" s="5">
        <v>1425264091600</v>
      </c>
      <c r="D1155" s="49">
        <f t="shared" si="28"/>
        <v>25930.366416000001</v>
      </c>
    </row>
    <row r="1156" spans="1:4" x14ac:dyDescent="0.3">
      <c r="A1156" s="4">
        <v>45573</v>
      </c>
      <c r="B1156" s="5">
        <v>1510513250800</v>
      </c>
      <c r="C1156" s="5">
        <v>1941425791400</v>
      </c>
      <c r="D1156" s="49">
        <f t="shared" si="28"/>
        <v>34519.390421999997</v>
      </c>
    </row>
    <row r="1157" spans="1:4" x14ac:dyDescent="0.3">
      <c r="A1157" s="4">
        <v>45574</v>
      </c>
      <c r="B1157" s="5">
        <v>1264311454400</v>
      </c>
      <c r="C1157" s="5">
        <v>1675510926500</v>
      </c>
      <c r="D1157" s="49">
        <f t="shared" si="28"/>
        <v>29398.223808999999</v>
      </c>
    </row>
    <row r="1158" spans="1:4" x14ac:dyDescent="0.3">
      <c r="A1158" s="4">
        <v>45575</v>
      </c>
      <c r="B1158" s="5">
        <v>947788515000</v>
      </c>
      <c r="C1158" s="5">
        <v>1195200766200</v>
      </c>
      <c r="D1158" s="49">
        <f t="shared" ref="D1158:D1221" si="29">(B1158+C1158)/100000000</f>
        <v>21429.892811999998</v>
      </c>
    </row>
    <row r="1159" spans="1:4" x14ac:dyDescent="0.3">
      <c r="A1159" s="4">
        <v>45576</v>
      </c>
      <c r="B1159" s="5">
        <v>664332794500</v>
      </c>
      <c r="C1159" s="5">
        <v>907687463400</v>
      </c>
      <c r="D1159" s="49">
        <f t="shared" si="29"/>
        <v>15720.202579000001</v>
      </c>
    </row>
    <row r="1160" spans="1:4" x14ac:dyDescent="0.3">
      <c r="A1160" s="4">
        <v>45579</v>
      </c>
      <c r="B1160" s="5">
        <v>701499242600</v>
      </c>
      <c r="C1160" s="5">
        <v>933486093600</v>
      </c>
      <c r="D1160" s="49">
        <f t="shared" si="29"/>
        <v>16349.853362</v>
      </c>
    </row>
    <row r="1161" spans="1:4" x14ac:dyDescent="0.3">
      <c r="A1161" s="4">
        <v>45580</v>
      </c>
      <c r="B1161" s="5">
        <v>619091471900</v>
      </c>
      <c r="C1161" s="5">
        <v>1015688650900</v>
      </c>
      <c r="D1161" s="49">
        <f t="shared" si="29"/>
        <v>16347.801228</v>
      </c>
    </row>
    <row r="1162" spans="1:4" x14ac:dyDescent="0.3">
      <c r="A1162" s="4">
        <v>45581</v>
      </c>
      <c r="B1162" s="5">
        <v>533062408900</v>
      </c>
      <c r="C1162" s="5">
        <v>842310229800</v>
      </c>
      <c r="D1162" s="49">
        <f t="shared" si="29"/>
        <v>13753.726387000001</v>
      </c>
    </row>
    <row r="1163" spans="1:4" x14ac:dyDescent="0.3">
      <c r="A1163" s="4">
        <v>45582</v>
      </c>
      <c r="B1163" s="5">
        <v>557347351400</v>
      </c>
      <c r="C1163" s="5">
        <v>933912619600</v>
      </c>
      <c r="D1163" s="49">
        <f t="shared" si="29"/>
        <v>14912.59971</v>
      </c>
    </row>
    <row r="1164" spans="1:4" x14ac:dyDescent="0.3">
      <c r="A1164" s="4">
        <v>45583</v>
      </c>
      <c r="B1164" s="5">
        <v>827948922100</v>
      </c>
      <c r="C1164" s="5">
        <v>1269726757100</v>
      </c>
      <c r="D1164" s="49">
        <f t="shared" si="29"/>
        <v>20976.756792</v>
      </c>
    </row>
    <row r="1165" spans="1:4" x14ac:dyDescent="0.3">
      <c r="A1165" s="4">
        <v>45586</v>
      </c>
      <c r="B1165" s="5">
        <v>855781454000</v>
      </c>
      <c r="C1165" s="5">
        <v>1328206164100</v>
      </c>
      <c r="D1165" s="49">
        <f t="shared" si="29"/>
        <v>21839.876181</v>
      </c>
    </row>
    <row r="1166" spans="1:4" x14ac:dyDescent="0.3">
      <c r="A1166" s="4">
        <v>45587</v>
      </c>
      <c r="B1166" s="5">
        <v>698861461300</v>
      </c>
      <c r="C1166" s="5">
        <v>1213666459400</v>
      </c>
      <c r="D1166" s="49">
        <f t="shared" si="29"/>
        <v>19125.279207</v>
      </c>
    </row>
    <row r="1167" spans="1:4" x14ac:dyDescent="0.3">
      <c r="A1167" s="4">
        <v>45588</v>
      </c>
      <c r="B1167" s="5">
        <v>760066419600</v>
      </c>
      <c r="C1167" s="5">
        <v>1166793703400</v>
      </c>
      <c r="D1167" s="49">
        <f t="shared" si="29"/>
        <v>19268.60123</v>
      </c>
    </row>
    <row r="1168" spans="1:4" x14ac:dyDescent="0.3">
      <c r="A1168" s="4">
        <v>45589</v>
      </c>
      <c r="B1168" s="5">
        <v>585248947000</v>
      </c>
      <c r="C1168" s="5">
        <v>935287277600</v>
      </c>
      <c r="D1168" s="49">
        <f t="shared" si="29"/>
        <v>15205.362246000001</v>
      </c>
    </row>
    <row r="1169" spans="1:4" x14ac:dyDescent="0.3">
      <c r="A1169" s="4">
        <v>45590</v>
      </c>
      <c r="B1169" s="5">
        <v>677255321300</v>
      </c>
      <c r="C1169" s="5">
        <v>1094882473800</v>
      </c>
      <c r="D1169" s="49">
        <f t="shared" si="29"/>
        <v>17721.377950999999</v>
      </c>
    </row>
    <row r="1170" spans="1:4" x14ac:dyDescent="0.3">
      <c r="A1170" s="4">
        <v>45593</v>
      </c>
      <c r="B1170" s="5">
        <v>717510218000</v>
      </c>
      <c r="C1170" s="5">
        <v>1145396320900</v>
      </c>
      <c r="D1170" s="49">
        <f t="shared" si="29"/>
        <v>18629.065388999999</v>
      </c>
    </row>
    <row r="1171" spans="1:4" x14ac:dyDescent="0.3">
      <c r="A1171" s="4">
        <v>45594</v>
      </c>
      <c r="B1171" s="5">
        <v>806573822300</v>
      </c>
      <c r="C1171" s="5">
        <v>1255535897000</v>
      </c>
      <c r="D1171" s="49">
        <f t="shared" si="29"/>
        <v>20621.097193000001</v>
      </c>
    </row>
    <row r="1172" spans="1:4" x14ac:dyDescent="0.3">
      <c r="A1172" s="4">
        <v>45595</v>
      </c>
      <c r="B1172" s="5">
        <v>730619786700</v>
      </c>
      <c r="C1172" s="5">
        <v>1116035280300</v>
      </c>
      <c r="D1172" s="49">
        <f t="shared" si="29"/>
        <v>18466.550670000001</v>
      </c>
    </row>
    <row r="1173" spans="1:4" x14ac:dyDescent="0.3">
      <c r="A1173" s="4">
        <v>45596</v>
      </c>
      <c r="B1173" s="5">
        <v>864970969000</v>
      </c>
      <c r="C1173" s="5">
        <v>1352352747300</v>
      </c>
      <c r="D1173" s="49">
        <f t="shared" si="29"/>
        <v>22173.237163000002</v>
      </c>
    </row>
    <row r="1174" spans="1:4" x14ac:dyDescent="0.3">
      <c r="A1174" s="4">
        <v>45597</v>
      </c>
      <c r="B1174" s="5">
        <v>878112793900</v>
      </c>
      <c r="C1174" s="5">
        <v>1352275455400</v>
      </c>
      <c r="D1174" s="49">
        <f t="shared" si="29"/>
        <v>22303.882493000001</v>
      </c>
    </row>
    <row r="1175" spans="1:4" x14ac:dyDescent="0.3">
      <c r="A1175" s="4">
        <v>45600</v>
      </c>
      <c r="B1175" s="5">
        <v>692341763300</v>
      </c>
      <c r="C1175" s="5">
        <v>1001563840400</v>
      </c>
      <c r="D1175" s="49">
        <f t="shared" si="29"/>
        <v>16939.056036999998</v>
      </c>
    </row>
    <row r="1176" spans="1:4" x14ac:dyDescent="0.3">
      <c r="A1176" s="4">
        <v>45601</v>
      </c>
      <c r="B1176" s="5">
        <v>929931429400</v>
      </c>
      <c r="C1176" s="5">
        <v>1373699162200</v>
      </c>
      <c r="D1176" s="49">
        <f t="shared" si="29"/>
        <v>23036.305916000001</v>
      </c>
    </row>
    <row r="1177" spans="1:4" x14ac:dyDescent="0.3">
      <c r="A1177" s="4">
        <v>45602</v>
      </c>
      <c r="B1177" s="5">
        <v>1026807640400</v>
      </c>
      <c r="C1177" s="5">
        <v>1536034646500</v>
      </c>
      <c r="D1177" s="49">
        <f t="shared" si="29"/>
        <v>25628.422869000002</v>
      </c>
    </row>
    <row r="1178" spans="1:4" x14ac:dyDescent="0.3">
      <c r="A1178" s="4">
        <v>45603</v>
      </c>
      <c r="B1178" s="5">
        <v>1048841306100</v>
      </c>
      <c r="C1178" s="5">
        <v>1456235718200</v>
      </c>
      <c r="D1178" s="49">
        <f t="shared" si="29"/>
        <v>25050.770242999999</v>
      </c>
    </row>
    <row r="1179" spans="1:4" x14ac:dyDescent="0.3">
      <c r="A1179" s="4">
        <v>45604</v>
      </c>
      <c r="B1179" s="5">
        <v>1107932295600</v>
      </c>
      <c r="C1179" s="5">
        <v>1573593148900</v>
      </c>
      <c r="D1179" s="49">
        <f t="shared" si="29"/>
        <v>26815.254444999999</v>
      </c>
    </row>
    <row r="1180" spans="1:4" x14ac:dyDescent="0.3">
      <c r="A1180" s="4">
        <v>45607</v>
      </c>
      <c r="B1180" s="5">
        <v>1024334899500</v>
      </c>
      <c r="C1180" s="5">
        <v>1483392842500</v>
      </c>
      <c r="D1180" s="49">
        <f t="shared" si="29"/>
        <v>25077.277419999999</v>
      </c>
    </row>
    <row r="1181" spans="1:4" x14ac:dyDescent="0.3">
      <c r="A1181" s="4">
        <v>45608</v>
      </c>
      <c r="B1181" s="5">
        <v>1039600859300</v>
      </c>
      <c r="C1181" s="5">
        <v>1511118660200</v>
      </c>
      <c r="D1181" s="49">
        <f t="shared" si="29"/>
        <v>25507.195195</v>
      </c>
    </row>
    <row r="1182" spans="1:4" x14ac:dyDescent="0.3">
      <c r="A1182" s="4">
        <v>45609</v>
      </c>
      <c r="B1182" s="5">
        <v>829435317000</v>
      </c>
      <c r="C1182" s="5">
        <v>1179810560600</v>
      </c>
      <c r="D1182" s="49">
        <f t="shared" si="29"/>
        <v>20092.458775999999</v>
      </c>
    </row>
    <row r="1183" spans="1:4" x14ac:dyDescent="0.3">
      <c r="A1183" s="4">
        <v>45610</v>
      </c>
      <c r="B1183" s="5">
        <v>762884198800</v>
      </c>
      <c r="C1183" s="5">
        <v>1075621868099.9999</v>
      </c>
      <c r="D1183" s="49">
        <f t="shared" si="29"/>
        <v>18385.060668999999</v>
      </c>
    </row>
    <row r="1184" spans="1:4" x14ac:dyDescent="0.3">
      <c r="A1184" s="4">
        <v>45611</v>
      </c>
      <c r="B1184" s="5">
        <v>745937122400</v>
      </c>
      <c r="C1184" s="5">
        <v>1080599719099.9999</v>
      </c>
      <c r="D1184" s="49">
        <f t="shared" si="29"/>
        <v>18265.368415000001</v>
      </c>
    </row>
    <row r="1185" spans="1:4" x14ac:dyDescent="0.3">
      <c r="A1185" s="4">
        <v>45614</v>
      </c>
      <c r="B1185" s="5">
        <v>755809644500</v>
      </c>
      <c r="C1185" s="5">
        <v>1001885166600</v>
      </c>
      <c r="D1185" s="49">
        <f t="shared" si="29"/>
        <v>17576.948111000002</v>
      </c>
    </row>
    <row r="1186" spans="1:4" x14ac:dyDescent="0.3">
      <c r="A1186" s="4">
        <v>45615</v>
      </c>
      <c r="B1186" s="5">
        <v>651575376300</v>
      </c>
      <c r="C1186" s="5">
        <v>906518949400</v>
      </c>
      <c r="D1186" s="49">
        <f t="shared" si="29"/>
        <v>15580.943257000001</v>
      </c>
    </row>
    <row r="1187" spans="1:4" x14ac:dyDescent="0.3">
      <c r="A1187" s="4">
        <v>45616</v>
      </c>
      <c r="B1187" s="5">
        <v>627858323200</v>
      </c>
      <c r="C1187" s="5">
        <v>986404104300</v>
      </c>
      <c r="D1187" s="49">
        <f t="shared" si="29"/>
        <v>16142.624275</v>
      </c>
    </row>
    <row r="1188" spans="1:4" x14ac:dyDescent="0.3">
      <c r="A1188" s="4">
        <v>45617</v>
      </c>
      <c r="B1188" s="5">
        <v>614517433700</v>
      </c>
      <c r="C1188" s="5">
        <v>996798121800</v>
      </c>
      <c r="D1188" s="49">
        <f t="shared" si="29"/>
        <v>16113.155554999999</v>
      </c>
    </row>
    <row r="1189" spans="1:4" x14ac:dyDescent="0.3">
      <c r="A1189" s="4">
        <v>45618</v>
      </c>
      <c r="B1189" s="5">
        <v>707626460300</v>
      </c>
      <c r="C1189" s="5">
        <v>1082058067700</v>
      </c>
      <c r="D1189" s="49">
        <f t="shared" si="29"/>
        <v>17896.845280000001</v>
      </c>
    </row>
    <row r="1190" spans="1:4" x14ac:dyDescent="0.3">
      <c r="A1190" s="4">
        <v>45621</v>
      </c>
      <c r="B1190" s="5">
        <v>596502088300</v>
      </c>
      <c r="C1190" s="5">
        <v>893690967800</v>
      </c>
      <c r="D1190" s="49">
        <f t="shared" si="29"/>
        <v>14901.930560999999</v>
      </c>
    </row>
    <row r="1191" spans="1:4" x14ac:dyDescent="0.3">
      <c r="A1191" s="4">
        <v>45622</v>
      </c>
      <c r="B1191" s="5">
        <v>509490596300</v>
      </c>
      <c r="C1191" s="5">
        <v>795484175900</v>
      </c>
      <c r="D1191" s="49">
        <f t="shared" si="29"/>
        <v>13049.747722</v>
      </c>
    </row>
    <row r="1192" spans="1:4" x14ac:dyDescent="0.3">
      <c r="A1192" s="4">
        <v>45623</v>
      </c>
      <c r="B1192" s="5">
        <v>571617596000</v>
      </c>
      <c r="C1192" s="5">
        <v>887125205600</v>
      </c>
      <c r="D1192" s="49">
        <f t="shared" si="29"/>
        <v>14587.428016</v>
      </c>
    </row>
    <row r="1193" spans="1:4" x14ac:dyDescent="0.3">
      <c r="A1193" s="4">
        <v>45624</v>
      </c>
      <c r="B1193" s="5">
        <v>558164131700</v>
      </c>
      <c r="C1193" s="5">
        <v>932295840500</v>
      </c>
      <c r="D1193" s="49">
        <f t="shared" si="29"/>
        <v>14904.599722000001</v>
      </c>
    </row>
    <row r="1194" spans="1:4" x14ac:dyDescent="0.3">
      <c r="A1194" s="4">
        <v>45625</v>
      </c>
      <c r="B1194" s="5">
        <v>663851511000</v>
      </c>
      <c r="C1194" s="5">
        <v>1044492312300</v>
      </c>
      <c r="D1194" s="49">
        <f t="shared" si="29"/>
        <v>17083.438233000001</v>
      </c>
    </row>
    <row r="1195" spans="1:4" x14ac:dyDescent="0.3">
      <c r="A1195" s="4">
        <v>45628</v>
      </c>
      <c r="B1195" s="5">
        <v>709509517800</v>
      </c>
      <c r="C1195" s="5">
        <v>1077203653400.0001</v>
      </c>
      <c r="D1195" s="49">
        <f t="shared" si="29"/>
        <v>17867.131711999999</v>
      </c>
    </row>
    <row r="1196" spans="1:4" x14ac:dyDescent="0.3">
      <c r="A1196" s="4">
        <v>45629</v>
      </c>
      <c r="B1196" s="5">
        <v>683982592800</v>
      </c>
      <c r="C1196" s="5">
        <v>1031925156800</v>
      </c>
      <c r="D1196" s="49">
        <f t="shared" si="29"/>
        <v>17159.077496000002</v>
      </c>
    </row>
    <row r="1197" spans="1:4" x14ac:dyDescent="0.3">
      <c r="A1197" s="4">
        <v>45630</v>
      </c>
      <c r="B1197" s="5">
        <v>653467546700</v>
      </c>
      <c r="C1197" s="5">
        <v>1009658111000</v>
      </c>
      <c r="D1197" s="49">
        <f t="shared" si="29"/>
        <v>16631.256577</v>
      </c>
    </row>
    <row r="1198" spans="1:4" x14ac:dyDescent="0.3">
      <c r="A1198" s="4">
        <v>45631</v>
      </c>
      <c r="B1198" s="5">
        <v>565551128300</v>
      </c>
      <c r="C1198" s="5">
        <v>933068980400</v>
      </c>
      <c r="D1198" s="49">
        <f t="shared" si="29"/>
        <v>14986.201086999999</v>
      </c>
    </row>
    <row r="1199" spans="1:4" x14ac:dyDescent="0.3">
      <c r="A1199" s="4">
        <v>45632</v>
      </c>
      <c r="B1199" s="5">
        <v>685981058100</v>
      </c>
      <c r="C1199" s="5">
        <v>1102866354600</v>
      </c>
      <c r="D1199" s="49">
        <f t="shared" si="29"/>
        <v>17888.474127000001</v>
      </c>
    </row>
    <row r="1200" spans="1:4" x14ac:dyDescent="0.3">
      <c r="A1200" s="4">
        <v>45635</v>
      </c>
      <c r="B1200" s="5">
        <v>649443191300</v>
      </c>
      <c r="C1200" s="5">
        <v>985064287400</v>
      </c>
      <c r="D1200" s="49">
        <f t="shared" si="29"/>
        <v>16345.074787</v>
      </c>
    </row>
    <row r="1201" spans="1:4" x14ac:dyDescent="0.3">
      <c r="A1201" s="4">
        <v>45636</v>
      </c>
      <c r="B1201" s="5">
        <v>860483994800</v>
      </c>
      <c r="C1201" s="5">
        <v>1339737614600</v>
      </c>
      <c r="D1201" s="49">
        <f t="shared" si="29"/>
        <v>22002.216093999999</v>
      </c>
    </row>
    <row r="1202" spans="1:4" x14ac:dyDescent="0.3">
      <c r="A1202" s="4">
        <v>45637</v>
      </c>
      <c r="B1202" s="5">
        <v>692929618700</v>
      </c>
      <c r="C1202" s="5">
        <v>1083447077099.9999</v>
      </c>
      <c r="D1202" s="49">
        <f t="shared" si="29"/>
        <v>17763.766958</v>
      </c>
    </row>
    <row r="1203" spans="1:4" x14ac:dyDescent="0.3">
      <c r="A1203" s="4">
        <v>45638</v>
      </c>
      <c r="B1203" s="5">
        <v>734168982700</v>
      </c>
      <c r="C1203" s="5">
        <v>1132740374500</v>
      </c>
      <c r="D1203" s="49">
        <f t="shared" si="29"/>
        <v>18669.093572000002</v>
      </c>
    </row>
    <row r="1204" spans="1:4" x14ac:dyDescent="0.3">
      <c r="A1204" s="4">
        <v>45639</v>
      </c>
      <c r="B1204" s="5">
        <v>850714863000</v>
      </c>
      <c r="C1204" s="5">
        <v>1218512329500</v>
      </c>
      <c r="D1204" s="49">
        <f t="shared" si="29"/>
        <v>20692.271925000001</v>
      </c>
    </row>
    <row r="1205" spans="1:4" x14ac:dyDescent="0.3">
      <c r="A1205" s="4">
        <v>45642</v>
      </c>
      <c r="B1205" s="5">
        <v>675237492900</v>
      </c>
      <c r="C1205" s="5">
        <v>1024563635100</v>
      </c>
      <c r="D1205" s="49">
        <f t="shared" si="29"/>
        <v>16998.011279999999</v>
      </c>
    </row>
    <row r="1206" spans="1:4" x14ac:dyDescent="0.3">
      <c r="A1206" s="4">
        <v>45643</v>
      </c>
      <c r="B1206" s="5">
        <v>584789337300</v>
      </c>
      <c r="C1206" s="5">
        <v>925567807700</v>
      </c>
      <c r="D1206" s="49">
        <f t="shared" si="29"/>
        <v>15103.571449999999</v>
      </c>
    </row>
    <row r="1207" spans="1:4" x14ac:dyDescent="0.3">
      <c r="A1207" s="4">
        <v>45644</v>
      </c>
      <c r="B1207" s="5">
        <v>539790684400</v>
      </c>
      <c r="C1207" s="5">
        <v>820732340300</v>
      </c>
      <c r="D1207" s="49">
        <f t="shared" si="29"/>
        <v>13605.230247</v>
      </c>
    </row>
    <row r="1208" spans="1:4" x14ac:dyDescent="0.3">
      <c r="A1208" s="4">
        <v>45645</v>
      </c>
      <c r="B1208" s="5">
        <v>559130979000</v>
      </c>
      <c r="C1208" s="5">
        <v>884957667100</v>
      </c>
      <c r="D1208" s="49">
        <f t="shared" si="29"/>
        <v>14440.886461</v>
      </c>
    </row>
    <row r="1209" spans="1:4" x14ac:dyDescent="0.3">
      <c r="A1209" s="4">
        <v>45646</v>
      </c>
      <c r="B1209" s="5">
        <v>596821938600</v>
      </c>
      <c r="C1209" s="5">
        <v>918303558400</v>
      </c>
      <c r="D1209" s="49">
        <f t="shared" si="29"/>
        <v>15151.25497</v>
      </c>
    </row>
    <row r="1210" spans="1:4" x14ac:dyDescent="0.3">
      <c r="A1210" s="4">
        <v>45649</v>
      </c>
      <c r="B1210" s="5">
        <v>623117789300</v>
      </c>
      <c r="C1210" s="5">
        <v>907671813700</v>
      </c>
      <c r="D1210" s="49">
        <f t="shared" si="29"/>
        <v>15307.89603</v>
      </c>
    </row>
    <row r="1211" spans="1:4" x14ac:dyDescent="0.3">
      <c r="A1211" s="4">
        <v>45650</v>
      </c>
      <c r="B1211" s="5">
        <v>530758037600</v>
      </c>
      <c r="C1211" s="5">
        <v>776807907600</v>
      </c>
      <c r="D1211" s="49">
        <f t="shared" si="29"/>
        <v>13075.659452</v>
      </c>
    </row>
    <row r="1212" spans="1:4" x14ac:dyDescent="0.3">
      <c r="A1212" s="4">
        <v>45651</v>
      </c>
      <c r="B1212" s="5">
        <v>522168241900</v>
      </c>
      <c r="C1212" s="5">
        <v>759136338900</v>
      </c>
      <c r="D1212" s="49">
        <f t="shared" si="29"/>
        <v>12813.045808000001</v>
      </c>
    </row>
    <row r="1213" spans="1:4" x14ac:dyDescent="0.3">
      <c r="A1213" s="4">
        <v>45652</v>
      </c>
      <c r="B1213" s="5">
        <v>518937022600</v>
      </c>
      <c r="C1213" s="5">
        <v>753522611400</v>
      </c>
      <c r="D1213" s="49">
        <f t="shared" si="29"/>
        <v>12724.59634</v>
      </c>
    </row>
    <row r="1214" spans="1:4" x14ac:dyDescent="0.3">
      <c r="A1214" s="4">
        <v>45653</v>
      </c>
      <c r="B1214" s="5">
        <v>586090438900</v>
      </c>
      <c r="C1214" s="5">
        <v>847760350900</v>
      </c>
      <c r="D1214" s="49">
        <f t="shared" si="29"/>
        <v>14338.507898</v>
      </c>
    </row>
    <row r="1215" spans="1:4" x14ac:dyDescent="0.3">
      <c r="A1215" s="4">
        <v>45656</v>
      </c>
      <c r="B1215" s="5">
        <v>522245330200</v>
      </c>
      <c r="C1215" s="5">
        <v>753918099100</v>
      </c>
      <c r="D1215" s="49">
        <f t="shared" si="29"/>
        <v>12761.634292999999</v>
      </c>
    </row>
    <row r="1216" spans="1:4" x14ac:dyDescent="0.3">
      <c r="A1216" s="4">
        <v>45657</v>
      </c>
      <c r="B1216" s="5">
        <v>562584237400</v>
      </c>
      <c r="C1216" s="5">
        <v>783178607400</v>
      </c>
      <c r="D1216" s="49">
        <f t="shared" si="29"/>
        <v>13457.628447999999</v>
      </c>
    </row>
    <row r="1217" spans="1:4" x14ac:dyDescent="0.3">
      <c r="A1217" s="4">
        <v>45659</v>
      </c>
      <c r="B1217" s="5">
        <v>603340526700</v>
      </c>
      <c r="C1217" s="5">
        <v>793191277000</v>
      </c>
      <c r="D1217" s="49">
        <f t="shared" si="29"/>
        <v>13965.318036999999</v>
      </c>
    </row>
    <row r="1218" spans="1:4" x14ac:dyDescent="0.3">
      <c r="A1218" s="4">
        <v>45660</v>
      </c>
      <c r="B1218" s="5">
        <v>523159754700</v>
      </c>
      <c r="C1218" s="5">
        <v>744702910000</v>
      </c>
      <c r="D1218" s="49">
        <f t="shared" si="29"/>
        <v>12678.626646999999</v>
      </c>
    </row>
    <row r="1219" spans="1:4" x14ac:dyDescent="0.3">
      <c r="A1219" s="4">
        <v>45663</v>
      </c>
      <c r="B1219" s="5">
        <v>444188212800</v>
      </c>
      <c r="C1219" s="5">
        <v>614445158400</v>
      </c>
      <c r="D1219" s="49">
        <f t="shared" si="29"/>
        <v>10586.333712</v>
      </c>
    </row>
    <row r="1220" spans="1:4" x14ac:dyDescent="0.3">
      <c r="A1220" s="4">
        <v>45664</v>
      </c>
      <c r="B1220" s="5">
        <v>436388386600</v>
      </c>
      <c r="C1220" s="5">
        <v>640248820200</v>
      </c>
      <c r="D1220" s="49">
        <f t="shared" si="29"/>
        <v>10766.372068000001</v>
      </c>
    </row>
    <row r="1221" spans="1:4" x14ac:dyDescent="0.3">
      <c r="A1221" s="4">
        <v>45665</v>
      </c>
      <c r="B1221" s="5">
        <v>508148444900</v>
      </c>
      <c r="C1221" s="5">
        <v>734817586300</v>
      </c>
      <c r="D1221" s="49">
        <f t="shared" si="29"/>
        <v>12429.660312</v>
      </c>
    </row>
    <row r="1222" spans="1:4" x14ac:dyDescent="0.3">
      <c r="A1222" s="4">
        <v>45666</v>
      </c>
      <c r="B1222" s="5">
        <v>434445510300</v>
      </c>
      <c r="C1222" s="5">
        <v>677482470700</v>
      </c>
      <c r="D1222" s="49">
        <f t="shared" ref="D1222:D1285" si="30">(B1222+C1222)/100000000</f>
        <v>11119.27981</v>
      </c>
    </row>
    <row r="1223" spans="1:4" x14ac:dyDescent="0.3">
      <c r="A1223" s="4">
        <v>45667</v>
      </c>
      <c r="B1223" s="5">
        <v>465939368000</v>
      </c>
      <c r="C1223" s="5">
        <v>682335422600</v>
      </c>
      <c r="D1223" s="49">
        <f t="shared" si="30"/>
        <v>11482.747906000001</v>
      </c>
    </row>
    <row r="1224" spans="1:4" x14ac:dyDescent="0.3">
      <c r="A1224" s="4">
        <v>45670</v>
      </c>
      <c r="B1224" s="5">
        <v>411773991800</v>
      </c>
      <c r="C1224" s="5">
        <v>554603230700</v>
      </c>
      <c r="D1224" s="49">
        <f t="shared" si="30"/>
        <v>9663.7722250000006</v>
      </c>
    </row>
    <row r="1225" spans="1:4" x14ac:dyDescent="0.3">
      <c r="A1225" s="4">
        <v>45671</v>
      </c>
      <c r="B1225" s="5">
        <v>538983836000</v>
      </c>
      <c r="C1225" s="5">
        <v>811716723400</v>
      </c>
      <c r="D1225" s="49">
        <f t="shared" si="30"/>
        <v>13507.005594</v>
      </c>
    </row>
    <row r="1226" spans="1:4" x14ac:dyDescent="0.3">
      <c r="A1226" s="4">
        <v>45672</v>
      </c>
      <c r="B1226" s="5">
        <v>466216166900</v>
      </c>
      <c r="C1226" s="5">
        <v>722613427000</v>
      </c>
      <c r="D1226" s="49">
        <f t="shared" si="30"/>
        <v>11888.295939</v>
      </c>
    </row>
    <row r="1227" spans="1:4" x14ac:dyDescent="0.3">
      <c r="A1227" s="4">
        <v>45673</v>
      </c>
      <c r="B1227" s="5">
        <v>499055442400</v>
      </c>
      <c r="C1227" s="5">
        <v>774747271900</v>
      </c>
      <c r="D1227" s="49">
        <f t="shared" si="30"/>
        <v>12738.027142999999</v>
      </c>
    </row>
    <row r="1228" spans="1:4" x14ac:dyDescent="0.3">
      <c r="A1228" s="4">
        <v>45674</v>
      </c>
      <c r="B1228" s="5">
        <v>456553133000</v>
      </c>
      <c r="C1228" s="5">
        <v>678981034500</v>
      </c>
      <c r="D1228" s="49">
        <f t="shared" si="30"/>
        <v>11355.341675</v>
      </c>
    </row>
    <row r="1229" spans="1:4" x14ac:dyDescent="0.3">
      <c r="A1229" s="4">
        <v>45677</v>
      </c>
      <c r="B1229" s="5">
        <v>469741031400</v>
      </c>
      <c r="C1229" s="5">
        <v>713186940000</v>
      </c>
      <c r="D1229" s="49">
        <f t="shared" si="30"/>
        <v>11829.279714</v>
      </c>
    </row>
    <row r="1230" spans="1:4" x14ac:dyDescent="0.3">
      <c r="A1230" s="4">
        <v>45678</v>
      </c>
      <c r="B1230" s="5">
        <v>468263378900</v>
      </c>
      <c r="C1230" s="5">
        <v>736974131800</v>
      </c>
      <c r="D1230" s="49">
        <f t="shared" si="30"/>
        <v>12052.375107</v>
      </c>
    </row>
    <row r="1231" spans="1:4" x14ac:dyDescent="0.3">
      <c r="A1231" s="4">
        <v>45679</v>
      </c>
      <c r="B1231" s="5">
        <v>452312867400</v>
      </c>
      <c r="C1231" s="5">
        <v>683542190400</v>
      </c>
      <c r="D1231" s="49">
        <f t="shared" si="30"/>
        <v>11358.550578</v>
      </c>
    </row>
    <row r="1232" spans="1:4" x14ac:dyDescent="0.3">
      <c r="A1232" s="4">
        <v>45680</v>
      </c>
      <c r="B1232" s="5">
        <v>539800587200.00006</v>
      </c>
      <c r="C1232" s="5">
        <v>815483915300</v>
      </c>
      <c r="D1232" s="49">
        <f t="shared" si="30"/>
        <v>13552.845025000001</v>
      </c>
    </row>
    <row r="1233" spans="1:4" x14ac:dyDescent="0.3">
      <c r="A1233" s="4">
        <v>45681</v>
      </c>
      <c r="B1233" s="5">
        <v>480685058000</v>
      </c>
      <c r="C1233" s="5">
        <v>741331577600</v>
      </c>
      <c r="D1233" s="49">
        <f t="shared" si="30"/>
        <v>12220.166356</v>
      </c>
    </row>
    <row r="1234" spans="1:4" x14ac:dyDescent="0.3">
      <c r="A1234" s="4">
        <v>45684</v>
      </c>
      <c r="B1234" s="5">
        <v>450231535800</v>
      </c>
      <c r="C1234" s="5">
        <v>667641130300</v>
      </c>
      <c r="D1234" s="49">
        <f t="shared" si="30"/>
        <v>11178.726661000001</v>
      </c>
    </row>
    <row r="1235" spans="1:4" x14ac:dyDescent="0.3">
      <c r="A1235" s="4">
        <v>45693</v>
      </c>
      <c r="B1235" s="5">
        <v>521103029300</v>
      </c>
      <c r="C1235" s="5">
        <v>768449245800</v>
      </c>
      <c r="D1235" s="49">
        <f t="shared" si="30"/>
        <v>12895.522751</v>
      </c>
    </row>
    <row r="1236" spans="1:4" x14ac:dyDescent="0.3">
      <c r="A1236" s="4">
        <v>45694</v>
      </c>
      <c r="B1236" s="5">
        <v>590421697800</v>
      </c>
      <c r="C1236" s="5">
        <v>944938901400</v>
      </c>
      <c r="D1236" s="49">
        <f t="shared" si="30"/>
        <v>15353.605992000001</v>
      </c>
    </row>
    <row r="1237" spans="1:4" x14ac:dyDescent="0.3">
      <c r="A1237" s="4">
        <v>45695</v>
      </c>
      <c r="B1237" s="5">
        <v>757613811200</v>
      </c>
      <c r="C1237" s="5">
        <v>1202631199800</v>
      </c>
      <c r="D1237" s="49">
        <f t="shared" si="30"/>
        <v>19602.450110000002</v>
      </c>
    </row>
    <row r="1238" spans="1:4" x14ac:dyDescent="0.3">
      <c r="A1238" s="4">
        <v>45698</v>
      </c>
      <c r="B1238" s="5">
        <v>677038155500</v>
      </c>
      <c r="C1238" s="5">
        <v>1053785768800</v>
      </c>
      <c r="D1238" s="49">
        <f t="shared" si="30"/>
        <v>17308.239243</v>
      </c>
    </row>
    <row r="1239" spans="1:4" x14ac:dyDescent="0.3">
      <c r="A1239" s="4">
        <v>45699</v>
      </c>
      <c r="B1239" s="5">
        <v>632166670900</v>
      </c>
      <c r="C1239" s="5">
        <v>1003780990800</v>
      </c>
      <c r="D1239" s="49">
        <f t="shared" si="30"/>
        <v>16359.476617</v>
      </c>
    </row>
    <row r="1240" spans="1:4" x14ac:dyDescent="0.3">
      <c r="A1240" s="4">
        <v>45700</v>
      </c>
      <c r="B1240" s="5">
        <v>647387578500</v>
      </c>
      <c r="C1240" s="5">
        <v>1029827484500</v>
      </c>
      <c r="D1240" s="49">
        <f t="shared" si="30"/>
        <v>16772.15063</v>
      </c>
    </row>
    <row r="1241" spans="1:4" x14ac:dyDescent="0.3">
      <c r="A1241" s="4">
        <v>45701</v>
      </c>
      <c r="B1241" s="5">
        <v>705799792000</v>
      </c>
      <c r="C1241" s="5">
        <v>1113993618400</v>
      </c>
      <c r="D1241" s="49">
        <f t="shared" si="30"/>
        <v>18197.934104</v>
      </c>
    </row>
    <row r="1242" spans="1:4" x14ac:dyDescent="0.3">
      <c r="A1242" s="4">
        <v>45702</v>
      </c>
      <c r="B1242" s="5">
        <v>667555376400</v>
      </c>
      <c r="C1242" s="5">
        <v>1047448093600</v>
      </c>
      <c r="D1242" s="49">
        <f t="shared" si="30"/>
        <v>17150.0347</v>
      </c>
    </row>
    <row r="1243" spans="1:4" x14ac:dyDescent="0.3">
      <c r="A1243" s="4">
        <v>45705</v>
      </c>
      <c r="B1243" s="5">
        <v>750113054900</v>
      </c>
      <c r="C1243" s="5">
        <v>1191361330300</v>
      </c>
      <c r="D1243" s="49">
        <f t="shared" si="30"/>
        <v>19414.743852</v>
      </c>
    </row>
    <row r="1244" spans="1:4" x14ac:dyDescent="0.3">
      <c r="A1244" s="4">
        <v>45706</v>
      </c>
      <c r="B1244" s="5">
        <v>696798784100</v>
      </c>
      <c r="C1244" s="5">
        <v>1102311658900</v>
      </c>
      <c r="D1244" s="49">
        <f t="shared" si="30"/>
        <v>17991.104429999999</v>
      </c>
    </row>
    <row r="1245" spans="1:4" x14ac:dyDescent="0.3">
      <c r="A1245" s="4">
        <v>45707</v>
      </c>
      <c r="B1245" s="5">
        <v>675146370400</v>
      </c>
      <c r="C1245" s="5">
        <v>1045873251700</v>
      </c>
      <c r="D1245" s="49">
        <f t="shared" si="30"/>
        <v>17210.196220999998</v>
      </c>
    </row>
    <row r="1246" spans="1:4" x14ac:dyDescent="0.3">
      <c r="A1246" s="4">
        <v>45708</v>
      </c>
      <c r="B1246" s="5">
        <v>670099045700</v>
      </c>
      <c r="C1246" s="5">
        <v>1086489113000</v>
      </c>
      <c r="D1246" s="49">
        <f t="shared" si="30"/>
        <v>17565.881587</v>
      </c>
    </row>
    <row r="1247" spans="1:4" x14ac:dyDescent="0.3">
      <c r="A1247" s="4">
        <v>45709</v>
      </c>
      <c r="B1247" s="5">
        <v>855656954800</v>
      </c>
      <c r="C1247" s="5">
        <v>1336950359500</v>
      </c>
      <c r="D1247" s="49">
        <f t="shared" si="30"/>
        <v>21926.073143000001</v>
      </c>
    </row>
    <row r="1248" spans="1:4" x14ac:dyDescent="0.3">
      <c r="A1248" s="4">
        <v>45712</v>
      </c>
      <c r="B1248" s="5">
        <v>802847050100</v>
      </c>
      <c r="C1248" s="5">
        <v>1277635672400</v>
      </c>
      <c r="D1248" s="49">
        <f t="shared" si="30"/>
        <v>20804.827225000001</v>
      </c>
    </row>
    <row r="1249" spans="1:4" x14ac:dyDescent="0.3">
      <c r="A1249" s="4">
        <v>45713</v>
      </c>
      <c r="B1249" s="5">
        <v>727509770100</v>
      </c>
      <c r="C1249" s="5">
        <v>1169252233300</v>
      </c>
      <c r="D1249" s="49">
        <f t="shared" si="30"/>
        <v>18967.620034</v>
      </c>
    </row>
    <row r="1250" spans="1:4" x14ac:dyDescent="0.3">
      <c r="A1250" s="4">
        <v>45714</v>
      </c>
      <c r="B1250" s="5">
        <v>747887357900</v>
      </c>
      <c r="C1250" s="5">
        <v>1190457443500</v>
      </c>
      <c r="D1250" s="49">
        <f t="shared" si="30"/>
        <v>19383.448014000001</v>
      </c>
    </row>
    <row r="1251" spans="1:4" x14ac:dyDescent="0.3">
      <c r="A1251" s="4">
        <v>45715</v>
      </c>
      <c r="B1251" s="5">
        <v>774059980100</v>
      </c>
      <c r="C1251" s="5">
        <v>1230525017900</v>
      </c>
      <c r="D1251" s="49">
        <f t="shared" si="30"/>
        <v>20045.849979999999</v>
      </c>
    </row>
    <row r="1252" spans="1:4" x14ac:dyDescent="0.3">
      <c r="A1252" s="4">
        <v>45716</v>
      </c>
      <c r="B1252" s="5">
        <v>758054890400</v>
      </c>
      <c r="C1252" s="5">
        <v>1108968938000</v>
      </c>
      <c r="D1252" s="49">
        <f t="shared" si="30"/>
        <v>18670.238283999999</v>
      </c>
    </row>
    <row r="1253" spans="1:4" x14ac:dyDescent="0.3">
      <c r="A1253" s="4">
        <v>45719</v>
      </c>
      <c r="B1253" s="5">
        <v>643980683000</v>
      </c>
      <c r="C1253" s="5">
        <v>980695622300</v>
      </c>
      <c r="D1253" s="49">
        <f t="shared" si="30"/>
        <v>16246.763053000001</v>
      </c>
    </row>
    <row r="1254" spans="1:4" x14ac:dyDescent="0.3">
      <c r="A1254" s="4">
        <v>45720</v>
      </c>
      <c r="B1254" s="5">
        <v>568728427200</v>
      </c>
      <c r="C1254" s="5">
        <v>866849634200</v>
      </c>
      <c r="D1254" s="49">
        <f t="shared" si="30"/>
        <v>14355.780613999999</v>
      </c>
    </row>
    <row r="1255" spans="1:4" x14ac:dyDescent="0.3">
      <c r="A1255" s="4">
        <v>45721</v>
      </c>
      <c r="B1255" s="5">
        <v>587767599800</v>
      </c>
      <c r="C1255" s="5">
        <v>906047047000</v>
      </c>
      <c r="D1255" s="49">
        <f t="shared" si="30"/>
        <v>14938.146468000001</v>
      </c>
    </row>
    <row r="1256" spans="1:4" x14ac:dyDescent="0.3">
      <c r="A1256" s="4">
        <v>45722</v>
      </c>
      <c r="B1256" s="5">
        <v>736438106700</v>
      </c>
      <c r="C1256" s="5">
        <v>1170018723500</v>
      </c>
      <c r="D1256" s="49">
        <f t="shared" si="30"/>
        <v>19064.568302</v>
      </c>
    </row>
    <row r="1257" spans="1:4" x14ac:dyDescent="0.3">
      <c r="A1257" s="4">
        <v>45723</v>
      </c>
      <c r="B1257" s="5">
        <v>687879051000</v>
      </c>
      <c r="C1257" s="5">
        <v>1130360435700</v>
      </c>
      <c r="D1257" s="49">
        <f t="shared" si="30"/>
        <v>18182.394866999999</v>
      </c>
    </row>
    <row r="1258" spans="1:4" x14ac:dyDescent="0.3">
      <c r="A1258" s="4">
        <v>45726</v>
      </c>
      <c r="B1258" s="5">
        <v>595026433900</v>
      </c>
      <c r="C1258" s="5">
        <v>910633461500</v>
      </c>
      <c r="D1258" s="49">
        <f t="shared" si="30"/>
        <v>15056.598953999999</v>
      </c>
    </row>
    <row r="1259" spans="1:4" x14ac:dyDescent="0.3">
      <c r="A1259" s="4">
        <v>45727</v>
      </c>
      <c r="B1259" s="5">
        <v>592285777900</v>
      </c>
      <c r="C1259" s="5">
        <v>889609924000</v>
      </c>
      <c r="D1259" s="49">
        <f t="shared" si="30"/>
        <v>14818.957018999999</v>
      </c>
    </row>
    <row r="1260" spans="1:4" x14ac:dyDescent="0.3">
      <c r="A1260" s="4">
        <v>45728</v>
      </c>
      <c r="B1260" s="5">
        <v>648501625900</v>
      </c>
      <c r="C1260" s="5">
        <v>1035254200500</v>
      </c>
      <c r="D1260" s="49">
        <f t="shared" si="30"/>
        <v>16837.558263999999</v>
      </c>
    </row>
    <row r="1261" spans="1:4" x14ac:dyDescent="0.3">
      <c r="A1261" s="4">
        <v>45729</v>
      </c>
      <c r="B1261" s="5">
        <v>636211623500</v>
      </c>
      <c r="C1261" s="5">
        <v>970516736800</v>
      </c>
      <c r="D1261" s="49">
        <f t="shared" si="30"/>
        <v>16067.283603</v>
      </c>
    </row>
    <row r="1262" spans="1:4" x14ac:dyDescent="0.3">
      <c r="A1262" s="4">
        <v>45730</v>
      </c>
      <c r="B1262" s="5">
        <v>750041647200</v>
      </c>
      <c r="C1262" s="5">
        <v>1041778692500</v>
      </c>
      <c r="D1262" s="49">
        <f t="shared" si="30"/>
        <v>17918.203397000001</v>
      </c>
    </row>
    <row r="1263" spans="1:4" x14ac:dyDescent="0.3">
      <c r="A1263" s="4">
        <v>45733</v>
      </c>
      <c r="B1263" s="5">
        <v>639349980400</v>
      </c>
      <c r="C1263" s="5">
        <v>933655218100</v>
      </c>
      <c r="D1263" s="49">
        <f t="shared" si="30"/>
        <v>15730.051985</v>
      </c>
    </row>
    <row r="1264" spans="1:4" x14ac:dyDescent="0.3">
      <c r="A1264" s="4">
        <v>45734</v>
      </c>
      <c r="B1264" s="5">
        <v>586338207300</v>
      </c>
      <c r="C1264" s="5">
        <v>933349997300</v>
      </c>
      <c r="D1264" s="49">
        <f t="shared" si="30"/>
        <v>15196.882046000001</v>
      </c>
    </row>
    <row r="1265" spans="1:4" x14ac:dyDescent="0.3">
      <c r="A1265" s="4">
        <v>45735</v>
      </c>
      <c r="B1265" s="5">
        <v>559970207900</v>
      </c>
      <c r="C1265" s="5">
        <v>906472303700</v>
      </c>
      <c r="D1265" s="49">
        <f t="shared" si="30"/>
        <v>14664.425116</v>
      </c>
    </row>
    <row r="1266" spans="1:4" x14ac:dyDescent="0.3">
      <c r="A1266" s="4">
        <v>45736</v>
      </c>
      <c r="B1266" s="5">
        <v>565607596600</v>
      </c>
      <c r="C1266" s="5">
        <v>875945195300</v>
      </c>
      <c r="D1266" s="49">
        <f t="shared" si="30"/>
        <v>14415.527919</v>
      </c>
    </row>
    <row r="1267" spans="1:4" x14ac:dyDescent="0.3">
      <c r="A1267" s="4">
        <v>45737</v>
      </c>
      <c r="B1267" s="5">
        <v>623164007300</v>
      </c>
      <c r="C1267" s="5">
        <v>927692315400</v>
      </c>
      <c r="D1267" s="49">
        <f t="shared" si="30"/>
        <v>15508.563227000001</v>
      </c>
    </row>
    <row r="1268" spans="1:4" x14ac:dyDescent="0.3">
      <c r="A1268" s="4">
        <v>45740</v>
      </c>
      <c r="B1268" s="5">
        <v>586745474400</v>
      </c>
      <c r="C1268" s="5">
        <v>863993868600</v>
      </c>
      <c r="D1268" s="49">
        <f t="shared" si="30"/>
        <v>14507.39343</v>
      </c>
    </row>
    <row r="1269" spans="1:4" x14ac:dyDescent="0.3">
      <c r="A1269" s="4">
        <v>45741</v>
      </c>
      <c r="B1269" s="5">
        <v>516435662200</v>
      </c>
      <c r="C1269" s="5">
        <v>741833982000</v>
      </c>
      <c r="D1269" s="49">
        <f t="shared" si="30"/>
        <v>12582.696442</v>
      </c>
    </row>
    <row r="1270" spans="1:4" x14ac:dyDescent="0.3">
      <c r="A1270" s="4">
        <v>45742</v>
      </c>
      <c r="B1270" s="5">
        <v>485185602300</v>
      </c>
      <c r="C1270" s="5">
        <v>669119730200</v>
      </c>
      <c r="D1270" s="49">
        <f t="shared" si="30"/>
        <v>11543.053325000001</v>
      </c>
    </row>
    <row r="1271" spans="1:4" x14ac:dyDescent="0.3">
      <c r="A1271" s="4">
        <v>45743</v>
      </c>
      <c r="B1271" s="5">
        <v>496457111700</v>
      </c>
      <c r="C1271" s="5">
        <v>694232398500</v>
      </c>
      <c r="D1271" s="49">
        <f t="shared" si="30"/>
        <v>11906.895102</v>
      </c>
    </row>
    <row r="1272" spans="1:4" x14ac:dyDescent="0.3">
      <c r="A1272" s="4">
        <v>45744</v>
      </c>
      <c r="B1272" s="5">
        <v>468807615300</v>
      </c>
      <c r="C1272" s="5">
        <v>650166739600</v>
      </c>
      <c r="D1272" s="49">
        <f t="shared" si="30"/>
        <v>11189.743549000001</v>
      </c>
    </row>
    <row r="1273" spans="1:4" x14ac:dyDescent="0.3">
      <c r="A1273" s="4">
        <v>45747</v>
      </c>
      <c r="B1273" s="5">
        <v>531475775800</v>
      </c>
      <c r="C1273" s="5">
        <v>690054229800</v>
      </c>
      <c r="D1273" s="49">
        <f t="shared" si="30"/>
        <v>12215.300056</v>
      </c>
    </row>
    <row r="1274" spans="1:4" x14ac:dyDescent="0.3">
      <c r="A1274" s="4">
        <v>45748</v>
      </c>
      <c r="B1274" s="5">
        <v>499415666000</v>
      </c>
      <c r="C1274" s="5">
        <v>632850855400</v>
      </c>
      <c r="D1274" s="49">
        <f t="shared" si="30"/>
        <v>11322.665214000001</v>
      </c>
    </row>
    <row r="1275" spans="1:4" x14ac:dyDescent="0.3">
      <c r="A1275" s="4">
        <v>45749</v>
      </c>
      <c r="B1275" s="5">
        <v>411666039500</v>
      </c>
      <c r="C1275" s="5">
        <v>562826586400</v>
      </c>
      <c r="D1275" s="49">
        <f t="shared" si="30"/>
        <v>9744.9262589999998</v>
      </c>
    </row>
    <row r="1276" spans="1:4" x14ac:dyDescent="0.3">
      <c r="A1276" s="4">
        <v>45750</v>
      </c>
      <c r="B1276" s="5">
        <v>486510413000</v>
      </c>
      <c r="C1276" s="5">
        <v>651109936800</v>
      </c>
      <c r="D1276" s="49">
        <f t="shared" si="30"/>
        <v>11376.203498000001</v>
      </c>
    </row>
    <row r="1277" spans="1:4" x14ac:dyDescent="0.3">
      <c r="A1277" s="4">
        <v>45754</v>
      </c>
      <c r="B1277" s="5">
        <v>735367327500</v>
      </c>
      <c r="C1277" s="5">
        <v>852431714900</v>
      </c>
      <c r="D1277" s="49">
        <f t="shared" si="30"/>
        <v>15877.990424</v>
      </c>
    </row>
    <row r="1278" spans="1:4" x14ac:dyDescent="0.3">
      <c r="A1278" s="4">
        <v>45755</v>
      </c>
      <c r="B1278" s="5">
        <v>730166160700</v>
      </c>
      <c r="C1278" s="5">
        <v>895477031200</v>
      </c>
      <c r="D1278" s="49">
        <f t="shared" si="30"/>
        <v>16256.431919000001</v>
      </c>
    </row>
    <row r="1279" spans="1:4" x14ac:dyDescent="0.3">
      <c r="A1279" s="4">
        <v>45756</v>
      </c>
      <c r="B1279" s="5">
        <v>755430247400</v>
      </c>
      <c r="C1279" s="5">
        <v>944174886200</v>
      </c>
      <c r="D1279" s="49">
        <f t="shared" si="30"/>
        <v>16996.051336</v>
      </c>
    </row>
    <row r="1280" spans="1:4" x14ac:dyDescent="0.3">
      <c r="A1280" s="4">
        <v>45757</v>
      </c>
      <c r="B1280" s="5">
        <v>682356544800</v>
      </c>
      <c r="C1280" s="5">
        <v>927111334900</v>
      </c>
      <c r="D1280" s="49">
        <f t="shared" si="30"/>
        <v>16094.678797</v>
      </c>
    </row>
    <row r="1281" spans="1:4" x14ac:dyDescent="0.3">
      <c r="A1281" s="4">
        <v>45758</v>
      </c>
      <c r="B1281" s="5">
        <v>580791402200</v>
      </c>
      <c r="C1281" s="5">
        <v>767874017900</v>
      </c>
      <c r="D1281" s="49">
        <f t="shared" si="30"/>
        <v>13486.654200999999</v>
      </c>
    </row>
    <row r="1282" spans="1:4" x14ac:dyDescent="0.3">
      <c r="A1282" s="4">
        <v>45761</v>
      </c>
      <c r="B1282" s="5">
        <v>543811431500</v>
      </c>
      <c r="C1282" s="5">
        <v>733662247500</v>
      </c>
      <c r="D1282" s="49">
        <f t="shared" si="30"/>
        <v>12774.736790000001</v>
      </c>
    </row>
    <row r="1283" spans="1:4" x14ac:dyDescent="0.3">
      <c r="A1283" s="4">
        <v>45762</v>
      </c>
      <c r="B1283" s="5">
        <v>456332610400</v>
      </c>
      <c r="C1283" s="5">
        <v>620861217900</v>
      </c>
      <c r="D1283" s="49">
        <f t="shared" si="30"/>
        <v>10771.938283</v>
      </c>
    </row>
    <row r="1284" spans="1:4" x14ac:dyDescent="0.3">
      <c r="A1284" s="4">
        <v>45763</v>
      </c>
      <c r="B1284" s="5">
        <v>489200692700</v>
      </c>
      <c r="C1284" s="5">
        <v>622703442400</v>
      </c>
      <c r="D1284" s="49">
        <f t="shared" si="30"/>
        <v>11119.041351</v>
      </c>
    </row>
    <row r="1285" spans="1:4" x14ac:dyDescent="0.3">
      <c r="A1285" s="4">
        <v>45764</v>
      </c>
      <c r="B1285" s="5">
        <v>442596764000</v>
      </c>
      <c r="C1285" s="5">
        <v>556858435900</v>
      </c>
      <c r="D1285" s="49">
        <f t="shared" si="30"/>
        <v>9994.5519989999993</v>
      </c>
    </row>
    <row r="1286" spans="1:4" x14ac:dyDescent="0.3">
      <c r="A1286" s="4">
        <v>45765</v>
      </c>
      <c r="B1286" s="5">
        <v>380313472600</v>
      </c>
      <c r="C1286" s="5">
        <v>534342502000</v>
      </c>
      <c r="D1286" s="49">
        <f t="shared" ref="D1286:D1349" si="31">(B1286+C1286)/100000000</f>
        <v>9146.5597460000008</v>
      </c>
    </row>
    <row r="1287" spans="1:4" x14ac:dyDescent="0.3">
      <c r="A1287" s="4">
        <v>45768</v>
      </c>
      <c r="B1287" s="5">
        <v>429391687800</v>
      </c>
      <c r="C1287" s="5">
        <v>612012816500</v>
      </c>
      <c r="D1287" s="49">
        <f t="shared" si="31"/>
        <v>10414.045043</v>
      </c>
    </row>
    <row r="1288" spans="1:4" x14ac:dyDescent="0.3">
      <c r="A1288" s="4">
        <v>45769</v>
      </c>
      <c r="B1288" s="5">
        <v>452675442000</v>
      </c>
      <c r="C1288" s="5">
        <v>637326686300</v>
      </c>
      <c r="D1288" s="49">
        <f t="shared" si="31"/>
        <v>10900.021283</v>
      </c>
    </row>
    <row r="1289" spans="1:4" x14ac:dyDescent="0.3">
      <c r="A1289" s="4">
        <v>45770</v>
      </c>
      <c r="B1289" s="5">
        <v>486209315200</v>
      </c>
      <c r="C1289" s="5">
        <v>743505156300</v>
      </c>
      <c r="D1289" s="49">
        <f t="shared" si="31"/>
        <v>12297.144715</v>
      </c>
    </row>
    <row r="1290" spans="1:4" x14ac:dyDescent="0.3">
      <c r="A1290" s="4">
        <v>45771</v>
      </c>
      <c r="B1290" s="5">
        <v>434706037200</v>
      </c>
      <c r="C1290" s="5">
        <v>674313084000</v>
      </c>
      <c r="D1290" s="49">
        <f t="shared" si="31"/>
        <v>11090.191212</v>
      </c>
    </row>
    <row r="1291" spans="1:4" x14ac:dyDescent="0.3">
      <c r="A1291" s="4">
        <v>45772</v>
      </c>
      <c r="B1291" s="5">
        <v>445417627300</v>
      </c>
      <c r="C1291" s="5">
        <v>668149455600</v>
      </c>
      <c r="D1291" s="49">
        <f t="shared" si="31"/>
        <v>11135.670829000001</v>
      </c>
    </row>
    <row r="1292" spans="1:4" x14ac:dyDescent="0.3">
      <c r="A1292" s="4">
        <v>45775</v>
      </c>
      <c r="B1292" s="5">
        <v>441916383100</v>
      </c>
      <c r="C1292" s="5">
        <v>614392701300</v>
      </c>
      <c r="D1292" s="49">
        <f t="shared" si="31"/>
        <v>10563.090844</v>
      </c>
    </row>
    <row r="1293" spans="1:4" x14ac:dyDescent="0.3">
      <c r="A1293" s="4">
        <v>45776</v>
      </c>
      <c r="B1293" s="5">
        <v>430881033500</v>
      </c>
      <c r="C1293" s="5">
        <v>591202316900</v>
      </c>
      <c r="D1293" s="49">
        <f t="shared" si="31"/>
        <v>10220.833504</v>
      </c>
    </row>
    <row r="1294" spans="1:4" x14ac:dyDescent="0.3">
      <c r="A1294" s="4">
        <v>45777</v>
      </c>
      <c r="B1294" s="5">
        <v>505572584200</v>
      </c>
      <c r="C1294" s="5">
        <v>663740543700</v>
      </c>
      <c r="D1294" s="49">
        <f t="shared" si="31"/>
        <v>11693.131278999999</v>
      </c>
    </row>
    <row r="1295" spans="1:4" x14ac:dyDescent="0.3">
      <c r="A1295" s="4">
        <v>45783</v>
      </c>
      <c r="B1295" s="5">
        <v>551825065600</v>
      </c>
      <c r="C1295" s="5">
        <v>784345733500</v>
      </c>
      <c r="D1295" s="49">
        <f t="shared" si="31"/>
        <v>13361.707990999999</v>
      </c>
    </row>
    <row r="1296" spans="1:4" x14ac:dyDescent="0.3">
      <c r="A1296" s="4">
        <v>45784</v>
      </c>
      <c r="B1296" s="5">
        <v>595230089100</v>
      </c>
      <c r="C1296" s="5">
        <v>873086717200</v>
      </c>
      <c r="D1296" s="49">
        <f t="shared" si="31"/>
        <v>14683.168062999999</v>
      </c>
    </row>
    <row r="1297" spans="1:4" x14ac:dyDescent="0.3">
      <c r="A1297" s="4">
        <v>45785</v>
      </c>
      <c r="B1297" s="5">
        <v>501611375500</v>
      </c>
      <c r="C1297" s="5">
        <v>791766043700</v>
      </c>
      <c r="D1297" s="49">
        <f t="shared" si="31"/>
        <v>12933.774192000001</v>
      </c>
    </row>
    <row r="1298" spans="1:4" x14ac:dyDescent="0.3">
      <c r="A1298" s="4">
        <v>45786</v>
      </c>
      <c r="B1298" s="5">
        <v>464862361500</v>
      </c>
      <c r="C1298" s="5">
        <v>727147511900</v>
      </c>
      <c r="D1298" s="49">
        <f t="shared" si="31"/>
        <v>11920.098733999999</v>
      </c>
    </row>
    <row r="1299" spans="1:4" x14ac:dyDescent="0.3">
      <c r="A1299" s="4">
        <v>45789</v>
      </c>
      <c r="B1299" s="5">
        <v>522080702400</v>
      </c>
      <c r="C1299" s="5">
        <v>786328921100</v>
      </c>
      <c r="D1299" s="49">
        <f t="shared" si="31"/>
        <v>13084.096235000001</v>
      </c>
    </row>
    <row r="1300" spans="1:4" x14ac:dyDescent="0.3">
      <c r="A1300" s="4">
        <v>45790</v>
      </c>
      <c r="B1300" s="5">
        <v>506608943800</v>
      </c>
      <c r="C1300" s="5">
        <v>784916005700</v>
      </c>
      <c r="D1300" s="49">
        <f t="shared" si="31"/>
        <v>12915.249495</v>
      </c>
    </row>
    <row r="1301" spans="1:4" x14ac:dyDescent="0.3">
      <c r="A1301" s="4">
        <v>45791</v>
      </c>
      <c r="B1301" s="5">
        <v>534872944600</v>
      </c>
      <c r="C1301" s="5">
        <v>781853572200</v>
      </c>
      <c r="D1301" s="49">
        <f t="shared" si="31"/>
        <v>13167.265168</v>
      </c>
    </row>
    <row r="1302" spans="1:4" x14ac:dyDescent="0.3">
      <c r="A1302" s="4">
        <v>45792</v>
      </c>
      <c r="B1302" s="5">
        <v>461292249400</v>
      </c>
      <c r="C1302" s="5">
        <v>691102456400</v>
      </c>
      <c r="D1302" s="49">
        <f t="shared" si="31"/>
        <v>11523.947058</v>
      </c>
    </row>
    <row r="1303" spans="1:4" x14ac:dyDescent="0.3">
      <c r="A1303" s="4">
        <v>45793</v>
      </c>
      <c r="B1303" s="5">
        <v>435647042700</v>
      </c>
      <c r="C1303" s="5">
        <v>653881582500</v>
      </c>
      <c r="D1303" s="49">
        <f t="shared" si="31"/>
        <v>10895.286252</v>
      </c>
    </row>
    <row r="1304" spans="1:4" x14ac:dyDescent="0.3">
      <c r="A1304" s="4">
        <v>45796</v>
      </c>
      <c r="B1304" s="5">
        <v>437177569200</v>
      </c>
      <c r="C1304" s="5">
        <v>649270162100</v>
      </c>
      <c r="D1304" s="49">
        <f t="shared" si="31"/>
        <v>10864.477312999999</v>
      </c>
    </row>
    <row r="1305" spans="1:4" x14ac:dyDescent="0.3">
      <c r="A1305" s="4">
        <v>45797</v>
      </c>
      <c r="B1305" s="5">
        <v>450290477200</v>
      </c>
      <c r="C1305" s="5">
        <v>719390820900</v>
      </c>
      <c r="D1305" s="49">
        <f t="shared" si="31"/>
        <v>11696.812980999999</v>
      </c>
    </row>
    <row r="1306" spans="1:4" x14ac:dyDescent="0.3">
      <c r="A1306" s="4">
        <v>45798</v>
      </c>
      <c r="B1306" s="5">
        <v>465956993400</v>
      </c>
      <c r="C1306" s="5">
        <v>707488061900</v>
      </c>
      <c r="D1306" s="49">
        <f t="shared" si="31"/>
        <v>11734.450553000001</v>
      </c>
    </row>
    <row r="1307" spans="1:4" x14ac:dyDescent="0.3">
      <c r="A1307" s="4">
        <v>45799</v>
      </c>
      <c r="B1307" s="5">
        <v>438334515300</v>
      </c>
      <c r="C1307" s="5">
        <v>664355148900</v>
      </c>
      <c r="D1307" s="49">
        <f t="shared" si="31"/>
        <v>11026.896642</v>
      </c>
    </row>
    <row r="1308" spans="1:4" x14ac:dyDescent="0.3">
      <c r="A1308" s="4">
        <v>45800</v>
      </c>
      <c r="B1308" s="5">
        <v>468587869600</v>
      </c>
      <c r="C1308" s="5">
        <v>687001322800</v>
      </c>
      <c r="D1308" s="49">
        <f t="shared" si="31"/>
        <v>11555.891924</v>
      </c>
    </row>
    <row r="1309" spans="1:4" x14ac:dyDescent="0.3">
      <c r="A1309" s="4">
        <v>45803</v>
      </c>
      <c r="B1309" s="5">
        <v>400526568400</v>
      </c>
      <c r="C1309" s="5">
        <v>609433795800</v>
      </c>
      <c r="D1309" s="49">
        <f t="shared" si="31"/>
        <v>10099.603642</v>
      </c>
    </row>
    <row r="1310" spans="1:4" x14ac:dyDescent="0.3">
      <c r="A1310" s="4">
        <v>45804</v>
      </c>
      <c r="B1310" s="5">
        <v>394408732900</v>
      </c>
      <c r="C1310" s="5">
        <v>604517403100</v>
      </c>
      <c r="D1310" s="49">
        <f t="shared" si="31"/>
        <v>9989.2613600000004</v>
      </c>
    </row>
    <row r="1311" spans="1:4" x14ac:dyDescent="0.3">
      <c r="A1311" s="4">
        <v>45805</v>
      </c>
      <c r="B1311" s="5">
        <v>389341214700</v>
      </c>
      <c r="C1311" s="5">
        <v>620609249500</v>
      </c>
      <c r="D1311" s="49">
        <f t="shared" si="31"/>
        <v>10099.504642</v>
      </c>
    </row>
    <row r="1312" spans="1:4" x14ac:dyDescent="0.3">
      <c r="A1312" s="4">
        <v>45806</v>
      </c>
      <c r="B1312" s="5">
        <v>453741382200</v>
      </c>
      <c r="C1312" s="5">
        <v>731680602200</v>
      </c>
      <c r="D1312" s="49">
        <f t="shared" si="31"/>
        <v>11854.219843999999</v>
      </c>
    </row>
    <row r="1313" spans="1:4" x14ac:dyDescent="0.3">
      <c r="A1313" s="4">
        <v>45807</v>
      </c>
      <c r="B1313" s="5">
        <v>443358967700</v>
      </c>
      <c r="C1313" s="5">
        <v>695819645300</v>
      </c>
      <c r="D1313" s="49">
        <f t="shared" si="31"/>
        <v>11391.78613</v>
      </c>
    </row>
    <row r="1314" spans="1:4" x14ac:dyDescent="0.3">
      <c r="A1314" s="4">
        <v>45811</v>
      </c>
      <c r="B1314" s="5">
        <v>468292670300</v>
      </c>
      <c r="C1314" s="5">
        <v>673116542500</v>
      </c>
      <c r="D1314" s="49">
        <f t="shared" si="31"/>
        <v>11414.092128</v>
      </c>
    </row>
    <row r="1315" spans="1:4" x14ac:dyDescent="0.3">
      <c r="A1315" s="4">
        <v>45812</v>
      </c>
      <c r="B1315" s="5">
        <v>446844610700</v>
      </c>
      <c r="C1315" s="5">
        <v>706202700300</v>
      </c>
      <c r="D1315" s="49">
        <f t="shared" si="31"/>
        <v>11530.473110000001</v>
      </c>
    </row>
    <row r="1316" spans="1:4" x14ac:dyDescent="0.3">
      <c r="A1316" s="4">
        <v>45813</v>
      </c>
      <c r="B1316" s="5">
        <v>498241228900</v>
      </c>
      <c r="C1316" s="5">
        <v>792163814300</v>
      </c>
      <c r="D1316" s="49">
        <f t="shared" si="31"/>
        <v>12904.050432</v>
      </c>
    </row>
    <row r="1317" spans="1:4" x14ac:dyDescent="0.3">
      <c r="A1317" s="4">
        <v>45814</v>
      </c>
      <c r="B1317" s="5">
        <v>452743716100</v>
      </c>
      <c r="C1317" s="5">
        <v>699234004700</v>
      </c>
      <c r="D1317" s="49">
        <f t="shared" si="31"/>
        <v>11519.777208</v>
      </c>
    </row>
    <row r="1318" spans="1:4" x14ac:dyDescent="0.3">
      <c r="A1318" s="4">
        <v>45817</v>
      </c>
      <c r="B1318" s="5">
        <v>511879937000</v>
      </c>
      <c r="C1318" s="5">
        <v>774512041800</v>
      </c>
      <c r="D1318" s="49">
        <f t="shared" si="31"/>
        <v>12863.919787999999</v>
      </c>
    </row>
    <row r="1319" spans="1:4" x14ac:dyDescent="0.3">
      <c r="A1319" s="4">
        <v>45818</v>
      </c>
      <c r="B1319" s="5">
        <v>557427629000</v>
      </c>
      <c r="C1319" s="5">
        <v>857931186400</v>
      </c>
      <c r="D1319" s="49">
        <f t="shared" si="31"/>
        <v>14153.588153999999</v>
      </c>
    </row>
    <row r="1320" spans="1:4" x14ac:dyDescent="0.3">
      <c r="A1320" s="4">
        <v>45819</v>
      </c>
      <c r="B1320" s="5">
        <v>501807385800</v>
      </c>
      <c r="C1320" s="5">
        <v>753651117600</v>
      </c>
      <c r="D1320" s="49">
        <f t="shared" si="31"/>
        <v>12554.585034</v>
      </c>
    </row>
    <row r="1321" spans="1:4" x14ac:dyDescent="0.3">
      <c r="A1321" s="4">
        <v>45820</v>
      </c>
      <c r="B1321" s="5">
        <v>501624560600</v>
      </c>
      <c r="C1321" s="5">
        <v>770143959300</v>
      </c>
      <c r="D1321" s="49">
        <f t="shared" si="31"/>
        <v>12717.685199</v>
      </c>
    </row>
    <row r="1322" spans="1:4" x14ac:dyDescent="0.3">
      <c r="A1322" s="4">
        <v>45821</v>
      </c>
      <c r="B1322" s="5">
        <v>605384839400</v>
      </c>
      <c r="C1322" s="5">
        <v>861812448100</v>
      </c>
      <c r="D1322" s="49">
        <f t="shared" si="31"/>
        <v>14671.972874999999</v>
      </c>
    </row>
    <row r="1323" spans="1:4" x14ac:dyDescent="0.3">
      <c r="A1323" s="4">
        <v>45824</v>
      </c>
      <c r="B1323" s="5">
        <v>481594409500</v>
      </c>
      <c r="C1323" s="5">
        <v>733481224100</v>
      </c>
      <c r="D1323" s="49">
        <f t="shared" si="31"/>
        <v>12150.756336</v>
      </c>
    </row>
    <row r="1324" spans="1:4" x14ac:dyDescent="0.3">
      <c r="A1324" s="4">
        <v>45825</v>
      </c>
      <c r="B1324" s="5">
        <v>458038158700</v>
      </c>
      <c r="C1324" s="5">
        <v>749174912200</v>
      </c>
      <c r="D1324" s="49">
        <f t="shared" si="31"/>
        <v>12072.130708999999</v>
      </c>
    </row>
    <row r="1325" spans="1:4" x14ac:dyDescent="0.3">
      <c r="A1325" s="4">
        <v>45826</v>
      </c>
      <c r="B1325" s="5">
        <v>441011095400</v>
      </c>
      <c r="C1325" s="5">
        <v>750056105200</v>
      </c>
      <c r="D1325" s="49">
        <f t="shared" si="31"/>
        <v>11910.672006000001</v>
      </c>
    </row>
    <row r="1326" spans="1:4" x14ac:dyDescent="0.3">
      <c r="A1326" s="4">
        <v>45827</v>
      </c>
      <c r="B1326" s="5">
        <v>473258595400</v>
      </c>
      <c r="C1326" s="5">
        <v>777365311000</v>
      </c>
      <c r="D1326" s="49">
        <f t="shared" si="31"/>
        <v>12506.239063999999</v>
      </c>
    </row>
    <row r="1327" spans="1:4" x14ac:dyDescent="0.3">
      <c r="A1327" s="4">
        <v>45828</v>
      </c>
      <c r="B1327" s="5">
        <v>410873272600</v>
      </c>
      <c r="C1327" s="5">
        <v>656812805400</v>
      </c>
      <c r="D1327" s="49">
        <f t="shared" si="31"/>
        <v>10676.860780000001</v>
      </c>
    </row>
    <row r="1328" spans="1:4" x14ac:dyDescent="0.3">
      <c r="A1328" s="4">
        <v>45831</v>
      </c>
      <c r="B1328" s="5">
        <v>442789178500</v>
      </c>
      <c r="C1328" s="5">
        <v>679817325700</v>
      </c>
      <c r="D1328" s="49">
        <f t="shared" si="31"/>
        <v>11226.065042</v>
      </c>
    </row>
    <row r="1329" spans="1:4" x14ac:dyDescent="0.3">
      <c r="A1329" s="4">
        <v>45832</v>
      </c>
      <c r="B1329" s="5">
        <v>544882077600</v>
      </c>
      <c r="C1329" s="5">
        <v>869699635300</v>
      </c>
      <c r="D1329" s="49">
        <f t="shared" si="31"/>
        <v>14145.817128999999</v>
      </c>
    </row>
    <row r="1330" spans="1:4" x14ac:dyDescent="0.3">
      <c r="A1330" s="4">
        <v>45833</v>
      </c>
      <c r="B1330" s="5">
        <v>620173277600</v>
      </c>
      <c r="C1330" s="5">
        <v>982567082300</v>
      </c>
      <c r="D1330" s="49">
        <f t="shared" si="31"/>
        <v>16027.403598999999</v>
      </c>
    </row>
    <row r="1331" spans="1:4" x14ac:dyDescent="0.3">
      <c r="A1331" s="4">
        <v>45834</v>
      </c>
      <c r="B1331" s="5">
        <v>603095111900</v>
      </c>
      <c r="C1331" s="5">
        <v>980056150400</v>
      </c>
      <c r="D1331" s="49">
        <f t="shared" si="31"/>
        <v>15831.512623000001</v>
      </c>
    </row>
    <row r="1332" spans="1:4" x14ac:dyDescent="0.3">
      <c r="A1332" s="4">
        <v>45835</v>
      </c>
      <c r="B1332" s="5">
        <v>605731616300</v>
      </c>
      <c r="C1332" s="5">
        <v>935369242400</v>
      </c>
      <c r="D1332" s="49">
        <f t="shared" si="31"/>
        <v>15411.008587</v>
      </c>
    </row>
    <row r="1333" spans="1:4" x14ac:dyDescent="0.3">
      <c r="A1333" s="4">
        <v>45838</v>
      </c>
      <c r="B1333" s="5">
        <v>567137246000</v>
      </c>
      <c r="C1333" s="5">
        <v>919719790700</v>
      </c>
      <c r="D1333" s="49">
        <f t="shared" si="31"/>
        <v>14868.570367</v>
      </c>
    </row>
    <row r="1334" spans="1:4" x14ac:dyDescent="0.3">
      <c r="A1334" s="4">
        <v>45839</v>
      </c>
      <c r="B1334" s="5">
        <v>553556536200</v>
      </c>
      <c r="C1334" s="5">
        <v>912458674100</v>
      </c>
      <c r="D1334" s="49">
        <f t="shared" si="31"/>
        <v>14660.152103</v>
      </c>
    </row>
    <row r="1335" spans="1:4" x14ac:dyDescent="0.3">
      <c r="A1335" s="4">
        <v>45840</v>
      </c>
      <c r="B1335" s="5">
        <v>543130721700.00006</v>
      </c>
      <c r="C1335" s="5">
        <v>833836483400</v>
      </c>
      <c r="D1335" s="49">
        <f t="shared" si="31"/>
        <v>13769.672051</v>
      </c>
    </row>
    <row r="1336" spans="1:4" x14ac:dyDescent="0.3">
      <c r="A1336" s="4">
        <v>45841</v>
      </c>
      <c r="B1336" s="5">
        <v>500211767800</v>
      </c>
      <c r="C1336" s="5">
        <v>809521887000</v>
      </c>
      <c r="D1336" s="49">
        <f t="shared" si="31"/>
        <v>13097.336547999999</v>
      </c>
    </row>
    <row r="1337" spans="1:4" x14ac:dyDescent="0.3">
      <c r="A1337" s="4">
        <v>45842</v>
      </c>
      <c r="B1337" s="5">
        <v>567241277900</v>
      </c>
      <c r="C1337" s="5">
        <v>861303678000</v>
      </c>
      <c r="D1337" s="49">
        <f t="shared" si="31"/>
        <v>14285.449559000001</v>
      </c>
    </row>
    <row r="1338" spans="1:4" x14ac:dyDescent="0.3">
      <c r="A1338" s="4">
        <v>45845</v>
      </c>
      <c r="B1338" s="5">
        <v>476197431400</v>
      </c>
      <c r="C1338" s="5">
        <v>732443940600</v>
      </c>
      <c r="D1338" s="49">
        <f t="shared" si="31"/>
        <v>12086.41372</v>
      </c>
    </row>
    <row r="1339" spans="1:4" x14ac:dyDescent="0.3">
      <c r="A1339" s="4">
        <v>45846</v>
      </c>
      <c r="B1339" s="5">
        <v>567506524800</v>
      </c>
      <c r="C1339" s="5">
        <v>886431608700</v>
      </c>
      <c r="D1339" s="49">
        <f t="shared" si="31"/>
        <v>14539.381335</v>
      </c>
    </row>
    <row r="1340" spans="1:4" x14ac:dyDescent="0.3">
      <c r="A1340" s="4">
        <v>45847</v>
      </c>
      <c r="B1340" s="5">
        <v>595962525100</v>
      </c>
      <c r="C1340" s="5">
        <v>909213654400</v>
      </c>
      <c r="D1340" s="49">
        <f t="shared" si="31"/>
        <v>15051.761795</v>
      </c>
    </row>
    <row r="1341" spans="1:4" x14ac:dyDescent="0.3">
      <c r="A1341" s="4">
        <v>45848</v>
      </c>
      <c r="B1341" s="5">
        <v>613160543900</v>
      </c>
      <c r="C1341" s="5">
        <v>880987221800</v>
      </c>
      <c r="D1341" s="49">
        <f t="shared" si="31"/>
        <v>14941.477656999999</v>
      </c>
    </row>
    <row r="1342" spans="1:4" x14ac:dyDescent="0.3">
      <c r="A1342" s="4">
        <v>45849</v>
      </c>
      <c r="B1342" s="5">
        <v>753549049100</v>
      </c>
      <c r="C1342" s="5">
        <v>958569562600</v>
      </c>
      <c r="D1342" s="49">
        <f t="shared" si="31"/>
        <v>17121.186117000001</v>
      </c>
    </row>
    <row r="1343" spans="1:4" x14ac:dyDescent="0.3">
      <c r="A1343" s="4">
        <v>45852</v>
      </c>
      <c r="B1343" s="5">
        <v>623102482300</v>
      </c>
      <c r="C1343" s="5">
        <v>835636359500</v>
      </c>
      <c r="D1343" s="49">
        <f t="shared" si="31"/>
        <v>14587.388418</v>
      </c>
    </row>
    <row r="1344" spans="1:4" x14ac:dyDescent="0.3">
      <c r="A1344" s="4">
        <v>45853</v>
      </c>
      <c r="B1344" s="5">
        <v>646851665100</v>
      </c>
      <c r="C1344" s="5">
        <v>965196105600</v>
      </c>
      <c r="D1344" s="49">
        <f t="shared" si="31"/>
        <v>16120.477707</v>
      </c>
    </row>
    <row r="1345" spans="1:4" x14ac:dyDescent="0.3">
      <c r="A1345" s="4">
        <v>45854</v>
      </c>
      <c r="B1345" s="5">
        <v>572419318700</v>
      </c>
      <c r="C1345" s="5">
        <v>869618924900</v>
      </c>
      <c r="D1345" s="49">
        <f t="shared" si="31"/>
        <v>14420.382436</v>
      </c>
    </row>
    <row r="1346" spans="1:4" x14ac:dyDescent="0.3">
      <c r="A1346" s="4">
        <v>45855</v>
      </c>
      <c r="B1346" s="5">
        <v>609791010300</v>
      </c>
      <c r="C1346" s="5">
        <v>929578186300</v>
      </c>
      <c r="D1346" s="49">
        <f t="shared" si="31"/>
        <v>15393.691966</v>
      </c>
    </row>
    <row r="1347" spans="1:4" x14ac:dyDescent="0.3">
      <c r="A1347" s="4">
        <v>45856</v>
      </c>
      <c r="B1347" s="5">
        <v>643627574900</v>
      </c>
      <c r="C1347" s="5">
        <v>927415711600</v>
      </c>
      <c r="D1347" s="49">
        <f t="shared" si="31"/>
        <v>15710.432865000001</v>
      </c>
    </row>
    <row r="1348" spans="1:4" x14ac:dyDescent="0.3">
      <c r="A1348" s="4">
        <v>45859</v>
      </c>
      <c r="B1348" s="5">
        <v>730905862900</v>
      </c>
      <c r="C1348" s="5">
        <v>969074333200</v>
      </c>
      <c r="D1348" s="49">
        <f t="shared" si="31"/>
        <v>16999.801961000001</v>
      </c>
    </row>
    <row r="1349" spans="1:4" x14ac:dyDescent="0.3">
      <c r="A1349" s="4">
        <v>45860</v>
      </c>
      <c r="B1349" s="5">
        <v>840573441900</v>
      </c>
      <c r="C1349" s="5">
        <v>1052464845800</v>
      </c>
      <c r="D1349" s="49">
        <f t="shared" si="31"/>
        <v>18930.382877</v>
      </c>
    </row>
    <row r="1350" spans="1:4" x14ac:dyDescent="0.3">
      <c r="A1350" s="4">
        <v>45861</v>
      </c>
      <c r="B1350" s="5">
        <v>857045959500</v>
      </c>
      <c r="C1350" s="5">
        <v>1007553832400</v>
      </c>
      <c r="D1350" s="49">
        <f t="shared" ref="D1350:D1413" si="32">(B1350+C1350)/100000000</f>
        <v>18645.997919000001</v>
      </c>
    </row>
    <row r="1351" spans="1:4" x14ac:dyDescent="0.3">
      <c r="A1351" s="4">
        <v>45862</v>
      </c>
      <c r="B1351" s="5">
        <v>852239625300</v>
      </c>
      <c r="C1351" s="5">
        <v>992466090700</v>
      </c>
      <c r="D1351" s="49">
        <f t="shared" si="32"/>
        <v>18447.05716</v>
      </c>
    </row>
    <row r="1352" spans="1:4" x14ac:dyDescent="0.3">
      <c r="A1352" s="4">
        <v>45863</v>
      </c>
      <c r="B1352" s="5">
        <v>821609575900</v>
      </c>
      <c r="C1352" s="5">
        <v>965727200400</v>
      </c>
      <c r="D1352" s="49">
        <f t="shared" si="32"/>
        <v>17873.367762999998</v>
      </c>
    </row>
    <row r="1353" spans="1:4" x14ac:dyDescent="0.3">
      <c r="A1353" s="4">
        <v>45866</v>
      </c>
      <c r="B1353" s="5">
        <v>761265438400</v>
      </c>
      <c r="C1353" s="5">
        <v>981041846800</v>
      </c>
      <c r="D1353" s="49">
        <f t="shared" si="32"/>
        <v>17423.072852000001</v>
      </c>
    </row>
    <row r="1354" spans="1:4" x14ac:dyDescent="0.3">
      <c r="A1354" s="4">
        <v>45867</v>
      </c>
      <c r="B1354" s="5">
        <v>793606423700</v>
      </c>
      <c r="C1354" s="5">
        <v>1009564173300</v>
      </c>
      <c r="D1354" s="49">
        <f t="shared" si="32"/>
        <v>18031.705969999999</v>
      </c>
    </row>
    <row r="1355" spans="1:4" x14ac:dyDescent="0.3">
      <c r="A1355" s="4">
        <v>45868</v>
      </c>
      <c r="B1355" s="5">
        <v>819627949100</v>
      </c>
      <c r="C1355" s="5">
        <v>1024651537600</v>
      </c>
      <c r="D1355" s="49">
        <f t="shared" si="32"/>
        <v>18442.794867000001</v>
      </c>
    </row>
    <row r="1356" spans="1:4" x14ac:dyDescent="0.3">
      <c r="A1356" s="4">
        <v>45869</v>
      </c>
      <c r="B1356" s="5">
        <v>845893058100</v>
      </c>
      <c r="C1356" s="5">
        <v>1090142295599.9999</v>
      </c>
      <c r="D1356" s="49">
        <f t="shared" si="32"/>
        <v>19360.353536999999</v>
      </c>
    </row>
    <row r="1357" spans="1:4" x14ac:dyDescent="0.3">
      <c r="A1357" s="4">
        <v>45870</v>
      </c>
      <c r="B1357" s="5">
        <v>684645226000</v>
      </c>
      <c r="C1357" s="5">
        <v>913705309200</v>
      </c>
      <c r="D1357" s="49">
        <f t="shared" si="32"/>
        <v>15983.505352</v>
      </c>
    </row>
    <row r="1358" spans="1:4" x14ac:dyDescent="0.3">
      <c r="A1358" s="4">
        <v>45873</v>
      </c>
      <c r="B1358" s="5">
        <v>639775598500</v>
      </c>
      <c r="C1358" s="5">
        <v>858774512800</v>
      </c>
      <c r="D1358" s="49">
        <f t="shared" si="32"/>
        <v>14985.501113</v>
      </c>
    </row>
    <row r="1359" spans="1:4" x14ac:dyDescent="0.3">
      <c r="A1359" s="4">
        <v>45874</v>
      </c>
      <c r="B1359" s="5">
        <v>656382505100</v>
      </c>
      <c r="C1359" s="5">
        <v>939698369600</v>
      </c>
      <c r="D1359" s="49">
        <f t="shared" si="32"/>
        <v>15960.808746999999</v>
      </c>
    </row>
    <row r="1360" spans="1:4" x14ac:dyDescent="0.3">
      <c r="A1360" s="4">
        <v>45875</v>
      </c>
      <c r="B1360" s="5">
        <v>707221251600</v>
      </c>
      <c r="C1360" s="5">
        <v>1026846804900</v>
      </c>
      <c r="D1360" s="49">
        <f t="shared" si="32"/>
        <v>17340.680564999999</v>
      </c>
    </row>
    <row r="1361" spans="1:4" x14ac:dyDescent="0.3">
      <c r="A1361" s="4">
        <v>45876</v>
      </c>
      <c r="B1361" s="5">
        <v>749699997300</v>
      </c>
      <c r="C1361" s="5">
        <v>1075789507400.0001</v>
      </c>
      <c r="D1361" s="49">
        <f t="shared" si="32"/>
        <v>18254.895047000002</v>
      </c>
    </row>
    <row r="1362" spans="1:4" x14ac:dyDescent="0.3">
      <c r="A1362" s="4">
        <v>45877</v>
      </c>
      <c r="B1362" s="5">
        <v>713569731100</v>
      </c>
      <c r="C1362" s="5">
        <v>996656917100</v>
      </c>
      <c r="D1362" s="49">
        <f t="shared" si="32"/>
        <v>17102.266481999999</v>
      </c>
    </row>
    <row r="1363" spans="1:4" x14ac:dyDescent="0.3">
      <c r="A1363" s="4">
        <v>45880</v>
      </c>
      <c r="B1363" s="5">
        <v>751329446800</v>
      </c>
      <c r="C1363" s="5">
        <v>1075643532300</v>
      </c>
      <c r="D1363" s="49">
        <f t="shared" si="32"/>
        <v>18269.729791000002</v>
      </c>
    </row>
    <row r="1364" spans="1:4" x14ac:dyDescent="0.3">
      <c r="A1364" s="4">
        <v>45881</v>
      </c>
      <c r="B1364" s="5">
        <v>778161034200</v>
      </c>
      <c r="C1364" s="5">
        <v>1103359004000</v>
      </c>
      <c r="D1364" s="49">
        <f t="shared" si="32"/>
        <v>18815.200381999999</v>
      </c>
    </row>
    <row r="1365" spans="1:4" x14ac:dyDescent="0.3">
      <c r="A1365" s="4">
        <v>45882</v>
      </c>
      <c r="B1365" s="5">
        <v>887022595700</v>
      </c>
      <c r="C1365" s="5">
        <v>1263914042200</v>
      </c>
      <c r="D1365" s="49">
        <f t="shared" si="32"/>
        <v>21509.366378999999</v>
      </c>
    </row>
    <row r="1366" spans="1:4" x14ac:dyDescent="0.3">
      <c r="A1366" s="4">
        <v>45883</v>
      </c>
      <c r="B1366" s="5">
        <v>949464273600</v>
      </c>
      <c r="C1366" s="5">
        <v>1329744664100</v>
      </c>
      <c r="D1366" s="49">
        <f t="shared" si="32"/>
        <v>22792.089377</v>
      </c>
    </row>
    <row r="1367" spans="1:4" x14ac:dyDescent="0.3">
      <c r="A1367" s="4">
        <v>45884</v>
      </c>
      <c r="B1367" s="5">
        <v>960624988900</v>
      </c>
      <c r="C1367" s="5">
        <v>1283986982900</v>
      </c>
      <c r="D1367" s="49">
        <f t="shared" si="32"/>
        <v>22446.119718000002</v>
      </c>
    </row>
    <row r="1368" spans="1:4" x14ac:dyDescent="0.3">
      <c r="A1368" s="4">
        <v>45887</v>
      </c>
      <c r="B1368" s="5">
        <v>1133941943200</v>
      </c>
      <c r="C1368" s="5">
        <v>1630221110300</v>
      </c>
      <c r="D1368" s="49">
        <f t="shared" si="32"/>
        <v>27641.630535</v>
      </c>
    </row>
    <row r="1369" spans="1:4" x14ac:dyDescent="0.3">
      <c r="A1369" s="4">
        <v>45888</v>
      </c>
      <c r="B1369" s="5">
        <v>1060899235700</v>
      </c>
      <c r="C1369" s="5">
        <v>1527469705900</v>
      </c>
      <c r="D1369" s="49">
        <f t="shared" si="32"/>
        <v>25883.689416000001</v>
      </c>
    </row>
    <row r="1370" spans="1:4" x14ac:dyDescent="0.3">
      <c r="A1370" s="4">
        <v>45889</v>
      </c>
      <c r="B1370" s="5">
        <v>1017500164100</v>
      </c>
      <c r="C1370" s="5">
        <v>1390733947700</v>
      </c>
      <c r="D1370" s="49">
        <f t="shared" si="32"/>
        <v>24082.341118</v>
      </c>
    </row>
    <row r="1371" spans="1:4" x14ac:dyDescent="0.3">
      <c r="A1371" s="4">
        <v>45890</v>
      </c>
      <c r="B1371" s="5">
        <v>997741900800</v>
      </c>
      <c r="C1371" s="5">
        <v>1426314863000</v>
      </c>
      <c r="D1371" s="49">
        <f t="shared" si="32"/>
        <v>24240.567638</v>
      </c>
    </row>
    <row r="1372" spans="1:4" x14ac:dyDescent="0.3">
      <c r="A1372" s="4">
        <v>45891</v>
      </c>
      <c r="B1372" s="5">
        <v>1095091495700</v>
      </c>
      <c r="C1372" s="5">
        <v>1451618129600</v>
      </c>
      <c r="D1372" s="49">
        <f t="shared" si="32"/>
        <v>25467.096253</v>
      </c>
    </row>
    <row r="1373" spans="1:4" x14ac:dyDescent="0.3">
      <c r="A1373" s="4">
        <v>45894</v>
      </c>
      <c r="B1373" s="5">
        <v>1360903869000</v>
      </c>
      <c r="C1373" s="5">
        <v>1780233495800</v>
      </c>
      <c r="D1373" s="49">
        <f t="shared" si="32"/>
        <v>31411.373648000001</v>
      </c>
    </row>
    <row r="1374" spans="1:4" x14ac:dyDescent="0.3">
      <c r="A1374" s="4">
        <v>45895</v>
      </c>
      <c r="B1374" s="5">
        <v>1114187895300</v>
      </c>
      <c r="C1374" s="5">
        <v>1564831995900</v>
      </c>
      <c r="D1374" s="49">
        <f t="shared" si="32"/>
        <v>26790.198912</v>
      </c>
    </row>
    <row r="1375" spans="1:4" x14ac:dyDescent="0.3">
      <c r="A1375" s="4">
        <v>45896</v>
      </c>
      <c r="B1375" s="5">
        <v>1326848744000</v>
      </c>
      <c r="C1375" s="5">
        <v>1838716010300</v>
      </c>
      <c r="D1375" s="49">
        <f t="shared" si="32"/>
        <v>31655.647542999999</v>
      </c>
    </row>
    <row r="1376" spans="1:4" x14ac:dyDescent="0.3">
      <c r="A1376" s="4">
        <v>45897</v>
      </c>
      <c r="B1376" s="5">
        <v>1265185534200</v>
      </c>
      <c r="C1376" s="5">
        <v>1705617179700</v>
      </c>
      <c r="D1376" s="49">
        <f t="shared" si="32"/>
        <v>29708.027139000002</v>
      </c>
    </row>
    <row r="1377" spans="1:4" x14ac:dyDescent="0.3">
      <c r="A1377" s="4">
        <v>45898</v>
      </c>
      <c r="B1377" s="5">
        <v>1221691851600</v>
      </c>
      <c r="C1377" s="5">
        <v>1576605426800</v>
      </c>
      <c r="D1377" s="49">
        <f t="shared" si="32"/>
        <v>27982.972784000001</v>
      </c>
    </row>
    <row r="1378" spans="1:4" x14ac:dyDescent="0.3">
      <c r="A1378" s="4">
        <v>45901</v>
      </c>
      <c r="B1378" s="5">
        <v>1208347980900</v>
      </c>
      <c r="C1378" s="5">
        <v>1541612589300</v>
      </c>
      <c r="D1378" s="49">
        <f t="shared" si="32"/>
        <v>27499.605702000001</v>
      </c>
    </row>
    <row r="1379" spans="1:4" x14ac:dyDescent="0.3">
      <c r="A1379" s="4">
        <v>45902</v>
      </c>
      <c r="B1379" s="5">
        <v>1222777664000</v>
      </c>
      <c r="C1379" s="5">
        <v>1652213634700</v>
      </c>
      <c r="D1379" s="49">
        <f t="shared" si="32"/>
        <v>28749.912987</v>
      </c>
    </row>
    <row r="1380" spans="1:4" x14ac:dyDescent="0.3">
      <c r="A1380" s="4">
        <v>45903</v>
      </c>
      <c r="B1380" s="5">
        <v>1012296084000</v>
      </c>
      <c r="C1380" s="5">
        <v>1351790359500</v>
      </c>
      <c r="D1380" s="49">
        <f t="shared" si="32"/>
        <v>23640.864435</v>
      </c>
    </row>
    <row r="1381" spans="1:4" x14ac:dyDescent="0.3">
      <c r="A1381" s="4">
        <v>45904</v>
      </c>
      <c r="B1381" s="5">
        <v>1107892043200</v>
      </c>
      <c r="C1381" s="5">
        <v>1436365320800</v>
      </c>
      <c r="D1381" s="49">
        <f t="shared" si="32"/>
        <v>25442.573639999999</v>
      </c>
    </row>
    <row r="1382" spans="1:4" x14ac:dyDescent="0.3">
      <c r="A1382" s="4">
        <v>45905</v>
      </c>
      <c r="B1382" s="5">
        <v>979061710200</v>
      </c>
      <c r="C1382" s="5">
        <v>1325596804600</v>
      </c>
      <c r="D1382" s="49">
        <f t="shared" si="32"/>
        <v>23046.585147999998</v>
      </c>
    </row>
    <row r="1383" spans="1:4" x14ac:dyDescent="0.3">
      <c r="A1383" s="4">
        <v>45908</v>
      </c>
      <c r="B1383" s="5">
        <v>1025883750000</v>
      </c>
      <c r="C1383" s="5">
        <v>1392846217800</v>
      </c>
      <c r="D1383" s="49">
        <f t="shared" si="32"/>
        <v>24187.299677999999</v>
      </c>
    </row>
    <row r="1384" spans="1:4" x14ac:dyDescent="0.3">
      <c r="A1384" s="4">
        <v>45909</v>
      </c>
      <c r="B1384" s="5">
        <v>917795306200</v>
      </c>
      <c r="C1384" s="5">
        <v>1200728197300</v>
      </c>
      <c r="D1384" s="49">
        <f t="shared" si="32"/>
        <v>21185.235035000002</v>
      </c>
    </row>
    <row r="1385" spans="1:4" x14ac:dyDescent="0.3">
      <c r="A1385" s="4">
        <v>45910</v>
      </c>
      <c r="B1385" s="5">
        <v>821113584500</v>
      </c>
      <c r="C1385" s="5">
        <v>1157008991300</v>
      </c>
      <c r="D1385" s="49">
        <f t="shared" si="32"/>
        <v>19781.225758</v>
      </c>
    </row>
    <row r="1386" spans="1:4" x14ac:dyDescent="0.3">
      <c r="A1386" s="4">
        <v>45911</v>
      </c>
      <c r="B1386" s="5">
        <v>1016794001400</v>
      </c>
      <c r="C1386" s="5">
        <v>1420924654200</v>
      </c>
      <c r="D1386" s="49">
        <f t="shared" si="32"/>
        <v>24377.186556000001</v>
      </c>
    </row>
    <row r="1387" spans="1:4" x14ac:dyDescent="0.3">
      <c r="A1387" s="4">
        <v>45912</v>
      </c>
      <c r="B1387" s="5">
        <v>1093807300700</v>
      </c>
      <c r="C1387" s="5">
        <v>1427118173100</v>
      </c>
      <c r="D1387" s="49">
        <f t="shared" si="32"/>
        <v>25209.254738</v>
      </c>
    </row>
    <row r="1388" spans="1:4" x14ac:dyDescent="0.3">
      <c r="A1388" s="4">
        <v>45915</v>
      </c>
      <c r="B1388" s="5">
        <v>986171993900</v>
      </c>
      <c r="C1388" s="5">
        <v>1291212636700</v>
      </c>
      <c r="D1388" s="49">
        <f t="shared" si="32"/>
        <v>22773.846305999999</v>
      </c>
    </row>
    <row r="1389" spans="1:4" x14ac:dyDescent="0.3">
      <c r="A1389" s="4">
        <v>45916</v>
      </c>
      <c r="B1389" s="5">
        <v>989786137900</v>
      </c>
      <c r="C1389" s="5">
        <v>1351615483300</v>
      </c>
      <c r="D1389" s="49">
        <f t="shared" si="32"/>
        <v>23414.016211999999</v>
      </c>
    </row>
    <row r="1390" spans="1:4" x14ac:dyDescent="0.3">
      <c r="A1390" s="4">
        <v>45917</v>
      </c>
      <c r="B1390" s="5">
        <v>1006679080900</v>
      </c>
      <c r="C1390" s="5">
        <v>1370058775800</v>
      </c>
      <c r="D1390" s="49">
        <f t="shared" si="32"/>
        <v>23767.378567</v>
      </c>
    </row>
    <row r="1391" spans="1:4" x14ac:dyDescent="0.3">
      <c r="A1391" s="4">
        <v>45918</v>
      </c>
      <c r="B1391" s="5">
        <v>1365962423600</v>
      </c>
      <c r="C1391" s="5">
        <v>1769195248800</v>
      </c>
      <c r="D1391" s="49">
        <f t="shared" si="32"/>
        <v>31351.576723999999</v>
      </c>
    </row>
    <row r="1392" spans="1:4" x14ac:dyDescent="0.3">
      <c r="A1392" s="4">
        <v>45919</v>
      </c>
      <c r="B1392" s="5">
        <v>1016348310700</v>
      </c>
      <c r="C1392" s="5">
        <v>1307481075600</v>
      </c>
      <c r="D1392" s="49">
        <f t="shared" si="32"/>
        <v>23238.293862999999</v>
      </c>
    </row>
    <row r="1393" spans="1:4" x14ac:dyDescent="0.3">
      <c r="A1393" s="4">
        <v>45922</v>
      </c>
      <c r="B1393" s="5">
        <v>941799982100</v>
      </c>
      <c r="C1393" s="5">
        <v>1179682689100</v>
      </c>
      <c r="D1393" s="49">
        <f t="shared" si="32"/>
        <v>21214.826711999998</v>
      </c>
    </row>
    <row r="1394" spans="1:4" x14ac:dyDescent="0.3">
      <c r="A1394" s="4">
        <v>45923</v>
      </c>
      <c r="B1394" s="5">
        <v>1071697826100</v>
      </c>
      <c r="C1394" s="5">
        <v>1422684457000</v>
      </c>
      <c r="D1394" s="49">
        <f t="shared" si="32"/>
        <v>24943.822831000001</v>
      </c>
    </row>
    <row r="1395" spans="1:4" x14ac:dyDescent="0.3">
      <c r="A1395" s="4">
        <v>45924</v>
      </c>
      <c r="B1395" s="5">
        <v>1015707870500</v>
      </c>
      <c r="C1395" s="5">
        <v>1311076087400</v>
      </c>
      <c r="D1395" s="49">
        <f t="shared" si="32"/>
        <v>23267.839579</v>
      </c>
    </row>
    <row r="1396" spans="1:4" x14ac:dyDescent="0.3">
      <c r="A1396" s="4">
        <v>45925</v>
      </c>
      <c r="B1396" s="5">
        <v>1001211369100</v>
      </c>
      <c r="C1396" s="5">
        <v>1369878819500</v>
      </c>
      <c r="D1396" s="49">
        <f t="shared" si="32"/>
        <v>23710.901886</v>
      </c>
    </row>
    <row r="1397" spans="1:4" x14ac:dyDescent="0.3">
      <c r="A1397" s="4">
        <v>45926</v>
      </c>
      <c r="B1397" s="5">
        <v>927864903400</v>
      </c>
      <c r="C1397" s="5">
        <v>1219020556200</v>
      </c>
      <c r="D1397" s="49">
        <f t="shared" si="32"/>
        <v>21468.854596000001</v>
      </c>
    </row>
    <row r="1398" spans="1:4" x14ac:dyDescent="0.3">
      <c r="A1398" s="4">
        <v>45929</v>
      </c>
      <c r="B1398" s="5">
        <v>968212397600</v>
      </c>
      <c r="C1398" s="5">
        <v>1193249093900</v>
      </c>
      <c r="D1398" s="49">
        <f t="shared" si="32"/>
        <v>21614.614914999998</v>
      </c>
    </row>
    <row r="1399" spans="1:4" x14ac:dyDescent="0.3">
      <c r="A1399" s="4">
        <v>45930</v>
      </c>
      <c r="B1399" s="5">
        <v>973274951600</v>
      </c>
      <c r="C1399" s="5">
        <v>1208135877200</v>
      </c>
      <c r="D1399" s="49">
        <f t="shared" si="32"/>
        <v>21814.108287999999</v>
      </c>
    </row>
    <row r="1400" spans="1:4" x14ac:dyDescent="0.3">
      <c r="A1400" s="4">
        <v>45939</v>
      </c>
      <c r="B1400" s="5">
        <v>1216888716100</v>
      </c>
      <c r="C1400" s="5">
        <v>1436308100000</v>
      </c>
      <c r="D1400" s="49">
        <f t="shared" si="32"/>
        <v>26531.968161000001</v>
      </c>
    </row>
    <row r="1401" spans="1:4" x14ac:dyDescent="0.3">
      <c r="A1401" s="4">
        <v>45940</v>
      </c>
      <c r="B1401" s="5">
        <v>1132127151700</v>
      </c>
      <c r="C1401" s="5">
        <v>1383486987400</v>
      </c>
      <c r="D1401" s="49">
        <f t="shared" si="32"/>
        <v>25156.141391000001</v>
      </c>
    </row>
    <row r="1402" spans="1:4" x14ac:dyDescent="0.3">
      <c r="A1402" s="4">
        <v>45943</v>
      </c>
      <c r="B1402" s="5">
        <v>1085413591300</v>
      </c>
      <c r="C1402" s="5">
        <v>1269327032000</v>
      </c>
      <c r="D1402" s="49">
        <f t="shared" si="32"/>
        <v>23547.406233000002</v>
      </c>
    </row>
    <row r="1403" spans="1:4" x14ac:dyDescent="0.3">
      <c r="A1403" s="4">
        <v>45944</v>
      </c>
      <c r="B1403" s="5">
        <v>1209983827700</v>
      </c>
      <c r="C1403" s="5">
        <v>1366249533900</v>
      </c>
      <c r="D1403" s="49">
        <f t="shared" si="32"/>
        <v>25762.333616</v>
      </c>
    </row>
    <row r="1404" spans="1:4" x14ac:dyDescent="0.3">
      <c r="A1404" s="4">
        <v>45945</v>
      </c>
      <c r="B1404" s="5">
        <v>961552165600</v>
      </c>
      <c r="C1404" s="5">
        <v>1111306358100</v>
      </c>
      <c r="D1404" s="49">
        <f t="shared" si="32"/>
        <v>20728.585236999999</v>
      </c>
    </row>
    <row r="1405" spans="1:4" x14ac:dyDescent="0.3">
      <c r="A1405" s="4">
        <v>45946</v>
      </c>
      <c r="B1405" s="5">
        <v>869264580500</v>
      </c>
      <c r="C1405" s="5">
        <v>1061873251700</v>
      </c>
      <c r="D1405" s="49">
        <f t="shared" si="32"/>
        <v>19311.378322</v>
      </c>
    </row>
    <row r="1406" spans="1:4" x14ac:dyDescent="0.3">
      <c r="A1406" s="4">
        <v>45947</v>
      </c>
      <c r="B1406" s="5">
        <v>873181597900</v>
      </c>
      <c r="C1406" s="5">
        <v>1064934758200</v>
      </c>
      <c r="D1406" s="49">
        <f t="shared" si="32"/>
        <v>19381.163561000001</v>
      </c>
    </row>
    <row r="1407" spans="1:4" x14ac:dyDescent="0.3">
      <c r="A1407" s="4">
        <v>45950</v>
      </c>
      <c r="B1407" s="5">
        <v>772503219600</v>
      </c>
      <c r="C1407" s="5">
        <v>965101984800</v>
      </c>
      <c r="D1407" s="49">
        <f t="shared" si="32"/>
        <v>17376.052044</v>
      </c>
    </row>
    <row r="1408" spans="1:4" x14ac:dyDescent="0.3">
      <c r="A1408" s="4">
        <v>45951</v>
      </c>
      <c r="B1408" s="5">
        <v>837938398300</v>
      </c>
      <c r="C1408" s="5">
        <v>1035955935700</v>
      </c>
      <c r="D1408" s="49">
        <f t="shared" si="32"/>
        <v>18738.943340000002</v>
      </c>
    </row>
    <row r="1409" spans="1:4" x14ac:dyDescent="0.3">
      <c r="A1409" s="4">
        <v>45952</v>
      </c>
      <c r="B1409" s="5">
        <v>741524798400</v>
      </c>
      <c r="C1409" s="5">
        <v>926331521700</v>
      </c>
      <c r="D1409" s="49">
        <f t="shared" si="32"/>
        <v>16678.563201000001</v>
      </c>
    </row>
    <row r="1410" spans="1:4" x14ac:dyDescent="0.3">
      <c r="A1410" s="4">
        <v>45953</v>
      </c>
      <c r="B1410" s="5">
        <v>718931052000</v>
      </c>
      <c r="C1410" s="5">
        <v>924978490000</v>
      </c>
      <c r="D1410" s="49">
        <f t="shared" si="32"/>
        <v>16439.095420000001</v>
      </c>
    </row>
    <row r="1411" spans="1:4" x14ac:dyDescent="0.3">
      <c r="A1411" s="4">
        <v>45954</v>
      </c>
      <c r="B1411" s="5">
        <v>858491253200</v>
      </c>
      <c r="C1411" s="5">
        <v>1115717842800</v>
      </c>
      <c r="D1411" s="49">
        <f t="shared" si="32"/>
        <v>19742.090960000001</v>
      </c>
    </row>
    <row r="1412" spans="1:4" x14ac:dyDescent="0.3">
      <c r="A1412" s="4">
        <v>45957</v>
      </c>
      <c r="B1412" s="5">
        <v>1043404043200</v>
      </c>
      <c r="C1412" s="5">
        <v>1296727492300</v>
      </c>
      <c r="D1412" s="49">
        <f t="shared" si="32"/>
        <v>23401.315354999999</v>
      </c>
    </row>
    <row r="1413" spans="1:4" x14ac:dyDescent="0.3">
      <c r="A1413" s="4">
        <v>45958</v>
      </c>
      <c r="B1413" s="5">
        <v>940760864500</v>
      </c>
      <c r="C1413" s="5">
        <v>1207098813700</v>
      </c>
      <c r="D1413" s="49">
        <f t="shared" si="32"/>
        <v>21478.596782000001</v>
      </c>
    </row>
    <row r="1414" spans="1:4" x14ac:dyDescent="0.3">
      <c r="A1414" s="4">
        <v>45959</v>
      </c>
      <c r="B1414" s="5">
        <v>968215713300</v>
      </c>
      <c r="C1414" s="5">
        <v>1287814408500</v>
      </c>
      <c r="D1414" s="49">
        <f t="shared" ref="D1414:D1477" si="33">(B1414+C1414)/100000000</f>
        <v>22560.301218000001</v>
      </c>
    </row>
    <row r="1415" spans="1:4" x14ac:dyDescent="0.3">
      <c r="A1415" s="4">
        <v>45960</v>
      </c>
      <c r="B1415" s="5">
        <v>1070058589400</v>
      </c>
      <c r="C1415" s="5">
        <v>1351618220900</v>
      </c>
      <c r="D1415" s="49">
        <f t="shared" si="33"/>
        <v>24216.768102999999</v>
      </c>
    </row>
    <row r="1416" spans="1:4" x14ac:dyDescent="0.3">
      <c r="A1416" s="4">
        <v>45961</v>
      </c>
      <c r="B1416" s="5">
        <v>1031104616800</v>
      </c>
      <c r="C1416" s="5">
        <v>1286687778000</v>
      </c>
      <c r="D1416" s="49">
        <f t="shared" si="33"/>
        <v>23177.923948</v>
      </c>
    </row>
    <row r="1417" spans="1:4" x14ac:dyDescent="0.3">
      <c r="A1417" s="4">
        <v>45964</v>
      </c>
      <c r="B1417" s="5">
        <v>941703699300</v>
      </c>
      <c r="C1417" s="5">
        <v>1165427053000</v>
      </c>
      <c r="D1417" s="49">
        <f t="shared" si="33"/>
        <v>21071.307522999999</v>
      </c>
    </row>
    <row r="1418" spans="1:4" x14ac:dyDescent="0.3">
      <c r="A1418" s="4">
        <v>45965</v>
      </c>
      <c r="B1418" s="5">
        <v>852938368400</v>
      </c>
      <c r="C1418" s="5">
        <v>1062819659000</v>
      </c>
      <c r="D1418" s="49">
        <f t="shared" si="33"/>
        <v>19157.580274</v>
      </c>
    </row>
    <row r="1419" spans="1:4" x14ac:dyDescent="0.3">
      <c r="A1419" s="4">
        <v>45966</v>
      </c>
      <c r="B1419" s="5">
        <v>827133576900</v>
      </c>
      <c r="C1419" s="5">
        <v>1045207672200</v>
      </c>
      <c r="D1419" s="49">
        <f t="shared" si="33"/>
        <v>18723.412490999999</v>
      </c>
    </row>
    <row r="1420" spans="1:4" x14ac:dyDescent="0.3">
      <c r="A1420" s="4">
        <v>45967</v>
      </c>
      <c r="B1420" s="5">
        <v>930275554400</v>
      </c>
      <c r="C1420" s="5">
        <v>1124972130200</v>
      </c>
      <c r="D1420" s="49">
        <f t="shared" si="33"/>
        <v>20552.476846000001</v>
      </c>
    </row>
    <row r="1421" spans="1:4" x14ac:dyDescent="0.3">
      <c r="A1421" s="4">
        <v>45968</v>
      </c>
      <c r="B1421" s="5">
        <v>875486746400</v>
      </c>
      <c r="C1421" s="5">
        <v>1123566510500</v>
      </c>
      <c r="D1421" s="49">
        <f t="shared" si="33"/>
        <v>19990.532568999999</v>
      </c>
    </row>
    <row r="1422" spans="1:4" x14ac:dyDescent="0.3">
      <c r="A1422" s="4">
        <v>45971</v>
      </c>
      <c r="B1422" s="5">
        <v>960588645800</v>
      </c>
      <c r="C1422" s="5">
        <v>1213865329700</v>
      </c>
      <c r="D1422" s="49">
        <f t="shared" si="33"/>
        <v>21744.539755000002</v>
      </c>
    </row>
    <row r="1423" spans="1:4" x14ac:dyDescent="0.3">
      <c r="A1423" s="4">
        <v>45972</v>
      </c>
      <c r="B1423" s="5">
        <v>858362142600</v>
      </c>
      <c r="C1423" s="5">
        <v>1135223894900</v>
      </c>
      <c r="D1423" s="49">
        <f t="shared" si="33"/>
        <v>19935.860375</v>
      </c>
    </row>
    <row r="1424" spans="1:4" x14ac:dyDescent="0.3">
      <c r="A1424" s="4">
        <v>45973</v>
      </c>
      <c r="B1424" s="5">
        <v>840467209900</v>
      </c>
      <c r="C1424" s="5">
        <v>1104567011900</v>
      </c>
      <c r="D1424" s="49">
        <f t="shared" si="33"/>
        <v>19450.342218000002</v>
      </c>
    </row>
    <row r="1425" spans="1:4" x14ac:dyDescent="0.3">
      <c r="A1425" s="4">
        <v>45974</v>
      </c>
      <c r="B1425" s="5">
        <v>876400923600</v>
      </c>
      <c r="C1425" s="5">
        <v>1165561187900</v>
      </c>
      <c r="D1425" s="49">
        <f t="shared" si="33"/>
        <v>20419.621115000002</v>
      </c>
    </row>
    <row r="1426" spans="1:4" x14ac:dyDescent="0.3">
      <c r="A1426" s="4">
        <v>45975</v>
      </c>
      <c r="B1426" s="5">
        <v>837969502200</v>
      </c>
      <c r="C1426" s="5">
        <v>1120109421300</v>
      </c>
      <c r="D1426" s="49">
        <f t="shared" si="33"/>
        <v>19580.789235</v>
      </c>
    </row>
    <row r="1427" spans="1:4" x14ac:dyDescent="0.3">
      <c r="A1427" s="4">
        <v>45978</v>
      </c>
      <c r="B1427" s="5">
        <v>805733125700</v>
      </c>
      <c r="C1427" s="5">
        <v>1105057953100</v>
      </c>
      <c r="D1427" s="49">
        <f t="shared" si="33"/>
        <v>19107.910788000001</v>
      </c>
    </row>
    <row r="1428" spans="1:4" x14ac:dyDescent="0.3">
      <c r="A1428" s="4">
        <v>45979</v>
      </c>
      <c r="B1428" s="5">
        <v>790948598400</v>
      </c>
      <c r="C1428" s="5">
        <v>1135119123800</v>
      </c>
      <c r="D1428" s="49">
        <f t="shared" si="33"/>
        <v>19260.677221999998</v>
      </c>
    </row>
    <row r="1429" spans="1:4" x14ac:dyDescent="0.3">
      <c r="A1429" s="4">
        <v>45980</v>
      </c>
      <c r="B1429" s="5">
        <v>720908759200</v>
      </c>
      <c r="C1429" s="5">
        <v>1004999694800</v>
      </c>
      <c r="D1429" s="49">
        <f t="shared" si="33"/>
        <v>17259.08454</v>
      </c>
    </row>
    <row r="1430" spans="1:4" x14ac:dyDescent="0.3">
      <c r="A1430" s="4">
        <v>45981</v>
      </c>
      <c r="B1430" s="5">
        <v>711341284000</v>
      </c>
      <c r="C1430" s="5">
        <v>996847443300</v>
      </c>
      <c r="D1430" s="49">
        <f t="shared" si="33"/>
        <v>17081.887273</v>
      </c>
    </row>
    <row r="1431" spans="1:4" x14ac:dyDescent="0.3">
      <c r="A1431" s="4">
        <v>45982</v>
      </c>
      <c r="B1431" s="5">
        <v>824931134800</v>
      </c>
      <c r="C1431" s="5">
        <v>1140729557300</v>
      </c>
      <c r="D1431" s="49">
        <f t="shared" si="33"/>
        <v>19656.606920999999</v>
      </c>
    </row>
    <row r="1432" spans="1:4" x14ac:dyDescent="0.3">
      <c r="A1432" s="4">
        <v>45985</v>
      </c>
      <c r="B1432" s="5">
        <v>715539247400</v>
      </c>
      <c r="C1432" s="5">
        <v>1012234281700</v>
      </c>
      <c r="D1432" s="49">
        <f t="shared" si="33"/>
        <v>17277.735291000001</v>
      </c>
    </row>
    <row r="1433" spans="1:4" x14ac:dyDescent="0.3">
      <c r="A1433" s="4">
        <v>45986</v>
      </c>
      <c r="B1433" s="5">
        <v>722788782800</v>
      </c>
      <c r="C1433" s="5">
        <v>1089358574500</v>
      </c>
      <c r="D1433" s="49">
        <f t="shared" si="33"/>
        <v>18121.473572999999</v>
      </c>
    </row>
    <row r="1434" spans="1:4" x14ac:dyDescent="0.3">
      <c r="A1434" s="4">
        <v>45987</v>
      </c>
      <c r="B1434" s="5">
        <v>701019872500</v>
      </c>
      <c r="C1434" s="5">
        <v>1082326611500</v>
      </c>
      <c r="D1434" s="49">
        <f t="shared" si="33"/>
        <v>17833.464840000001</v>
      </c>
    </row>
    <row r="1435" spans="1:4" x14ac:dyDescent="0.3">
      <c r="A1435" s="4">
        <v>45988</v>
      </c>
      <c r="B1435" s="5">
        <v>698519107200</v>
      </c>
      <c r="C1435" s="5">
        <v>1011274506700</v>
      </c>
      <c r="D1435" s="49">
        <f t="shared" si="33"/>
        <v>17097.936139000001</v>
      </c>
    </row>
    <row r="1436" spans="1:4" x14ac:dyDescent="0.3">
      <c r="A1436" s="4">
        <v>45989</v>
      </c>
      <c r="B1436" s="5">
        <v>645755815100</v>
      </c>
      <c r="C1436" s="5">
        <v>940040409300</v>
      </c>
      <c r="D1436" s="49">
        <f t="shared" si="33"/>
        <v>15857.962244</v>
      </c>
    </row>
    <row r="1437" spans="1:4" x14ac:dyDescent="0.3">
      <c r="A1437" s="4">
        <v>45992</v>
      </c>
      <c r="B1437" s="5">
        <v>785658341900</v>
      </c>
      <c r="C1437" s="5">
        <v>1088279479800</v>
      </c>
      <c r="D1437" s="49">
        <f t="shared" si="33"/>
        <v>18739.378217000001</v>
      </c>
    </row>
    <row r="1438" spans="1:4" x14ac:dyDescent="0.3">
      <c r="A1438" s="4">
        <v>45993</v>
      </c>
      <c r="B1438" s="5">
        <v>627440672500</v>
      </c>
      <c r="C1438" s="5">
        <v>965989590300</v>
      </c>
      <c r="D1438" s="49">
        <f t="shared" si="33"/>
        <v>15934.302627999999</v>
      </c>
    </row>
    <row r="1439" spans="1:4" x14ac:dyDescent="0.3">
      <c r="A1439" s="4">
        <v>45994</v>
      </c>
      <c r="B1439" s="5">
        <v>647166528200</v>
      </c>
      <c r="C1439" s="5">
        <v>1022795744700</v>
      </c>
      <c r="D1439" s="49">
        <f t="shared" si="33"/>
        <v>16699.622728999999</v>
      </c>
    </row>
    <row r="1440" spans="1:4" x14ac:dyDescent="0.3">
      <c r="A1440" s="4">
        <v>45995</v>
      </c>
      <c r="B1440" s="5">
        <v>623712571500</v>
      </c>
      <c r="C1440" s="5">
        <v>925247252300</v>
      </c>
      <c r="D1440" s="49">
        <f t="shared" si="33"/>
        <v>15489.598238</v>
      </c>
    </row>
    <row r="1441" spans="1:4" x14ac:dyDescent="0.3">
      <c r="A1441" s="4">
        <v>45996</v>
      </c>
      <c r="B1441" s="5">
        <v>716742448900</v>
      </c>
      <c r="C1441" s="5">
        <v>1009028858300</v>
      </c>
      <c r="D1441" s="49">
        <f t="shared" si="33"/>
        <v>17257.713071999999</v>
      </c>
    </row>
    <row r="1442" spans="1:4" x14ac:dyDescent="0.3">
      <c r="A1442" s="4">
        <v>45999</v>
      </c>
      <c r="B1442" s="5">
        <v>839439003400</v>
      </c>
      <c r="C1442" s="5">
        <v>1197207361400</v>
      </c>
      <c r="D1442" s="49">
        <f t="shared" si="33"/>
        <v>20366.463648000001</v>
      </c>
    </row>
    <row r="1443" spans="1:4" x14ac:dyDescent="0.3">
      <c r="A1443" s="4">
        <v>46000</v>
      </c>
      <c r="B1443" s="5">
        <v>781160399400</v>
      </c>
      <c r="C1443" s="5">
        <v>1122792903300</v>
      </c>
      <c r="D1443" s="49">
        <f t="shared" si="33"/>
        <v>19039.533027000001</v>
      </c>
    </row>
    <row r="1444" spans="1:4" x14ac:dyDescent="0.3">
      <c r="A1444" s="4">
        <v>46001</v>
      </c>
      <c r="B1444" s="5">
        <v>730359828400</v>
      </c>
      <c r="C1444" s="5">
        <v>1048145055500</v>
      </c>
      <c r="D1444" s="49">
        <f t="shared" si="33"/>
        <v>17785.048838999999</v>
      </c>
    </row>
    <row r="1445" spans="1:4" x14ac:dyDescent="0.3">
      <c r="A1445" s="4">
        <v>46002</v>
      </c>
      <c r="B1445" s="5">
        <v>764350151600</v>
      </c>
      <c r="C1445" s="5">
        <v>1092762489900.0001</v>
      </c>
      <c r="D1445" s="49">
        <f t="shared" si="33"/>
        <v>18571.126414999999</v>
      </c>
    </row>
    <row r="1446" spans="1:4" x14ac:dyDescent="0.3">
      <c r="A1446" s="4">
        <v>46003</v>
      </c>
      <c r="B1446" s="5">
        <v>909950905500</v>
      </c>
      <c r="C1446" s="5">
        <v>1182255359700</v>
      </c>
      <c r="D1446" s="49">
        <f t="shared" si="33"/>
        <v>20922.062652000001</v>
      </c>
    </row>
    <row r="1447" spans="1:4" x14ac:dyDescent="0.3">
      <c r="A1447" s="4">
        <v>46006</v>
      </c>
      <c r="B1447" s="5">
        <v>764604815500</v>
      </c>
      <c r="C1447" s="5">
        <v>1008834668200</v>
      </c>
      <c r="D1447" s="49">
        <f t="shared" si="33"/>
        <v>17734.394837</v>
      </c>
    </row>
    <row r="1448" spans="1:4" x14ac:dyDescent="0.3">
      <c r="A1448" s="4">
        <v>46007</v>
      </c>
      <c r="B1448" s="5">
        <v>733294004000</v>
      </c>
      <c r="C1448" s="5">
        <v>990879111800</v>
      </c>
      <c r="D1448" s="49">
        <f t="shared" si="33"/>
        <v>17241.731157999999</v>
      </c>
    </row>
    <row r="1449" spans="1:4" x14ac:dyDescent="0.3">
      <c r="A1449" s="4">
        <v>46008</v>
      </c>
      <c r="B1449" s="5">
        <v>766820526300</v>
      </c>
      <c r="C1449" s="5">
        <v>1044325059300</v>
      </c>
      <c r="D1449" s="49">
        <f t="shared" si="33"/>
        <v>18111.455856</v>
      </c>
    </row>
    <row r="1450" spans="1:4" x14ac:dyDescent="0.3">
      <c r="A1450" s="4">
        <v>46009</v>
      </c>
      <c r="B1450" s="5">
        <v>704895595200</v>
      </c>
      <c r="C1450" s="5">
        <v>950587343400</v>
      </c>
      <c r="D1450" s="49">
        <f t="shared" si="33"/>
        <v>16554.829386000001</v>
      </c>
    </row>
    <row r="1451" spans="1:4" x14ac:dyDescent="0.3">
      <c r="A1451" s="4">
        <v>46010</v>
      </c>
      <c r="B1451" s="5">
        <v>738066004800</v>
      </c>
      <c r="C1451" s="5">
        <v>987848687100</v>
      </c>
      <c r="D1451" s="49">
        <f t="shared" si="33"/>
        <v>17259.146918999999</v>
      </c>
    </row>
    <row r="1452" spans="1:4" x14ac:dyDescent="0.3">
      <c r="A1452" s="4">
        <v>46013</v>
      </c>
      <c r="B1452" s="5">
        <v>789756386800</v>
      </c>
      <c r="C1452" s="5">
        <v>1072183327500</v>
      </c>
      <c r="D1452" s="49">
        <f t="shared" si="33"/>
        <v>18619.397142999998</v>
      </c>
    </row>
    <row r="1453" spans="1:4" x14ac:dyDescent="0.3">
      <c r="A1453" s="4">
        <v>46014</v>
      </c>
      <c r="B1453" s="5">
        <v>806853443000</v>
      </c>
      <c r="C1453" s="5">
        <v>1092987268500</v>
      </c>
      <c r="D1453" s="49">
        <f t="shared" si="33"/>
        <v>18998.407115000002</v>
      </c>
    </row>
    <row r="1454" spans="1:4" x14ac:dyDescent="0.3">
      <c r="A1454" s="4">
        <v>46015</v>
      </c>
      <c r="B1454" s="5">
        <v>773928624500</v>
      </c>
      <c r="C1454" s="5">
        <v>1106339627500</v>
      </c>
      <c r="D1454" s="49">
        <f t="shared" si="33"/>
        <v>18802.682519999998</v>
      </c>
    </row>
    <row r="1455" spans="1:4" x14ac:dyDescent="0.3">
      <c r="A1455" s="4">
        <v>46016</v>
      </c>
      <c r="B1455" s="5">
        <v>785018650100</v>
      </c>
      <c r="C1455" s="5">
        <v>1139504120000</v>
      </c>
      <c r="D1455" s="49">
        <f t="shared" si="33"/>
        <v>19245.227701</v>
      </c>
    </row>
    <row r="1456" spans="1:4" x14ac:dyDescent="0.3">
      <c r="A1456" s="4">
        <v>46017</v>
      </c>
      <c r="B1456" s="5">
        <v>893644363900</v>
      </c>
      <c r="C1456" s="5">
        <v>1266547060100</v>
      </c>
      <c r="D1456" s="49">
        <f t="shared" si="33"/>
        <v>21601.914239999998</v>
      </c>
    </row>
    <row r="1457" spans="1:4" x14ac:dyDescent="0.3">
      <c r="A1457" s="4">
        <v>46020</v>
      </c>
      <c r="B1457" s="5">
        <v>903819726800</v>
      </c>
      <c r="C1457" s="5">
        <v>1235517815500</v>
      </c>
      <c r="D1457" s="49">
        <f t="shared" si="33"/>
        <v>21393.375423000001</v>
      </c>
    </row>
    <row r="1458" spans="1:4" x14ac:dyDescent="0.3">
      <c r="A1458" s="4">
        <v>46021</v>
      </c>
      <c r="B1458" s="5">
        <v>887533318600</v>
      </c>
      <c r="C1458" s="5">
        <v>1254792193400</v>
      </c>
      <c r="D1458" s="49">
        <f t="shared" si="33"/>
        <v>21423.255120000002</v>
      </c>
    </row>
    <row r="1459" spans="1:4" x14ac:dyDescent="0.3">
      <c r="A1459" s="4">
        <v>46022</v>
      </c>
      <c r="B1459" s="5">
        <v>829511897500</v>
      </c>
      <c r="C1459" s="5">
        <v>1215630485900</v>
      </c>
      <c r="D1459" s="49">
        <f t="shared" si="33"/>
        <v>20451.423834000001</v>
      </c>
    </row>
    <row r="1460" spans="1:4" x14ac:dyDescent="0.3">
      <c r="A1460" s="4">
        <v>46027</v>
      </c>
      <c r="B1460" s="5">
        <v>1067334169200</v>
      </c>
      <c r="C1460" s="5">
        <v>1478937004700</v>
      </c>
      <c r="D1460" s="49">
        <f t="shared" si="33"/>
        <v>25462.711738999998</v>
      </c>
    </row>
    <row r="1461" spans="1:4" x14ac:dyDescent="0.3">
      <c r="A1461" s="4">
        <v>46028</v>
      </c>
      <c r="B1461" s="5">
        <v>1175768705000</v>
      </c>
      <c r="C1461" s="5">
        <v>1630738606200</v>
      </c>
      <c r="D1461" s="49">
        <f t="shared" si="33"/>
        <v>28065.073111999998</v>
      </c>
    </row>
    <row r="1462" spans="1:4" x14ac:dyDescent="0.3">
      <c r="A1462" s="4">
        <v>46029</v>
      </c>
      <c r="B1462" s="5">
        <v>1197422798300</v>
      </c>
      <c r="C1462" s="5">
        <v>1656718096800</v>
      </c>
      <c r="D1462" s="49">
        <f t="shared" si="33"/>
        <v>28541.408951000001</v>
      </c>
    </row>
    <row r="1463" spans="1:4" x14ac:dyDescent="0.3">
      <c r="A1463" s="4">
        <v>46030</v>
      </c>
      <c r="B1463" s="5">
        <v>1183188756000</v>
      </c>
      <c r="C1463" s="5">
        <v>1617076629200</v>
      </c>
      <c r="D1463" s="49">
        <f t="shared" si="33"/>
        <v>28002.653851999999</v>
      </c>
    </row>
    <row r="1464" spans="1:4" x14ac:dyDescent="0.3">
      <c r="A1464" s="4">
        <v>46031</v>
      </c>
      <c r="B1464" s="5">
        <v>1289205972300</v>
      </c>
      <c r="C1464" s="5">
        <v>1833489098500</v>
      </c>
      <c r="D1464" s="49">
        <f t="shared" si="33"/>
        <v>31226.950708</v>
      </c>
    </row>
    <row r="1465" spans="1:4" x14ac:dyDescent="0.3">
      <c r="A1465" s="4">
        <v>46034</v>
      </c>
      <c r="B1465" s="5">
        <v>1446230122000</v>
      </c>
      <c r="C1465" s="5">
        <v>2155145897400</v>
      </c>
      <c r="D1465" s="49">
        <f t="shared" si="33"/>
        <v>36013.760194000002</v>
      </c>
    </row>
    <row r="1466" spans="1:4" x14ac:dyDescent="0.3">
      <c r="A1466" s="4">
        <v>46035</v>
      </c>
      <c r="B1466" s="5">
        <v>1481574218600</v>
      </c>
      <c r="C1466" s="5">
        <v>2169410678500</v>
      </c>
      <c r="D1466" s="49">
        <f t="shared" si="33"/>
        <v>36509.848970999999</v>
      </c>
    </row>
    <row r="1467" spans="1:4" x14ac:dyDescent="0.3">
      <c r="A1467" s="4">
        <v>46036</v>
      </c>
      <c r="B1467" s="5">
        <v>1607041237800</v>
      </c>
      <c r="C1467" s="5">
        <v>2334347799400</v>
      </c>
      <c r="D1467" s="49">
        <f t="shared" si="33"/>
        <v>39413.890372000002</v>
      </c>
    </row>
    <row r="1468" spans="1:4" x14ac:dyDescent="0.3">
      <c r="A1468" s="4">
        <v>46037</v>
      </c>
      <c r="B1468" s="5">
        <v>1175915097400</v>
      </c>
      <c r="C1468" s="5">
        <v>1729581264300</v>
      </c>
      <c r="D1468" s="49">
        <f t="shared" si="33"/>
        <v>29054.963617000001</v>
      </c>
    </row>
    <row r="1469" spans="1:4" x14ac:dyDescent="0.3">
      <c r="A1469" s="4">
        <v>46038</v>
      </c>
      <c r="B1469" s="5">
        <v>1338017280000</v>
      </c>
      <c r="C1469" s="5">
        <v>1688214998300</v>
      </c>
      <c r="D1469" s="49">
        <f t="shared" si="33"/>
        <v>30262.322783</v>
      </c>
    </row>
    <row r="1470" spans="1:4" x14ac:dyDescent="0.3">
      <c r="A1470" s="4">
        <v>46041</v>
      </c>
      <c r="B1470" s="5">
        <v>1190137813600</v>
      </c>
      <c r="C1470" s="5">
        <v>1518210790600</v>
      </c>
      <c r="D1470" s="49">
        <f t="shared" si="33"/>
        <v>27083.486042</v>
      </c>
    </row>
    <row r="1471" spans="1:4" x14ac:dyDescent="0.3">
      <c r="A1471" s="4">
        <v>46042</v>
      </c>
      <c r="B1471" s="5">
        <v>1221485626200</v>
      </c>
      <c r="C1471" s="5">
        <v>1556171772100</v>
      </c>
      <c r="D1471" s="49">
        <f t="shared" si="33"/>
        <v>27776.573982999998</v>
      </c>
    </row>
    <row r="1472" spans="1:4" x14ac:dyDescent="0.3">
      <c r="A1472" s="4">
        <v>46043</v>
      </c>
      <c r="B1472" s="5">
        <v>1180184557000</v>
      </c>
      <c r="C1472" s="5">
        <v>1420414190400</v>
      </c>
      <c r="D1472" s="49">
        <f t="shared" si="33"/>
        <v>26005.987474000001</v>
      </c>
    </row>
    <row r="1473" spans="1:4" x14ac:dyDescent="0.3">
      <c r="A1473" s="4">
        <v>46044</v>
      </c>
      <c r="B1473" s="5">
        <v>1201764210200</v>
      </c>
      <c r="C1473" s="5">
        <v>1489968420100</v>
      </c>
      <c r="D1473" s="49">
        <f t="shared" si="33"/>
        <v>26917.326303000002</v>
      </c>
    </row>
    <row r="1474" spans="1:4" x14ac:dyDescent="0.3">
      <c r="A1474" s="4">
        <v>46045</v>
      </c>
      <c r="B1474" s="5">
        <v>1336857054800</v>
      </c>
      <c r="C1474" s="5">
        <v>1748367006000</v>
      </c>
      <c r="D1474" s="49">
        <f t="shared" si="33"/>
        <v>30852.240608</v>
      </c>
    </row>
    <row r="1475" spans="1:4" x14ac:dyDescent="0.3">
      <c r="A1475" s="4">
        <v>46048</v>
      </c>
      <c r="B1475" s="5">
        <v>1451859840000</v>
      </c>
      <c r="C1475" s="5">
        <v>1796342758800</v>
      </c>
      <c r="D1475" s="49">
        <f t="shared" si="33"/>
        <v>32482.025988000001</v>
      </c>
    </row>
    <row r="1476" spans="1:4" x14ac:dyDescent="0.3">
      <c r="A1476" s="4">
        <v>46049</v>
      </c>
      <c r="B1476" s="5">
        <v>1289432378900</v>
      </c>
      <c r="C1476" s="5">
        <v>1605549118500</v>
      </c>
      <c r="D1476" s="49">
        <f t="shared" si="33"/>
        <v>28949.814974000001</v>
      </c>
    </row>
    <row r="1477" spans="1:4" x14ac:dyDescent="0.3">
      <c r="A1477" s="4">
        <v>46050</v>
      </c>
      <c r="B1477" s="5">
        <v>1365526057100</v>
      </c>
      <c r="C1477" s="5">
        <v>1599884232500</v>
      </c>
      <c r="D1477" s="49">
        <f t="shared" si="33"/>
        <v>29654.102896</v>
      </c>
    </row>
    <row r="1478" spans="1:4" x14ac:dyDescent="0.3">
      <c r="A1478" s="4">
        <v>46051</v>
      </c>
      <c r="B1478" s="5">
        <v>1485795395400</v>
      </c>
      <c r="C1478" s="5">
        <v>1744212991700</v>
      </c>
      <c r="D1478" s="49">
        <f t="shared" ref="D1478:D1541" si="34">(B1478+C1478)/100000000</f>
        <v>32300.083870999999</v>
      </c>
    </row>
    <row r="1479" spans="1:4" x14ac:dyDescent="0.3">
      <c r="A1479" s="4">
        <v>46052</v>
      </c>
      <c r="B1479" s="5">
        <v>1269855689000</v>
      </c>
      <c r="C1479" s="5">
        <v>1565681993100</v>
      </c>
      <c r="D1479" s="49">
        <f t="shared" si="34"/>
        <v>28355.376821000002</v>
      </c>
    </row>
    <row r="1480" spans="1:4" x14ac:dyDescent="0.3">
      <c r="A1480" s="4">
        <v>46055</v>
      </c>
      <c r="B1480" s="5">
        <v>1163532654200</v>
      </c>
      <c r="C1480" s="5">
        <v>1421232461600</v>
      </c>
      <c r="D1480" s="49">
        <f t="shared" si="34"/>
        <v>25847.651158000001</v>
      </c>
    </row>
    <row r="1481" spans="1:4" x14ac:dyDescent="0.3">
      <c r="A1481" s="4">
        <v>46056</v>
      </c>
      <c r="B1481" s="5">
        <v>1110720213000</v>
      </c>
      <c r="C1481" s="5">
        <v>1433511297100</v>
      </c>
      <c r="D1481" s="49">
        <f t="shared" si="34"/>
        <v>25442.315101</v>
      </c>
    </row>
    <row r="1482" spans="1:4" x14ac:dyDescent="0.3">
      <c r="A1482" s="4">
        <v>46057</v>
      </c>
      <c r="B1482" s="5">
        <v>1063544769900</v>
      </c>
      <c r="C1482" s="5">
        <v>1417426397900</v>
      </c>
      <c r="D1482" s="49">
        <f t="shared" si="34"/>
        <v>24809.711678</v>
      </c>
    </row>
    <row r="1483" spans="1:4" x14ac:dyDescent="0.3">
      <c r="A1483" s="4">
        <v>46058</v>
      </c>
      <c r="B1483" s="5">
        <v>946988891300</v>
      </c>
      <c r="C1483" s="5">
        <v>1229230628000</v>
      </c>
      <c r="D1483" s="49">
        <f t="shared" si="34"/>
        <v>21762.195193</v>
      </c>
    </row>
    <row r="1484" spans="1:4" x14ac:dyDescent="0.3">
      <c r="A1484" s="4">
        <v>46059</v>
      </c>
      <c r="B1484" s="5">
        <v>898655033000</v>
      </c>
      <c r="C1484" s="5">
        <v>1247064306600</v>
      </c>
      <c r="D1484" s="49">
        <f t="shared" si="34"/>
        <v>21457.193395999999</v>
      </c>
    </row>
    <row r="1485" spans="1:4" x14ac:dyDescent="0.3">
      <c r="A1485" s="4">
        <v>46062</v>
      </c>
      <c r="B1485" s="5">
        <v>949726336000</v>
      </c>
      <c r="C1485" s="5">
        <v>1299746938000</v>
      </c>
      <c r="D1485" s="49">
        <f t="shared" si="34"/>
        <v>22494.732739999999</v>
      </c>
    </row>
    <row r="1486" spans="1:4" x14ac:dyDescent="0.3">
      <c r="A1486" s="4">
        <v>46063</v>
      </c>
      <c r="B1486" s="5">
        <v>882201747000</v>
      </c>
      <c r="C1486" s="5">
        <v>1223333554500</v>
      </c>
      <c r="D1486" s="49">
        <f t="shared" si="34"/>
        <v>21055.353015000001</v>
      </c>
    </row>
    <row r="1487" spans="1:4" x14ac:dyDescent="0.3">
      <c r="A1487" s="4">
        <v>46064</v>
      </c>
      <c r="B1487" s="5">
        <v>822607547300</v>
      </c>
      <c r="C1487" s="5">
        <v>1161644815700</v>
      </c>
      <c r="D1487" s="49">
        <f t="shared" si="34"/>
        <v>19842.52363</v>
      </c>
    </row>
    <row r="1488" spans="1:4" x14ac:dyDescent="0.3">
      <c r="A1488" s="4">
        <v>46065</v>
      </c>
      <c r="B1488" s="5">
        <v>897955034800</v>
      </c>
      <c r="C1488" s="5">
        <v>1243783316700</v>
      </c>
      <c r="D1488" s="49">
        <f t="shared" si="34"/>
        <v>21417.383515000001</v>
      </c>
    </row>
    <row r="1489" spans="1:4" x14ac:dyDescent="0.3">
      <c r="A1489" s="4">
        <v>46066</v>
      </c>
      <c r="B1489" s="5">
        <v>846808337500</v>
      </c>
      <c r="C1489" s="5">
        <v>1135871601100</v>
      </c>
      <c r="D1489" s="49">
        <f t="shared" si="34"/>
        <v>19826.799385999999</v>
      </c>
    </row>
    <row r="1490" spans="1:4" x14ac:dyDescent="0.3">
      <c r="A1490" s="4">
        <v>46077</v>
      </c>
      <c r="B1490" s="5">
        <v>938611376000</v>
      </c>
      <c r="C1490" s="5">
        <v>1263450465500</v>
      </c>
      <c r="D1490" s="49">
        <f t="shared" si="34"/>
        <v>22020.618415000001</v>
      </c>
    </row>
    <row r="1491" spans="1:4" x14ac:dyDescent="0.3">
      <c r="A1491" s="4">
        <v>46078</v>
      </c>
      <c r="B1491" s="5">
        <v>1085969561200</v>
      </c>
      <c r="C1491" s="5">
        <v>1376578234800</v>
      </c>
      <c r="D1491" s="49">
        <f t="shared" si="34"/>
        <v>24625.47796</v>
      </c>
    </row>
    <row r="1492" spans="1:4" x14ac:dyDescent="0.3">
      <c r="A1492" s="4">
        <v>46079</v>
      </c>
      <c r="B1492" s="5">
        <v>1067198717400</v>
      </c>
      <c r="C1492" s="5">
        <v>1471247125500</v>
      </c>
      <c r="D1492" s="49">
        <f t="shared" si="34"/>
        <v>25384.458428999998</v>
      </c>
    </row>
    <row r="1493" spans="1:4" x14ac:dyDescent="0.3">
      <c r="A1493" s="4">
        <v>46080</v>
      </c>
      <c r="B1493" s="5">
        <v>1072367831600</v>
      </c>
      <c r="C1493" s="5">
        <v>1415655679900</v>
      </c>
      <c r="D1493" s="49">
        <f t="shared" si="34"/>
        <v>24880.235114999999</v>
      </c>
    </row>
    <row r="1494" spans="1:4" x14ac:dyDescent="0.3">
      <c r="A1494" s="4">
        <v>46083</v>
      </c>
      <c r="B1494" s="5">
        <v>1345892469400</v>
      </c>
      <c r="C1494" s="5">
        <v>1674826283500</v>
      </c>
      <c r="D1494" s="49">
        <f t="shared" si="34"/>
        <v>30207.187528999999</v>
      </c>
    </row>
    <row r="1495" spans="1:4" x14ac:dyDescent="0.3">
      <c r="A1495" s="4">
        <v>46084</v>
      </c>
      <c r="B1495" s="5">
        <v>1425790202300</v>
      </c>
      <c r="C1495" s="5">
        <v>1703720230900</v>
      </c>
      <c r="D1495" s="49">
        <f t="shared" si="34"/>
        <v>31295.104331999999</v>
      </c>
    </row>
    <row r="1496" spans="1:4" x14ac:dyDescent="0.3">
      <c r="A1496" s="4">
        <v>46085</v>
      </c>
      <c r="B1496" s="5">
        <v>1113081986100</v>
      </c>
      <c r="C1496" s="5">
        <v>1252671984600</v>
      </c>
      <c r="D1496" s="49">
        <f t="shared" si="34"/>
        <v>23657.539707</v>
      </c>
    </row>
    <row r="1497" spans="1:4" x14ac:dyDescent="0.3">
      <c r="A1497" s="4">
        <v>46086</v>
      </c>
      <c r="B1497" s="5">
        <v>1068043734800</v>
      </c>
      <c r="C1497" s="5">
        <v>1321994082000</v>
      </c>
      <c r="D1497" s="49">
        <f t="shared" si="34"/>
        <v>23900.378167999999</v>
      </c>
    </row>
    <row r="1498" spans="1:4" x14ac:dyDescent="0.3">
      <c r="A1498" s="4">
        <v>46087</v>
      </c>
      <c r="B1498" s="5">
        <v>978805927100</v>
      </c>
      <c r="C1498" s="5">
        <v>1221343285200</v>
      </c>
      <c r="D1498" s="49">
        <f t="shared" si="34"/>
        <v>22001.492123</v>
      </c>
    </row>
    <row r="1499" spans="1:4" x14ac:dyDescent="0.3">
      <c r="A1499" s="4">
        <v>46090</v>
      </c>
      <c r="B1499" s="5">
        <v>1194106193200</v>
      </c>
      <c r="C1499" s="5">
        <v>1453438641300</v>
      </c>
      <c r="D1499" s="49">
        <f t="shared" si="34"/>
        <v>26475.448345000001</v>
      </c>
    </row>
    <row r="1500" spans="1:4" x14ac:dyDescent="0.3">
      <c r="A1500" s="4">
        <v>46091</v>
      </c>
      <c r="B1500" s="5">
        <v>1036427205300</v>
      </c>
      <c r="C1500" s="5">
        <v>1361460406100</v>
      </c>
      <c r="D1500" s="49">
        <f t="shared" si="34"/>
        <v>23978.876113999999</v>
      </c>
    </row>
    <row r="1501" spans="1:4" x14ac:dyDescent="0.3">
      <c r="A1501" s="4">
        <v>46092</v>
      </c>
      <c r="B1501" s="5">
        <v>1063600874400</v>
      </c>
      <c r="C1501" s="5">
        <v>1444776810500</v>
      </c>
      <c r="D1501" s="49">
        <f t="shared" si="34"/>
        <v>25083.776849000002</v>
      </c>
    </row>
    <row r="1502" spans="1:4" x14ac:dyDescent="0.3">
      <c r="A1502" s="4">
        <v>46093</v>
      </c>
      <c r="B1502" s="5">
        <v>1078215329800</v>
      </c>
      <c r="C1502" s="5">
        <v>1363682636800</v>
      </c>
      <c r="D1502" s="49">
        <f t="shared" si="34"/>
        <v>24418.979665999999</v>
      </c>
    </row>
    <row r="1503" spans="1:4" x14ac:dyDescent="0.3">
      <c r="A1503" s="4">
        <v>46094</v>
      </c>
      <c r="B1503" s="5">
        <v>1063918169400</v>
      </c>
      <c r="C1503" s="5">
        <v>1336399029900</v>
      </c>
      <c r="D1503" s="49">
        <f t="shared" si="34"/>
        <v>24003.171993</v>
      </c>
    </row>
    <row r="1504" spans="1:4" x14ac:dyDescent="0.3">
      <c r="A1504" s="4">
        <v>46097</v>
      </c>
      <c r="B1504" s="5">
        <v>1037223834000</v>
      </c>
      <c r="C1504" s="5">
        <v>1288107044400</v>
      </c>
      <c r="D1504" s="49">
        <f t="shared" si="34"/>
        <v>23253.308784000001</v>
      </c>
    </row>
    <row r="1505" spans="1:4" x14ac:dyDescent="0.3">
      <c r="A1505" s="4">
        <v>46098</v>
      </c>
      <c r="B1505" s="5">
        <v>951228129300</v>
      </c>
      <c r="C1505" s="5">
        <v>1256632860400</v>
      </c>
      <c r="D1505" s="49">
        <f t="shared" si="34"/>
        <v>22078.609896999998</v>
      </c>
    </row>
    <row r="1506" spans="1:4" x14ac:dyDescent="0.3">
      <c r="A1506" s="4">
        <v>46099</v>
      </c>
      <c r="B1506" s="5">
        <v>876327491400</v>
      </c>
      <c r="C1506" s="5">
        <v>1169736139400</v>
      </c>
      <c r="D1506" s="49">
        <f t="shared" si="34"/>
        <v>20460.636308000001</v>
      </c>
    </row>
    <row r="1507" spans="1:4" x14ac:dyDescent="0.3">
      <c r="A1507" s="4">
        <v>46100</v>
      </c>
      <c r="B1507" s="5">
        <v>935264956100</v>
      </c>
      <c r="C1507" s="5">
        <v>1175704077700</v>
      </c>
      <c r="D1507" s="49">
        <f t="shared" si="34"/>
        <v>21109.690338</v>
      </c>
    </row>
    <row r="1508" spans="1:4" x14ac:dyDescent="0.3">
      <c r="A1508" s="4">
        <v>46101</v>
      </c>
      <c r="B1508" s="5">
        <v>964863108600</v>
      </c>
      <c r="C1508" s="5">
        <v>1321947502000</v>
      </c>
      <c r="D1508" s="49">
        <f t="shared" si="34"/>
        <v>22868.106105999999</v>
      </c>
    </row>
    <row r="1509" spans="1:4" x14ac:dyDescent="0.3">
      <c r="A1509" s="4">
        <v>46104</v>
      </c>
      <c r="B1509" s="5">
        <v>1086248286000</v>
      </c>
      <c r="C1509" s="5">
        <v>1345269862200</v>
      </c>
      <c r="D1509" s="49">
        <f t="shared" si="34"/>
        <v>24315.181482</v>
      </c>
    </row>
    <row r="1510" spans="1:4" x14ac:dyDescent="0.3">
      <c r="A1510" s="4">
        <v>46105</v>
      </c>
      <c r="B1510" s="5">
        <v>931418842700</v>
      </c>
      <c r="C1510" s="5">
        <v>1151421880400</v>
      </c>
      <c r="D1510" s="49">
        <f t="shared" si="34"/>
        <v>20828.407231000001</v>
      </c>
    </row>
    <row r="1511" spans="1:4" x14ac:dyDescent="0.3">
      <c r="A1511" s="4">
        <v>46106</v>
      </c>
      <c r="B1511" s="5">
        <v>967854261200</v>
      </c>
      <c r="C1511" s="5">
        <v>1211952310200</v>
      </c>
      <c r="D1511" s="49">
        <f t="shared" si="34"/>
        <v>21798.065714</v>
      </c>
    </row>
    <row r="1512" spans="1:4" x14ac:dyDescent="0.3">
      <c r="A1512" s="4">
        <v>46107</v>
      </c>
      <c r="B1512" s="5">
        <v>848361335100</v>
      </c>
      <c r="C1512" s="5">
        <v>1095241403200</v>
      </c>
      <c r="D1512" s="49">
        <f t="shared" si="34"/>
        <v>19436.027383000001</v>
      </c>
    </row>
    <row r="1513" spans="1:4" x14ac:dyDescent="0.3">
      <c r="A1513" s="4">
        <v>46108</v>
      </c>
      <c r="B1513" s="5">
        <v>799696430900</v>
      </c>
      <c r="C1513" s="5">
        <v>1053565323000</v>
      </c>
      <c r="D1513" s="49">
        <f t="shared" si="34"/>
        <v>18532.617538999999</v>
      </c>
    </row>
    <row r="1514" spans="1:4" x14ac:dyDescent="0.3">
      <c r="A1514" s="4">
        <v>46111</v>
      </c>
      <c r="B1514" s="5">
        <v>839822434700</v>
      </c>
      <c r="C1514" s="5">
        <v>1076058863000</v>
      </c>
      <c r="D1514" s="49">
        <f t="shared" si="34"/>
        <v>19158.812977000001</v>
      </c>
    </row>
    <row r="1515" spans="1:4" x14ac:dyDescent="0.3">
      <c r="A1515" s="4">
        <v>46112</v>
      </c>
      <c r="B1515" s="5">
        <v>891945339600</v>
      </c>
      <c r="C1515" s="5">
        <v>1100598073900</v>
      </c>
      <c r="D1515" s="49">
        <f t="shared" si="34"/>
        <v>19925.434135</v>
      </c>
    </row>
    <row r="1516" spans="1:4" x14ac:dyDescent="0.3">
      <c r="A1516" s="4">
        <v>46113</v>
      </c>
      <c r="B1516" s="5">
        <v>897278213900</v>
      </c>
      <c r="C1516" s="5">
        <v>1115173056500</v>
      </c>
      <c r="D1516" s="49">
        <f t="shared" si="34"/>
        <v>20124.512704000001</v>
      </c>
    </row>
    <row r="1517" spans="1:4" x14ac:dyDescent="0.3">
      <c r="A1517" s="4">
        <v>46114</v>
      </c>
      <c r="B1517" s="5">
        <v>811896567000</v>
      </c>
      <c r="C1517" s="5">
        <v>1031053910700</v>
      </c>
      <c r="D1517" s="49">
        <f t="shared" si="34"/>
        <v>18429.504776999998</v>
      </c>
    </row>
    <row r="1518" spans="1:4" x14ac:dyDescent="0.3">
      <c r="A1518" s="4">
        <v>46115</v>
      </c>
      <c r="B1518" s="5">
        <v>713830332100</v>
      </c>
      <c r="C1518" s="5">
        <v>942636328000</v>
      </c>
      <c r="D1518" s="49">
        <f t="shared" si="34"/>
        <v>16564.666601000001</v>
      </c>
    </row>
    <row r="1519" spans="1:4" x14ac:dyDescent="0.3">
      <c r="A1519" s="4">
        <v>46119</v>
      </c>
      <c r="B1519" s="5">
        <v>723905837300</v>
      </c>
      <c r="C1519" s="5">
        <v>890452406600</v>
      </c>
      <c r="D1519" s="49">
        <f t="shared" si="34"/>
        <v>16143.582439</v>
      </c>
    </row>
    <row r="1520" spans="1:4" x14ac:dyDescent="0.3">
      <c r="A1520" s="4">
        <v>46120</v>
      </c>
      <c r="B1520" s="5">
        <v>1074211701300</v>
      </c>
      <c r="C1520" s="5">
        <v>1360286670500</v>
      </c>
      <c r="D1520" s="49">
        <f t="shared" si="34"/>
        <v>24344.983717999999</v>
      </c>
    </row>
    <row r="1521" spans="1:12" x14ac:dyDescent="0.3">
      <c r="A1521" s="4">
        <v>46121</v>
      </c>
      <c r="B1521" s="5">
        <v>902481840100</v>
      </c>
      <c r="C1521" s="5">
        <v>1231564810600</v>
      </c>
      <c r="D1521" s="49">
        <f t="shared" si="34"/>
        <v>21340.466507000001</v>
      </c>
    </row>
    <row r="1522" spans="1:12" x14ac:dyDescent="0.3">
      <c r="A1522" s="4">
        <v>46122</v>
      </c>
      <c r="B1522" s="5">
        <v>955664107200</v>
      </c>
      <c r="C1522" s="5">
        <v>1367174715600</v>
      </c>
      <c r="D1522" s="49">
        <f t="shared" si="34"/>
        <v>23228.388228</v>
      </c>
    </row>
    <row r="1523" spans="1:12" x14ac:dyDescent="0.3">
      <c r="A1523" s="4">
        <v>46125</v>
      </c>
      <c r="B1523" s="5">
        <v>919436481800</v>
      </c>
      <c r="C1523" s="5">
        <v>1230918333900</v>
      </c>
      <c r="D1523" s="49">
        <f t="shared" si="34"/>
        <v>21503.548157000001</v>
      </c>
    </row>
    <row r="1524" spans="1:12" x14ac:dyDescent="0.3">
      <c r="A1524" s="4">
        <v>46126</v>
      </c>
      <c r="B1524" s="5">
        <v>998435132000</v>
      </c>
      <c r="C1524" s="5">
        <v>1385270907000</v>
      </c>
      <c r="D1524" s="49">
        <f t="shared" si="34"/>
        <v>23837.060389999999</v>
      </c>
    </row>
    <row r="1525" spans="1:12" x14ac:dyDescent="0.3">
      <c r="A1525" s="4">
        <v>46127</v>
      </c>
      <c r="B1525" s="5">
        <v>1028851871500</v>
      </c>
      <c r="C1525" s="5">
        <v>1386380508800</v>
      </c>
      <c r="D1525" s="49">
        <f t="shared" si="34"/>
        <v>24152.323802999999</v>
      </c>
    </row>
    <row r="1526" spans="1:12" x14ac:dyDescent="0.3">
      <c r="A1526" s="4">
        <v>46128</v>
      </c>
      <c r="B1526" s="5">
        <v>976565489700</v>
      </c>
      <c r="C1526" s="5">
        <v>1365112582900</v>
      </c>
      <c r="D1526" s="49">
        <f t="shared" si="34"/>
        <v>23416.780726000001</v>
      </c>
    </row>
    <row r="1527" spans="1:12" x14ac:dyDescent="0.3">
      <c r="A1527" s="4">
        <v>46129</v>
      </c>
      <c r="B1527" s="5">
        <v>1013520660200</v>
      </c>
      <c r="C1527" s="5">
        <v>1412052739800</v>
      </c>
      <c r="D1527" s="49">
        <f t="shared" si="34"/>
        <v>24255.734</v>
      </c>
    </row>
    <row r="1528" spans="1:12" x14ac:dyDescent="0.3">
      <c r="A1528" s="4">
        <v>46132</v>
      </c>
      <c r="B1528" s="5">
        <v>1084578006400.0001</v>
      </c>
      <c r="C1528" s="5">
        <v>1494179275000</v>
      </c>
      <c r="D1528" s="49">
        <f t="shared" si="34"/>
        <v>25787.572813999999</v>
      </c>
    </row>
    <row r="1529" spans="1:12" x14ac:dyDescent="0.3">
      <c r="A1529" s="4">
        <v>46133</v>
      </c>
      <c r="B1529" s="5">
        <v>1033349016200</v>
      </c>
      <c r="C1529" s="5">
        <v>1375174879200</v>
      </c>
      <c r="D1529" s="49">
        <f t="shared" si="34"/>
        <v>24085.238954</v>
      </c>
      <c r="E1529" s="49">
        <f t="shared" ref="E1529" si="35">(C1529+D1529)/100000000</f>
        <v>13751.749032852391</v>
      </c>
      <c r="F1529" s="49">
        <f t="shared" ref="F1529" si="36">(D1529+E1529)/100000000</f>
        <v>3.7836987986852394E-4</v>
      </c>
      <c r="G1529" s="49">
        <f t="shared" ref="G1529" si="37">(E1529+F1529)/100000000</f>
        <v>1.3751749411222271E-4</v>
      </c>
      <c r="H1529" s="49">
        <f t="shared" ref="H1529" si="38">(F1529+G1529)/100000000</f>
        <v>5.1588737398074667E-12</v>
      </c>
      <c r="I1529" s="49">
        <f t="shared" ref="I1529" si="39">(G1529+H1529)/100000000</f>
        <v>1.3751749927109646E-12</v>
      </c>
      <c r="J1529" s="49">
        <f t="shared" ref="J1529" si="40">(H1529+I1529)/100000000</f>
        <v>6.5340487325184317E-20</v>
      </c>
      <c r="K1529" s="49">
        <f t="shared" ref="K1529" si="41">(I1529+J1529)/100000000</f>
        <v>1.3751750580514519E-20</v>
      </c>
      <c r="L1529" s="49">
        <f t="shared" ref="L1529" si="42">(J1529+K1529)/100000000</f>
        <v>7.9092237905698833E-28</v>
      </c>
    </row>
    <row r="1530" spans="1:12" x14ac:dyDescent="0.3">
      <c r="A1530" s="4">
        <v>46134</v>
      </c>
      <c r="B1530" s="5">
        <v>1093625892400.0001</v>
      </c>
      <c r="C1530" s="5">
        <v>1466159216500</v>
      </c>
      <c r="D1530" s="49">
        <f t="shared" si="34"/>
        <v>25597.851089</v>
      </c>
    </row>
    <row r="1531" spans="1:12" x14ac:dyDescent="0.3">
      <c r="A1531" s="4">
        <v>46135</v>
      </c>
      <c r="B1531" s="5">
        <v>1234396207600</v>
      </c>
      <c r="C1531" s="5">
        <v>1570096212300</v>
      </c>
      <c r="D1531" s="49">
        <f t="shared" si="34"/>
        <v>28044.924199000001</v>
      </c>
    </row>
    <row r="1532" spans="1:12" x14ac:dyDescent="0.3">
      <c r="A1532" s="4">
        <v>46136</v>
      </c>
      <c r="B1532" s="5">
        <v>1143000195100</v>
      </c>
      <c r="C1532" s="5">
        <v>1498859076700</v>
      </c>
      <c r="D1532" s="49">
        <f t="shared" si="34"/>
        <v>26418.592718</v>
      </c>
    </row>
    <row r="1533" spans="1:12" x14ac:dyDescent="0.3">
      <c r="A1533" s="4">
        <v>46139</v>
      </c>
      <c r="B1533" s="5">
        <v>1136051921700</v>
      </c>
      <c r="C1533" s="5">
        <v>1453399425000</v>
      </c>
      <c r="D1533" s="49">
        <f t="shared" si="34"/>
        <v>25894.513467000001</v>
      </c>
    </row>
    <row r="1534" spans="1:12" x14ac:dyDescent="0.3">
      <c r="A1534" s="4">
        <v>46140</v>
      </c>
      <c r="B1534" s="5">
        <v>1113955561900</v>
      </c>
      <c r="C1534" s="5">
        <v>1422352274500</v>
      </c>
      <c r="D1534" s="49">
        <f t="shared" si="34"/>
        <v>25363.078364000001</v>
      </c>
    </row>
    <row r="1535" spans="1:12" x14ac:dyDescent="0.3">
      <c r="A1535" s="4">
        <v>46141</v>
      </c>
      <c r="B1535" s="5">
        <v>1126615371100</v>
      </c>
      <c r="C1535" s="5">
        <v>1463521736300</v>
      </c>
      <c r="D1535" s="49">
        <f t="shared" si="34"/>
        <v>25901.371073999999</v>
      </c>
    </row>
    <row r="1536" spans="1:12" x14ac:dyDescent="0.3">
      <c r="A1536" s="4">
        <v>46142</v>
      </c>
      <c r="B1536" s="5">
        <v>1276194739100</v>
      </c>
      <c r="C1536" s="5">
        <v>1464716733100</v>
      </c>
      <c r="D1536" s="49">
        <f t="shared" si="34"/>
        <v>27409.114721999998</v>
      </c>
    </row>
    <row r="1537" spans="1:4" x14ac:dyDescent="0.3">
      <c r="A1537" s="4">
        <v>46148</v>
      </c>
      <c r="B1537" s="5">
        <v>1465903193400</v>
      </c>
      <c r="C1537" s="5">
        <v>1760931025000</v>
      </c>
      <c r="D1537" s="49">
        <f t="shared" si="34"/>
        <v>32268.342184000001</v>
      </c>
    </row>
    <row r="1538" spans="1:4" x14ac:dyDescent="0.3">
      <c r="A1538" s="4">
        <v>46149</v>
      </c>
      <c r="B1538" s="5">
        <v>1359099510000</v>
      </c>
      <c r="C1538" s="5">
        <v>1784856104500</v>
      </c>
      <c r="D1538" s="49">
        <f t="shared" si="34"/>
        <v>31439.556144999999</v>
      </c>
    </row>
    <row r="1539" spans="1:4" x14ac:dyDescent="0.3">
      <c r="A1539" s="4">
        <v>46150</v>
      </c>
      <c r="B1539" s="5">
        <v>1331673066100</v>
      </c>
      <c r="C1539" s="5">
        <v>1716868864500</v>
      </c>
      <c r="D1539" s="49">
        <f t="shared" si="34"/>
        <v>30485.419306</v>
      </c>
    </row>
    <row r="1540" spans="1:4" x14ac:dyDescent="0.3">
      <c r="A1540" s="4">
        <v>46153</v>
      </c>
      <c r="B1540" s="5">
        <v>1584366746200</v>
      </c>
      <c r="C1540" s="5">
        <v>1954494738000</v>
      </c>
      <c r="D1540" s="49">
        <f t="shared" si="34"/>
        <v>35388.614842000003</v>
      </c>
    </row>
    <row r="1541" spans="1:4" x14ac:dyDescent="0.3">
      <c r="A1541" s="4">
        <v>46154</v>
      </c>
      <c r="B1541" s="5">
        <v>1465272590600</v>
      </c>
      <c r="C1541" s="5">
        <v>1777383753900</v>
      </c>
      <c r="D1541" s="49">
        <f t="shared" si="34"/>
        <v>32426.563445</v>
      </c>
    </row>
    <row r="1542" spans="1:4" x14ac:dyDescent="0.3">
      <c r="A1542" s="4">
        <v>46155</v>
      </c>
      <c r="B1542" s="5"/>
      <c r="C1542" s="5"/>
      <c r="D1542" s="49">
        <f t="shared" ref="D1542:D1605" si="43">(B1542+C1542)/100000000</f>
        <v>0</v>
      </c>
    </row>
    <row r="1543" spans="1:4" x14ac:dyDescent="0.3">
      <c r="D1543" s="49">
        <f t="shared" si="43"/>
        <v>0</v>
      </c>
    </row>
    <row r="1544" spans="1:4" x14ac:dyDescent="0.3">
      <c r="D1544" s="49">
        <f t="shared" si="43"/>
        <v>0</v>
      </c>
    </row>
    <row r="1545" spans="1:4" x14ac:dyDescent="0.3">
      <c r="D1545" s="49">
        <f t="shared" si="43"/>
        <v>0</v>
      </c>
    </row>
    <row r="1546" spans="1:4" x14ac:dyDescent="0.3">
      <c r="D1546" s="49">
        <f t="shared" si="43"/>
        <v>0</v>
      </c>
    </row>
    <row r="1547" spans="1:4" x14ac:dyDescent="0.3">
      <c r="D1547" s="49">
        <f t="shared" si="43"/>
        <v>0</v>
      </c>
    </row>
    <row r="1548" spans="1:4" x14ac:dyDescent="0.3">
      <c r="D1548" s="49">
        <f t="shared" si="43"/>
        <v>0</v>
      </c>
    </row>
    <row r="1549" spans="1:4" x14ac:dyDescent="0.3">
      <c r="D1549" s="49">
        <f t="shared" si="43"/>
        <v>0</v>
      </c>
    </row>
    <row r="1550" spans="1:4" x14ac:dyDescent="0.3">
      <c r="D1550" s="49">
        <f t="shared" si="43"/>
        <v>0</v>
      </c>
    </row>
    <row r="1551" spans="1:4" x14ac:dyDescent="0.3">
      <c r="D1551" s="49">
        <f t="shared" si="43"/>
        <v>0</v>
      </c>
    </row>
    <row r="1552" spans="1:4" x14ac:dyDescent="0.3">
      <c r="D1552" s="49">
        <f t="shared" si="43"/>
        <v>0</v>
      </c>
    </row>
    <row r="1553" spans="4:4" x14ac:dyDescent="0.3">
      <c r="D1553" s="49">
        <f t="shared" si="43"/>
        <v>0</v>
      </c>
    </row>
    <row r="1554" spans="4:4" x14ac:dyDescent="0.3">
      <c r="D1554" s="49">
        <f t="shared" si="43"/>
        <v>0</v>
      </c>
    </row>
    <row r="1555" spans="4:4" x14ac:dyDescent="0.3">
      <c r="D1555" s="49">
        <f t="shared" si="43"/>
        <v>0</v>
      </c>
    </row>
    <row r="1556" spans="4:4" x14ac:dyDescent="0.3">
      <c r="D1556" s="49">
        <f t="shared" si="43"/>
        <v>0</v>
      </c>
    </row>
    <row r="1557" spans="4:4" x14ac:dyDescent="0.3">
      <c r="D1557" s="49">
        <f t="shared" si="43"/>
        <v>0</v>
      </c>
    </row>
    <row r="1558" spans="4:4" x14ac:dyDescent="0.3">
      <c r="D1558" s="49">
        <f t="shared" si="43"/>
        <v>0</v>
      </c>
    </row>
    <row r="1559" spans="4:4" x14ac:dyDescent="0.3">
      <c r="D1559" s="49">
        <f t="shared" si="43"/>
        <v>0</v>
      </c>
    </row>
    <row r="1560" spans="4:4" x14ac:dyDescent="0.3">
      <c r="D1560" s="49">
        <f t="shared" si="43"/>
        <v>0</v>
      </c>
    </row>
    <row r="1561" spans="4:4" x14ac:dyDescent="0.3">
      <c r="D1561" s="49">
        <f t="shared" si="43"/>
        <v>0</v>
      </c>
    </row>
    <row r="1562" spans="4:4" x14ac:dyDescent="0.3">
      <c r="D1562" s="49">
        <f t="shared" si="43"/>
        <v>0</v>
      </c>
    </row>
    <row r="1563" spans="4:4" x14ac:dyDescent="0.3">
      <c r="D1563" s="49">
        <f t="shared" si="43"/>
        <v>0</v>
      </c>
    </row>
    <row r="1564" spans="4:4" x14ac:dyDescent="0.3">
      <c r="D1564" s="49">
        <f t="shared" si="43"/>
        <v>0</v>
      </c>
    </row>
    <row r="1565" spans="4:4" x14ac:dyDescent="0.3">
      <c r="D1565" s="49">
        <f t="shared" si="43"/>
        <v>0</v>
      </c>
    </row>
    <row r="1566" spans="4:4" x14ac:dyDescent="0.3">
      <c r="D1566" s="49">
        <f t="shared" si="43"/>
        <v>0</v>
      </c>
    </row>
    <row r="1567" spans="4:4" x14ac:dyDescent="0.3">
      <c r="D1567" s="49">
        <f t="shared" si="43"/>
        <v>0</v>
      </c>
    </row>
    <row r="1568" spans="4:4" x14ac:dyDescent="0.3">
      <c r="D1568" s="49">
        <f t="shared" si="43"/>
        <v>0</v>
      </c>
    </row>
    <row r="1569" spans="4:4" x14ac:dyDescent="0.3">
      <c r="D1569" s="49">
        <f t="shared" si="43"/>
        <v>0</v>
      </c>
    </row>
    <row r="1570" spans="4:4" x14ac:dyDescent="0.3">
      <c r="D1570" s="49">
        <f t="shared" si="43"/>
        <v>0</v>
      </c>
    </row>
    <row r="1571" spans="4:4" x14ac:dyDescent="0.3">
      <c r="D1571" s="49">
        <f t="shared" si="43"/>
        <v>0</v>
      </c>
    </row>
    <row r="1572" spans="4:4" x14ac:dyDescent="0.3">
      <c r="D1572" s="49">
        <f t="shared" si="43"/>
        <v>0</v>
      </c>
    </row>
    <row r="1573" spans="4:4" x14ac:dyDescent="0.3">
      <c r="D1573" s="49">
        <f t="shared" si="43"/>
        <v>0</v>
      </c>
    </row>
    <row r="1574" spans="4:4" x14ac:dyDescent="0.3">
      <c r="D1574" s="49">
        <f t="shared" si="43"/>
        <v>0</v>
      </c>
    </row>
    <row r="1575" spans="4:4" x14ac:dyDescent="0.3">
      <c r="D1575" s="49">
        <f t="shared" si="43"/>
        <v>0</v>
      </c>
    </row>
    <row r="1576" spans="4:4" x14ac:dyDescent="0.3">
      <c r="D1576" s="49">
        <f t="shared" si="43"/>
        <v>0</v>
      </c>
    </row>
    <row r="1577" spans="4:4" x14ac:dyDescent="0.3">
      <c r="D1577" s="49">
        <f t="shared" si="43"/>
        <v>0</v>
      </c>
    </row>
    <row r="1578" spans="4:4" x14ac:dyDescent="0.3">
      <c r="D1578" s="49">
        <f t="shared" si="43"/>
        <v>0</v>
      </c>
    </row>
    <row r="1579" spans="4:4" x14ac:dyDescent="0.3">
      <c r="D1579" s="49">
        <f t="shared" si="43"/>
        <v>0</v>
      </c>
    </row>
    <row r="1580" spans="4:4" x14ac:dyDescent="0.3">
      <c r="D1580" s="49">
        <f t="shared" si="43"/>
        <v>0</v>
      </c>
    </row>
    <row r="1581" spans="4:4" x14ac:dyDescent="0.3">
      <c r="D1581" s="49">
        <f t="shared" si="43"/>
        <v>0</v>
      </c>
    </row>
    <row r="1582" spans="4:4" x14ac:dyDescent="0.3">
      <c r="D1582" s="49">
        <f t="shared" si="43"/>
        <v>0</v>
      </c>
    </row>
    <row r="1583" spans="4:4" x14ac:dyDescent="0.3">
      <c r="D1583" s="49">
        <f t="shared" si="43"/>
        <v>0</v>
      </c>
    </row>
    <row r="1584" spans="4:4" x14ac:dyDescent="0.3">
      <c r="D1584" s="49">
        <f t="shared" si="43"/>
        <v>0</v>
      </c>
    </row>
    <row r="1585" spans="4:4" x14ac:dyDescent="0.3">
      <c r="D1585" s="49">
        <f t="shared" si="43"/>
        <v>0</v>
      </c>
    </row>
    <row r="1586" spans="4:4" x14ac:dyDescent="0.3">
      <c r="D1586" s="49">
        <f t="shared" si="43"/>
        <v>0</v>
      </c>
    </row>
    <row r="1587" spans="4:4" x14ac:dyDescent="0.3">
      <c r="D1587" s="49">
        <f t="shared" si="43"/>
        <v>0</v>
      </c>
    </row>
    <row r="1588" spans="4:4" x14ac:dyDescent="0.3">
      <c r="D1588" s="49">
        <f t="shared" si="43"/>
        <v>0</v>
      </c>
    </row>
    <row r="1589" spans="4:4" x14ac:dyDescent="0.3">
      <c r="D1589" s="49">
        <f t="shared" si="43"/>
        <v>0</v>
      </c>
    </row>
    <row r="1590" spans="4:4" x14ac:dyDescent="0.3">
      <c r="D1590" s="49">
        <f t="shared" si="43"/>
        <v>0</v>
      </c>
    </row>
    <row r="1591" spans="4:4" x14ac:dyDescent="0.3">
      <c r="D1591" s="49">
        <f t="shared" si="43"/>
        <v>0</v>
      </c>
    </row>
    <row r="1592" spans="4:4" x14ac:dyDescent="0.3">
      <c r="D1592" s="49">
        <f t="shared" si="43"/>
        <v>0</v>
      </c>
    </row>
    <row r="1593" spans="4:4" x14ac:dyDescent="0.3">
      <c r="D1593" s="49">
        <f t="shared" si="43"/>
        <v>0</v>
      </c>
    </row>
    <row r="1594" spans="4:4" x14ac:dyDescent="0.3">
      <c r="D1594" s="49">
        <f t="shared" si="43"/>
        <v>0</v>
      </c>
    </row>
    <row r="1595" spans="4:4" x14ac:dyDescent="0.3">
      <c r="D1595" s="49">
        <f t="shared" si="43"/>
        <v>0</v>
      </c>
    </row>
    <row r="1596" spans="4:4" x14ac:dyDescent="0.3">
      <c r="D1596" s="49">
        <f t="shared" si="43"/>
        <v>0</v>
      </c>
    </row>
    <row r="1597" spans="4:4" x14ac:dyDescent="0.3">
      <c r="D1597" s="49">
        <f t="shared" si="43"/>
        <v>0</v>
      </c>
    </row>
    <row r="1598" spans="4:4" x14ac:dyDescent="0.3">
      <c r="D1598" s="49">
        <f t="shared" si="43"/>
        <v>0</v>
      </c>
    </row>
    <row r="1599" spans="4:4" x14ac:dyDescent="0.3">
      <c r="D1599" s="49">
        <f t="shared" si="43"/>
        <v>0</v>
      </c>
    </row>
    <row r="1600" spans="4:4" x14ac:dyDescent="0.3">
      <c r="D1600" s="49">
        <f t="shared" si="43"/>
        <v>0</v>
      </c>
    </row>
    <row r="1601" spans="4:4" x14ac:dyDescent="0.3">
      <c r="D1601" s="49">
        <f t="shared" si="43"/>
        <v>0</v>
      </c>
    </row>
    <row r="1602" spans="4:4" x14ac:dyDescent="0.3">
      <c r="D1602" s="49">
        <f t="shared" si="43"/>
        <v>0</v>
      </c>
    </row>
    <row r="1603" spans="4:4" x14ac:dyDescent="0.3">
      <c r="D1603" s="49">
        <f t="shared" si="43"/>
        <v>0</v>
      </c>
    </row>
    <row r="1604" spans="4:4" x14ac:dyDescent="0.3">
      <c r="D1604" s="49">
        <f t="shared" si="43"/>
        <v>0</v>
      </c>
    </row>
    <row r="1605" spans="4:4" x14ac:dyDescent="0.3">
      <c r="D1605" s="49">
        <f t="shared" si="43"/>
        <v>0</v>
      </c>
    </row>
    <row r="1606" spans="4:4" x14ac:dyDescent="0.3">
      <c r="D1606" s="49">
        <f t="shared" ref="D1606:D1669" si="44">(B1606+C1606)/100000000</f>
        <v>0</v>
      </c>
    </row>
    <row r="1607" spans="4:4" x14ac:dyDescent="0.3">
      <c r="D1607" s="49">
        <f t="shared" si="44"/>
        <v>0</v>
      </c>
    </row>
    <row r="1608" spans="4:4" x14ac:dyDescent="0.3">
      <c r="D1608" s="49">
        <f t="shared" si="44"/>
        <v>0</v>
      </c>
    </row>
    <row r="1609" spans="4:4" x14ac:dyDescent="0.3">
      <c r="D1609" s="49">
        <f t="shared" si="44"/>
        <v>0</v>
      </c>
    </row>
    <row r="1610" spans="4:4" x14ac:dyDescent="0.3">
      <c r="D1610" s="49">
        <f t="shared" si="44"/>
        <v>0</v>
      </c>
    </row>
    <row r="1611" spans="4:4" x14ac:dyDescent="0.3">
      <c r="D1611" s="49">
        <f t="shared" si="44"/>
        <v>0</v>
      </c>
    </row>
    <row r="1612" spans="4:4" x14ac:dyDescent="0.3">
      <c r="D1612" s="49">
        <f t="shared" si="44"/>
        <v>0</v>
      </c>
    </row>
    <row r="1613" spans="4:4" x14ac:dyDescent="0.3">
      <c r="D1613" s="49">
        <f t="shared" si="44"/>
        <v>0</v>
      </c>
    </row>
    <row r="1614" spans="4:4" x14ac:dyDescent="0.3">
      <c r="D1614" s="49">
        <f t="shared" si="44"/>
        <v>0</v>
      </c>
    </row>
    <row r="1615" spans="4:4" x14ac:dyDescent="0.3">
      <c r="D1615" s="49">
        <f t="shared" si="44"/>
        <v>0</v>
      </c>
    </row>
    <row r="1616" spans="4:4" x14ac:dyDescent="0.3">
      <c r="D1616" s="49">
        <f t="shared" si="44"/>
        <v>0</v>
      </c>
    </row>
    <row r="1617" spans="4:4" x14ac:dyDescent="0.3">
      <c r="D1617" s="49">
        <f t="shared" si="44"/>
        <v>0</v>
      </c>
    </row>
    <row r="1618" spans="4:4" x14ac:dyDescent="0.3">
      <c r="D1618" s="49">
        <f t="shared" si="44"/>
        <v>0</v>
      </c>
    </row>
    <row r="1619" spans="4:4" x14ac:dyDescent="0.3">
      <c r="D1619" s="49">
        <f t="shared" si="44"/>
        <v>0</v>
      </c>
    </row>
    <row r="1620" spans="4:4" x14ac:dyDescent="0.3">
      <c r="D1620" s="49">
        <f t="shared" si="44"/>
        <v>0</v>
      </c>
    </row>
    <row r="1621" spans="4:4" x14ac:dyDescent="0.3">
      <c r="D1621" s="49">
        <f t="shared" si="44"/>
        <v>0</v>
      </c>
    </row>
    <row r="1622" spans="4:4" x14ac:dyDescent="0.3">
      <c r="D1622" s="49">
        <f t="shared" si="44"/>
        <v>0</v>
      </c>
    </row>
    <row r="1623" spans="4:4" x14ac:dyDescent="0.3">
      <c r="D1623" s="49">
        <f t="shared" si="44"/>
        <v>0</v>
      </c>
    </row>
    <row r="1624" spans="4:4" x14ac:dyDescent="0.3">
      <c r="D1624" s="49">
        <f t="shared" si="44"/>
        <v>0</v>
      </c>
    </row>
    <row r="1625" spans="4:4" x14ac:dyDescent="0.3">
      <c r="D1625" s="49">
        <f t="shared" si="44"/>
        <v>0</v>
      </c>
    </row>
    <row r="1626" spans="4:4" x14ac:dyDescent="0.3">
      <c r="D1626" s="49">
        <f t="shared" si="44"/>
        <v>0</v>
      </c>
    </row>
    <row r="1627" spans="4:4" x14ac:dyDescent="0.3">
      <c r="D1627" s="49">
        <f t="shared" si="44"/>
        <v>0</v>
      </c>
    </row>
    <row r="1628" spans="4:4" x14ac:dyDescent="0.3">
      <c r="D1628" s="49">
        <f t="shared" si="44"/>
        <v>0</v>
      </c>
    </row>
    <row r="1629" spans="4:4" x14ac:dyDescent="0.3">
      <c r="D1629" s="49">
        <f t="shared" si="44"/>
        <v>0</v>
      </c>
    </row>
    <row r="1630" spans="4:4" x14ac:dyDescent="0.3">
      <c r="D1630" s="49">
        <f t="shared" si="44"/>
        <v>0</v>
      </c>
    </row>
    <row r="1631" spans="4:4" x14ac:dyDescent="0.3">
      <c r="D1631" s="49">
        <f t="shared" si="44"/>
        <v>0</v>
      </c>
    </row>
    <row r="1632" spans="4:4" x14ac:dyDescent="0.3">
      <c r="D1632" s="49">
        <f t="shared" si="44"/>
        <v>0</v>
      </c>
    </row>
    <row r="1633" spans="4:4" x14ac:dyDescent="0.3">
      <c r="D1633" s="49">
        <f t="shared" si="44"/>
        <v>0</v>
      </c>
    </row>
    <row r="1634" spans="4:4" x14ac:dyDescent="0.3">
      <c r="D1634" s="49">
        <f t="shared" si="44"/>
        <v>0</v>
      </c>
    </row>
    <row r="1635" spans="4:4" x14ac:dyDescent="0.3">
      <c r="D1635" s="49">
        <f t="shared" si="44"/>
        <v>0</v>
      </c>
    </row>
    <row r="1636" spans="4:4" x14ac:dyDescent="0.3">
      <c r="D1636" s="49">
        <f t="shared" si="44"/>
        <v>0</v>
      </c>
    </row>
    <row r="1637" spans="4:4" x14ac:dyDescent="0.3">
      <c r="D1637" s="49">
        <f t="shared" si="44"/>
        <v>0</v>
      </c>
    </row>
    <row r="1638" spans="4:4" x14ac:dyDescent="0.3">
      <c r="D1638" s="49">
        <f t="shared" si="44"/>
        <v>0</v>
      </c>
    </row>
    <row r="1639" spans="4:4" x14ac:dyDescent="0.3">
      <c r="D1639" s="49">
        <f t="shared" si="44"/>
        <v>0</v>
      </c>
    </row>
    <row r="1640" spans="4:4" x14ac:dyDescent="0.3">
      <c r="D1640" s="49">
        <f t="shared" si="44"/>
        <v>0</v>
      </c>
    </row>
    <row r="1641" spans="4:4" x14ac:dyDescent="0.3">
      <c r="D1641" s="49">
        <f t="shared" si="44"/>
        <v>0</v>
      </c>
    </row>
    <row r="1642" spans="4:4" x14ac:dyDescent="0.3">
      <c r="D1642" s="49">
        <f t="shared" si="44"/>
        <v>0</v>
      </c>
    </row>
    <row r="1643" spans="4:4" x14ac:dyDescent="0.3">
      <c r="D1643" s="49">
        <f t="shared" si="44"/>
        <v>0</v>
      </c>
    </row>
    <row r="1644" spans="4:4" x14ac:dyDescent="0.3">
      <c r="D1644" s="49">
        <f t="shared" si="44"/>
        <v>0</v>
      </c>
    </row>
    <row r="1645" spans="4:4" x14ac:dyDescent="0.3">
      <c r="D1645" s="49">
        <f t="shared" si="44"/>
        <v>0</v>
      </c>
    </row>
    <row r="1646" spans="4:4" x14ac:dyDescent="0.3">
      <c r="D1646" s="49">
        <f t="shared" si="44"/>
        <v>0</v>
      </c>
    </row>
    <row r="1647" spans="4:4" x14ac:dyDescent="0.3">
      <c r="D1647" s="49">
        <f t="shared" si="44"/>
        <v>0</v>
      </c>
    </row>
    <row r="1648" spans="4:4" x14ac:dyDescent="0.3">
      <c r="D1648" s="49">
        <f t="shared" si="44"/>
        <v>0</v>
      </c>
    </row>
    <row r="1649" spans="4:4" x14ac:dyDescent="0.3">
      <c r="D1649" s="49">
        <f t="shared" si="44"/>
        <v>0</v>
      </c>
    </row>
    <row r="1650" spans="4:4" x14ac:dyDescent="0.3">
      <c r="D1650" s="49">
        <f t="shared" si="44"/>
        <v>0</v>
      </c>
    </row>
    <row r="1651" spans="4:4" x14ac:dyDescent="0.3">
      <c r="D1651" s="49">
        <f t="shared" si="44"/>
        <v>0</v>
      </c>
    </row>
    <row r="1652" spans="4:4" x14ac:dyDescent="0.3">
      <c r="D1652" s="49">
        <f t="shared" si="44"/>
        <v>0</v>
      </c>
    </row>
    <row r="1653" spans="4:4" x14ac:dyDescent="0.3">
      <c r="D1653" s="49">
        <f t="shared" si="44"/>
        <v>0</v>
      </c>
    </row>
    <row r="1654" spans="4:4" x14ac:dyDescent="0.3">
      <c r="D1654" s="49">
        <f t="shared" si="44"/>
        <v>0</v>
      </c>
    </row>
    <row r="1655" spans="4:4" x14ac:dyDescent="0.3">
      <c r="D1655" s="49">
        <f t="shared" si="44"/>
        <v>0</v>
      </c>
    </row>
    <row r="1656" spans="4:4" x14ac:dyDescent="0.3">
      <c r="D1656" s="49">
        <f t="shared" si="44"/>
        <v>0</v>
      </c>
    </row>
    <row r="1657" spans="4:4" x14ac:dyDescent="0.3">
      <c r="D1657" s="49">
        <f t="shared" si="44"/>
        <v>0</v>
      </c>
    </row>
    <row r="1658" spans="4:4" x14ac:dyDescent="0.3">
      <c r="D1658" s="49">
        <f t="shared" si="44"/>
        <v>0</v>
      </c>
    </row>
    <row r="1659" spans="4:4" x14ac:dyDescent="0.3">
      <c r="D1659" s="49">
        <f t="shared" si="44"/>
        <v>0</v>
      </c>
    </row>
    <row r="1660" spans="4:4" x14ac:dyDescent="0.3">
      <c r="D1660" s="49">
        <f t="shared" si="44"/>
        <v>0</v>
      </c>
    </row>
    <row r="1661" spans="4:4" x14ac:dyDescent="0.3">
      <c r="D1661" s="49">
        <f t="shared" si="44"/>
        <v>0</v>
      </c>
    </row>
    <row r="1662" spans="4:4" x14ac:dyDescent="0.3">
      <c r="D1662" s="49">
        <f t="shared" si="44"/>
        <v>0</v>
      </c>
    </row>
    <row r="1663" spans="4:4" x14ac:dyDescent="0.3">
      <c r="D1663" s="49">
        <f t="shared" si="44"/>
        <v>0</v>
      </c>
    </row>
    <row r="1664" spans="4:4" x14ac:dyDescent="0.3">
      <c r="D1664" s="49">
        <f t="shared" si="44"/>
        <v>0</v>
      </c>
    </row>
    <row r="1665" spans="4:4" x14ac:dyDescent="0.3">
      <c r="D1665" s="49">
        <f t="shared" si="44"/>
        <v>0</v>
      </c>
    </row>
    <row r="1666" spans="4:4" x14ac:dyDescent="0.3">
      <c r="D1666" s="49">
        <f t="shared" si="44"/>
        <v>0</v>
      </c>
    </row>
    <row r="1667" spans="4:4" x14ac:dyDescent="0.3">
      <c r="D1667" s="49">
        <f t="shared" si="44"/>
        <v>0</v>
      </c>
    </row>
    <row r="1668" spans="4:4" x14ac:dyDescent="0.3">
      <c r="D1668" s="49">
        <f t="shared" si="44"/>
        <v>0</v>
      </c>
    </row>
    <row r="1669" spans="4:4" x14ac:dyDescent="0.3">
      <c r="D1669" s="49">
        <f t="shared" si="44"/>
        <v>0</v>
      </c>
    </row>
    <row r="1670" spans="4:4" x14ac:dyDescent="0.3">
      <c r="D1670" s="49">
        <f t="shared" ref="D1670:D1733" si="45">(B1670+C1670)/100000000</f>
        <v>0</v>
      </c>
    </row>
    <row r="1671" spans="4:4" x14ac:dyDescent="0.3">
      <c r="D1671" s="49">
        <f t="shared" si="45"/>
        <v>0</v>
      </c>
    </row>
    <row r="1672" spans="4:4" x14ac:dyDescent="0.3">
      <c r="D1672" s="49">
        <f t="shared" si="45"/>
        <v>0</v>
      </c>
    </row>
    <row r="1673" spans="4:4" x14ac:dyDescent="0.3">
      <c r="D1673" s="49">
        <f t="shared" si="45"/>
        <v>0</v>
      </c>
    </row>
    <row r="1674" spans="4:4" x14ac:dyDescent="0.3">
      <c r="D1674" s="49">
        <f t="shared" si="45"/>
        <v>0</v>
      </c>
    </row>
    <row r="1675" spans="4:4" x14ac:dyDescent="0.3">
      <c r="D1675" s="49">
        <f t="shared" si="45"/>
        <v>0</v>
      </c>
    </row>
    <row r="1676" spans="4:4" x14ac:dyDescent="0.3">
      <c r="D1676" s="49">
        <f t="shared" si="45"/>
        <v>0</v>
      </c>
    </row>
    <row r="1677" spans="4:4" x14ac:dyDescent="0.3">
      <c r="D1677" s="49">
        <f t="shared" si="45"/>
        <v>0</v>
      </c>
    </row>
    <row r="1678" spans="4:4" x14ac:dyDescent="0.3">
      <c r="D1678" s="49">
        <f t="shared" si="45"/>
        <v>0</v>
      </c>
    </row>
    <row r="1679" spans="4:4" x14ac:dyDescent="0.3">
      <c r="D1679" s="49">
        <f t="shared" si="45"/>
        <v>0</v>
      </c>
    </row>
    <row r="1680" spans="4:4" x14ac:dyDescent="0.3">
      <c r="D1680" s="49">
        <f t="shared" si="45"/>
        <v>0</v>
      </c>
    </row>
    <row r="1681" spans="4:4" x14ac:dyDescent="0.3">
      <c r="D1681" s="49">
        <f t="shared" si="45"/>
        <v>0</v>
      </c>
    </row>
    <row r="1682" spans="4:4" x14ac:dyDescent="0.3">
      <c r="D1682" s="49">
        <f t="shared" si="45"/>
        <v>0</v>
      </c>
    </row>
    <row r="1683" spans="4:4" x14ac:dyDescent="0.3">
      <c r="D1683" s="49">
        <f t="shared" si="45"/>
        <v>0</v>
      </c>
    </row>
    <row r="1684" spans="4:4" x14ac:dyDescent="0.3">
      <c r="D1684" s="49">
        <f t="shared" si="45"/>
        <v>0</v>
      </c>
    </row>
    <row r="1685" spans="4:4" x14ac:dyDescent="0.3">
      <c r="D1685" s="49">
        <f t="shared" si="45"/>
        <v>0</v>
      </c>
    </row>
    <row r="1686" spans="4:4" x14ac:dyDescent="0.3">
      <c r="D1686" s="49">
        <f t="shared" si="45"/>
        <v>0</v>
      </c>
    </row>
    <row r="1687" spans="4:4" x14ac:dyDescent="0.3">
      <c r="D1687" s="49">
        <f t="shared" si="45"/>
        <v>0</v>
      </c>
    </row>
    <row r="1688" spans="4:4" x14ac:dyDescent="0.3">
      <c r="D1688" s="49">
        <f t="shared" si="45"/>
        <v>0</v>
      </c>
    </row>
    <row r="1689" spans="4:4" x14ac:dyDescent="0.3">
      <c r="D1689" s="49">
        <f t="shared" si="45"/>
        <v>0</v>
      </c>
    </row>
    <row r="1690" spans="4:4" x14ac:dyDescent="0.3">
      <c r="D1690" s="49">
        <f t="shared" si="45"/>
        <v>0</v>
      </c>
    </row>
    <row r="1691" spans="4:4" x14ac:dyDescent="0.3">
      <c r="D1691" s="49">
        <f t="shared" si="45"/>
        <v>0</v>
      </c>
    </row>
    <row r="1692" spans="4:4" x14ac:dyDescent="0.3">
      <c r="D1692" s="49">
        <f t="shared" si="45"/>
        <v>0</v>
      </c>
    </row>
    <row r="1693" spans="4:4" x14ac:dyDescent="0.3">
      <c r="D1693" s="49">
        <f t="shared" si="45"/>
        <v>0</v>
      </c>
    </row>
    <row r="1694" spans="4:4" x14ac:dyDescent="0.3">
      <c r="D1694" s="49">
        <f t="shared" si="45"/>
        <v>0</v>
      </c>
    </row>
    <row r="1695" spans="4:4" x14ac:dyDescent="0.3">
      <c r="D1695" s="49">
        <f t="shared" si="45"/>
        <v>0</v>
      </c>
    </row>
    <row r="1696" spans="4:4" x14ac:dyDescent="0.3">
      <c r="D1696" s="49">
        <f t="shared" si="45"/>
        <v>0</v>
      </c>
    </row>
    <row r="1697" spans="4:4" x14ac:dyDescent="0.3">
      <c r="D1697" s="49">
        <f t="shared" si="45"/>
        <v>0</v>
      </c>
    </row>
    <row r="1698" spans="4:4" x14ac:dyDescent="0.3">
      <c r="D1698" s="49">
        <f t="shared" si="45"/>
        <v>0</v>
      </c>
    </row>
    <row r="1699" spans="4:4" x14ac:dyDescent="0.3">
      <c r="D1699" s="49">
        <f t="shared" si="45"/>
        <v>0</v>
      </c>
    </row>
    <row r="1700" spans="4:4" x14ac:dyDescent="0.3">
      <c r="D1700" s="49">
        <f t="shared" si="45"/>
        <v>0</v>
      </c>
    </row>
    <row r="1701" spans="4:4" x14ac:dyDescent="0.3">
      <c r="D1701" s="49">
        <f t="shared" si="45"/>
        <v>0</v>
      </c>
    </row>
    <row r="1702" spans="4:4" x14ac:dyDescent="0.3">
      <c r="D1702" s="49">
        <f t="shared" si="45"/>
        <v>0</v>
      </c>
    </row>
    <row r="1703" spans="4:4" x14ac:dyDescent="0.3">
      <c r="D1703" s="49">
        <f t="shared" si="45"/>
        <v>0</v>
      </c>
    </row>
    <row r="1704" spans="4:4" x14ac:dyDescent="0.3">
      <c r="D1704" s="49">
        <f t="shared" si="45"/>
        <v>0</v>
      </c>
    </row>
    <row r="1705" spans="4:4" x14ac:dyDescent="0.3">
      <c r="D1705" s="49">
        <f t="shared" si="45"/>
        <v>0</v>
      </c>
    </row>
    <row r="1706" spans="4:4" x14ac:dyDescent="0.3">
      <c r="D1706" s="49">
        <f t="shared" si="45"/>
        <v>0</v>
      </c>
    </row>
    <row r="1707" spans="4:4" x14ac:dyDescent="0.3">
      <c r="D1707" s="49">
        <f t="shared" si="45"/>
        <v>0</v>
      </c>
    </row>
    <row r="1708" spans="4:4" x14ac:dyDescent="0.3">
      <c r="D1708" s="49">
        <f t="shared" si="45"/>
        <v>0</v>
      </c>
    </row>
    <row r="1709" spans="4:4" x14ac:dyDescent="0.3">
      <c r="D1709" s="49">
        <f t="shared" si="45"/>
        <v>0</v>
      </c>
    </row>
    <row r="1710" spans="4:4" x14ac:dyDescent="0.3">
      <c r="D1710" s="49">
        <f t="shared" si="45"/>
        <v>0</v>
      </c>
    </row>
    <row r="1711" spans="4:4" x14ac:dyDescent="0.3">
      <c r="D1711" s="49">
        <f t="shared" si="45"/>
        <v>0</v>
      </c>
    </row>
    <row r="1712" spans="4:4" x14ac:dyDescent="0.3">
      <c r="D1712" s="49">
        <f t="shared" si="45"/>
        <v>0</v>
      </c>
    </row>
    <row r="1713" spans="4:4" x14ac:dyDescent="0.3">
      <c r="D1713" s="49">
        <f t="shared" si="45"/>
        <v>0</v>
      </c>
    </row>
    <row r="1714" spans="4:4" x14ac:dyDescent="0.3">
      <c r="D1714" s="49">
        <f t="shared" si="45"/>
        <v>0</v>
      </c>
    </row>
    <row r="1715" spans="4:4" x14ac:dyDescent="0.3">
      <c r="D1715" s="49">
        <f t="shared" si="45"/>
        <v>0</v>
      </c>
    </row>
    <row r="1716" spans="4:4" x14ac:dyDescent="0.3">
      <c r="D1716" s="49">
        <f t="shared" si="45"/>
        <v>0</v>
      </c>
    </row>
    <row r="1717" spans="4:4" x14ac:dyDescent="0.3">
      <c r="D1717" s="49">
        <f t="shared" si="45"/>
        <v>0</v>
      </c>
    </row>
    <row r="1718" spans="4:4" x14ac:dyDescent="0.3">
      <c r="D1718" s="49">
        <f t="shared" si="45"/>
        <v>0</v>
      </c>
    </row>
    <row r="1719" spans="4:4" x14ac:dyDescent="0.3">
      <c r="D1719" s="49">
        <f t="shared" si="45"/>
        <v>0</v>
      </c>
    </row>
    <row r="1720" spans="4:4" x14ac:dyDescent="0.3">
      <c r="D1720" s="49">
        <f t="shared" si="45"/>
        <v>0</v>
      </c>
    </row>
    <row r="1721" spans="4:4" x14ac:dyDescent="0.3">
      <c r="D1721" s="49">
        <f t="shared" si="45"/>
        <v>0</v>
      </c>
    </row>
    <row r="1722" spans="4:4" x14ac:dyDescent="0.3">
      <c r="D1722" s="49">
        <f t="shared" si="45"/>
        <v>0</v>
      </c>
    </row>
    <row r="1723" spans="4:4" x14ac:dyDescent="0.3">
      <c r="D1723" s="49">
        <f t="shared" si="45"/>
        <v>0</v>
      </c>
    </row>
    <row r="1724" spans="4:4" x14ac:dyDescent="0.3">
      <c r="D1724" s="49">
        <f t="shared" si="45"/>
        <v>0</v>
      </c>
    </row>
    <row r="1725" spans="4:4" x14ac:dyDescent="0.3">
      <c r="D1725" s="49">
        <f t="shared" si="45"/>
        <v>0</v>
      </c>
    </row>
    <row r="1726" spans="4:4" x14ac:dyDescent="0.3">
      <c r="D1726" s="49">
        <f t="shared" si="45"/>
        <v>0</v>
      </c>
    </row>
    <row r="1727" spans="4:4" x14ac:dyDescent="0.3">
      <c r="D1727" s="49">
        <f t="shared" si="45"/>
        <v>0</v>
      </c>
    </row>
    <row r="1728" spans="4:4" x14ac:dyDescent="0.3">
      <c r="D1728" s="49">
        <f t="shared" si="45"/>
        <v>0</v>
      </c>
    </row>
    <row r="1729" spans="4:4" x14ac:dyDescent="0.3">
      <c r="D1729" s="49">
        <f t="shared" si="45"/>
        <v>0</v>
      </c>
    </row>
    <row r="1730" spans="4:4" x14ac:dyDescent="0.3">
      <c r="D1730" s="49">
        <f t="shared" si="45"/>
        <v>0</v>
      </c>
    </row>
    <row r="1731" spans="4:4" x14ac:dyDescent="0.3">
      <c r="D1731" s="49">
        <f t="shared" si="45"/>
        <v>0</v>
      </c>
    </row>
    <row r="1732" spans="4:4" x14ac:dyDescent="0.3">
      <c r="D1732" s="49">
        <f t="shared" si="45"/>
        <v>0</v>
      </c>
    </row>
    <row r="1733" spans="4:4" x14ac:dyDescent="0.3">
      <c r="D1733" s="49">
        <f t="shared" si="45"/>
        <v>0</v>
      </c>
    </row>
    <row r="1734" spans="4:4" x14ac:dyDescent="0.3">
      <c r="D1734" s="49">
        <f t="shared" ref="D1734:D1797" si="46">(B1734+C1734)/100000000</f>
        <v>0</v>
      </c>
    </row>
    <row r="1735" spans="4:4" x14ac:dyDescent="0.3">
      <c r="D1735" s="49">
        <f t="shared" si="46"/>
        <v>0</v>
      </c>
    </row>
    <row r="1736" spans="4:4" x14ac:dyDescent="0.3">
      <c r="D1736" s="49">
        <f t="shared" si="46"/>
        <v>0</v>
      </c>
    </row>
    <row r="1737" spans="4:4" x14ac:dyDescent="0.3">
      <c r="D1737" s="49">
        <f t="shared" si="46"/>
        <v>0</v>
      </c>
    </row>
    <row r="1738" spans="4:4" x14ac:dyDescent="0.3">
      <c r="D1738" s="49">
        <f t="shared" si="46"/>
        <v>0</v>
      </c>
    </row>
    <row r="1739" spans="4:4" x14ac:dyDescent="0.3">
      <c r="D1739" s="49">
        <f t="shared" si="46"/>
        <v>0</v>
      </c>
    </row>
    <row r="1740" spans="4:4" x14ac:dyDescent="0.3">
      <c r="D1740" s="49">
        <f t="shared" si="46"/>
        <v>0</v>
      </c>
    </row>
    <row r="1741" spans="4:4" x14ac:dyDescent="0.3">
      <c r="D1741" s="49">
        <f t="shared" si="46"/>
        <v>0</v>
      </c>
    </row>
    <row r="1742" spans="4:4" x14ac:dyDescent="0.3">
      <c r="D1742" s="49">
        <f t="shared" si="46"/>
        <v>0</v>
      </c>
    </row>
    <row r="1743" spans="4:4" x14ac:dyDescent="0.3">
      <c r="D1743" s="49">
        <f t="shared" si="46"/>
        <v>0</v>
      </c>
    </row>
    <row r="1744" spans="4:4" x14ac:dyDescent="0.3">
      <c r="D1744" s="49">
        <f t="shared" si="46"/>
        <v>0</v>
      </c>
    </row>
    <row r="1745" spans="4:4" x14ac:dyDescent="0.3">
      <c r="D1745" s="49">
        <f t="shared" si="46"/>
        <v>0</v>
      </c>
    </row>
    <row r="1746" spans="4:4" x14ac:dyDescent="0.3">
      <c r="D1746" s="49">
        <f t="shared" si="46"/>
        <v>0</v>
      </c>
    </row>
    <row r="1747" spans="4:4" x14ac:dyDescent="0.3">
      <c r="D1747" s="49">
        <f t="shared" si="46"/>
        <v>0</v>
      </c>
    </row>
    <row r="1748" spans="4:4" x14ac:dyDescent="0.3">
      <c r="D1748" s="49">
        <f t="shared" si="46"/>
        <v>0</v>
      </c>
    </row>
    <row r="1749" spans="4:4" x14ac:dyDescent="0.3">
      <c r="D1749" s="49">
        <f t="shared" si="46"/>
        <v>0</v>
      </c>
    </row>
    <row r="1750" spans="4:4" x14ac:dyDescent="0.3">
      <c r="D1750" s="49">
        <f t="shared" si="46"/>
        <v>0</v>
      </c>
    </row>
    <row r="1751" spans="4:4" x14ac:dyDescent="0.3">
      <c r="D1751" s="49">
        <f t="shared" si="46"/>
        <v>0</v>
      </c>
    </row>
    <row r="1752" spans="4:4" x14ac:dyDescent="0.3">
      <c r="D1752" s="49">
        <f t="shared" si="46"/>
        <v>0</v>
      </c>
    </row>
    <row r="1753" spans="4:4" x14ac:dyDescent="0.3">
      <c r="D1753" s="49">
        <f t="shared" si="46"/>
        <v>0</v>
      </c>
    </row>
    <row r="1754" spans="4:4" x14ac:dyDescent="0.3">
      <c r="D1754" s="49">
        <f t="shared" si="46"/>
        <v>0</v>
      </c>
    </row>
    <row r="1755" spans="4:4" x14ac:dyDescent="0.3">
      <c r="D1755" s="49">
        <f t="shared" si="46"/>
        <v>0</v>
      </c>
    </row>
    <row r="1756" spans="4:4" x14ac:dyDescent="0.3">
      <c r="D1756" s="49">
        <f t="shared" si="46"/>
        <v>0</v>
      </c>
    </row>
    <row r="1757" spans="4:4" x14ac:dyDescent="0.3">
      <c r="D1757" s="49">
        <f t="shared" si="46"/>
        <v>0</v>
      </c>
    </row>
    <row r="1758" spans="4:4" x14ac:dyDescent="0.3">
      <c r="D1758" s="49">
        <f t="shared" si="46"/>
        <v>0</v>
      </c>
    </row>
    <row r="1759" spans="4:4" x14ac:dyDescent="0.3">
      <c r="D1759" s="49">
        <f t="shared" si="46"/>
        <v>0</v>
      </c>
    </row>
    <row r="1760" spans="4:4" x14ac:dyDescent="0.3">
      <c r="D1760" s="49">
        <f t="shared" si="46"/>
        <v>0</v>
      </c>
    </row>
    <row r="1761" spans="4:4" x14ac:dyDescent="0.3">
      <c r="D1761" s="49">
        <f t="shared" si="46"/>
        <v>0</v>
      </c>
    </row>
    <row r="1762" spans="4:4" x14ac:dyDescent="0.3">
      <c r="D1762" s="49">
        <f t="shared" si="46"/>
        <v>0</v>
      </c>
    </row>
    <row r="1763" spans="4:4" x14ac:dyDescent="0.3">
      <c r="D1763" s="49">
        <f t="shared" si="46"/>
        <v>0</v>
      </c>
    </row>
    <row r="1764" spans="4:4" x14ac:dyDescent="0.3">
      <c r="D1764" s="49">
        <f t="shared" si="46"/>
        <v>0</v>
      </c>
    </row>
    <row r="1765" spans="4:4" x14ac:dyDescent="0.3">
      <c r="D1765" s="49">
        <f t="shared" si="46"/>
        <v>0</v>
      </c>
    </row>
    <row r="1766" spans="4:4" x14ac:dyDescent="0.3">
      <c r="D1766" s="49">
        <f t="shared" si="46"/>
        <v>0</v>
      </c>
    </row>
    <row r="1767" spans="4:4" x14ac:dyDescent="0.3">
      <c r="D1767" s="49">
        <f t="shared" si="46"/>
        <v>0</v>
      </c>
    </row>
    <row r="1768" spans="4:4" x14ac:dyDescent="0.3">
      <c r="D1768" s="49">
        <f t="shared" si="46"/>
        <v>0</v>
      </c>
    </row>
    <row r="1769" spans="4:4" x14ac:dyDescent="0.3">
      <c r="D1769" s="49">
        <f t="shared" si="46"/>
        <v>0</v>
      </c>
    </row>
    <row r="1770" spans="4:4" x14ac:dyDescent="0.3">
      <c r="D1770" s="49">
        <f t="shared" si="46"/>
        <v>0</v>
      </c>
    </row>
    <row r="1771" spans="4:4" x14ac:dyDescent="0.3">
      <c r="D1771" s="49">
        <f t="shared" si="46"/>
        <v>0</v>
      </c>
    </row>
    <row r="1772" spans="4:4" x14ac:dyDescent="0.3">
      <c r="D1772" s="49">
        <f t="shared" si="46"/>
        <v>0</v>
      </c>
    </row>
    <row r="1773" spans="4:4" x14ac:dyDescent="0.3">
      <c r="D1773" s="49">
        <f t="shared" si="46"/>
        <v>0</v>
      </c>
    </row>
    <row r="1774" spans="4:4" x14ac:dyDescent="0.3">
      <c r="D1774" s="49">
        <f t="shared" si="46"/>
        <v>0</v>
      </c>
    </row>
    <row r="1775" spans="4:4" x14ac:dyDescent="0.3">
      <c r="D1775" s="49">
        <f t="shared" si="46"/>
        <v>0</v>
      </c>
    </row>
    <row r="1776" spans="4:4" x14ac:dyDescent="0.3">
      <c r="D1776" s="49">
        <f t="shared" si="46"/>
        <v>0</v>
      </c>
    </row>
    <row r="1777" spans="4:4" x14ac:dyDescent="0.3">
      <c r="D1777" s="49">
        <f t="shared" si="46"/>
        <v>0</v>
      </c>
    </row>
    <row r="1778" spans="4:4" x14ac:dyDescent="0.3">
      <c r="D1778" s="49">
        <f t="shared" si="46"/>
        <v>0</v>
      </c>
    </row>
    <row r="1779" spans="4:4" x14ac:dyDescent="0.3">
      <c r="D1779" s="49">
        <f t="shared" si="46"/>
        <v>0</v>
      </c>
    </row>
    <row r="1780" spans="4:4" x14ac:dyDescent="0.3">
      <c r="D1780" s="49">
        <f t="shared" si="46"/>
        <v>0</v>
      </c>
    </row>
    <row r="1781" spans="4:4" x14ac:dyDescent="0.3">
      <c r="D1781" s="49">
        <f t="shared" si="46"/>
        <v>0</v>
      </c>
    </row>
    <row r="1782" spans="4:4" x14ac:dyDescent="0.3">
      <c r="D1782" s="49">
        <f t="shared" si="46"/>
        <v>0</v>
      </c>
    </row>
    <row r="1783" spans="4:4" x14ac:dyDescent="0.3">
      <c r="D1783" s="49">
        <f t="shared" si="46"/>
        <v>0</v>
      </c>
    </row>
    <row r="1784" spans="4:4" x14ac:dyDescent="0.3">
      <c r="D1784" s="49">
        <f t="shared" si="46"/>
        <v>0</v>
      </c>
    </row>
    <row r="1785" spans="4:4" x14ac:dyDescent="0.3">
      <c r="D1785" s="49">
        <f t="shared" si="46"/>
        <v>0</v>
      </c>
    </row>
    <row r="1786" spans="4:4" x14ac:dyDescent="0.3">
      <c r="D1786" s="49">
        <f t="shared" si="46"/>
        <v>0</v>
      </c>
    </row>
    <row r="1787" spans="4:4" x14ac:dyDescent="0.3">
      <c r="D1787" s="49">
        <f t="shared" si="46"/>
        <v>0</v>
      </c>
    </row>
    <row r="1788" spans="4:4" x14ac:dyDescent="0.3">
      <c r="D1788" s="49">
        <f t="shared" si="46"/>
        <v>0</v>
      </c>
    </row>
    <row r="1789" spans="4:4" x14ac:dyDescent="0.3">
      <c r="D1789" s="49">
        <f t="shared" si="46"/>
        <v>0</v>
      </c>
    </row>
    <row r="1790" spans="4:4" x14ac:dyDescent="0.3">
      <c r="D1790" s="49">
        <f t="shared" si="46"/>
        <v>0</v>
      </c>
    </row>
    <row r="1791" spans="4:4" x14ac:dyDescent="0.3">
      <c r="D1791" s="49">
        <f t="shared" si="46"/>
        <v>0</v>
      </c>
    </row>
    <row r="1792" spans="4:4" x14ac:dyDescent="0.3">
      <c r="D1792" s="49">
        <f t="shared" si="46"/>
        <v>0</v>
      </c>
    </row>
    <row r="1793" spans="4:4" x14ac:dyDescent="0.3">
      <c r="D1793" s="49">
        <f t="shared" si="46"/>
        <v>0</v>
      </c>
    </row>
    <row r="1794" spans="4:4" x14ac:dyDescent="0.3">
      <c r="D1794" s="49">
        <f t="shared" si="46"/>
        <v>0</v>
      </c>
    </row>
    <row r="1795" spans="4:4" x14ac:dyDescent="0.3">
      <c r="D1795" s="49">
        <f t="shared" si="46"/>
        <v>0</v>
      </c>
    </row>
    <row r="1796" spans="4:4" x14ac:dyDescent="0.3">
      <c r="D1796" s="49">
        <f t="shared" si="46"/>
        <v>0</v>
      </c>
    </row>
    <row r="1797" spans="4:4" x14ac:dyDescent="0.3">
      <c r="D1797" s="49">
        <f t="shared" si="46"/>
        <v>0</v>
      </c>
    </row>
    <row r="1798" spans="4:4" x14ac:dyDescent="0.3">
      <c r="D1798" s="49">
        <f t="shared" ref="D1798:D1861" si="47">(B1798+C1798)/100000000</f>
        <v>0</v>
      </c>
    </row>
    <row r="1799" spans="4:4" x14ac:dyDescent="0.3">
      <c r="D1799" s="49">
        <f t="shared" si="47"/>
        <v>0</v>
      </c>
    </row>
    <row r="1800" spans="4:4" x14ac:dyDescent="0.3">
      <c r="D1800" s="49">
        <f t="shared" si="47"/>
        <v>0</v>
      </c>
    </row>
    <row r="1801" spans="4:4" x14ac:dyDescent="0.3">
      <c r="D1801" s="49">
        <f t="shared" si="47"/>
        <v>0</v>
      </c>
    </row>
    <row r="1802" spans="4:4" x14ac:dyDescent="0.3">
      <c r="D1802" s="49">
        <f t="shared" si="47"/>
        <v>0</v>
      </c>
    </row>
    <row r="1803" spans="4:4" x14ac:dyDescent="0.3">
      <c r="D1803" s="49">
        <f t="shared" si="47"/>
        <v>0</v>
      </c>
    </row>
    <row r="1804" spans="4:4" x14ac:dyDescent="0.3">
      <c r="D1804" s="49">
        <f t="shared" si="47"/>
        <v>0</v>
      </c>
    </row>
    <row r="1805" spans="4:4" x14ac:dyDescent="0.3">
      <c r="D1805" s="49">
        <f t="shared" si="47"/>
        <v>0</v>
      </c>
    </row>
    <row r="1806" spans="4:4" x14ac:dyDescent="0.3">
      <c r="D1806" s="49">
        <f t="shared" si="47"/>
        <v>0</v>
      </c>
    </row>
    <row r="1807" spans="4:4" x14ac:dyDescent="0.3">
      <c r="D1807" s="49">
        <f t="shared" si="47"/>
        <v>0</v>
      </c>
    </row>
    <row r="1808" spans="4:4" x14ac:dyDescent="0.3">
      <c r="D1808" s="49">
        <f t="shared" si="47"/>
        <v>0</v>
      </c>
    </row>
    <row r="1809" spans="4:4" x14ac:dyDescent="0.3">
      <c r="D1809" s="49">
        <f t="shared" si="47"/>
        <v>0</v>
      </c>
    </row>
    <row r="1810" spans="4:4" x14ac:dyDescent="0.3">
      <c r="D1810" s="49">
        <f t="shared" si="47"/>
        <v>0</v>
      </c>
    </row>
    <row r="1811" spans="4:4" x14ac:dyDescent="0.3">
      <c r="D1811" s="49">
        <f t="shared" si="47"/>
        <v>0</v>
      </c>
    </row>
    <row r="1812" spans="4:4" x14ac:dyDescent="0.3">
      <c r="D1812" s="49">
        <f t="shared" si="47"/>
        <v>0</v>
      </c>
    </row>
    <row r="1813" spans="4:4" x14ac:dyDescent="0.3">
      <c r="D1813" s="49">
        <f t="shared" si="47"/>
        <v>0</v>
      </c>
    </row>
    <row r="1814" spans="4:4" x14ac:dyDescent="0.3">
      <c r="D1814" s="49">
        <f t="shared" si="47"/>
        <v>0</v>
      </c>
    </row>
    <row r="1815" spans="4:4" x14ac:dyDescent="0.3">
      <c r="D1815" s="49">
        <f t="shared" si="47"/>
        <v>0</v>
      </c>
    </row>
    <row r="1816" spans="4:4" x14ac:dyDescent="0.3">
      <c r="D1816" s="49">
        <f t="shared" si="47"/>
        <v>0</v>
      </c>
    </row>
    <row r="1817" spans="4:4" x14ac:dyDescent="0.3">
      <c r="D1817" s="49">
        <f t="shared" si="47"/>
        <v>0</v>
      </c>
    </row>
    <row r="1818" spans="4:4" x14ac:dyDescent="0.3">
      <c r="D1818" s="49">
        <f t="shared" si="47"/>
        <v>0</v>
      </c>
    </row>
    <row r="1819" spans="4:4" x14ac:dyDescent="0.3">
      <c r="D1819" s="49">
        <f t="shared" si="47"/>
        <v>0</v>
      </c>
    </row>
    <row r="1820" spans="4:4" x14ac:dyDescent="0.3">
      <c r="D1820" s="49">
        <f t="shared" si="47"/>
        <v>0</v>
      </c>
    </row>
    <row r="1821" spans="4:4" x14ac:dyDescent="0.3">
      <c r="D1821" s="49">
        <f t="shared" si="47"/>
        <v>0</v>
      </c>
    </row>
    <row r="1822" spans="4:4" x14ac:dyDescent="0.3">
      <c r="D1822" s="49">
        <f t="shared" si="47"/>
        <v>0</v>
      </c>
    </row>
    <row r="1823" spans="4:4" x14ac:dyDescent="0.3">
      <c r="D1823" s="49">
        <f t="shared" si="47"/>
        <v>0</v>
      </c>
    </row>
    <row r="1824" spans="4:4" x14ac:dyDescent="0.3">
      <c r="D1824" s="49">
        <f t="shared" si="47"/>
        <v>0</v>
      </c>
    </row>
    <row r="1825" spans="4:4" x14ac:dyDescent="0.3">
      <c r="D1825" s="49">
        <f t="shared" si="47"/>
        <v>0</v>
      </c>
    </row>
    <row r="1826" spans="4:4" x14ac:dyDescent="0.3">
      <c r="D1826" s="49">
        <f t="shared" si="47"/>
        <v>0</v>
      </c>
    </row>
    <row r="1827" spans="4:4" x14ac:dyDescent="0.3">
      <c r="D1827" s="49">
        <f t="shared" si="47"/>
        <v>0</v>
      </c>
    </row>
    <row r="1828" spans="4:4" x14ac:dyDescent="0.3">
      <c r="D1828" s="49">
        <f t="shared" si="47"/>
        <v>0</v>
      </c>
    </row>
    <row r="1829" spans="4:4" x14ac:dyDescent="0.3">
      <c r="D1829" s="49">
        <f t="shared" si="47"/>
        <v>0</v>
      </c>
    </row>
    <row r="1830" spans="4:4" x14ac:dyDescent="0.3">
      <c r="D1830" s="49">
        <f t="shared" si="47"/>
        <v>0</v>
      </c>
    </row>
    <row r="1831" spans="4:4" x14ac:dyDescent="0.3">
      <c r="D1831" s="49">
        <f t="shared" si="47"/>
        <v>0</v>
      </c>
    </row>
    <row r="1832" spans="4:4" x14ac:dyDescent="0.3">
      <c r="D1832" s="49">
        <f t="shared" si="47"/>
        <v>0</v>
      </c>
    </row>
    <row r="1833" spans="4:4" x14ac:dyDescent="0.3">
      <c r="D1833" s="49">
        <f t="shared" si="47"/>
        <v>0</v>
      </c>
    </row>
    <row r="1834" spans="4:4" x14ac:dyDescent="0.3">
      <c r="D1834" s="49">
        <f t="shared" si="47"/>
        <v>0</v>
      </c>
    </row>
    <row r="1835" spans="4:4" x14ac:dyDescent="0.3">
      <c r="D1835" s="49">
        <f t="shared" si="47"/>
        <v>0</v>
      </c>
    </row>
    <row r="1836" spans="4:4" x14ac:dyDescent="0.3">
      <c r="D1836" s="49">
        <f t="shared" si="47"/>
        <v>0</v>
      </c>
    </row>
    <row r="1837" spans="4:4" x14ac:dyDescent="0.3">
      <c r="D1837" s="49">
        <f t="shared" si="47"/>
        <v>0</v>
      </c>
    </row>
    <row r="1838" spans="4:4" x14ac:dyDescent="0.3">
      <c r="D1838" s="49">
        <f t="shared" si="47"/>
        <v>0</v>
      </c>
    </row>
    <row r="1839" spans="4:4" x14ac:dyDescent="0.3">
      <c r="D1839" s="49">
        <f t="shared" si="47"/>
        <v>0</v>
      </c>
    </row>
    <row r="1840" spans="4:4" x14ac:dyDescent="0.3">
      <c r="D1840" s="49">
        <f t="shared" si="47"/>
        <v>0</v>
      </c>
    </row>
    <row r="1841" spans="4:4" x14ac:dyDescent="0.3">
      <c r="D1841" s="49">
        <f t="shared" si="47"/>
        <v>0</v>
      </c>
    </row>
    <row r="1842" spans="4:4" x14ac:dyDescent="0.3">
      <c r="D1842" s="49">
        <f t="shared" si="47"/>
        <v>0</v>
      </c>
    </row>
    <row r="1843" spans="4:4" x14ac:dyDescent="0.3">
      <c r="D1843" s="49">
        <f t="shared" si="47"/>
        <v>0</v>
      </c>
    </row>
    <row r="1844" spans="4:4" x14ac:dyDescent="0.3">
      <c r="D1844" s="49">
        <f t="shared" si="47"/>
        <v>0</v>
      </c>
    </row>
    <row r="1845" spans="4:4" x14ac:dyDescent="0.3">
      <c r="D1845" s="49">
        <f t="shared" si="47"/>
        <v>0</v>
      </c>
    </row>
    <row r="1846" spans="4:4" x14ac:dyDescent="0.3">
      <c r="D1846" s="49">
        <f t="shared" si="47"/>
        <v>0</v>
      </c>
    </row>
    <row r="1847" spans="4:4" x14ac:dyDescent="0.3">
      <c r="D1847" s="49">
        <f t="shared" si="47"/>
        <v>0</v>
      </c>
    </row>
    <row r="1848" spans="4:4" x14ac:dyDescent="0.3">
      <c r="D1848" s="49">
        <f t="shared" si="47"/>
        <v>0</v>
      </c>
    </row>
    <row r="1849" spans="4:4" x14ac:dyDescent="0.3">
      <c r="D1849" s="49">
        <f t="shared" si="47"/>
        <v>0</v>
      </c>
    </row>
    <row r="1850" spans="4:4" x14ac:dyDescent="0.3">
      <c r="D1850" s="49">
        <f t="shared" si="47"/>
        <v>0</v>
      </c>
    </row>
    <row r="1851" spans="4:4" x14ac:dyDescent="0.3">
      <c r="D1851" s="49">
        <f t="shared" si="47"/>
        <v>0</v>
      </c>
    </row>
    <row r="1852" spans="4:4" x14ac:dyDescent="0.3">
      <c r="D1852" s="49">
        <f t="shared" si="47"/>
        <v>0</v>
      </c>
    </row>
    <row r="1853" spans="4:4" x14ac:dyDescent="0.3">
      <c r="D1853" s="49">
        <f t="shared" si="47"/>
        <v>0</v>
      </c>
    </row>
    <row r="1854" spans="4:4" x14ac:dyDescent="0.3">
      <c r="D1854" s="49">
        <f t="shared" si="47"/>
        <v>0</v>
      </c>
    </row>
    <row r="1855" spans="4:4" x14ac:dyDescent="0.3">
      <c r="D1855" s="49">
        <f t="shared" si="47"/>
        <v>0</v>
      </c>
    </row>
    <row r="1856" spans="4:4" x14ac:dyDescent="0.3">
      <c r="D1856" s="49">
        <f t="shared" si="47"/>
        <v>0</v>
      </c>
    </row>
    <row r="1857" spans="4:4" x14ac:dyDescent="0.3">
      <c r="D1857" s="49">
        <f t="shared" si="47"/>
        <v>0</v>
      </c>
    </row>
    <row r="1858" spans="4:4" x14ac:dyDescent="0.3">
      <c r="D1858" s="49">
        <f t="shared" si="47"/>
        <v>0</v>
      </c>
    </row>
    <row r="1859" spans="4:4" x14ac:dyDescent="0.3">
      <c r="D1859" s="49">
        <f t="shared" si="47"/>
        <v>0</v>
      </c>
    </row>
    <row r="1860" spans="4:4" x14ac:dyDescent="0.3">
      <c r="D1860" s="49">
        <f t="shared" si="47"/>
        <v>0</v>
      </c>
    </row>
    <row r="1861" spans="4:4" x14ac:dyDescent="0.3">
      <c r="D1861" s="49">
        <f t="shared" si="47"/>
        <v>0</v>
      </c>
    </row>
    <row r="1862" spans="4:4" x14ac:dyDescent="0.3">
      <c r="D1862" s="49">
        <f t="shared" ref="D1862:D1925" si="48">(B1862+C1862)/100000000</f>
        <v>0</v>
      </c>
    </row>
    <row r="1863" spans="4:4" x14ac:dyDescent="0.3">
      <c r="D1863" s="49">
        <f t="shared" si="48"/>
        <v>0</v>
      </c>
    </row>
    <row r="1864" spans="4:4" x14ac:dyDescent="0.3">
      <c r="D1864" s="49">
        <f t="shared" si="48"/>
        <v>0</v>
      </c>
    </row>
    <row r="1865" spans="4:4" x14ac:dyDescent="0.3">
      <c r="D1865" s="49">
        <f t="shared" si="48"/>
        <v>0</v>
      </c>
    </row>
    <row r="1866" spans="4:4" x14ac:dyDescent="0.3">
      <c r="D1866" s="49">
        <f t="shared" si="48"/>
        <v>0</v>
      </c>
    </row>
    <row r="1867" spans="4:4" x14ac:dyDescent="0.3">
      <c r="D1867" s="49">
        <f t="shared" si="48"/>
        <v>0</v>
      </c>
    </row>
    <row r="1868" spans="4:4" x14ac:dyDescent="0.3">
      <c r="D1868" s="49">
        <f t="shared" si="48"/>
        <v>0</v>
      </c>
    </row>
    <row r="1869" spans="4:4" x14ac:dyDescent="0.3">
      <c r="D1869" s="49">
        <f t="shared" si="48"/>
        <v>0</v>
      </c>
    </row>
    <row r="1870" spans="4:4" x14ac:dyDescent="0.3">
      <c r="D1870" s="49">
        <f t="shared" si="48"/>
        <v>0</v>
      </c>
    </row>
    <row r="1871" spans="4:4" x14ac:dyDescent="0.3">
      <c r="D1871" s="49">
        <f t="shared" si="48"/>
        <v>0</v>
      </c>
    </row>
    <row r="1872" spans="4:4" x14ac:dyDescent="0.3">
      <c r="D1872" s="49">
        <f t="shared" si="48"/>
        <v>0</v>
      </c>
    </row>
    <row r="1873" spans="4:4" x14ac:dyDescent="0.3">
      <c r="D1873" s="49">
        <f t="shared" si="48"/>
        <v>0</v>
      </c>
    </row>
    <row r="1874" spans="4:4" x14ac:dyDescent="0.3">
      <c r="D1874" s="49">
        <f t="shared" si="48"/>
        <v>0</v>
      </c>
    </row>
    <row r="1875" spans="4:4" x14ac:dyDescent="0.3">
      <c r="D1875" s="49">
        <f t="shared" si="48"/>
        <v>0</v>
      </c>
    </row>
    <row r="1876" spans="4:4" x14ac:dyDescent="0.3">
      <c r="D1876" s="49">
        <f t="shared" si="48"/>
        <v>0</v>
      </c>
    </row>
    <row r="1877" spans="4:4" x14ac:dyDescent="0.3">
      <c r="D1877" s="49">
        <f t="shared" si="48"/>
        <v>0</v>
      </c>
    </row>
    <row r="1878" spans="4:4" x14ac:dyDescent="0.3">
      <c r="D1878" s="49">
        <f t="shared" si="48"/>
        <v>0</v>
      </c>
    </row>
    <row r="1879" spans="4:4" x14ac:dyDescent="0.3">
      <c r="D1879" s="49">
        <f t="shared" si="48"/>
        <v>0</v>
      </c>
    </row>
    <row r="1880" spans="4:4" x14ac:dyDescent="0.3">
      <c r="D1880" s="49">
        <f t="shared" si="48"/>
        <v>0</v>
      </c>
    </row>
    <row r="1881" spans="4:4" x14ac:dyDescent="0.3">
      <c r="D1881" s="49">
        <f t="shared" si="48"/>
        <v>0</v>
      </c>
    </row>
    <row r="1882" spans="4:4" x14ac:dyDescent="0.3">
      <c r="D1882" s="49">
        <f t="shared" si="48"/>
        <v>0</v>
      </c>
    </row>
    <row r="1883" spans="4:4" x14ac:dyDescent="0.3">
      <c r="D1883" s="49">
        <f t="shared" si="48"/>
        <v>0</v>
      </c>
    </row>
    <row r="1884" spans="4:4" x14ac:dyDescent="0.3">
      <c r="D1884" s="49">
        <f t="shared" si="48"/>
        <v>0</v>
      </c>
    </row>
    <row r="1885" spans="4:4" x14ac:dyDescent="0.3">
      <c r="D1885" s="49">
        <f t="shared" si="48"/>
        <v>0</v>
      </c>
    </row>
    <row r="1886" spans="4:4" x14ac:dyDescent="0.3">
      <c r="D1886" s="49">
        <f t="shared" si="48"/>
        <v>0</v>
      </c>
    </row>
    <row r="1887" spans="4:4" x14ac:dyDescent="0.3">
      <c r="D1887" s="49">
        <f t="shared" si="48"/>
        <v>0</v>
      </c>
    </row>
    <row r="1888" spans="4:4" x14ac:dyDescent="0.3">
      <c r="D1888" s="49">
        <f t="shared" si="48"/>
        <v>0</v>
      </c>
    </row>
    <row r="1889" spans="4:4" x14ac:dyDescent="0.3">
      <c r="D1889" s="49">
        <f t="shared" si="48"/>
        <v>0</v>
      </c>
    </row>
    <row r="1890" spans="4:4" x14ac:dyDescent="0.3">
      <c r="D1890" s="49">
        <f t="shared" si="48"/>
        <v>0</v>
      </c>
    </row>
    <row r="1891" spans="4:4" x14ac:dyDescent="0.3">
      <c r="D1891" s="49">
        <f t="shared" si="48"/>
        <v>0</v>
      </c>
    </row>
    <row r="1892" spans="4:4" x14ac:dyDescent="0.3">
      <c r="D1892" s="49">
        <f t="shared" si="48"/>
        <v>0</v>
      </c>
    </row>
    <row r="1893" spans="4:4" x14ac:dyDescent="0.3">
      <c r="D1893" s="49">
        <f t="shared" si="48"/>
        <v>0</v>
      </c>
    </row>
    <row r="1894" spans="4:4" x14ac:dyDescent="0.3">
      <c r="D1894" s="49">
        <f t="shared" si="48"/>
        <v>0</v>
      </c>
    </row>
    <row r="1895" spans="4:4" x14ac:dyDescent="0.3">
      <c r="D1895" s="49">
        <f t="shared" si="48"/>
        <v>0</v>
      </c>
    </row>
    <row r="1896" spans="4:4" x14ac:dyDescent="0.3">
      <c r="D1896" s="49">
        <f t="shared" si="48"/>
        <v>0</v>
      </c>
    </row>
    <row r="1897" spans="4:4" x14ac:dyDescent="0.3">
      <c r="D1897" s="49">
        <f t="shared" si="48"/>
        <v>0</v>
      </c>
    </row>
    <row r="1898" spans="4:4" x14ac:dyDescent="0.3">
      <c r="D1898" s="49">
        <f t="shared" si="48"/>
        <v>0</v>
      </c>
    </row>
    <row r="1899" spans="4:4" x14ac:dyDescent="0.3">
      <c r="D1899" s="49">
        <f t="shared" si="48"/>
        <v>0</v>
      </c>
    </row>
    <row r="1900" spans="4:4" x14ac:dyDescent="0.3">
      <c r="D1900" s="49">
        <f t="shared" si="48"/>
        <v>0</v>
      </c>
    </row>
    <row r="1901" spans="4:4" x14ac:dyDescent="0.3">
      <c r="D1901" s="49">
        <f t="shared" si="48"/>
        <v>0</v>
      </c>
    </row>
    <row r="1902" spans="4:4" x14ac:dyDescent="0.3">
      <c r="D1902" s="49">
        <f t="shared" si="48"/>
        <v>0</v>
      </c>
    </row>
    <row r="1903" spans="4:4" x14ac:dyDescent="0.3">
      <c r="D1903" s="49">
        <f t="shared" si="48"/>
        <v>0</v>
      </c>
    </row>
    <row r="1904" spans="4:4" x14ac:dyDescent="0.3">
      <c r="D1904" s="49">
        <f t="shared" si="48"/>
        <v>0</v>
      </c>
    </row>
    <row r="1905" spans="4:4" x14ac:dyDescent="0.3">
      <c r="D1905" s="49">
        <f t="shared" si="48"/>
        <v>0</v>
      </c>
    </row>
    <row r="1906" spans="4:4" x14ac:dyDescent="0.3">
      <c r="D1906" s="49">
        <f t="shared" si="48"/>
        <v>0</v>
      </c>
    </row>
    <row r="1907" spans="4:4" x14ac:dyDescent="0.3">
      <c r="D1907" s="49">
        <f t="shared" si="48"/>
        <v>0</v>
      </c>
    </row>
    <row r="1908" spans="4:4" x14ac:dyDescent="0.3">
      <c r="D1908" s="49">
        <f t="shared" si="48"/>
        <v>0</v>
      </c>
    </row>
    <row r="1909" spans="4:4" x14ac:dyDescent="0.3">
      <c r="D1909" s="49">
        <f t="shared" si="48"/>
        <v>0</v>
      </c>
    </row>
    <row r="1910" spans="4:4" x14ac:dyDescent="0.3">
      <c r="D1910" s="49">
        <f t="shared" si="48"/>
        <v>0</v>
      </c>
    </row>
    <row r="1911" spans="4:4" x14ac:dyDescent="0.3">
      <c r="D1911" s="49">
        <f t="shared" si="48"/>
        <v>0</v>
      </c>
    </row>
    <row r="1912" spans="4:4" x14ac:dyDescent="0.3">
      <c r="D1912" s="49">
        <f t="shared" si="48"/>
        <v>0</v>
      </c>
    </row>
    <row r="1913" spans="4:4" x14ac:dyDescent="0.3">
      <c r="D1913" s="49">
        <f t="shared" si="48"/>
        <v>0</v>
      </c>
    </row>
    <row r="1914" spans="4:4" x14ac:dyDescent="0.3">
      <c r="D1914" s="49">
        <f t="shared" si="48"/>
        <v>0</v>
      </c>
    </row>
    <row r="1915" spans="4:4" x14ac:dyDescent="0.3">
      <c r="D1915" s="49">
        <f t="shared" si="48"/>
        <v>0</v>
      </c>
    </row>
    <row r="1916" spans="4:4" x14ac:dyDescent="0.3">
      <c r="D1916" s="49">
        <f t="shared" si="48"/>
        <v>0</v>
      </c>
    </row>
    <row r="1917" spans="4:4" x14ac:dyDescent="0.3">
      <c r="D1917" s="49">
        <f t="shared" si="48"/>
        <v>0</v>
      </c>
    </row>
    <row r="1918" spans="4:4" x14ac:dyDescent="0.3">
      <c r="D1918" s="49">
        <f t="shared" si="48"/>
        <v>0</v>
      </c>
    </row>
    <row r="1919" spans="4:4" x14ac:dyDescent="0.3">
      <c r="D1919" s="49">
        <f t="shared" si="48"/>
        <v>0</v>
      </c>
    </row>
    <row r="1920" spans="4:4" x14ac:dyDescent="0.3">
      <c r="D1920" s="49">
        <f t="shared" si="48"/>
        <v>0</v>
      </c>
    </row>
    <row r="1921" spans="4:4" x14ac:dyDescent="0.3">
      <c r="D1921" s="49">
        <f t="shared" si="48"/>
        <v>0</v>
      </c>
    </row>
    <row r="1922" spans="4:4" x14ac:dyDescent="0.3">
      <c r="D1922" s="49">
        <f t="shared" si="48"/>
        <v>0</v>
      </c>
    </row>
    <row r="1923" spans="4:4" x14ac:dyDescent="0.3">
      <c r="D1923" s="49">
        <f t="shared" si="48"/>
        <v>0</v>
      </c>
    </row>
    <row r="1924" spans="4:4" x14ac:dyDescent="0.3">
      <c r="D1924" s="49">
        <f t="shared" si="48"/>
        <v>0</v>
      </c>
    </row>
    <row r="1925" spans="4:4" x14ac:dyDescent="0.3">
      <c r="D1925" s="49">
        <f t="shared" si="48"/>
        <v>0</v>
      </c>
    </row>
    <row r="1926" spans="4:4" x14ac:dyDescent="0.3">
      <c r="D1926" s="49">
        <f t="shared" ref="D1926:D1989" si="49">(B1926+C1926)/100000000</f>
        <v>0</v>
      </c>
    </row>
    <row r="1927" spans="4:4" x14ac:dyDescent="0.3">
      <c r="D1927" s="49">
        <f t="shared" si="49"/>
        <v>0</v>
      </c>
    </row>
    <row r="1928" spans="4:4" x14ac:dyDescent="0.3">
      <c r="D1928" s="49">
        <f t="shared" si="49"/>
        <v>0</v>
      </c>
    </row>
    <row r="1929" spans="4:4" x14ac:dyDescent="0.3">
      <c r="D1929" s="49">
        <f t="shared" si="49"/>
        <v>0</v>
      </c>
    </row>
    <row r="1930" spans="4:4" x14ac:dyDescent="0.3">
      <c r="D1930" s="49">
        <f t="shared" si="49"/>
        <v>0</v>
      </c>
    </row>
    <row r="1931" spans="4:4" x14ac:dyDescent="0.3">
      <c r="D1931" s="49">
        <f t="shared" si="49"/>
        <v>0</v>
      </c>
    </row>
    <row r="1932" spans="4:4" x14ac:dyDescent="0.3">
      <c r="D1932" s="49">
        <f t="shared" si="49"/>
        <v>0</v>
      </c>
    </row>
    <row r="1933" spans="4:4" x14ac:dyDescent="0.3">
      <c r="D1933" s="49">
        <f t="shared" si="49"/>
        <v>0</v>
      </c>
    </row>
    <row r="1934" spans="4:4" x14ac:dyDescent="0.3">
      <c r="D1934" s="49">
        <f t="shared" si="49"/>
        <v>0</v>
      </c>
    </row>
    <row r="1935" spans="4:4" x14ac:dyDescent="0.3">
      <c r="D1935" s="49">
        <f t="shared" si="49"/>
        <v>0</v>
      </c>
    </row>
    <row r="1936" spans="4:4" x14ac:dyDescent="0.3">
      <c r="D1936" s="49">
        <f t="shared" si="49"/>
        <v>0</v>
      </c>
    </row>
    <row r="1937" spans="4:4" x14ac:dyDescent="0.3">
      <c r="D1937" s="49">
        <f t="shared" si="49"/>
        <v>0</v>
      </c>
    </row>
    <row r="1938" spans="4:4" x14ac:dyDescent="0.3">
      <c r="D1938" s="49">
        <f t="shared" si="49"/>
        <v>0</v>
      </c>
    </row>
    <row r="1939" spans="4:4" x14ac:dyDescent="0.3">
      <c r="D1939" s="49">
        <f t="shared" si="49"/>
        <v>0</v>
      </c>
    </row>
    <row r="1940" spans="4:4" x14ac:dyDescent="0.3">
      <c r="D1940" s="49">
        <f t="shared" si="49"/>
        <v>0</v>
      </c>
    </row>
    <row r="1941" spans="4:4" x14ac:dyDescent="0.3">
      <c r="D1941" s="49">
        <f t="shared" si="49"/>
        <v>0</v>
      </c>
    </row>
    <row r="1942" spans="4:4" x14ac:dyDescent="0.3">
      <c r="D1942" s="49">
        <f t="shared" si="49"/>
        <v>0</v>
      </c>
    </row>
    <row r="1943" spans="4:4" x14ac:dyDescent="0.3">
      <c r="D1943" s="49">
        <f t="shared" si="49"/>
        <v>0</v>
      </c>
    </row>
    <row r="1944" spans="4:4" x14ac:dyDescent="0.3">
      <c r="D1944" s="49">
        <f t="shared" si="49"/>
        <v>0</v>
      </c>
    </row>
    <row r="1945" spans="4:4" x14ac:dyDescent="0.3">
      <c r="D1945" s="49">
        <f t="shared" si="49"/>
        <v>0</v>
      </c>
    </row>
    <row r="1946" spans="4:4" x14ac:dyDescent="0.3">
      <c r="D1946" s="49">
        <f t="shared" si="49"/>
        <v>0</v>
      </c>
    </row>
    <row r="1947" spans="4:4" x14ac:dyDescent="0.3">
      <c r="D1947" s="49">
        <f t="shared" si="49"/>
        <v>0</v>
      </c>
    </row>
    <row r="1948" spans="4:4" x14ac:dyDescent="0.3">
      <c r="D1948" s="49">
        <f t="shared" si="49"/>
        <v>0</v>
      </c>
    </row>
    <row r="1949" spans="4:4" x14ac:dyDescent="0.3">
      <c r="D1949" s="49">
        <f t="shared" si="49"/>
        <v>0</v>
      </c>
    </row>
    <row r="1950" spans="4:4" x14ac:dyDescent="0.3">
      <c r="D1950" s="49">
        <f t="shared" si="49"/>
        <v>0</v>
      </c>
    </row>
    <row r="1951" spans="4:4" x14ac:dyDescent="0.3">
      <c r="D1951" s="49">
        <f t="shared" si="49"/>
        <v>0</v>
      </c>
    </row>
    <row r="1952" spans="4:4" x14ac:dyDescent="0.3">
      <c r="D1952" s="49">
        <f t="shared" si="49"/>
        <v>0</v>
      </c>
    </row>
    <row r="1953" spans="4:4" x14ac:dyDescent="0.3">
      <c r="D1953" s="49">
        <f t="shared" si="49"/>
        <v>0</v>
      </c>
    </row>
    <row r="1954" spans="4:4" x14ac:dyDescent="0.3">
      <c r="D1954" s="49">
        <f t="shared" si="49"/>
        <v>0</v>
      </c>
    </row>
    <row r="1955" spans="4:4" x14ac:dyDescent="0.3">
      <c r="D1955" s="49">
        <f t="shared" si="49"/>
        <v>0</v>
      </c>
    </row>
    <row r="1956" spans="4:4" x14ac:dyDescent="0.3">
      <c r="D1956" s="49">
        <f t="shared" si="49"/>
        <v>0</v>
      </c>
    </row>
    <row r="1957" spans="4:4" x14ac:dyDescent="0.3">
      <c r="D1957" s="49">
        <f t="shared" si="49"/>
        <v>0</v>
      </c>
    </row>
    <row r="1958" spans="4:4" x14ac:dyDescent="0.3">
      <c r="D1958" s="49">
        <f t="shared" si="49"/>
        <v>0</v>
      </c>
    </row>
    <row r="1959" spans="4:4" x14ac:dyDescent="0.3">
      <c r="D1959" s="49">
        <f t="shared" si="49"/>
        <v>0</v>
      </c>
    </row>
    <row r="1960" spans="4:4" x14ac:dyDescent="0.3">
      <c r="D1960" s="49">
        <f t="shared" si="49"/>
        <v>0</v>
      </c>
    </row>
    <row r="1961" spans="4:4" x14ac:dyDescent="0.3">
      <c r="D1961" s="49">
        <f t="shared" si="49"/>
        <v>0</v>
      </c>
    </row>
    <row r="1962" spans="4:4" x14ac:dyDescent="0.3">
      <c r="D1962" s="49">
        <f t="shared" si="49"/>
        <v>0</v>
      </c>
    </row>
    <row r="1963" spans="4:4" x14ac:dyDescent="0.3">
      <c r="D1963" s="49">
        <f t="shared" si="49"/>
        <v>0</v>
      </c>
    </row>
    <row r="1964" spans="4:4" x14ac:dyDescent="0.3">
      <c r="D1964" s="49">
        <f t="shared" si="49"/>
        <v>0</v>
      </c>
    </row>
    <row r="1965" spans="4:4" x14ac:dyDescent="0.3">
      <c r="D1965" s="49">
        <f t="shared" si="49"/>
        <v>0</v>
      </c>
    </row>
    <row r="1966" spans="4:4" x14ac:dyDescent="0.3">
      <c r="D1966" s="49">
        <f t="shared" si="49"/>
        <v>0</v>
      </c>
    </row>
    <row r="1967" spans="4:4" x14ac:dyDescent="0.3">
      <c r="D1967" s="49">
        <f t="shared" si="49"/>
        <v>0</v>
      </c>
    </row>
    <row r="1968" spans="4:4" x14ac:dyDescent="0.3">
      <c r="D1968" s="49">
        <f t="shared" si="49"/>
        <v>0</v>
      </c>
    </row>
    <row r="1969" spans="4:4" x14ac:dyDescent="0.3">
      <c r="D1969" s="49">
        <f t="shared" si="49"/>
        <v>0</v>
      </c>
    </row>
    <row r="1970" spans="4:4" x14ac:dyDescent="0.3">
      <c r="D1970" s="49">
        <f t="shared" si="49"/>
        <v>0</v>
      </c>
    </row>
    <row r="1971" spans="4:4" x14ac:dyDescent="0.3">
      <c r="D1971" s="49">
        <f t="shared" si="49"/>
        <v>0</v>
      </c>
    </row>
    <row r="1972" spans="4:4" x14ac:dyDescent="0.3">
      <c r="D1972" s="49">
        <f t="shared" si="49"/>
        <v>0</v>
      </c>
    </row>
    <row r="1973" spans="4:4" x14ac:dyDescent="0.3">
      <c r="D1973" s="49">
        <f t="shared" si="49"/>
        <v>0</v>
      </c>
    </row>
    <row r="1974" spans="4:4" x14ac:dyDescent="0.3">
      <c r="D1974" s="49">
        <f t="shared" si="49"/>
        <v>0</v>
      </c>
    </row>
    <row r="1975" spans="4:4" x14ac:dyDescent="0.3">
      <c r="D1975" s="49">
        <f t="shared" si="49"/>
        <v>0</v>
      </c>
    </row>
    <row r="1976" spans="4:4" x14ac:dyDescent="0.3">
      <c r="D1976" s="49">
        <f t="shared" si="49"/>
        <v>0</v>
      </c>
    </row>
    <row r="1977" spans="4:4" x14ac:dyDescent="0.3">
      <c r="D1977" s="49">
        <f t="shared" si="49"/>
        <v>0</v>
      </c>
    </row>
    <row r="1978" spans="4:4" x14ac:dyDescent="0.3">
      <c r="D1978" s="49">
        <f t="shared" si="49"/>
        <v>0</v>
      </c>
    </row>
    <row r="1979" spans="4:4" x14ac:dyDescent="0.3">
      <c r="D1979" s="49">
        <f t="shared" si="49"/>
        <v>0</v>
      </c>
    </row>
    <row r="1980" spans="4:4" x14ac:dyDescent="0.3">
      <c r="D1980" s="49">
        <f t="shared" si="49"/>
        <v>0</v>
      </c>
    </row>
    <row r="1981" spans="4:4" x14ac:dyDescent="0.3">
      <c r="D1981" s="49">
        <f t="shared" si="49"/>
        <v>0</v>
      </c>
    </row>
    <row r="1982" spans="4:4" x14ac:dyDescent="0.3">
      <c r="D1982" s="49">
        <f t="shared" si="49"/>
        <v>0</v>
      </c>
    </row>
    <row r="1983" spans="4:4" x14ac:dyDescent="0.3">
      <c r="D1983" s="49">
        <f t="shared" si="49"/>
        <v>0</v>
      </c>
    </row>
    <row r="1984" spans="4:4" x14ac:dyDescent="0.3">
      <c r="D1984" s="49">
        <f t="shared" si="49"/>
        <v>0</v>
      </c>
    </row>
    <row r="1985" spans="4:4" x14ac:dyDescent="0.3">
      <c r="D1985" s="49">
        <f t="shared" si="49"/>
        <v>0</v>
      </c>
    </row>
    <row r="1986" spans="4:4" x14ac:dyDescent="0.3">
      <c r="D1986" s="49">
        <f t="shared" si="49"/>
        <v>0</v>
      </c>
    </row>
    <row r="1987" spans="4:4" x14ac:dyDescent="0.3">
      <c r="D1987" s="49">
        <f t="shared" si="49"/>
        <v>0</v>
      </c>
    </row>
    <row r="1988" spans="4:4" x14ac:dyDescent="0.3">
      <c r="D1988" s="49">
        <f t="shared" si="49"/>
        <v>0</v>
      </c>
    </row>
    <row r="1989" spans="4:4" x14ac:dyDescent="0.3">
      <c r="D1989" s="49">
        <f t="shared" si="49"/>
        <v>0</v>
      </c>
    </row>
    <row r="1990" spans="4:4" x14ac:dyDescent="0.3">
      <c r="D1990" s="49">
        <f t="shared" ref="D1990:D2053" si="50">(B1990+C1990)/100000000</f>
        <v>0</v>
      </c>
    </row>
    <row r="1991" spans="4:4" x14ac:dyDescent="0.3">
      <c r="D1991" s="49">
        <f t="shared" si="50"/>
        <v>0</v>
      </c>
    </row>
    <row r="1992" spans="4:4" x14ac:dyDescent="0.3">
      <c r="D1992" s="49">
        <f t="shared" si="50"/>
        <v>0</v>
      </c>
    </row>
    <row r="1993" spans="4:4" x14ac:dyDescent="0.3">
      <c r="D1993" s="49">
        <f t="shared" si="50"/>
        <v>0</v>
      </c>
    </row>
    <row r="1994" spans="4:4" x14ac:dyDescent="0.3">
      <c r="D1994" s="49">
        <f t="shared" si="50"/>
        <v>0</v>
      </c>
    </row>
    <row r="1995" spans="4:4" x14ac:dyDescent="0.3">
      <c r="D1995" s="49">
        <f t="shared" si="50"/>
        <v>0</v>
      </c>
    </row>
    <row r="1996" spans="4:4" x14ac:dyDescent="0.3">
      <c r="D1996" s="49">
        <f t="shared" si="50"/>
        <v>0</v>
      </c>
    </row>
    <row r="1997" spans="4:4" x14ac:dyDescent="0.3">
      <c r="D1997" s="49">
        <f t="shared" si="50"/>
        <v>0</v>
      </c>
    </row>
    <row r="1998" spans="4:4" x14ac:dyDescent="0.3">
      <c r="D1998" s="49">
        <f t="shared" si="50"/>
        <v>0</v>
      </c>
    </row>
    <row r="1999" spans="4:4" x14ac:dyDescent="0.3">
      <c r="D1999" s="49">
        <f t="shared" si="50"/>
        <v>0</v>
      </c>
    </row>
    <row r="2000" spans="4:4" x14ac:dyDescent="0.3">
      <c r="D2000" s="49">
        <f t="shared" si="50"/>
        <v>0</v>
      </c>
    </row>
    <row r="2001" spans="4:4" x14ac:dyDescent="0.3">
      <c r="D2001" s="49">
        <f t="shared" si="50"/>
        <v>0</v>
      </c>
    </row>
    <row r="2002" spans="4:4" x14ac:dyDescent="0.3">
      <c r="D2002" s="49">
        <f t="shared" si="50"/>
        <v>0</v>
      </c>
    </row>
    <row r="2003" spans="4:4" x14ac:dyDescent="0.3">
      <c r="D2003" s="49">
        <f t="shared" si="50"/>
        <v>0</v>
      </c>
    </row>
    <row r="2004" spans="4:4" x14ac:dyDescent="0.3">
      <c r="D2004" s="49">
        <f t="shared" si="50"/>
        <v>0</v>
      </c>
    </row>
    <row r="2005" spans="4:4" x14ac:dyDescent="0.3">
      <c r="D2005" s="49">
        <f t="shared" si="50"/>
        <v>0</v>
      </c>
    </row>
    <row r="2006" spans="4:4" x14ac:dyDescent="0.3">
      <c r="D2006" s="49">
        <f t="shared" si="50"/>
        <v>0</v>
      </c>
    </row>
    <row r="2007" spans="4:4" x14ac:dyDescent="0.3">
      <c r="D2007" s="49">
        <f t="shared" si="50"/>
        <v>0</v>
      </c>
    </row>
    <row r="2008" spans="4:4" x14ac:dyDescent="0.3">
      <c r="D2008" s="49">
        <f t="shared" si="50"/>
        <v>0</v>
      </c>
    </row>
    <row r="2009" spans="4:4" x14ac:dyDescent="0.3">
      <c r="D2009" s="49">
        <f t="shared" si="50"/>
        <v>0</v>
      </c>
    </row>
    <row r="2010" spans="4:4" x14ac:dyDescent="0.3">
      <c r="D2010" s="49">
        <f t="shared" si="50"/>
        <v>0</v>
      </c>
    </row>
    <row r="2011" spans="4:4" x14ac:dyDescent="0.3">
      <c r="D2011" s="49">
        <f t="shared" si="50"/>
        <v>0</v>
      </c>
    </row>
    <row r="2012" spans="4:4" x14ac:dyDescent="0.3">
      <c r="D2012" s="49">
        <f t="shared" si="50"/>
        <v>0</v>
      </c>
    </row>
    <row r="2013" spans="4:4" x14ac:dyDescent="0.3">
      <c r="D2013" s="49">
        <f t="shared" si="50"/>
        <v>0</v>
      </c>
    </row>
    <row r="2014" spans="4:4" x14ac:dyDescent="0.3">
      <c r="D2014" s="49">
        <f t="shared" si="50"/>
        <v>0</v>
      </c>
    </row>
    <row r="2015" spans="4:4" x14ac:dyDescent="0.3">
      <c r="D2015" s="49">
        <f t="shared" si="50"/>
        <v>0</v>
      </c>
    </row>
    <row r="2016" spans="4:4" x14ac:dyDescent="0.3">
      <c r="D2016" s="49">
        <f t="shared" si="50"/>
        <v>0</v>
      </c>
    </row>
    <row r="2017" spans="4:4" x14ac:dyDescent="0.3">
      <c r="D2017" s="49">
        <f t="shared" si="50"/>
        <v>0</v>
      </c>
    </row>
    <row r="2018" spans="4:4" x14ac:dyDescent="0.3">
      <c r="D2018" s="49">
        <f t="shared" si="50"/>
        <v>0</v>
      </c>
    </row>
    <row r="2019" spans="4:4" x14ac:dyDescent="0.3">
      <c r="D2019" s="49">
        <f t="shared" si="50"/>
        <v>0</v>
      </c>
    </row>
    <row r="2020" spans="4:4" x14ac:dyDescent="0.3">
      <c r="D2020" s="49">
        <f t="shared" si="50"/>
        <v>0</v>
      </c>
    </row>
    <row r="2021" spans="4:4" x14ac:dyDescent="0.3">
      <c r="D2021" s="49">
        <f t="shared" si="50"/>
        <v>0</v>
      </c>
    </row>
    <row r="2022" spans="4:4" x14ac:dyDescent="0.3">
      <c r="D2022" s="49">
        <f t="shared" si="50"/>
        <v>0</v>
      </c>
    </row>
    <row r="2023" spans="4:4" x14ac:dyDescent="0.3">
      <c r="D2023" s="49">
        <f t="shared" si="50"/>
        <v>0</v>
      </c>
    </row>
    <row r="2024" spans="4:4" x14ac:dyDescent="0.3">
      <c r="D2024" s="49">
        <f t="shared" si="50"/>
        <v>0</v>
      </c>
    </row>
    <row r="2025" spans="4:4" x14ac:dyDescent="0.3">
      <c r="D2025" s="49">
        <f t="shared" si="50"/>
        <v>0</v>
      </c>
    </row>
    <row r="2026" spans="4:4" x14ac:dyDescent="0.3">
      <c r="D2026" s="49">
        <f t="shared" si="50"/>
        <v>0</v>
      </c>
    </row>
    <row r="2027" spans="4:4" x14ac:dyDescent="0.3">
      <c r="D2027" s="49">
        <f t="shared" si="50"/>
        <v>0</v>
      </c>
    </row>
    <row r="2028" spans="4:4" x14ac:dyDescent="0.3">
      <c r="D2028" s="49">
        <f t="shared" si="50"/>
        <v>0</v>
      </c>
    </row>
    <row r="2029" spans="4:4" x14ac:dyDescent="0.3">
      <c r="D2029" s="49">
        <f t="shared" si="50"/>
        <v>0</v>
      </c>
    </row>
    <row r="2030" spans="4:4" x14ac:dyDescent="0.3">
      <c r="D2030" s="49">
        <f t="shared" si="50"/>
        <v>0</v>
      </c>
    </row>
    <row r="2031" spans="4:4" x14ac:dyDescent="0.3">
      <c r="D2031" s="49">
        <f t="shared" si="50"/>
        <v>0</v>
      </c>
    </row>
    <row r="2032" spans="4:4" x14ac:dyDescent="0.3">
      <c r="D2032" s="49">
        <f t="shared" si="50"/>
        <v>0</v>
      </c>
    </row>
    <row r="2033" spans="4:4" x14ac:dyDescent="0.3">
      <c r="D2033" s="49">
        <f t="shared" si="50"/>
        <v>0</v>
      </c>
    </row>
    <row r="2034" spans="4:4" x14ac:dyDescent="0.3">
      <c r="D2034" s="49">
        <f t="shared" si="50"/>
        <v>0</v>
      </c>
    </row>
    <row r="2035" spans="4:4" x14ac:dyDescent="0.3">
      <c r="D2035" s="49">
        <f t="shared" si="50"/>
        <v>0</v>
      </c>
    </row>
    <row r="2036" spans="4:4" x14ac:dyDescent="0.3">
      <c r="D2036" s="49">
        <f t="shared" si="50"/>
        <v>0</v>
      </c>
    </row>
    <row r="2037" spans="4:4" x14ac:dyDescent="0.3">
      <c r="D2037" s="49">
        <f t="shared" si="50"/>
        <v>0</v>
      </c>
    </row>
    <row r="2038" spans="4:4" x14ac:dyDescent="0.3">
      <c r="D2038" s="49">
        <f t="shared" si="50"/>
        <v>0</v>
      </c>
    </row>
    <row r="2039" spans="4:4" x14ac:dyDescent="0.3">
      <c r="D2039" s="49">
        <f t="shared" si="50"/>
        <v>0</v>
      </c>
    </row>
    <row r="2040" spans="4:4" x14ac:dyDescent="0.3">
      <c r="D2040" s="49">
        <f t="shared" si="50"/>
        <v>0</v>
      </c>
    </row>
    <row r="2041" spans="4:4" x14ac:dyDescent="0.3">
      <c r="D2041" s="49">
        <f t="shared" si="50"/>
        <v>0</v>
      </c>
    </row>
    <row r="2042" spans="4:4" x14ac:dyDescent="0.3">
      <c r="D2042" s="49">
        <f t="shared" si="50"/>
        <v>0</v>
      </c>
    </row>
    <row r="2043" spans="4:4" x14ac:dyDescent="0.3">
      <c r="D2043" s="49">
        <f t="shared" si="50"/>
        <v>0</v>
      </c>
    </row>
    <row r="2044" spans="4:4" x14ac:dyDescent="0.3">
      <c r="D2044" s="49">
        <f t="shared" si="50"/>
        <v>0</v>
      </c>
    </row>
    <row r="2045" spans="4:4" x14ac:dyDescent="0.3">
      <c r="D2045" s="49">
        <f t="shared" si="50"/>
        <v>0</v>
      </c>
    </row>
    <row r="2046" spans="4:4" x14ac:dyDescent="0.3">
      <c r="D2046" s="49">
        <f t="shared" si="50"/>
        <v>0</v>
      </c>
    </row>
    <row r="2047" spans="4:4" x14ac:dyDescent="0.3">
      <c r="D2047" s="49">
        <f t="shared" si="50"/>
        <v>0</v>
      </c>
    </row>
    <row r="2048" spans="4:4" x14ac:dyDescent="0.3">
      <c r="D2048" s="49">
        <f t="shared" si="50"/>
        <v>0</v>
      </c>
    </row>
    <row r="2049" spans="4:4" x14ac:dyDescent="0.3">
      <c r="D2049" s="49">
        <f t="shared" si="50"/>
        <v>0</v>
      </c>
    </row>
    <row r="2050" spans="4:4" x14ac:dyDescent="0.3">
      <c r="D2050" s="49">
        <f t="shared" si="50"/>
        <v>0</v>
      </c>
    </row>
    <row r="2051" spans="4:4" x14ac:dyDescent="0.3">
      <c r="D2051" s="49">
        <f t="shared" si="50"/>
        <v>0</v>
      </c>
    </row>
    <row r="2052" spans="4:4" x14ac:dyDescent="0.3">
      <c r="D2052" s="49">
        <f t="shared" si="50"/>
        <v>0</v>
      </c>
    </row>
    <row r="2053" spans="4:4" x14ac:dyDescent="0.3">
      <c r="D2053" s="49">
        <f t="shared" si="50"/>
        <v>0</v>
      </c>
    </row>
    <row r="2054" spans="4:4" x14ac:dyDescent="0.3">
      <c r="D2054" s="49">
        <f t="shared" ref="D2054:D2117" si="51">(B2054+C2054)/100000000</f>
        <v>0</v>
      </c>
    </row>
    <row r="2055" spans="4:4" x14ac:dyDescent="0.3">
      <c r="D2055" s="49">
        <f t="shared" si="51"/>
        <v>0</v>
      </c>
    </row>
    <row r="2056" spans="4:4" x14ac:dyDescent="0.3">
      <c r="D2056" s="49">
        <f t="shared" si="51"/>
        <v>0</v>
      </c>
    </row>
    <row r="2057" spans="4:4" x14ac:dyDescent="0.3">
      <c r="D2057" s="49">
        <f t="shared" si="51"/>
        <v>0</v>
      </c>
    </row>
    <row r="2058" spans="4:4" x14ac:dyDescent="0.3">
      <c r="D2058" s="49">
        <f t="shared" si="51"/>
        <v>0</v>
      </c>
    </row>
    <row r="2059" spans="4:4" x14ac:dyDescent="0.3">
      <c r="D2059" s="49">
        <f t="shared" si="51"/>
        <v>0</v>
      </c>
    </row>
    <row r="2060" spans="4:4" x14ac:dyDescent="0.3">
      <c r="D2060" s="49">
        <f t="shared" si="51"/>
        <v>0</v>
      </c>
    </row>
    <row r="2061" spans="4:4" x14ac:dyDescent="0.3">
      <c r="D2061" s="49">
        <f t="shared" si="51"/>
        <v>0</v>
      </c>
    </row>
    <row r="2062" spans="4:4" x14ac:dyDescent="0.3">
      <c r="D2062" s="49">
        <f t="shared" si="51"/>
        <v>0</v>
      </c>
    </row>
    <row r="2063" spans="4:4" x14ac:dyDescent="0.3">
      <c r="D2063" s="49">
        <f t="shared" si="51"/>
        <v>0</v>
      </c>
    </row>
    <row r="2064" spans="4:4" x14ac:dyDescent="0.3">
      <c r="D2064" s="49">
        <f t="shared" si="51"/>
        <v>0</v>
      </c>
    </row>
    <row r="2065" spans="4:4" x14ac:dyDescent="0.3">
      <c r="D2065" s="49">
        <f t="shared" si="51"/>
        <v>0</v>
      </c>
    </row>
    <row r="2066" spans="4:4" x14ac:dyDescent="0.3">
      <c r="D2066" s="49">
        <f t="shared" si="51"/>
        <v>0</v>
      </c>
    </row>
    <row r="2067" spans="4:4" x14ac:dyDescent="0.3">
      <c r="D2067" s="49">
        <f t="shared" si="51"/>
        <v>0</v>
      </c>
    </row>
    <row r="2068" spans="4:4" x14ac:dyDescent="0.3">
      <c r="D2068" s="49">
        <f t="shared" si="51"/>
        <v>0</v>
      </c>
    </row>
    <row r="2069" spans="4:4" x14ac:dyDescent="0.3">
      <c r="D2069" s="49">
        <f t="shared" si="51"/>
        <v>0</v>
      </c>
    </row>
    <row r="2070" spans="4:4" x14ac:dyDescent="0.3">
      <c r="D2070" s="49">
        <f t="shared" si="51"/>
        <v>0</v>
      </c>
    </row>
    <row r="2071" spans="4:4" x14ac:dyDescent="0.3">
      <c r="D2071" s="49">
        <f t="shared" si="51"/>
        <v>0</v>
      </c>
    </row>
    <row r="2072" spans="4:4" x14ac:dyDescent="0.3">
      <c r="D2072" s="49">
        <f t="shared" si="51"/>
        <v>0</v>
      </c>
    </row>
    <row r="2073" spans="4:4" x14ac:dyDescent="0.3">
      <c r="D2073" s="49">
        <f t="shared" si="51"/>
        <v>0</v>
      </c>
    </row>
    <row r="2074" spans="4:4" x14ac:dyDescent="0.3">
      <c r="D2074" s="49">
        <f t="shared" si="51"/>
        <v>0</v>
      </c>
    </row>
    <row r="2075" spans="4:4" x14ac:dyDescent="0.3">
      <c r="D2075" s="49">
        <f t="shared" si="51"/>
        <v>0</v>
      </c>
    </row>
    <row r="2076" spans="4:4" x14ac:dyDescent="0.3">
      <c r="D2076" s="49">
        <f t="shared" si="51"/>
        <v>0</v>
      </c>
    </row>
    <row r="2077" spans="4:4" x14ac:dyDescent="0.3">
      <c r="D2077" s="49">
        <f t="shared" si="51"/>
        <v>0</v>
      </c>
    </row>
    <row r="2078" spans="4:4" x14ac:dyDescent="0.3">
      <c r="D2078" s="49">
        <f t="shared" si="51"/>
        <v>0</v>
      </c>
    </row>
    <row r="2079" spans="4:4" x14ac:dyDescent="0.3">
      <c r="D2079" s="49">
        <f t="shared" si="51"/>
        <v>0</v>
      </c>
    </row>
    <row r="2080" spans="4:4" x14ac:dyDescent="0.3">
      <c r="D2080" s="49">
        <f t="shared" si="51"/>
        <v>0</v>
      </c>
    </row>
    <row r="2081" spans="4:4" x14ac:dyDescent="0.3">
      <c r="D2081" s="49">
        <f t="shared" si="51"/>
        <v>0</v>
      </c>
    </row>
    <row r="2082" spans="4:4" x14ac:dyDescent="0.3">
      <c r="D2082" s="49">
        <f t="shared" si="51"/>
        <v>0</v>
      </c>
    </row>
    <row r="2083" spans="4:4" x14ac:dyDescent="0.3">
      <c r="D2083" s="49">
        <f t="shared" si="51"/>
        <v>0</v>
      </c>
    </row>
    <row r="2084" spans="4:4" x14ac:dyDescent="0.3">
      <c r="D2084" s="49">
        <f t="shared" si="51"/>
        <v>0</v>
      </c>
    </row>
    <row r="2085" spans="4:4" x14ac:dyDescent="0.3">
      <c r="D2085" s="49">
        <f t="shared" si="51"/>
        <v>0</v>
      </c>
    </row>
    <row r="2086" spans="4:4" x14ac:dyDescent="0.3">
      <c r="D2086" s="49">
        <f t="shared" si="51"/>
        <v>0</v>
      </c>
    </row>
    <row r="2087" spans="4:4" x14ac:dyDescent="0.3">
      <c r="D2087" s="49">
        <f t="shared" si="51"/>
        <v>0</v>
      </c>
    </row>
    <row r="2088" spans="4:4" x14ac:dyDescent="0.3">
      <c r="D2088" s="49">
        <f t="shared" si="51"/>
        <v>0</v>
      </c>
    </row>
    <row r="2089" spans="4:4" x14ac:dyDescent="0.3">
      <c r="D2089" s="49">
        <f t="shared" si="51"/>
        <v>0</v>
      </c>
    </row>
    <row r="2090" spans="4:4" x14ac:dyDescent="0.3">
      <c r="D2090" s="49">
        <f t="shared" si="51"/>
        <v>0</v>
      </c>
    </row>
    <row r="2091" spans="4:4" x14ac:dyDescent="0.3">
      <c r="D2091" s="49">
        <f t="shared" si="51"/>
        <v>0</v>
      </c>
    </row>
    <row r="2092" spans="4:4" x14ac:dyDescent="0.3">
      <c r="D2092" s="49">
        <f t="shared" si="51"/>
        <v>0</v>
      </c>
    </row>
    <row r="2093" spans="4:4" x14ac:dyDescent="0.3">
      <c r="D2093" s="49">
        <f t="shared" si="51"/>
        <v>0</v>
      </c>
    </row>
    <row r="2094" spans="4:4" x14ac:dyDescent="0.3">
      <c r="D2094" s="49">
        <f t="shared" si="51"/>
        <v>0</v>
      </c>
    </row>
    <row r="2095" spans="4:4" x14ac:dyDescent="0.3">
      <c r="D2095" s="49">
        <f t="shared" si="51"/>
        <v>0</v>
      </c>
    </row>
    <row r="2096" spans="4:4" x14ac:dyDescent="0.3">
      <c r="D2096" s="49">
        <f t="shared" si="51"/>
        <v>0</v>
      </c>
    </row>
    <row r="2097" spans="4:4" x14ac:dyDescent="0.3">
      <c r="D2097" s="49">
        <f t="shared" si="51"/>
        <v>0</v>
      </c>
    </row>
    <row r="2098" spans="4:4" x14ac:dyDescent="0.3">
      <c r="D2098" s="49">
        <f t="shared" si="51"/>
        <v>0</v>
      </c>
    </row>
    <row r="2099" spans="4:4" x14ac:dyDescent="0.3">
      <c r="D2099" s="49">
        <f t="shared" si="51"/>
        <v>0</v>
      </c>
    </row>
    <row r="2100" spans="4:4" x14ac:dyDescent="0.3">
      <c r="D2100" s="49">
        <f t="shared" si="51"/>
        <v>0</v>
      </c>
    </row>
    <row r="2101" spans="4:4" x14ac:dyDescent="0.3">
      <c r="D2101" s="49">
        <f t="shared" si="51"/>
        <v>0</v>
      </c>
    </row>
    <row r="2102" spans="4:4" x14ac:dyDescent="0.3">
      <c r="D2102" s="49">
        <f t="shared" si="51"/>
        <v>0</v>
      </c>
    </row>
    <row r="2103" spans="4:4" x14ac:dyDescent="0.3">
      <c r="D2103" s="49">
        <f t="shared" si="51"/>
        <v>0</v>
      </c>
    </row>
    <row r="2104" spans="4:4" x14ac:dyDescent="0.3">
      <c r="D2104" s="49">
        <f t="shared" si="51"/>
        <v>0</v>
      </c>
    </row>
    <row r="2105" spans="4:4" x14ac:dyDescent="0.3">
      <c r="D2105" s="49">
        <f t="shared" si="51"/>
        <v>0</v>
      </c>
    </row>
    <row r="2106" spans="4:4" x14ac:dyDescent="0.3">
      <c r="D2106" s="49">
        <f t="shared" si="51"/>
        <v>0</v>
      </c>
    </row>
    <row r="2107" spans="4:4" x14ac:dyDescent="0.3">
      <c r="D2107" s="49">
        <f t="shared" si="51"/>
        <v>0</v>
      </c>
    </row>
    <row r="2108" spans="4:4" x14ac:dyDescent="0.3">
      <c r="D2108" s="49">
        <f t="shared" si="51"/>
        <v>0</v>
      </c>
    </row>
    <row r="2109" spans="4:4" x14ac:dyDescent="0.3">
      <c r="D2109" s="49">
        <f t="shared" si="51"/>
        <v>0</v>
      </c>
    </row>
    <row r="2110" spans="4:4" x14ac:dyDescent="0.3">
      <c r="D2110" s="49">
        <f t="shared" si="51"/>
        <v>0</v>
      </c>
    </row>
    <row r="2111" spans="4:4" x14ac:dyDescent="0.3">
      <c r="D2111" s="49">
        <f t="shared" si="51"/>
        <v>0</v>
      </c>
    </row>
    <row r="2112" spans="4:4" x14ac:dyDescent="0.3">
      <c r="D2112" s="49">
        <f t="shared" si="51"/>
        <v>0</v>
      </c>
    </row>
    <row r="2113" spans="4:4" x14ac:dyDescent="0.3">
      <c r="D2113" s="49">
        <f t="shared" si="51"/>
        <v>0</v>
      </c>
    </row>
    <row r="2114" spans="4:4" x14ac:dyDescent="0.3">
      <c r="D2114" s="49">
        <f t="shared" si="51"/>
        <v>0</v>
      </c>
    </row>
    <row r="2115" spans="4:4" x14ac:dyDescent="0.3">
      <c r="D2115" s="49">
        <f t="shared" si="51"/>
        <v>0</v>
      </c>
    </row>
    <row r="2116" spans="4:4" x14ac:dyDescent="0.3">
      <c r="D2116" s="49">
        <f t="shared" si="51"/>
        <v>0</v>
      </c>
    </row>
    <row r="2117" spans="4:4" x14ac:dyDescent="0.3">
      <c r="D2117" s="49">
        <f t="shared" si="51"/>
        <v>0</v>
      </c>
    </row>
    <row r="2118" spans="4:4" x14ac:dyDescent="0.3">
      <c r="D2118" s="49">
        <f t="shared" ref="D2118:D2178" si="52">(B2118+C2118)/100000000</f>
        <v>0</v>
      </c>
    </row>
    <row r="2119" spans="4:4" x14ac:dyDescent="0.3">
      <c r="D2119" s="49">
        <f t="shared" si="52"/>
        <v>0</v>
      </c>
    </row>
    <row r="2120" spans="4:4" x14ac:dyDescent="0.3">
      <c r="D2120" s="49">
        <f t="shared" si="52"/>
        <v>0</v>
      </c>
    </row>
    <row r="2121" spans="4:4" x14ac:dyDescent="0.3">
      <c r="D2121" s="49">
        <f t="shared" si="52"/>
        <v>0</v>
      </c>
    </row>
    <row r="2122" spans="4:4" x14ac:dyDescent="0.3">
      <c r="D2122" s="49">
        <f t="shared" si="52"/>
        <v>0</v>
      </c>
    </row>
    <row r="2123" spans="4:4" x14ac:dyDescent="0.3">
      <c r="D2123" s="49">
        <f t="shared" si="52"/>
        <v>0</v>
      </c>
    </row>
    <row r="2124" spans="4:4" x14ac:dyDescent="0.3">
      <c r="D2124" s="49">
        <f t="shared" si="52"/>
        <v>0</v>
      </c>
    </row>
    <row r="2125" spans="4:4" x14ac:dyDescent="0.3">
      <c r="D2125" s="49">
        <f t="shared" si="52"/>
        <v>0</v>
      </c>
    </row>
    <row r="2126" spans="4:4" x14ac:dyDescent="0.3">
      <c r="D2126" s="49">
        <f t="shared" si="52"/>
        <v>0</v>
      </c>
    </row>
    <row r="2127" spans="4:4" x14ac:dyDescent="0.3">
      <c r="D2127" s="49">
        <f t="shared" si="52"/>
        <v>0</v>
      </c>
    </row>
    <row r="2128" spans="4:4" x14ac:dyDescent="0.3">
      <c r="D2128" s="49">
        <f t="shared" si="52"/>
        <v>0</v>
      </c>
    </row>
    <row r="2129" spans="4:4" x14ac:dyDescent="0.3">
      <c r="D2129" s="49">
        <f t="shared" si="52"/>
        <v>0</v>
      </c>
    </row>
    <row r="2130" spans="4:4" x14ac:dyDescent="0.3">
      <c r="D2130" s="49">
        <f t="shared" si="52"/>
        <v>0</v>
      </c>
    </row>
    <row r="2131" spans="4:4" x14ac:dyDescent="0.3">
      <c r="D2131" s="49">
        <f t="shared" si="52"/>
        <v>0</v>
      </c>
    </row>
    <row r="2132" spans="4:4" x14ac:dyDescent="0.3">
      <c r="D2132" s="49">
        <f t="shared" si="52"/>
        <v>0</v>
      </c>
    </row>
    <row r="2133" spans="4:4" x14ac:dyDescent="0.3">
      <c r="D2133" s="49">
        <f t="shared" si="52"/>
        <v>0</v>
      </c>
    </row>
    <row r="2134" spans="4:4" x14ac:dyDescent="0.3">
      <c r="D2134" s="49">
        <f t="shared" si="52"/>
        <v>0</v>
      </c>
    </row>
    <row r="2135" spans="4:4" x14ac:dyDescent="0.3">
      <c r="D2135" s="49">
        <f t="shared" si="52"/>
        <v>0</v>
      </c>
    </row>
    <row r="2136" spans="4:4" x14ac:dyDescent="0.3">
      <c r="D2136" s="49">
        <f t="shared" si="52"/>
        <v>0</v>
      </c>
    </row>
    <row r="2137" spans="4:4" x14ac:dyDescent="0.3">
      <c r="D2137" s="49">
        <f t="shared" si="52"/>
        <v>0</v>
      </c>
    </row>
    <row r="2138" spans="4:4" x14ac:dyDescent="0.3">
      <c r="D2138" s="49">
        <f t="shared" si="52"/>
        <v>0</v>
      </c>
    </row>
    <row r="2139" spans="4:4" x14ac:dyDescent="0.3">
      <c r="D2139" s="49">
        <f t="shared" si="52"/>
        <v>0</v>
      </c>
    </row>
    <row r="2140" spans="4:4" x14ac:dyDescent="0.3">
      <c r="D2140" s="49">
        <f t="shared" si="52"/>
        <v>0</v>
      </c>
    </row>
    <row r="2141" spans="4:4" x14ac:dyDescent="0.3">
      <c r="D2141" s="49">
        <f t="shared" si="52"/>
        <v>0</v>
      </c>
    </row>
    <row r="2142" spans="4:4" x14ac:dyDescent="0.3">
      <c r="D2142" s="49">
        <f t="shared" si="52"/>
        <v>0</v>
      </c>
    </row>
    <row r="2143" spans="4:4" x14ac:dyDescent="0.3">
      <c r="D2143" s="49">
        <f t="shared" si="52"/>
        <v>0</v>
      </c>
    </row>
    <row r="2144" spans="4:4" x14ac:dyDescent="0.3">
      <c r="D2144" s="49">
        <f t="shared" si="52"/>
        <v>0</v>
      </c>
    </row>
    <row r="2145" spans="4:4" x14ac:dyDescent="0.3">
      <c r="D2145" s="49">
        <f t="shared" si="52"/>
        <v>0</v>
      </c>
    </row>
    <row r="2146" spans="4:4" x14ac:dyDescent="0.3">
      <c r="D2146" s="49">
        <f t="shared" si="52"/>
        <v>0</v>
      </c>
    </row>
    <row r="2147" spans="4:4" x14ac:dyDescent="0.3">
      <c r="D2147" s="49">
        <f t="shared" si="52"/>
        <v>0</v>
      </c>
    </row>
    <row r="2148" spans="4:4" x14ac:dyDescent="0.3">
      <c r="D2148" s="49">
        <f t="shared" si="52"/>
        <v>0</v>
      </c>
    </row>
    <row r="2149" spans="4:4" x14ac:dyDescent="0.3">
      <c r="D2149" s="49">
        <f t="shared" si="52"/>
        <v>0</v>
      </c>
    </row>
    <row r="2150" spans="4:4" x14ac:dyDescent="0.3">
      <c r="D2150" s="49">
        <f t="shared" si="52"/>
        <v>0</v>
      </c>
    </row>
    <row r="2151" spans="4:4" x14ac:dyDescent="0.3">
      <c r="D2151" s="49">
        <f t="shared" si="52"/>
        <v>0</v>
      </c>
    </row>
    <row r="2152" spans="4:4" x14ac:dyDescent="0.3">
      <c r="D2152" s="49">
        <f t="shared" si="52"/>
        <v>0</v>
      </c>
    </row>
    <row r="2153" spans="4:4" x14ac:dyDescent="0.3">
      <c r="D2153" s="49">
        <f t="shared" si="52"/>
        <v>0</v>
      </c>
    </row>
    <row r="2154" spans="4:4" x14ac:dyDescent="0.3">
      <c r="D2154" s="49">
        <f t="shared" si="52"/>
        <v>0</v>
      </c>
    </row>
    <row r="2155" spans="4:4" x14ac:dyDescent="0.3">
      <c r="D2155" s="49">
        <f t="shared" si="52"/>
        <v>0</v>
      </c>
    </row>
    <row r="2156" spans="4:4" x14ac:dyDescent="0.3">
      <c r="D2156" s="49">
        <f t="shared" si="52"/>
        <v>0</v>
      </c>
    </row>
    <row r="2157" spans="4:4" x14ac:dyDescent="0.3">
      <c r="D2157" s="49">
        <f t="shared" si="52"/>
        <v>0</v>
      </c>
    </row>
    <row r="2158" spans="4:4" x14ac:dyDescent="0.3">
      <c r="D2158" s="49">
        <f t="shared" si="52"/>
        <v>0</v>
      </c>
    </row>
    <row r="2159" spans="4:4" x14ac:dyDescent="0.3">
      <c r="D2159" s="49">
        <f t="shared" si="52"/>
        <v>0</v>
      </c>
    </row>
    <row r="2160" spans="4:4" x14ac:dyDescent="0.3">
      <c r="D2160" s="49">
        <f t="shared" si="52"/>
        <v>0</v>
      </c>
    </row>
    <row r="2161" spans="4:4" x14ac:dyDescent="0.3">
      <c r="D2161" s="49">
        <f t="shared" si="52"/>
        <v>0</v>
      </c>
    </row>
    <row r="2162" spans="4:4" x14ac:dyDescent="0.3">
      <c r="D2162" s="49">
        <f t="shared" si="52"/>
        <v>0</v>
      </c>
    </row>
    <row r="2163" spans="4:4" x14ac:dyDescent="0.3">
      <c r="D2163" s="49">
        <f t="shared" si="52"/>
        <v>0</v>
      </c>
    </row>
    <row r="2164" spans="4:4" x14ac:dyDescent="0.3">
      <c r="D2164" s="49">
        <f t="shared" si="52"/>
        <v>0</v>
      </c>
    </row>
    <row r="2165" spans="4:4" x14ac:dyDescent="0.3">
      <c r="D2165" s="49">
        <f t="shared" si="52"/>
        <v>0</v>
      </c>
    </row>
    <row r="2166" spans="4:4" x14ac:dyDescent="0.3">
      <c r="D2166" s="49">
        <f t="shared" si="52"/>
        <v>0</v>
      </c>
    </row>
    <row r="2167" spans="4:4" x14ac:dyDescent="0.3">
      <c r="D2167" s="49">
        <f t="shared" si="52"/>
        <v>0</v>
      </c>
    </row>
    <row r="2168" spans="4:4" x14ac:dyDescent="0.3">
      <c r="D2168" s="49">
        <f t="shared" si="52"/>
        <v>0</v>
      </c>
    </row>
    <row r="2169" spans="4:4" x14ac:dyDescent="0.3">
      <c r="D2169" s="49">
        <f t="shared" si="52"/>
        <v>0</v>
      </c>
    </row>
    <row r="2170" spans="4:4" x14ac:dyDescent="0.3">
      <c r="D2170" s="49">
        <f t="shared" si="52"/>
        <v>0</v>
      </c>
    </row>
    <row r="2171" spans="4:4" x14ac:dyDescent="0.3">
      <c r="D2171" s="49">
        <f t="shared" si="52"/>
        <v>0</v>
      </c>
    </row>
    <row r="2172" spans="4:4" x14ac:dyDescent="0.3">
      <c r="D2172" s="49">
        <f t="shared" si="52"/>
        <v>0</v>
      </c>
    </row>
    <row r="2173" spans="4:4" x14ac:dyDescent="0.3">
      <c r="D2173" s="49">
        <f t="shared" si="52"/>
        <v>0</v>
      </c>
    </row>
    <row r="2174" spans="4:4" x14ac:dyDescent="0.3">
      <c r="D2174" s="49">
        <f t="shared" si="52"/>
        <v>0</v>
      </c>
    </row>
    <row r="2175" spans="4:4" x14ac:dyDescent="0.3">
      <c r="D2175" s="49">
        <f t="shared" si="52"/>
        <v>0</v>
      </c>
    </row>
    <row r="2176" spans="4:4" x14ac:dyDescent="0.3">
      <c r="D2176" s="49">
        <f t="shared" si="52"/>
        <v>0</v>
      </c>
    </row>
    <row r="2177" spans="4:4" x14ac:dyDescent="0.3">
      <c r="D2177" s="49">
        <f t="shared" si="52"/>
        <v>0</v>
      </c>
    </row>
    <row r="2178" spans="4:4" x14ac:dyDescent="0.3">
      <c r="D2178" s="49">
        <f t="shared" si="52"/>
        <v>0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L1480"/>
  <sheetViews>
    <sheetView workbookViewId="0">
      <pane xSplit="2" ySplit="8" topLeftCell="E9" activePane="bottomRight" state="frozen"/>
      <selection pane="topRight" activeCell="C1" sqref="C1"/>
      <selection pane="bottomLeft" activeCell="A15" sqref="A15"/>
      <selection pane="bottomRight" activeCell="A9" sqref="A9"/>
    </sheetView>
  </sheetViews>
  <sheetFormatPr defaultColWidth="9" defaultRowHeight="13.5" x14ac:dyDescent="0.3"/>
  <cols>
    <col min="1" max="1" width="12.59765625" customWidth="1"/>
    <col min="2" max="2" width="31.59765625" style="17" customWidth="1"/>
    <col min="3" max="3" width="35.59765625" style="17" customWidth="1"/>
    <col min="5" max="5" width="12.59765625" customWidth="1"/>
    <col min="6" max="6" width="34.59765625" customWidth="1"/>
    <col min="7" max="7" width="30.59765625" customWidth="1"/>
    <col min="9" max="9" width="12.6640625" customWidth="1"/>
    <col min="10" max="10" width="13.33203125" customWidth="1"/>
    <col min="12" max="12" width="10.796875" customWidth="1"/>
  </cols>
  <sheetData>
    <row r="2" spans="1:12" x14ac:dyDescent="0.3">
      <c r="A2" t="s">
        <v>28</v>
      </c>
      <c r="B2" s="47" t="s">
        <v>55</v>
      </c>
      <c r="E2" t="s">
        <v>28</v>
      </c>
      <c r="F2" s="47" t="s">
        <v>56</v>
      </c>
    </row>
    <row r="3" spans="1:12" x14ac:dyDescent="0.3">
      <c r="A3" t="s">
        <v>0</v>
      </c>
      <c r="B3" s="18" t="s">
        <v>57</v>
      </c>
      <c r="E3" t="s">
        <v>0</v>
      </c>
      <c r="F3" s="18" t="s">
        <v>57</v>
      </c>
    </row>
    <row r="4" spans="1:12" x14ac:dyDescent="0.3">
      <c r="A4" t="s">
        <v>34</v>
      </c>
      <c r="B4" s="18"/>
      <c r="E4" t="s">
        <v>34</v>
      </c>
      <c r="F4" s="18"/>
    </row>
    <row r="5" spans="1:12" x14ac:dyDescent="0.3">
      <c r="A5" t="s">
        <v>58</v>
      </c>
      <c r="B5" s="18" t="s">
        <v>36</v>
      </c>
      <c r="E5" t="s">
        <v>58</v>
      </c>
      <c r="F5" s="18" t="s">
        <v>36</v>
      </c>
    </row>
    <row r="6" spans="1:12" x14ac:dyDescent="0.3">
      <c r="A6" t="s">
        <v>59</v>
      </c>
      <c r="B6" s="18" t="s">
        <v>60</v>
      </c>
      <c r="E6" t="s">
        <v>61</v>
      </c>
      <c r="F6" s="18" t="s">
        <v>60</v>
      </c>
    </row>
    <row r="7" spans="1:12" x14ac:dyDescent="0.3">
      <c r="A7" t="s">
        <v>62</v>
      </c>
      <c r="B7" s="18" t="s">
        <v>63</v>
      </c>
      <c r="C7" s="17" t="s">
        <v>64</v>
      </c>
      <c r="E7" t="s">
        <v>62</v>
      </c>
      <c r="F7" s="18" t="s">
        <v>65</v>
      </c>
      <c r="G7" t="s">
        <v>64</v>
      </c>
    </row>
    <row r="8" spans="1:12" x14ac:dyDescent="0.3">
      <c r="A8" t="s">
        <v>66</v>
      </c>
      <c r="B8" s="17" t="s">
        <v>67</v>
      </c>
      <c r="C8" s="47" t="s">
        <v>68</v>
      </c>
      <c r="E8" t="s">
        <v>66</v>
      </c>
      <c r="F8" t="s">
        <v>69</v>
      </c>
      <c r="G8" s="43" t="s">
        <v>120</v>
      </c>
      <c r="J8" s="48" t="s">
        <v>121</v>
      </c>
    </row>
    <row r="9" spans="1:12" x14ac:dyDescent="0.3">
      <c r="A9" s="4">
        <f>[1]!wset("shhktransactionstatistics","startdate="&amp;B3,"enddate="&amp;B4,"cycle="&amp;B5,"currency="&amp;B6,"field=date,sh_net_purchases,hk_net_purchases","cols=3;rows=1472")</f>
        <v>46154</v>
      </c>
      <c r="B9" s="19"/>
      <c r="C9" s="19">
        <v>34.065600000000018</v>
      </c>
      <c r="E9" s="4">
        <f>[1]!wset("szhktransactionstatistics","startdate="&amp;F3,"enddate="&amp;F4,"cycle="&amp;F5,"currency="&amp;F6,"field=date,sz_net_purchases,hk_net_purchases","cols=3;rows=1472")</f>
        <v>46154</v>
      </c>
      <c r="F9" s="19"/>
      <c r="G9" s="19">
        <v>-26.165199999999999</v>
      </c>
      <c r="J9" s="26">
        <f>C9+G9</f>
        <v>7.900400000000019</v>
      </c>
    </row>
    <row r="10" spans="1:12" x14ac:dyDescent="0.3">
      <c r="A10" s="4">
        <v>46153</v>
      </c>
      <c r="B10" s="19"/>
      <c r="C10" s="19">
        <v>35.25</v>
      </c>
      <c r="E10" s="4">
        <v>46153</v>
      </c>
      <c r="F10" s="19"/>
      <c r="G10" s="19">
        <v>-34.540099999999995</v>
      </c>
      <c r="J10" s="27">
        <f t="shared" ref="J10:J73" si="0">C10+G10</f>
        <v>0.70990000000000464</v>
      </c>
    </row>
    <row r="11" spans="1:12" x14ac:dyDescent="0.3">
      <c r="A11" s="4">
        <v>46150</v>
      </c>
      <c r="B11" s="19"/>
      <c r="C11" s="19">
        <v>101.25599999999997</v>
      </c>
      <c r="E11" s="4">
        <v>46150</v>
      </c>
      <c r="F11" s="19"/>
      <c r="G11" s="19">
        <v>30.427999999999997</v>
      </c>
      <c r="J11" s="27">
        <f t="shared" si="0"/>
        <v>131.68399999999997</v>
      </c>
    </row>
    <row r="12" spans="1:12" x14ac:dyDescent="0.3">
      <c r="A12" s="4">
        <v>46149</v>
      </c>
      <c r="B12" s="19"/>
      <c r="C12" s="19">
        <v>-20.949999999999989</v>
      </c>
      <c r="E12" s="4">
        <v>46149</v>
      </c>
      <c r="F12" s="19"/>
      <c r="G12" s="19">
        <v>-27.017899999999997</v>
      </c>
      <c r="J12" s="27">
        <f t="shared" si="0"/>
        <v>-47.967899999999986</v>
      </c>
      <c r="L12" s="19"/>
    </row>
    <row r="13" spans="1:12" x14ac:dyDescent="0.3">
      <c r="A13" s="4">
        <v>46148</v>
      </c>
      <c r="B13" s="19"/>
      <c r="C13" s="19">
        <v>-13.609300000000019</v>
      </c>
      <c r="E13" s="4">
        <v>46148</v>
      </c>
      <c r="F13" s="19"/>
      <c r="G13" s="19">
        <v>-72.037000000000035</v>
      </c>
      <c r="J13" s="27">
        <f t="shared" si="0"/>
        <v>-85.646300000000053</v>
      </c>
      <c r="L13" s="19"/>
    </row>
    <row r="14" spans="1:12" x14ac:dyDescent="0.3">
      <c r="A14" s="6">
        <v>46142</v>
      </c>
      <c r="B14" s="19"/>
      <c r="C14" s="19">
        <v>101.34299999999996</v>
      </c>
      <c r="E14" s="4">
        <v>46142</v>
      </c>
      <c r="F14" s="19"/>
      <c r="G14" s="19">
        <v>20.575400000000002</v>
      </c>
      <c r="J14" s="26">
        <f t="shared" si="0"/>
        <v>121.91839999999996</v>
      </c>
      <c r="L14" s="19"/>
    </row>
    <row r="15" spans="1:12" x14ac:dyDescent="0.3">
      <c r="A15" s="4">
        <v>46141</v>
      </c>
      <c r="B15" s="19"/>
      <c r="C15" s="19">
        <v>12.01460000000003</v>
      </c>
      <c r="E15" s="4">
        <v>46141</v>
      </c>
      <c r="F15" s="19"/>
      <c r="G15" s="19">
        <v>-51.532099999999986</v>
      </c>
      <c r="J15" s="27">
        <f t="shared" si="0"/>
        <v>-39.517499999999956</v>
      </c>
      <c r="L15" s="19"/>
    </row>
    <row r="16" spans="1:12" x14ac:dyDescent="0.3">
      <c r="A16" s="4">
        <v>46140</v>
      </c>
      <c r="B16" s="19"/>
      <c r="C16" s="19">
        <v>108.32280000000003</v>
      </c>
      <c r="E16" s="4">
        <v>46140</v>
      </c>
      <c r="F16" s="19"/>
      <c r="G16" s="19">
        <v>36.905000000000001</v>
      </c>
      <c r="J16" s="27">
        <f t="shared" si="0"/>
        <v>145.22780000000003</v>
      </c>
      <c r="L16" s="19"/>
    </row>
    <row r="17" spans="1:12" x14ac:dyDescent="0.3">
      <c r="A17" s="4">
        <v>46139</v>
      </c>
      <c r="B17" s="19"/>
      <c r="C17" s="19">
        <v>48.823100000000011</v>
      </c>
      <c r="E17" s="4">
        <v>46139</v>
      </c>
      <c r="F17" s="19"/>
      <c r="G17" s="19">
        <v>-89.743200000000002</v>
      </c>
      <c r="J17" s="27">
        <f t="shared" si="0"/>
        <v>-40.920099999999991</v>
      </c>
      <c r="L17" s="19"/>
    </row>
    <row r="18" spans="1:12" x14ac:dyDescent="0.3">
      <c r="A18" s="4">
        <v>46136</v>
      </c>
      <c r="B18" s="19"/>
      <c r="C18" s="19">
        <v>41.693600000000004</v>
      </c>
      <c r="E18" s="4">
        <v>46136</v>
      </c>
      <c r="F18" s="19"/>
      <c r="G18" s="19">
        <v>-7.0921999999999912</v>
      </c>
      <c r="J18" s="27">
        <f t="shared" si="0"/>
        <v>34.601400000000012</v>
      </c>
      <c r="L18" s="19"/>
    </row>
    <row r="19" spans="1:12" x14ac:dyDescent="0.3">
      <c r="A19" s="4">
        <v>46135</v>
      </c>
      <c r="B19" s="19"/>
      <c r="C19" s="19">
        <v>59.962800000000016</v>
      </c>
      <c r="E19" s="4">
        <v>46135</v>
      </c>
      <c r="F19" s="19"/>
      <c r="G19" s="19">
        <v>26.018500000000017</v>
      </c>
      <c r="J19" s="27">
        <f t="shared" si="0"/>
        <v>85.981300000000033</v>
      </c>
      <c r="L19" s="19"/>
    </row>
    <row r="20" spans="1:12" x14ac:dyDescent="0.3">
      <c r="A20" s="4">
        <v>46134</v>
      </c>
      <c r="B20" s="19"/>
      <c r="C20" s="19">
        <v>42.524400000000014</v>
      </c>
      <c r="E20" s="4">
        <v>46134</v>
      </c>
      <c r="F20" s="19"/>
      <c r="G20" s="19">
        <v>6.3804999999999836</v>
      </c>
      <c r="J20" s="27">
        <f t="shared" si="0"/>
        <v>48.904899999999998</v>
      </c>
      <c r="L20" s="19"/>
    </row>
    <row r="21" spans="1:12" x14ac:dyDescent="0.3">
      <c r="A21" s="4">
        <v>46133</v>
      </c>
      <c r="B21" s="19"/>
      <c r="C21" s="19">
        <v>44.850600000000014</v>
      </c>
      <c r="E21" s="4">
        <v>46133</v>
      </c>
      <c r="F21" s="19"/>
      <c r="G21" s="19">
        <v>-7.4712999999999852</v>
      </c>
      <c r="J21" s="27">
        <f t="shared" si="0"/>
        <v>37.379300000000029</v>
      </c>
      <c r="L21" s="19"/>
    </row>
    <row r="22" spans="1:12" x14ac:dyDescent="0.3">
      <c r="A22" s="4">
        <v>46132</v>
      </c>
      <c r="B22" s="19"/>
      <c r="C22" s="19">
        <v>9.1100000000000136</v>
      </c>
      <c r="E22" s="4">
        <v>46132</v>
      </c>
      <c r="F22" s="19"/>
      <c r="G22" s="19">
        <v>-48.202500000000015</v>
      </c>
      <c r="J22" s="27">
        <f t="shared" si="0"/>
        <v>-39.092500000000001</v>
      </c>
      <c r="L22" s="19"/>
    </row>
    <row r="23" spans="1:12" x14ac:dyDescent="0.3">
      <c r="A23" s="4">
        <v>46129</v>
      </c>
      <c r="B23" s="19"/>
      <c r="C23" s="19">
        <v>124.11959999999999</v>
      </c>
      <c r="E23" s="4">
        <v>46129</v>
      </c>
      <c r="F23" s="19"/>
      <c r="G23" s="19">
        <v>45.977499999999992</v>
      </c>
      <c r="J23" s="27">
        <f t="shared" si="0"/>
        <v>170.09709999999998</v>
      </c>
      <c r="L23" s="19"/>
    </row>
    <row r="24" spans="1:12" x14ac:dyDescent="0.3">
      <c r="A24" s="4">
        <v>46128</v>
      </c>
      <c r="B24" s="19"/>
      <c r="C24" s="19">
        <v>35.064999999999998</v>
      </c>
      <c r="E24" s="4">
        <v>46128</v>
      </c>
      <c r="F24" s="19"/>
      <c r="G24" s="19">
        <v>7.8455999999999904</v>
      </c>
      <c r="J24" s="27">
        <f t="shared" si="0"/>
        <v>42.910599999999988</v>
      </c>
      <c r="L24" s="19"/>
    </row>
    <row r="25" spans="1:12" x14ac:dyDescent="0.3">
      <c r="A25" s="4">
        <v>46127</v>
      </c>
      <c r="B25" s="19"/>
      <c r="C25" s="19">
        <v>21.284199999999998</v>
      </c>
      <c r="E25" s="4">
        <v>46127</v>
      </c>
      <c r="F25" s="19"/>
      <c r="G25" s="19">
        <v>20.922500000000014</v>
      </c>
      <c r="J25" s="27">
        <f t="shared" si="0"/>
        <v>42.206700000000012</v>
      </c>
      <c r="L25" s="19"/>
    </row>
    <row r="26" spans="1:12" x14ac:dyDescent="0.3">
      <c r="A26" s="4">
        <v>46126</v>
      </c>
      <c r="B26" s="19"/>
      <c r="C26" s="19">
        <v>-5.9932000000000016</v>
      </c>
      <c r="E26" s="4">
        <v>46126</v>
      </c>
      <c r="F26" s="19"/>
      <c r="G26" s="19">
        <v>-14.171999999999997</v>
      </c>
      <c r="J26" s="27">
        <f t="shared" si="0"/>
        <v>-20.165199999999999</v>
      </c>
      <c r="L26" s="19"/>
    </row>
    <row r="27" spans="1:12" x14ac:dyDescent="0.3">
      <c r="A27" s="4">
        <v>46125</v>
      </c>
      <c r="B27" s="19"/>
      <c r="C27" s="19">
        <v>42.660000000000025</v>
      </c>
      <c r="E27" s="4">
        <v>46125</v>
      </c>
      <c r="F27" s="19"/>
      <c r="G27" s="19">
        <v>-20.170699999999982</v>
      </c>
      <c r="J27" s="27">
        <f t="shared" si="0"/>
        <v>22.489300000000043</v>
      </c>
      <c r="L27" s="19"/>
    </row>
    <row r="28" spans="1:12" x14ac:dyDescent="0.3">
      <c r="A28" s="4">
        <v>46122</v>
      </c>
      <c r="B28" s="19"/>
      <c r="C28" s="19">
        <v>-15.767699999999991</v>
      </c>
      <c r="E28" s="4">
        <v>46122</v>
      </c>
      <c r="F28" s="19"/>
      <c r="G28" s="19">
        <v>-12.385600000000011</v>
      </c>
      <c r="J28" s="27">
        <f t="shared" si="0"/>
        <v>-28.153300000000002</v>
      </c>
      <c r="L28" s="19"/>
    </row>
    <row r="29" spans="1:12" x14ac:dyDescent="0.3">
      <c r="A29" s="4">
        <v>46121</v>
      </c>
      <c r="B29" s="19"/>
      <c r="C29" s="19">
        <v>81.814199999999971</v>
      </c>
      <c r="E29" s="4">
        <v>46121</v>
      </c>
      <c r="F29" s="19"/>
      <c r="G29" s="19">
        <v>44.113900000000001</v>
      </c>
      <c r="J29" s="27">
        <f t="shared" si="0"/>
        <v>125.92809999999997</v>
      </c>
      <c r="L29" s="19"/>
    </row>
    <row r="30" spans="1:12" x14ac:dyDescent="0.3">
      <c r="A30" s="4">
        <v>46120</v>
      </c>
      <c r="B30" s="19"/>
      <c r="C30" s="19">
        <v>-135.83280000000002</v>
      </c>
      <c r="E30" s="4">
        <v>46120</v>
      </c>
      <c r="F30" s="19"/>
      <c r="G30" s="19">
        <v>-79.905199999999979</v>
      </c>
      <c r="J30" s="27">
        <f t="shared" si="0"/>
        <v>-215.738</v>
      </c>
      <c r="L30" s="19"/>
    </row>
    <row r="31" spans="1:12" x14ac:dyDescent="0.3">
      <c r="A31" s="4">
        <v>46114</v>
      </c>
      <c r="B31" s="19"/>
      <c r="C31" s="19">
        <v>110.83860000000004</v>
      </c>
      <c r="E31" s="4">
        <v>46114</v>
      </c>
      <c r="F31" s="19"/>
      <c r="G31" s="19">
        <v>87.438099999999991</v>
      </c>
      <c r="J31" s="27">
        <f t="shared" si="0"/>
        <v>198.27670000000003</v>
      </c>
      <c r="L31" s="19"/>
    </row>
    <row r="32" spans="1:12" x14ac:dyDescent="0.3">
      <c r="A32" s="4">
        <v>46113</v>
      </c>
      <c r="B32" s="19"/>
      <c r="C32" s="19">
        <v>-67.843500000000006</v>
      </c>
      <c r="E32" s="4">
        <v>46113</v>
      </c>
      <c r="F32" s="19"/>
      <c r="G32" s="19">
        <v>-59.092599999999976</v>
      </c>
      <c r="J32" s="27">
        <f t="shared" si="0"/>
        <v>-126.93609999999998</v>
      </c>
      <c r="L32" s="19"/>
    </row>
    <row r="33" spans="1:12" x14ac:dyDescent="0.3">
      <c r="A33" s="4">
        <v>46112</v>
      </c>
      <c r="B33" s="19"/>
      <c r="C33" s="19">
        <v>25.220699999999965</v>
      </c>
      <c r="E33" s="4">
        <v>46112</v>
      </c>
      <c r="F33" s="19"/>
      <c r="G33" s="19">
        <v>-18.187299999999993</v>
      </c>
      <c r="J33" s="27">
        <f t="shared" si="0"/>
        <v>7.0333999999999719</v>
      </c>
      <c r="L33" s="19"/>
    </row>
    <row r="34" spans="1:12" x14ac:dyDescent="0.3">
      <c r="A34" s="4">
        <v>46111</v>
      </c>
      <c r="B34" s="19"/>
      <c r="C34" s="19">
        <v>16.670600000000036</v>
      </c>
      <c r="E34" s="4">
        <v>46111</v>
      </c>
      <c r="F34" s="19"/>
      <c r="G34" s="19">
        <v>-41.338000000000022</v>
      </c>
      <c r="J34" s="27">
        <f t="shared" si="0"/>
        <v>-24.667399999999986</v>
      </c>
      <c r="L34" s="19"/>
    </row>
    <row r="35" spans="1:12" x14ac:dyDescent="0.3">
      <c r="A35" s="4">
        <v>46108</v>
      </c>
      <c r="B35" s="19"/>
      <c r="C35" s="19">
        <v>-1.8115999999999985</v>
      </c>
      <c r="E35" s="4">
        <v>46108</v>
      </c>
      <c r="F35" s="19"/>
      <c r="G35" s="19">
        <v>-27.02200000000002</v>
      </c>
      <c r="J35" s="27">
        <f t="shared" si="0"/>
        <v>-28.833600000000018</v>
      </c>
      <c r="L35" s="19"/>
    </row>
    <row r="36" spans="1:12" x14ac:dyDescent="0.3">
      <c r="A36" s="4">
        <v>46107</v>
      </c>
      <c r="B36" s="19"/>
      <c r="C36" s="19">
        <v>37.083499999999958</v>
      </c>
      <c r="E36" s="4">
        <v>46107</v>
      </c>
      <c r="F36" s="19"/>
      <c r="G36" s="19">
        <v>-3.6856000000000222</v>
      </c>
      <c r="J36" s="27">
        <f t="shared" si="0"/>
        <v>33.397899999999936</v>
      </c>
      <c r="L36" s="19"/>
    </row>
    <row r="37" spans="1:12" x14ac:dyDescent="0.3">
      <c r="A37" s="4">
        <v>46106</v>
      </c>
      <c r="B37" s="19"/>
      <c r="C37" s="19">
        <v>142.31990000000002</v>
      </c>
      <c r="E37" s="4">
        <v>46106</v>
      </c>
      <c r="F37" s="19"/>
      <c r="G37" s="19">
        <v>80.905700000000024</v>
      </c>
      <c r="J37" s="27">
        <f t="shared" si="0"/>
        <v>223.22560000000004</v>
      </c>
      <c r="L37" s="19"/>
    </row>
    <row r="38" spans="1:12" x14ac:dyDescent="0.3">
      <c r="A38" s="4">
        <v>46105</v>
      </c>
      <c r="B38" s="19"/>
      <c r="C38" s="19">
        <v>-171.24280000000005</v>
      </c>
      <c r="E38" s="4">
        <v>46105</v>
      </c>
      <c r="F38" s="19"/>
      <c r="G38" s="19">
        <v>-102.36600000000001</v>
      </c>
      <c r="J38" s="27">
        <f t="shared" si="0"/>
        <v>-273.60880000000009</v>
      </c>
      <c r="L38" s="19"/>
    </row>
    <row r="39" spans="1:12" x14ac:dyDescent="0.3">
      <c r="A39" s="4">
        <v>46104</v>
      </c>
      <c r="B39" s="19"/>
      <c r="C39" s="19">
        <v>149.10940000000005</v>
      </c>
      <c r="E39" s="4">
        <v>46104</v>
      </c>
      <c r="F39" s="19"/>
      <c r="G39" s="19">
        <v>148.16980000000001</v>
      </c>
      <c r="J39" s="27">
        <f t="shared" si="0"/>
        <v>297.27920000000006</v>
      </c>
      <c r="L39" s="19"/>
    </row>
    <row r="40" spans="1:12" x14ac:dyDescent="0.3">
      <c r="A40" s="4">
        <v>46101</v>
      </c>
      <c r="B40" s="19"/>
      <c r="C40" s="19">
        <v>-148.98090000000008</v>
      </c>
      <c r="E40" s="4">
        <v>46101</v>
      </c>
      <c r="F40" s="19"/>
      <c r="G40" s="19">
        <v>-61.069600000000008</v>
      </c>
      <c r="J40" s="27">
        <f t="shared" si="0"/>
        <v>-210.05050000000008</v>
      </c>
      <c r="L40" s="19"/>
    </row>
    <row r="41" spans="1:12" x14ac:dyDescent="0.3">
      <c r="A41" s="4">
        <v>46100</v>
      </c>
      <c r="B41" s="19"/>
      <c r="C41" s="19">
        <v>170.13840000000005</v>
      </c>
      <c r="E41" s="4">
        <v>46100</v>
      </c>
      <c r="F41" s="19"/>
      <c r="G41" s="19">
        <v>91.761799999999994</v>
      </c>
      <c r="J41" s="27">
        <f t="shared" si="0"/>
        <v>261.90020000000004</v>
      </c>
      <c r="L41" s="19"/>
    </row>
    <row r="42" spans="1:12" x14ac:dyDescent="0.3">
      <c r="A42" s="4">
        <v>46099</v>
      </c>
      <c r="B42" s="19"/>
      <c r="C42" s="19">
        <v>3.9870000000000232</v>
      </c>
      <c r="E42" s="4">
        <v>46099</v>
      </c>
      <c r="F42" s="19"/>
      <c r="G42" s="19">
        <v>8.1783000000000072</v>
      </c>
      <c r="J42" s="27">
        <f t="shared" si="0"/>
        <v>12.16530000000003</v>
      </c>
      <c r="L42" s="19"/>
    </row>
    <row r="43" spans="1:12" x14ac:dyDescent="0.3">
      <c r="A43" s="4">
        <v>46098</v>
      </c>
      <c r="B43" s="19"/>
      <c r="C43" s="19">
        <v>-59.007000000000005</v>
      </c>
      <c r="E43" s="4">
        <v>46098</v>
      </c>
      <c r="F43" s="19"/>
      <c r="G43" s="19">
        <v>-55.799600000000027</v>
      </c>
      <c r="J43" s="27">
        <f t="shared" si="0"/>
        <v>-114.80660000000003</v>
      </c>
      <c r="L43" s="19"/>
    </row>
    <row r="44" spans="1:12" x14ac:dyDescent="0.3">
      <c r="A44" s="4">
        <v>46097</v>
      </c>
      <c r="B44" s="19"/>
      <c r="C44" s="19">
        <v>-27.345300000000009</v>
      </c>
      <c r="E44" s="4">
        <v>46097</v>
      </c>
      <c r="F44" s="19"/>
      <c r="G44" s="19">
        <v>14.84790000000001</v>
      </c>
      <c r="J44" s="27">
        <f t="shared" si="0"/>
        <v>-12.497399999999999</v>
      </c>
      <c r="L44" s="19"/>
    </row>
    <row r="45" spans="1:12" x14ac:dyDescent="0.3">
      <c r="A45" s="4">
        <v>46094</v>
      </c>
      <c r="B45" s="19"/>
      <c r="C45" s="19">
        <v>118.12620000000004</v>
      </c>
      <c r="E45" s="4">
        <v>46094</v>
      </c>
      <c r="F45" s="19"/>
      <c r="G45" s="19">
        <v>66.358800000000002</v>
      </c>
      <c r="J45" s="27">
        <f t="shared" si="0"/>
        <v>184.48500000000004</v>
      </c>
      <c r="L45" s="19"/>
    </row>
    <row r="46" spans="1:12" x14ac:dyDescent="0.3">
      <c r="A46" s="4">
        <v>46093</v>
      </c>
      <c r="B46" s="19"/>
      <c r="C46" s="19">
        <v>61.504099999999994</v>
      </c>
      <c r="E46" s="4">
        <v>46093</v>
      </c>
      <c r="F46" s="19"/>
      <c r="G46" s="19">
        <v>51.322599999999994</v>
      </c>
      <c r="J46" s="27">
        <f t="shared" si="0"/>
        <v>112.82669999999999</v>
      </c>
      <c r="L46" s="19"/>
    </row>
    <row r="47" spans="1:12" x14ac:dyDescent="0.3">
      <c r="A47" s="4">
        <v>46092</v>
      </c>
      <c r="B47" s="19"/>
      <c r="C47" s="19">
        <v>15.817299999999989</v>
      </c>
      <c r="E47" s="4">
        <v>46092</v>
      </c>
      <c r="F47" s="19"/>
      <c r="G47" s="19">
        <v>18.666699999999992</v>
      </c>
      <c r="J47" s="27">
        <f t="shared" si="0"/>
        <v>34.48399999999998</v>
      </c>
      <c r="L47" s="19"/>
    </row>
    <row r="48" spans="1:12" x14ac:dyDescent="0.3">
      <c r="A48" s="4">
        <v>46091</v>
      </c>
      <c r="B48" s="19"/>
      <c r="C48" s="19">
        <v>-113.22460000000007</v>
      </c>
      <c r="E48" s="4">
        <v>46091</v>
      </c>
      <c r="F48" s="19"/>
      <c r="G48" s="19">
        <v>-66.302899999999994</v>
      </c>
      <c r="J48" s="27">
        <f t="shared" si="0"/>
        <v>-179.52750000000006</v>
      </c>
      <c r="L48" s="19"/>
    </row>
    <row r="49" spans="1:12" x14ac:dyDescent="0.3">
      <c r="A49" s="4">
        <v>46090</v>
      </c>
      <c r="B49" s="19"/>
      <c r="C49" s="19">
        <v>260.64339999999999</v>
      </c>
      <c r="E49" s="4">
        <v>46090</v>
      </c>
      <c r="F49" s="19"/>
      <c r="G49" s="19">
        <v>111.48680000000002</v>
      </c>
      <c r="J49" s="27">
        <f t="shared" si="0"/>
        <v>372.1302</v>
      </c>
      <c r="L49" s="19"/>
    </row>
    <row r="50" spans="1:12" x14ac:dyDescent="0.3">
      <c r="A50" s="4">
        <v>46087</v>
      </c>
      <c r="B50" s="19"/>
      <c r="C50" s="19">
        <v>-14.640699999999981</v>
      </c>
      <c r="E50" s="4">
        <v>46087</v>
      </c>
      <c r="F50" s="19"/>
      <c r="G50" s="19">
        <v>-7.2380999999999744</v>
      </c>
      <c r="J50" s="27">
        <f t="shared" si="0"/>
        <v>-21.878799999999956</v>
      </c>
      <c r="L50" s="19"/>
    </row>
    <row r="51" spans="1:12" x14ac:dyDescent="0.3">
      <c r="A51" s="4">
        <v>46086</v>
      </c>
      <c r="B51" s="19"/>
      <c r="C51" s="19">
        <v>-162.37729999999999</v>
      </c>
      <c r="E51" s="4">
        <v>46086</v>
      </c>
      <c r="F51" s="19"/>
      <c r="G51" s="19">
        <v>-114.97060000000002</v>
      </c>
      <c r="J51" s="27">
        <f t="shared" si="0"/>
        <v>-277.34789999999998</v>
      </c>
      <c r="L51" s="19"/>
    </row>
    <row r="52" spans="1:12" x14ac:dyDescent="0.3">
      <c r="A52" s="4">
        <v>46085</v>
      </c>
      <c r="B52" s="19"/>
      <c r="C52" s="19">
        <v>-10.911999999999978</v>
      </c>
      <c r="E52" s="4">
        <v>46085</v>
      </c>
      <c r="F52" s="19"/>
      <c r="G52" s="19">
        <v>6.2516999999999712</v>
      </c>
      <c r="J52" s="27">
        <f t="shared" si="0"/>
        <v>-4.6603000000000065</v>
      </c>
      <c r="L52" s="19"/>
    </row>
    <row r="53" spans="1:12" x14ac:dyDescent="0.3">
      <c r="A53" s="4">
        <v>46084</v>
      </c>
      <c r="B53" s="19"/>
      <c r="C53" s="19">
        <v>27.550299999999993</v>
      </c>
      <c r="E53" s="4">
        <v>46084</v>
      </c>
      <c r="F53" s="19"/>
      <c r="G53" s="19">
        <v>33.262099999999975</v>
      </c>
      <c r="J53" s="27">
        <f t="shared" si="0"/>
        <v>60.812399999999968</v>
      </c>
      <c r="L53" s="19"/>
    </row>
    <row r="54" spans="1:12" x14ac:dyDescent="0.3">
      <c r="A54" s="4">
        <v>46083</v>
      </c>
      <c r="B54" s="19"/>
      <c r="C54" s="19">
        <v>81.080299999999966</v>
      </c>
      <c r="E54" s="4">
        <v>46083</v>
      </c>
      <c r="F54" s="19"/>
      <c r="G54" s="19">
        <v>81.057700000000011</v>
      </c>
      <c r="J54" s="27">
        <f t="shared" si="0"/>
        <v>162.13799999999998</v>
      </c>
      <c r="L54" s="19"/>
    </row>
    <row r="55" spans="1:12" x14ac:dyDescent="0.3">
      <c r="A55" s="4">
        <v>46080</v>
      </c>
      <c r="B55" s="19"/>
      <c r="C55" s="19">
        <v>77.164299999999997</v>
      </c>
      <c r="E55" s="4">
        <v>46080</v>
      </c>
      <c r="F55" s="19"/>
      <c r="G55" s="19">
        <v>72.807400000000001</v>
      </c>
      <c r="J55" s="27">
        <f t="shared" si="0"/>
        <v>149.9717</v>
      </c>
      <c r="L55" s="19"/>
    </row>
    <row r="56" spans="1:12" x14ac:dyDescent="0.3">
      <c r="A56" s="4">
        <v>46079</v>
      </c>
      <c r="B56" s="19"/>
      <c r="C56" s="19">
        <v>-23.107700000000023</v>
      </c>
      <c r="E56" s="4">
        <v>46079</v>
      </c>
      <c r="F56" s="19"/>
      <c r="G56" s="19">
        <v>-50.551799999999986</v>
      </c>
      <c r="J56" s="27">
        <f t="shared" si="0"/>
        <v>-73.659500000000008</v>
      </c>
      <c r="L56" s="19"/>
    </row>
    <row r="57" spans="1:12" x14ac:dyDescent="0.3">
      <c r="A57" s="4">
        <v>46078</v>
      </c>
      <c r="B57" s="19"/>
      <c r="C57" s="19">
        <v>-54.949299999999994</v>
      </c>
      <c r="E57" s="4">
        <v>46078</v>
      </c>
      <c r="F57" s="19"/>
      <c r="G57" s="19">
        <v>14.38239999999999</v>
      </c>
      <c r="J57" s="27">
        <f t="shared" si="0"/>
        <v>-40.566900000000004</v>
      </c>
      <c r="L57" s="19"/>
    </row>
    <row r="58" spans="1:12" x14ac:dyDescent="0.3">
      <c r="A58" s="4">
        <v>46077</v>
      </c>
      <c r="B58" s="19"/>
      <c r="C58" s="19">
        <v>9.6046999999999798</v>
      </c>
      <c r="E58" s="4">
        <v>46077</v>
      </c>
      <c r="F58" s="19"/>
      <c r="G58" s="19">
        <v>21.70320000000001</v>
      </c>
      <c r="J58" s="27">
        <f t="shared" si="0"/>
        <v>31.307899999999989</v>
      </c>
      <c r="L58" s="19"/>
    </row>
    <row r="59" spans="1:12" x14ac:dyDescent="0.3">
      <c r="A59" s="4">
        <v>46066</v>
      </c>
      <c r="B59" s="19"/>
      <c r="C59" s="19">
        <v>114.76499999999999</v>
      </c>
      <c r="E59" s="4">
        <v>46066</v>
      </c>
      <c r="F59" s="19"/>
      <c r="G59" s="19">
        <v>87.426400000000001</v>
      </c>
      <c r="J59" s="27">
        <f t="shared" si="0"/>
        <v>202.19139999999999</v>
      </c>
      <c r="L59" s="19"/>
    </row>
    <row r="60" spans="1:12" x14ac:dyDescent="0.3">
      <c r="A60" s="4">
        <v>46065</v>
      </c>
      <c r="B60" s="19"/>
      <c r="C60" s="19">
        <v>46.564199999999971</v>
      </c>
      <c r="E60" s="4">
        <v>46065</v>
      </c>
      <c r="F60" s="19"/>
      <c r="G60" s="19">
        <v>-0.89159999999998263</v>
      </c>
      <c r="J60" s="27">
        <f t="shared" si="0"/>
        <v>45.672599999999989</v>
      </c>
      <c r="L60" s="19"/>
    </row>
    <row r="61" spans="1:12" x14ac:dyDescent="0.3">
      <c r="A61" s="4">
        <v>46064</v>
      </c>
      <c r="B61" s="19"/>
      <c r="C61" s="19">
        <v>28.24109999999996</v>
      </c>
      <c r="E61" s="4">
        <v>46064</v>
      </c>
      <c r="F61" s="19"/>
      <c r="G61" s="19">
        <v>19.920700000000011</v>
      </c>
      <c r="J61" s="27">
        <f t="shared" si="0"/>
        <v>48.161799999999971</v>
      </c>
      <c r="L61" s="19"/>
    </row>
    <row r="62" spans="1:12" x14ac:dyDescent="0.3">
      <c r="A62" s="4">
        <v>46063</v>
      </c>
      <c r="B62" s="19"/>
      <c r="C62" s="19">
        <v>11.033900000000017</v>
      </c>
      <c r="E62" s="4">
        <v>46063</v>
      </c>
      <c r="F62" s="19"/>
      <c r="G62" s="19">
        <v>-10.187399999999997</v>
      </c>
      <c r="J62" s="27">
        <f t="shared" si="0"/>
        <v>0.84650000000002024</v>
      </c>
      <c r="L62" s="19"/>
    </row>
    <row r="63" spans="1:12" x14ac:dyDescent="0.3">
      <c r="A63" s="4">
        <v>46062</v>
      </c>
      <c r="B63" s="19"/>
      <c r="C63" s="19">
        <v>-16.444399999999973</v>
      </c>
      <c r="E63" s="4">
        <v>46062</v>
      </c>
      <c r="F63" s="19"/>
      <c r="G63" s="19">
        <v>-2.4206999999999823</v>
      </c>
      <c r="J63" s="27">
        <f t="shared" si="0"/>
        <v>-18.865099999999956</v>
      </c>
      <c r="L63" s="19"/>
    </row>
    <row r="64" spans="1:12" x14ac:dyDescent="0.3">
      <c r="A64" s="4">
        <v>46059</v>
      </c>
      <c r="B64" s="19"/>
      <c r="C64" s="19">
        <v>71.127800000000036</v>
      </c>
      <c r="E64" s="4">
        <v>46059</v>
      </c>
      <c r="F64" s="19"/>
      <c r="G64" s="19">
        <v>77.46380000000002</v>
      </c>
      <c r="J64" s="27">
        <f t="shared" si="0"/>
        <v>148.59160000000006</v>
      </c>
      <c r="L64" s="19"/>
    </row>
    <row r="65" spans="1:12" x14ac:dyDescent="0.3">
      <c r="A65" s="4">
        <v>46058</v>
      </c>
      <c r="B65" s="19"/>
      <c r="C65" s="19">
        <v>124.81130000000002</v>
      </c>
      <c r="E65" s="4">
        <v>46058</v>
      </c>
      <c r="F65" s="19"/>
      <c r="G65" s="19">
        <v>124.96340000000001</v>
      </c>
      <c r="J65" s="27">
        <f t="shared" si="0"/>
        <v>249.77470000000002</v>
      </c>
      <c r="L65" s="19"/>
    </row>
    <row r="66" spans="1:12" x14ac:dyDescent="0.3">
      <c r="A66" s="4">
        <v>46057</v>
      </c>
      <c r="B66" s="19"/>
      <c r="C66" s="19">
        <v>73.929500000000019</v>
      </c>
      <c r="E66" s="4">
        <v>46057</v>
      </c>
      <c r="F66" s="19"/>
      <c r="G66" s="19">
        <v>59.798200000000037</v>
      </c>
      <c r="J66" s="27">
        <f t="shared" si="0"/>
        <v>133.72770000000006</v>
      </c>
      <c r="L66" s="19"/>
    </row>
    <row r="67" spans="1:12" x14ac:dyDescent="0.3">
      <c r="A67" s="4">
        <v>46056</v>
      </c>
      <c r="B67" s="19"/>
      <c r="C67" s="19">
        <v>17.330399999999997</v>
      </c>
      <c r="E67" s="4">
        <v>46056</v>
      </c>
      <c r="F67" s="19"/>
      <c r="G67" s="19">
        <v>-7.808099999999996</v>
      </c>
      <c r="J67" s="27">
        <f t="shared" si="0"/>
        <v>9.5223000000000013</v>
      </c>
      <c r="L67" s="19"/>
    </row>
    <row r="68" spans="1:12" x14ac:dyDescent="0.3">
      <c r="A68" s="4">
        <v>46055</v>
      </c>
      <c r="B68" s="19"/>
      <c r="C68" s="19">
        <v>27.375100000000032</v>
      </c>
      <c r="E68" s="4">
        <v>46055</v>
      </c>
      <c r="F68" s="19"/>
      <c r="G68" s="19">
        <v>-8.3036999999999921</v>
      </c>
      <c r="J68" s="27">
        <f t="shared" si="0"/>
        <v>19.07140000000004</v>
      </c>
      <c r="L68" s="19"/>
    </row>
    <row r="69" spans="1:12" x14ac:dyDescent="0.3">
      <c r="A69" s="4">
        <v>46052</v>
      </c>
      <c r="B69" s="19"/>
      <c r="C69" s="19">
        <v>20.389899999999955</v>
      </c>
      <c r="E69" s="4">
        <v>46052</v>
      </c>
      <c r="F69" s="19"/>
      <c r="G69" s="19">
        <v>11.82559999999998</v>
      </c>
      <c r="J69" s="27">
        <f t="shared" si="0"/>
        <v>32.215499999999935</v>
      </c>
      <c r="L69" s="19"/>
    </row>
    <row r="70" spans="1:12" x14ac:dyDescent="0.3">
      <c r="A70" s="4">
        <v>46051</v>
      </c>
      <c r="B70" s="19"/>
      <c r="C70" s="19">
        <v>23.73150000000004</v>
      </c>
      <c r="E70" s="4">
        <v>46051</v>
      </c>
      <c r="F70" s="19"/>
      <c r="G70" s="19">
        <v>20.004600000000011</v>
      </c>
      <c r="J70" s="27">
        <f t="shared" si="0"/>
        <v>43.73610000000005</v>
      </c>
      <c r="L70" s="19"/>
    </row>
    <row r="71" spans="1:12" x14ac:dyDescent="0.3">
      <c r="A71" s="4">
        <v>46050</v>
      </c>
      <c r="B71" s="19"/>
      <c r="C71" s="19">
        <v>-47.72199999999998</v>
      </c>
      <c r="E71" s="4">
        <v>46050</v>
      </c>
      <c r="F71" s="19"/>
      <c r="G71" s="19">
        <v>13.448100000000011</v>
      </c>
      <c r="J71" s="27">
        <f t="shared" si="0"/>
        <v>-34.273899999999969</v>
      </c>
      <c r="L71" s="19"/>
    </row>
    <row r="72" spans="1:12" x14ac:dyDescent="0.3">
      <c r="A72" s="4">
        <v>46049</v>
      </c>
      <c r="B72" s="19"/>
      <c r="C72" s="19">
        <v>-13.739500000000021</v>
      </c>
      <c r="E72" s="4">
        <v>46049</v>
      </c>
      <c r="F72" s="19"/>
      <c r="G72" s="19">
        <v>7.3941999999999837</v>
      </c>
      <c r="J72" s="27">
        <f t="shared" si="0"/>
        <v>-6.3453000000000372</v>
      </c>
      <c r="L72" s="19"/>
    </row>
    <row r="73" spans="1:12" x14ac:dyDescent="0.3">
      <c r="A73" s="4">
        <v>46048</v>
      </c>
      <c r="B73" s="19"/>
      <c r="C73" s="19">
        <v>-1.8736000000000104</v>
      </c>
      <c r="E73" s="4">
        <v>46048</v>
      </c>
      <c r="F73" s="19"/>
      <c r="G73" s="19">
        <v>-6.3814000000000135</v>
      </c>
      <c r="J73" s="27">
        <f t="shared" si="0"/>
        <v>-8.2550000000000239</v>
      </c>
      <c r="L73" s="19"/>
    </row>
    <row r="74" spans="1:12" x14ac:dyDescent="0.3">
      <c r="A74" s="4">
        <v>46045</v>
      </c>
      <c r="B74" s="19"/>
      <c r="C74" s="19">
        <v>-5.5966999999999985</v>
      </c>
      <c r="E74" s="4">
        <v>46045</v>
      </c>
      <c r="F74" s="19"/>
      <c r="G74" s="19">
        <v>-10.4101</v>
      </c>
      <c r="J74" s="27">
        <f t="shared" ref="J74:J121" si="1">C74+G74</f>
        <v>-16.006799999999998</v>
      </c>
      <c r="L74" s="19"/>
    </row>
    <row r="75" spans="1:12" x14ac:dyDescent="0.3">
      <c r="A75" s="4">
        <v>46044</v>
      </c>
      <c r="B75" s="19"/>
      <c r="C75" s="19">
        <v>27.75630000000001</v>
      </c>
      <c r="E75" s="4">
        <v>46044</v>
      </c>
      <c r="F75" s="19"/>
      <c r="G75" s="19">
        <v>24.637500000000017</v>
      </c>
      <c r="J75" s="27">
        <f t="shared" si="1"/>
        <v>52.393800000000027</v>
      </c>
      <c r="L75" s="19"/>
    </row>
    <row r="76" spans="1:12" x14ac:dyDescent="0.3">
      <c r="A76" s="4">
        <v>46043</v>
      </c>
      <c r="B76" s="19"/>
      <c r="C76" s="19">
        <v>77.890600000000006</v>
      </c>
      <c r="E76" s="4">
        <v>46043</v>
      </c>
      <c r="F76" s="19"/>
      <c r="G76" s="19">
        <v>61.409599999999983</v>
      </c>
      <c r="J76" s="27">
        <f t="shared" si="1"/>
        <v>139.30019999999999</v>
      </c>
      <c r="L76" s="19"/>
    </row>
    <row r="77" spans="1:12" x14ac:dyDescent="0.3">
      <c r="A77" s="4">
        <v>46042</v>
      </c>
      <c r="B77" s="19"/>
      <c r="C77" s="19">
        <v>34.441100000000006</v>
      </c>
      <c r="E77" s="4">
        <v>46042</v>
      </c>
      <c r="F77" s="19"/>
      <c r="G77" s="19">
        <v>2.1846999999999923</v>
      </c>
      <c r="J77" s="27">
        <f t="shared" si="1"/>
        <v>36.625799999999998</v>
      </c>
      <c r="L77" s="19"/>
    </row>
    <row r="78" spans="1:12" x14ac:dyDescent="0.3">
      <c r="A78" s="4">
        <v>46041</v>
      </c>
      <c r="B78" s="19"/>
      <c r="C78" s="19">
        <v>30.416999999999973</v>
      </c>
      <c r="E78" s="4">
        <v>46041</v>
      </c>
      <c r="F78" s="19"/>
      <c r="G78" s="19">
        <v>-7.5018000000000029</v>
      </c>
      <c r="J78" s="27">
        <f t="shared" si="1"/>
        <v>22.91519999999997</v>
      </c>
      <c r="L78" s="19"/>
    </row>
    <row r="79" spans="1:12" x14ac:dyDescent="0.3">
      <c r="A79" s="4">
        <v>46038</v>
      </c>
      <c r="B79" s="19"/>
      <c r="C79" s="19">
        <v>10.061800000000005</v>
      </c>
      <c r="E79" s="4">
        <v>46038</v>
      </c>
      <c r="F79" s="19"/>
      <c r="G79" s="19">
        <v>-9.1260000000000048</v>
      </c>
      <c r="J79" s="27">
        <f t="shared" si="1"/>
        <v>0.93580000000000041</v>
      </c>
      <c r="L79" s="19"/>
    </row>
    <row r="80" spans="1:12" x14ac:dyDescent="0.3">
      <c r="A80" s="4">
        <v>46037</v>
      </c>
      <c r="B80" s="19"/>
      <c r="C80" s="19">
        <v>19.302399999999977</v>
      </c>
      <c r="E80" s="4">
        <v>46037</v>
      </c>
      <c r="F80" s="19"/>
      <c r="G80" s="19">
        <v>-34.456099999999992</v>
      </c>
      <c r="J80" s="27">
        <f t="shared" si="1"/>
        <v>-15.153700000000015</v>
      </c>
      <c r="L80" s="19"/>
    </row>
    <row r="81" spans="1:12" x14ac:dyDescent="0.3">
      <c r="A81" s="4">
        <v>46036</v>
      </c>
      <c r="B81" s="19"/>
      <c r="C81" s="19">
        <v>25.13779999999997</v>
      </c>
      <c r="E81" s="4">
        <v>46036</v>
      </c>
      <c r="F81" s="19"/>
      <c r="G81" s="19">
        <v>3.5159999999999627</v>
      </c>
      <c r="J81" s="27">
        <f t="shared" si="1"/>
        <v>28.653799999999933</v>
      </c>
      <c r="L81" s="19"/>
    </row>
    <row r="82" spans="1:12" x14ac:dyDescent="0.3">
      <c r="A82" s="4">
        <v>46035</v>
      </c>
      <c r="B82" s="19"/>
      <c r="C82" s="19">
        <v>1.4899000000000342</v>
      </c>
      <c r="E82" s="4">
        <v>46035</v>
      </c>
      <c r="F82" s="19"/>
      <c r="G82" s="19">
        <v>11.474300000000028</v>
      </c>
      <c r="J82" s="27">
        <f t="shared" si="1"/>
        <v>12.964200000000062</v>
      </c>
      <c r="L82" s="19"/>
    </row>
    <row r="83" spans="1:12" x14ac:dyDescent="0.3">
      <c r="A83" s="4">
        <v>46034</v>
      </c>
      <c r="B83" s="19"/>
      <c r="C83" s="19">
        <v>15.463599999999985</v>
      </c>
      <c r="E83" s="4">
        <v>46034</v>
      </c>
      <c r="F83" s="19"/>
      <c r="G83" s="19">
        <v>57.595200000000034</v>
      </c>
      <c r="J83" s="27">
        <f t="shared" si="1"/>
        <v>73.058800000000019</v>
      </c>
      <c r="L83" s="19"/>
    </row>
    <row r="84" spans="1:12" x14ac:dyDescent="0.3">
      <c r="A84" s="4">
        <v>46031</v>
      </c>
      <c r="B84" s="19"/>
      <c r="C84" s="19">
        <v>16.598600000000033</v>
      </c>
      <c r="E84" s="4">
        <v>46031</v>
      </c>
      <c r="F84" s="19"/>
      <c r="G84" s="19">
        <v>51.553599999999989</v>
      </c>
      <c r="J84" s="27">
        <f t="shared" si="1"/>
        <v>68.152200000000022</v>
      </c>
      <c r="L84" s="19"/>
    </row>
    <row r="85" spans="1:12" x14ac:dyDescent="0.3">
      <c r="A85" s="4">
        <v>46030</v>
      </c>
      <c r="B85" s="19"/>
      <c r="C85" s="19">
        <v>-39.680099999999982</v>
      </c>
      <c r="E85" s="4">
        <v>46030</v>
      </c>
      <c r="F85" s="19"/>
      <c r="G85" s="19">
        <v>-9.3290999999999826</v>
      </c>
      <c r="J85" s="27">
        <f t="shared" si="1"/>
        <v>-49.009199999999964</v>
      </c>
      <c r="L85" s="19"/>
    </row>
    <row r="86" spans="1:12" x14ac:dyDescent="0.3">
      <c r="A86" s="4">
        <v>46029</v>
      </c>
      <c r="B86" s="19"/>
      <c r="C86" s="19">
        <v>34.900599999999997</v>
      </c>
      <c r="E86" s="4">
        <v>46029</v>
      </c>
      <c r="F86" s="19"/>
      <c r="G86" s="19">
        <v>56.882800000000003</v>
      </c>
      <c r="J86" s="27">
        <f t="shared" si="1"/>
        <v>91.7834</v>
      </c>
      <c r="L86" s="19"/>
    </row>
    <row r="87" spans="1:12" x14ac:dyDescent="0.3">
      <c r="A87" s="4">
        <v>46028</v>
      </c>
      <c r="B87" s="19"/>
      <c r="C87" s="19">
        <v>9.7533999999999992</v>
      </c>
      <c r="E87" s="4">
        <v>46028</v>
      </c>
      <c r="F87" s="19"/>
      <c r="G87" s="19">
        <v>19.032399999999996</v>
      </c>
      <c r="J87" s="27">
        <f t="shared" si="1"/>
        <v>28.785799999999995</v>
      </c>
      <c r="L87" s="19"/>
    </row>
    <row r="88" spans="1:12" x14ac:dyDescent="0.3">
      <c r="A88" s="4">
        <v>46027</v>
      </c>
      <c r="B88" s="19"/>
      <c r="C88" s="19">
        <v>98.085900000000038</v>
      </c>
      <c r="E88" s="4">
        <v>46027</v>
      </c>
      <c r="F88" s="19"/>
      <c r="G88" s="19">
        <v>89.143299999999982</v>
      </c>
      <c r="J88" s="27">
        <f t="shared" si="1"/>
        <v>187.22920000000002</v>
      </c>
      <c r="L88" s="19"/>
    </row>
    <row r="89" spans="1:12" x14ac:dyDescent="0.3">
      <c r="A89" s="4">
        <v>46022</v>
      </c>
      <c r="B89" s="19"/>
      <c r="C89" s="19">
        <v>30.974100000000021</v>
      </c>
      <c r="E89" s="4">
        <v>46022</v>
      </c>
      <c r="F89" s="19"/>
      <c r="G89" s="19">
        <v>3.5144000000000091</v>
      </c>
      <c r="J89" s="27">
        <f t="shared" si="1"/>
        <v>34.48850000000003</v>
      </c>
      <c r="L89" s="19"/>
    </row>
    <row r="90" spans="1:12" x14ac:dyDescent="0.3">
      <c r="A90" s="4">
        <v>46021</v>
      </c>
      <c r="B90" s="19"/>
      <c r="C90" s="19">
        <v>-13.269400000000019</v>
      </c>
      <c r="E90" s="4">
        <v>46021</v>
      </c>
      <c r="F90" s="19"/>
      <c r="G90" s="19">
        <v>-25.177300000000002</v>
      </c>
      <c r="J90" s="27">
        <f t="shared" si="1"/>
        <v>-38.446700000000021</v>
      </c>
      <c r="L90" s="19"/>
    </row>
    <row r="91" spans="1:12" x14ac:dyDescent="0.3">
      <c r="A91" s="4">
        <v>46020</v>
      </c>
      <c r="B91" s="19"/>
      <c r="C91" s="19">
        <v>-3.305499999999995</v>
      </c>
      <c r="E91" s="4">
        <v>46020</v>
      </c>
      <c r="F91" s="19"/>
      <c r="G91" s="19">
        <v>-30.835599999999999</v>
      </c>
      <c r="J91" s="27">
        <f t="shared" si="1"/>
        <v>-34.141099999999994</v>
      </c>
      <c r="L91" s="19"/>
    </row>
    <row r="92" spans="1:12" x14ac:dyDescent="0.3">
      <c r="A92" s="4">
        <v>46015</v>
      </c>
      <c r="B92" s="19"/>
      <c r="C92" s="19">
        <v>-5.5152999999999963</v>
      </c>
      <c r="E92" s="4">
        <v>46015</v>
      </c>
      <c r="F92" s="19"/>
      <c r="G92" s="19">
        <v>-6.2355999999999909</v>
      </c>
      <c r="J92" s="27">
        <f t="shared" si="1"/>
        <v>-11.750899999999987</v>
      </c>
      <c r="L92" s="19"/>
    </row>
    <row r="93" spans="1:12" x14ac:dyDescent="0.3">
      <c r="A93" s="4">
        <v>46014</v>
      </c>
      <c r="B93" s="19"/>
      <c r="C93" s="19">
        <v>-5.8220000000000027</v>
      </c>
      <c r="E93" s="4">
        <v>46014</v>
      </c>
      <c r="F93" s="19"/>
      <c r="G93" s="19">
        <v>11.934100000000001</v>
      </c>
      <c r="J93" s="27">
        <f t="shared" si="1"/>
        <v>6.1120999999999981</v>
      </c>
      <c r="L93" s="19"/>
    </row>
    <row r="94" spans="1:12" x14ac:dyDescent="0.3">
      <c r="A94" s="4">
        <v>46013</v>
      </c>
      <c r="B94" s="19"/>
      <c r="C94" s="19">
        <v>-8.2402000000000157</v>
      </c>
      <c r="E94" s="4">
        <v>46013</v>
      </c>
      <c r="F94" s="19"/>
      <c r="G94" s="19">
        <v>39.493700000000018</v>
      </c>
      <c r="J94" s="27">
        <f t="shared" si="1"/>
        <v>31.253500000000003</v>
      </c>
      <c r="L94" s="19"/>
    </row>
    <row r="95" spans="1:12" x14ac:dyDescent="0.3">
      <c r="A95" s="4">
        <v>46010</v>
      </c>
      <c r="B95" s="19"/>
      <c r="C95" s="19">
        <v>-9.2657999999999845</v>
      </c>
      <c r="E95" s="4">
        <v>46010</v>
      </c>
      <c r="F95" s="19"/>
      <c r="G95" s="19">
        <v>42.973000000000013</v>
      </c>
      <c r="J95" s="27">
        <f t="shared" si="1"/>
        <v>33.707200000000029</v>
      </c>
      <c r="L95" s="19"/>
    </row>
    <row r="96" spans="1:12" x14ac:dyDescent="0.3">
      <c r="A96" s="4">
        <v>46009</v>
      </c>
      <c r="B96" s="19"/>
      <c r="C96" s="19">
        <v>-10.95059999999998</v>
      </c>
      <c r="E96" s="4">
        <v>46009</v>
      </c>
      <c r="F96" s="19"/>
      <c r="G96" s="19">
        <v>23.525299999999987</v>
      </c>
      <c r="J96" s="27">
        <f t="shared" si="1"/>
        <v>12.574700000000007</v>
      </c>
      <c r="L96" s="19"/>
    </row>
    <row r="97" spans="1:12" x14ac:dyDescent="0.3">
      <c r="A97" s="4">
        <v>46008</v>
      </c>
      <c r="B97" s="19"/>
      <c r="C97" s="19">
        <v>22.183499999999981</v>
      </c>
      <c r="E97" s="4">
        <v>46008</v>
      </c>
      <c r="F97" s="19"/>
      <c r="G97" s="19">
        <v>56.91119999999998</v>
      </c>
      <c r="J97" s="27">
        <f t="shared" si="1"/>
        <v>79.09469999999996</v>
      </c>
      <c r="L97" s="19"/>
    </row>
    <row r="98" spans="1:12" x14ac:dyDescent="0.3">
      <c r="A98" s="4">
        <v>46007</v>
      </c>
      <c r="B98" s="19"/>
      <c r="C98" s="19">
        <v>-11.056100000000015</v>
      </c>
      <c r="E98" s="4">
        <v>46007</v>
      </c>
      <c r="F98" s="19"/>
      <c r="G98" s="19">
        <v>11.876500000000021</v>
      </c>
      <c r="J98" s="27">
        <f t="shared" si="1"/>
        <v>0.82040000000000646</v>
      </c>
      <c r="L98" s="19"/>
    </row>
    <row r="99" spans="1:12" x14ac:dyDescent="0.3">
      <c r="A99" s="4">
        <v>46006</v>
      </c>
      <c r="B99" s="19"/>
      <c r="C99" s="19">
        <v>4.8884999999999934</v>
      </c>
      <c r="E99" s="4">
        <v>46006</v>
      </c>
      <c r="F99" s="19"/>
      <c r="G99" s="19">
        <v>31.656200000000013</v>
      </c>
      <c r="J99" s="27">
        <f t="shared" si="1"/>
        <v>36.544700000000006</v>
      </c>
      <c r="L99" s="19"/>
    </row>
    <row r="100" spans="1:12" x14ac:dyDescent="0.3">
      <c r="A100" s="4">
        <v>46003</v>
      </c>
      <c r="B100" s="19"/>
      <c r="C100" s="19">
        <v>-65.953399999999988</v>
      </c>
      <c r="E100" s="4">
        <v>46003</v>
      </c>
      <c r="F100" s="19"/>
      <c r="G100" s="19">
        <v>13.086799999999982</v>
      </c>
      <c r="J100" s="27">
        <f t="shared" si="1"/>
        <v>-52.866600000000005</v>
      </c>
      <c r="L100" s="19"/>
    </row>
    <row r="101" spans="1:12" x14ac:dyDescent="0.3">
      <c r="A101" s="4">
        <v>46002</v>
      </c>
      <c r="B101" s="19"/>
      <c r="C101" s="19">
        <v>-3.2010999999999967</v>
      </c>
      <c r="E101" s="4">
        <v>46002</v>
      </c>
      <c r="F101" s="19"/>
      <c r="G101" s="19">
        <v>11.111199999999997</v>
      </c>
      <c r="J101" s="27">
        <f t="shared" si="1"/>
        <v>7.9100999999999999</v>
      </c>
      <c r="L101" s="19"/>
    </row>
    <row r="102" spans="1:12" x14ac:dyDescent="0.3">
      <c r="A102" s="4">
        <v>46001</v>
      </c>
      <c r="B102" s="19"/>
      <c r="C102" s="19">
        <v>-32.209300000000013</v>
      </c>
      <c r="E102" s="4">
        <v>46001</v>
      </c>
      <c r="F102" s="19"/>
      <c r="G102" s="19">
        <v>22.025100000000009</v>
      </c>
      <c r="J102" s="27">
        <f t="shared" si="1"/>
        <v>-10.184200000000004</v>
      </c>
      <c r="L102" s="19"/>
    </row>
    <row r="103" spans="1:12" x14ac:dyDescent="0.3">
      <c r="A103" s="4">
        <v>46000</v>
      </c>
      <c r="B103" s="19"/>
      <c r="C103" s="19">
        <v>-3.5249000000000024</v>
      </c>
      <c r="E103" s="4">
        <v>46000</v>
      </c>
      <c r="F103" s="19"/>
      <c r="G103" s="19">
        <v>8.8318999999999903</v>
      </c>
      <c r="J103" s="27">
        <f t="shared" si="1"/>
        <v>5.3069999999999879</v>
      </c>
      <c r="L103" s="19"/>
    </row>
    <row r="104" spans="1:12" x14ac:dyDescent="0.3">
      <c r="A104" s="4">
        <v>45999</v>
      </c>
      <c r="B104" s="19"/>
      <c r="C104" s="19">
        <v>11.081700000000012</v>
      </c>
      <c r="E104" s="4">
        <v>45999</v>
      </c>
      <c r="F104" s="19"/>
      <c r="G104" s="19">
        <v>4.320999999999998</v>
      </c>
      <c r="J104" s="27">
        <f t="shared" si="1"/>
        <v>15.40270000000001</v>
      </c>
      <c r="L104" s="19"/>
    </row>
    <row r="105" spans="1:12" x14ac:dyDescent="0.3">
      <c r="A105" s="4">
        <v>45996</v>
      </c>
      <c r="B105" s="19"/>
      <c r="C105" s="19">
        <v>-3.9425999999999988</v>
      </c>
      <c r="E105" s="4">
        <v>45996</v>
      </c>
      <c r="F105" s="19"/>
      <c r="G105" s="19">
        <v>17.348600000000005</v>
      </c>
      <c r="J105" s="27">
        <f t="shared" si="1"/>
        <v>13.406000000000006</v>
      </c>
      <c r="L105" s="19"/>
    </row>
    <row r="106" spans="1:12" x14ac:dyDescent="0.3">
      <c r="A106" s="4">
        <v>45995</v>
      </c>
      <c r="B106" s="19"/>
      <c r="C106" s="19">
        <v>-10.004899999999992</v>
      </c>
      <c r="E106" s="4">
        <v>45995</v>
      </c>
      <c r="F106" s="19"/>
      <c r="G106" s="19">
        <v>24.80510000000001</v>
      </c>
      <c r="J106" s="27">
        <f t="shared" si="1"/>
        <v>14.800200000000018</v>
      </c>
      <c r="L106" s="19"/>
    </row>
    <row r="107" spans="1:12" x14ac:dyDescent="0.3">
      <c r="A107" s="4">
        <v>45994</v>
      </c>
      <c r="B107" s="19"/>
      <c r="C107" s="19">
        <v>5.4755999999999858</v>
      </c>
      <c r="E107" s="4">
        <v>45994</v>
      </c>
      <c r="F107" s="19"/>
      <c r="G107" s="19">
        <v>17.317899999999995</v>
      </c>
      <c r="J107" s="27">
        <f t="shared" si="1"/>
        <v>22.79349999999998</v>
      </c>
      <c r="L107" s="19"/>
    </row>
    <row r="108" spans="1:12" x14ac:dyDescent="0.3">
      <c r="A108" s="4">
        <v>45993</v>
      </c>
      <c r="B108" s="19"/>
      <c r="C108" s="19">
        <v>10.303799999999995</v>
      </c>
      <c r="E108" s="4">
        <v>45993</v>
      </c>
      <c r="F108" s="19"/>
      <c r="G108" s="19">
        <v>30.706500000000005</v>
      </c>
      <c r="J108" s="27">
        <f t="shared" si="1"/>
        <v>41.010300000000001</v>
      </c>
      <c r="L108" s="19"/>
    </row>
    <row r="109" spans="1:12" x14ac:dyDescent="0.3">
      <c r="A109" s="4">
        <v>45992</v>
      </c>
      <c r="B109" s="19"/>
      <c r="C109" s="19">
        <v>-7.6505000000000223</v>
      </c>
      <c r="E109" s="4">
        <v>45992</v>
      </c>
      <c r="F109" s="19"/>
      <c r="G109" s="19">
        <v>29.133199999999988</v>
      </c>
      <c r="J109" s="27">
        <f t="shared" si="1"/>
        <v>21.482699999999966</v>
      </c>
      <c r="L109" s="19"/>
    </row>
    <row r="110" spans="1:12" x14ac:dyDescent="0.3">
      <c r="A110" s="4">
        <v>45989</v>
      </c>
      <c r="B110" s="19"/>
      <c r="C110" s="19">
        <v>9.3256000000000085</v>
      </c>
      <c r="E110" s="4">
        <v>45989</v>
      </c>
      <c r="F110" s="19"/>
      <c r="G110" s="19">
        <v>17.944000000000003</v>
      </c>
      <c r="J110" s="27">
        <f t="shared" si="1"/>
        <v>27.269600000000011</v>
      </c>
      <c r="L110" s="19"/>
    </row>
    <row r="111" spans="1:12" x14ac:dyDescent="0.3">
      <c r="A111" s="4">
        <v>45988</v>
      </c>
      <c r="B111" s="19"/>
      <c r="C111" s="19">
        <v>6.3512000000000057</v>
      </c>
      <c r="E111" s="4">
        <v>45988</v>
      </c>
      <c r="F111" s="19"/>
      <c r="G111" s="19">
        <v>6.9312999999999931</v>
      </c>
      <c r="J111" s="27">
        <f t="shared" si="1"/>
        <v>13.282499999999999</v>
      </c>
      <c r="L111" s="19"/>
    </row>
    <row r="112" spans="1:12" x14ac:dyDescent="0.3">
      <c r="A112" s="4">
        <v>45987</v>
      </c>
      <c r="B112" s="19"/>
      <c r="C112" s="19">
        <v>-14.334599999999966</v>
      </c>
      <c r="E112" s="4">
        <v>45987</v>
      </c>
      <c r="F112" s="19"/>
      <c r="G112" s="19">
        <v>-25.181700000000006</v>
      </c>
      <c r="J112" s="27">
        <f t="shared" si="1"/>
        <v>-39.516299999999973</v>
      </c>
      <c r="L112" s="19"/>
    </row>
    <row r="113" spans="1:12" x14ac:dyDescent="0.3">
      <c r="A113" s="4">
        <v>45986</v>
      </c>
      <c r="B113" s="19"/>
      <c r="C113" s="19">
        <v>71.371899999999982</v>
      </c>
      <c r="E113" s="4">
        <v>45986</v>
      </c>
      <c r="F113" s="19"/>
      <c r="G113" s="19">
        <v>40.284699999999987</v>
      </c>
      <c r="J113" s="27">
        <f t="shared" si="1"/>
        <v>111.65659999999997</v>
      </c>
      <c r="L113" s="19"/>
    </row>
    <row r="114" spans="1:12" x14ac:dyDescent="0.3">
      <c r="A114" s="4">
        <v>45985</v>
      </c>
      <c r="B114" s="19"/>
      <c r="C114" s="19">
        <v>20.775499999999965</v>
      </c>
      <c r="E114" s="4">
        <v>45985</v>
      </c>
      <c r="F114" s="19"/>
      <c r="G114" s="19">
        <v>64.937900000000013</v>
      </c>
      <c r="J114" s="27">
        <f t="shared" si="1"/>
        <v>85.713399999999979</v>
      </c>
      <c r="L114" s="19"/>
    </row>
    <row r="115" spans="1:12" x14ac:dyDescent="0.3">
      <c r="A115" s="4">
        <v>45982</v>
      </c>
      <c r="B115" s="19"/>
      <c r="C115" s="19">
        <v>4.9794999999999732</v>
      </c>
      <c r="E115" s="4">
        <v>45982</v>
      </c>
      <c r="F115" s="19"/>
      <c r="G115" s="19">
        <v>-3.927299999999974</v>
      </c>
      <c r="J115" s="27">
        <f t="shared" si="1"/>
        <v>1.0521999999999991</v>
      </c>
      <c r="L115" s="19"/>
    </row>
    <row r="116" spans="1:12" x14ac:dyDescent="0.3">
      <c r="A116" s="4">
        <v>45981</v>
      </c>
      <c r="B116" s="19"/>
      <c r="C116" s="19">
        <v>78.076999999999998</v>
      </c>
      <c r="E116" s="4">
        <v>45981</v>
      </c>
      <c r="F116" s="19"/>
      <c r="G116" s="19">
        <v>81.841700000000003</v>
      </c>
      <c r="J116" s="27">
        <f t="shared" si="1"/>
        <v>159.9187</v>
      </c>
      <c r="L116" s="19"/>
    </row>
    <row r="117" spans="1:12" x14ac:dyDescent="0.3">
      <c r="A117" s="4">
        <v>45980</v>
      </c>
      <c r="B117" s="19"/>
      <c r="C117" s="19">
        <v>24.893900000000002</v>
      </c>
      <c r="E117" s="4">
        <v>45980</v>
      </c>
      <c r="F117" s="19"/>
      <c r="G117" s="19">
        <v>41.012799999999999</v>
      </c>
      <c r="J117" s="27">
        <f t="shared" si="1"/>
        <v>65.906700000000001</v>
      </c>
      <c r="L117" s="19"/>
    </row>
    <row r="118" spans="1:12" x14ac:dyDescent="0.3">
      <c r="A118" s="4">
        <v>45979</v>
      </c>
      <c r="B118" s="19"/>
      <c r="C118" s="19">
        <v>27.446899999999971</v>
      </c>
      <c r="E118" s="4">
        <v>45979</v>
      </c>
      <c r="F118" s="19"/>
      <c r="G118" s="19">
        <v>47.213899999999995</v>
      </c>
      <c r="J118" s="27">
        <f t="shared" si="1"/>
        <v>74.660799999999966</v>
      </c>
      <c r="L118" s="19"/>
    </row>
    <row r="119" spans="1:12" x14ac:dyDescent="0.3">
      <c r="A119" s="4">
        <v>45978</v>
      </c>
      <c r="B119" s="19"/>
      <c r="C119" s="19">
        <v>43.350500000000011</v>
      </c>
      <c r="E119" s="4">
        <v>45978</v>
      </c>
      <c r="F119" s="19"/>
      <c r="G119" s="19">
        <v>41.129400000000004</v>
      </c>
      <c r="J119" s="27">
        <f t="shared" si="1"/>
        <v>84.479900000000015</v>
      </c>
      <c r="L119" s="19"/>
    </row>
    <row r="120" spans="1:12" x14ac:dyDescent="0.3">
      <c r="A120" s="4">
        <v>45975</v>
      </c>
      <c r="B120" s="19"/>
      <c r="C120" s="19">
        <v>72.727199999999982</v>
      </c>
      <c r="E120" s="4">
        <v>45975</v>
      </c>
      <c r="F120" s="19"/>
      <c r="G120" s="19">
        <v>56.138800000000003</v>
      </c>
      <c r="J120" s="27">
        <f t="shared" si="1"/>
        <v>128.86599999999999</v>
      </c>
      <c r="L120" s="19"/>
    </row>
    <row r="121" spans="1:12" x14ac:dyDescent="0.3">
      <c r="A121" s="4">
        <v>45974</v>
      </c>
      <c r="B121" s="19"/>
      <c r="C121" s="19">
        <v>-21.277600000000007</v>
      </c>
      <c r="E121" s="4">
        <v>45974</v>
      </c>
      <c r="F121" s="19"/>
      <c r="G121" s="19">
        <v>-13.928799999999995</v>
      </c>
      <c r="J121" s="27">
        <f t="shared" si="1"/>
        <v>-35.206400000000002</v>
      </c>
      <c r="L121" s="19"/>
    </row>
    <row r="122" spans="1:12" x14ac:dyDescent="0.3">
      <c r="A122" s="4">
        <v>45973</v>
      </c>
      <c r="B122" s="19"/>
      <c r="C122" s="19">
        <v>33.969800000000021</v>
      </c>
      <c r="E122" s="4">
        <v>45973</v>
      </c>
      <c r="F122" s="19"/>
      <c r="G122" s="19">
        <v>8.8935999999999922</v>
      </c>
      <c r="L122" s="19"/>
    </row>
    <row r="123" spans="1:12" x14ac:dyDescent="0.3">
      <c r="A123" s="4">
        <v>45972</v>
      </c>
      <c r="B123" s="19"/>
      <c r="C123" s="19">
        <v>26.813199999999995</v>
      </c>
      <c r="E123" s="4">
        <v>45972</v>
      </c>
      <c r="F123" s="19"/>
      <c r="G123" s="19">
        <v>17.856300000000005</v>
      </c>
      <c r="L123" s="19"/>
    </row>
    <row r="124" spans="1:12" x14ac:dyDescent="0.3">
      <c r="A124" s="4">
        <v>45971</v>
      </c>
      <c r="B124" s="19"/>
      <c r="C124" s="19">
        <v>11.517100000000028</v>
      </c>
      <c r="E124" s="4">
        <v>45971</v>
      </c>
      <c r="F124" s="19"/>
      <c r="G124" s="19">
        <v>55.018799999999999</v>
      </c>
      <c r="L124" s="19"/>
    </row>
    <row r="125" spans="1:12" x14ac:dyDescent="0.3">
      <c r="A125" s="4">
        <v>45968</v>
      </c>
      <c r="B125" s="19"/>
      <c r="C125" s="19">
        <v>36.862699999999961</v>
      </c>
      <c r="E125" s="4">
        <v>45968</v>
      </c>
      <c r="F125" s="19"/>
      <c r="G125" s="19">
        <v>38.366299999999995</v>
      </c>
      <c r="L125" s="19"/>
    </row>
    <row r="126" spans="1:12" x14ac:dyDescent="0.3">
      <c r="A126" s="4">
        <v>45967</v>
      </c>
      <c r="B126" s="19"/>
      <c r="C126" s="19">
        <v>13.513299999999958</v>
      </c>
      <c r="E126" s="4">
        <v>45967</v>
      </c>
      <c r="F126" s="19"/>
      <c r="G126" s="19">
        <v>41.27940000000001</v>
      </c>
      <c r="L126" s="19"/>
    </row>
    <row r="127" spans="1:12" x14ac:dyDescent="0.3">
      <c r="A127" s="4">
        <v>45966</v>
      </c>
      <c r="B127" s="19"/>
      <c r="C127" s="19">
        <v>33.592699999999979</v>
      </c>
      <c r="E127" s="4">
        <v>45966</v>
      </c>
      <c r="F127" s="19"/>
      <c r="G127" s="19">
        <v>70.139199999999988</v>
      </c>
      <c r="L127" s="19"/>
    </row>
    <row r="128" spans="1:12" x14ac:dyDescent="0.3">
      <c r="A128" s="4">
        <v>45965</v>
      </c>
      <c r="B128" s="19"/>
      <c r="C128" s="19">
        <v>52.015899999999988</v>
      </c>
      <c r="E128" s="4">
        <v>45965</v>
      </c>
      <c r="F128" s="19"/>
      <c r="G128" s="19">
        <v>46.305000000000007</v>
      </c>
      <c r="L128" s="19"/>
    </row>
    <row r="129" spans="1:12" x14ac:dyDescent="0.3">
      <c r="A129" s="4">
        <v>45964</v>
      </c>
      <c r="B129" s="19"/>
      <c r="C129" s="19">
        <v>13.035200000000032</v>
      </c>
      <c r="E129" s="4">
        <v>45964</v>
      </c>
      <c r="F129" s="19"/>
      <c r="G129" s="19">
        <v>41.683000000000021</v>
      </c>
      <c r="L129" s="19"/>
    </row>
    <row r="130" spans="1:12" x14ac:dyDescent="0.3">
      <c r="A130" s="4">
        <v>45961</v>
      </c>
      <c r="B130" s="19"/>
      <c r="C130" s="19">
        <v>57.715200000000038</v>
      </c>
      <c r="E130" s="4">
        <v>45961</v>
      </c>
      <c r="F130" s="19"/>
      <c r="G130" s="19">
        <v>29.47399999999999</v>
      </c>
    </row>
    <row r="131" spans="1:12" x14ac:dyDescent="0.3">
      <c r="A131" s="4">
        <v>45960</v>
      </c>
      <c r="B131" s="19"/>
      <c r="C131" s="19">
        <v>66.115700000000004</v>
      </c>
      <c r="E131" s="4">
        <v>45960</v>
      </c>
      <c r="F131" s="19"/>
      <c r="G131" s="19">
        <v>70.297500000000014</v>
      </c>
    </row>
    <row r="132" spans="1:12" x14ac:dyDescent="0.3">
      <c r="A132" s="4">
        <v>45958</v>
      </c>
      <c r="B132" s="19"/>
      <c r="C132" s="19">
        <v>18.120599999999968</v>
      </c>
      <c r="E132" s="4">
        <v>45958</v>
      </c>
      <c r="F132" s="19"/>
      <c r="G132" s="19">
        <v>4.462299999999999</v>
      </c>
    </row>
    <row r="133" spans="1:12" x14ac:dyDescent="0.3">
      <c r="A133" s="4">
        <v>45957</v>
      </c>
      <c r="B133" s="19"/>
      <c r="C133" s="19">
        <v>16.455299999999966</v>
      </c>
      <c r="E133" s="4">
        <v>45957</v>
      </c>
      <c r="F133" s="19"/>
      <c r="G133" s="19">
        <v>12.274400000000014</v>
      </c>
    </row>
    <row r="134" spans="1:12" x14ac:dyDescent="0.3">
      <c r="A134" s="4">
        <v>45954</v>
      </c>
      <c r="B134" s="19"/>
      <c r="C134" s="19">
        <v>7.0434999999999945</v>
      </c>
      <c r="E134" s="4">
        <v>45954</v>
      </c>
      <c r="F134" s="19"/>
      <c r="G134" s="19">
        <v>27.098800000000011</v>
      </c>
    </row>
    <row r="135" spans="1:12" x14ac:dyDescent="0.3">
      <c r="A135" s="4">
        <v>45953</v>
      </c>
      <c r="B135" s="19"/>
      <c r="C135" s="19">
        <v>47.699400000000026</v>
      </c>
      <c r="E135" s="4">
        <v>45953</v>
      </c>
      <c r="F135" s="19"/>
      <c r="G135" s="19">
        <v>5.7464999999999975</v>
      </c>
    </row>
    <row r="136" spans="1:12" x14ac:dyDescent="0.3">
      <c r="A136" s="4">
        <v>45952</v>
      </c>
      <c r="B136" s="19"/>
      <c r="C136" s="19">
        <v>66.929699999999968</v>
      </c>
      <c r="E136" s="4">
        <v>45952</v>
      </c>
      <c r="F136" s="19"/>
      <c r="G136" s="19">
        <v>33.249099999999999</v>
      </c>
    </row>
    <row r="137" spans="1:12" x14ac:dyDescent="0.3">
      <c r="A137" s="4">
        <v>45951</v>
      </c>
      <c r="B137" s="19"/>
      <c r="C137" s="19">
        <v>25.239199999999983</v>
      </c>
      <c r="E137" s="4">
        <v>45951</v>
      </c>
      <c r="F137" s="19"/>
      <c r="G137" s="19">
        <v>-13.531999999999982</v>
      </c>
    </row>
    <row r="138" spans="1:12" x14ac:dyDescent="0.3">
      <c r="A138" s="4">
        <v>45950</v>
      </c>
      <c r="B138" s="19"/>
      <c r="C138" s="19">
        <v>-22.861499999999978</v>
      </c>
      <c r="E138" s="4">
        <v>45950</v>
      </c>
      <c r="F138" s="19"/>
      <c r="G138" s="19">
        <v>-3.8397999999999968</v>
      </c>
    </row>
    <row r="139" spans="1:12" x14ac:dyDescent="0.3">
      <c r="A139" s="4">
        <v>45947</v>
      </c>
      <c r="B139" s="19"/>
      <c r="C139" s="19">
        <v>56.56</v>
      </c>
      <c r="E139" s="4">
        <v>45947</v>
      </c>
      <c r="F139" s="19"/>
      <c r="G139" s="19">
        <v>6.4667999999999779</v>
      </c>
    </row>
    <row r="140" spans="1:12" x14ac:dyDescent="0.3">
      <c r="A140" s="4">
        <v>45946</v>
      </c>
      <c r="B140" s="19"/>
      <c r="C140" s="19">
        <v>86.715200000000038</v>
      </c>
      <c r="E140" s="4">
        <v>45946</v>
      </c>
      <c r="F140" s="19"/>
      <c r="G140" s="19">
        <v>71.502999999999986</v>
      </c>
    </row>
    <row r="141" spans="1:12" x14ac:dyDescent="0.3">
      <c r="A141" s="4">
        <v>45945</v>
      </c>
      <c r="B141" s="19"/>
      <c r="C141" s="19">
        <v>-63.099500000000035</v>
      </c>
      <c r="E141" s="4">
        <v>45945</v>
      </c>
      <c r="F141" s="19"/>
      <c r="G141" s="19">
        <v>8.6646000000000072</v>
      </c>
    </row>
    <row r="142" spans="1:12" x14ac:dyDescent="0.3">
      <c r="A142" s="4">
        <v>45944</v>
      </c>
      <c r="B142" s="19"/>
      <c r="C142" s="19">
        <v>49.727399999999989</v>
      </c>
      <c r="E142" s="4">
        <v>45944</v>
      </c>
      <c r="F142" s="19"/>
      <c r="G142" s="19">
        <v>36.305499999999995</v>
      </c>
    </row>
    <row r="143" spans="1:12" x14ac:dyDescent="0.3">
      <c r="A143" s="4">
        <v>45943</v>
      </c>
      <c r="B143" s="19"/>
      <c r="C143" s="19">
        <v>75.980500000000006</v>
      </c>
      <c r="E143" s="4">
        <v>45943</v>
      </c>
      <c r="F143" s="19"/>
      <c r="G143" s="19">
        <v>122.06349999999998</v>
      </c>
    </row>
    <row r="144" spans="1:12" x14ac:dyDescent="0.3">
      <c r="A144" s="4">
        <v>45940</v>
      </c>
      <c r="B144" s="19"/>
      <c r="C144" s="19">
        <v>-12.199000000000069</v>
      </c>
      <c r="E144" s="4">
        <v>45940</v>
      </c>
      <c r="F144" s="19"/>
      <c r="G144" s="19">
        <v>8.2124000000000024</v>
      </c>
    </row>
    <row r="145" spans="1:7" x14ac:dyDescent="0.3">
      <c r="A145" s="4">
        <v>45939</v>
      </c>
      <c r="B145" s="19"/>
      <c r="C145" s="19">
        <v>48.528699999999958</v>
      </c>
      <c r="E145" s="4">
        <v>45939</v>
      </c>
      <c r="F145" s="19"/>
      <c r="G145" s="19">
        <v>-18.096000000000004</v>
      </c>
    </row>
    <row r="146" spans="1:7" x14ac:dyDescent="0.3">
      <c r="A146" s="4">
        <v>45930</v>
      </c>
      <c r="B146" s="19"/>
      <c r="C146" s="19">
        <v>90.791699999999992</v>
      </c>
      <c r="E146" s="4">
        <v>45930</v>
      </c>
      <c r="F146" s="19"/>
      <c r="G146" s="19">
        <v>64.011400000000009</v>
      </c>
    </row>
    <row r="147" spans="1:7" x14ac:dyDescent="0.3">
      <c r="A147" s="4">
        <v>45929</v>
      </c>
      <c r="B147" s="19"/>
      <c r="C147" s="19">
        <v>-23.576200000000028</v>
      </c>
      <c r="E147" s="4">
        <v>45929</v>
      </c>
      <c r="F147" s="19"/>
      <c r="G147" s="19">
        <v>7.0363999999999578</v>
      </c>
    </row>
    <row r="148" spans="1:7" x14ac:dyDescent="0.3">
      <c r="A148" s="4">
        <v>45926</v>
      </c>
      <c r="B148" s="19"/>
      <c r="C148" s="19">
        <v>73.662400000000048</v>
      </c>
      <c r="E148" s="4">
        <v>45926</v>
      </c>
      <c r="F148" s="19"/>
      <c r="G148" s="19">
        <v>31.742600000000039</v>
      </c>
    </row>
    <row r="149" spans="1:7" x14ac:dyDescent="0.3">
      <c r="A149" s="4">
        <v>45925</v>
      </c>
      <c r="B149" s="19"/>
      <c r="C149" s="19">
        <v>48.296300000000031</v>
      </c>
      <c r="E149" s="4">
        <v>45925</v>
      </c>
      <c r="F149" s="19"/>
      <c r="G149" s="19">
        <v>62.163000000000011</v>
      </c>
    </row>
    <row r="150" spans="1:7" x14ac:dyDescent="0.3">
      <c r="A150" s="4">
        <v>45924</v>
      </c>
      <c r="B150" s="19"/>
      <c r="C150" s="19">
        <v>52.24980000000005</v>
      </c>
      <c r="E150" s="4">
        <v>45924</v>
      </c>
      <c r="F150" s="19"/>
      <c r="G150" s="19">
        <v>84.796000000000021</v>
      </c>
    </row>
    <row r="151" spans="1:7" x14ac:dyDescent="0.3">
      <c r="A151" s="4">
        <v>45923</v>
      </c>
      <c r="B151" s="19"/>
      <c r="C151" s="19">
        <v>-23.216200000000015</v>
      </c>
      <c r="E151" s="4">
        <v>45923</v>
      </c>
      <c r="F151" s="19"/>
      <c r="G151" s="19">
        <v>-17.472300000000018</v>
      </c>
    </row>
    <row r="152" spans="1:7" x14ac:dyDescent="0.3">
      <c r="A152" s="4">
        <v>45922</v>
      </c>
      <c r="B152" s="19"/>
      <c r="C152" s="19">
        <v>81.536900000000003</v>
      </c>
      <c r="E152" s="4">
        <v>45922</v>
      </c>
      <c r="F152" s="19"/>
      <c r="G152" s="19">
        <v>45.826899999999995</v>
      </c>
    </row>
    <row r="153" spans="1:7" x14ac:dyDescent="0.3">
      <c r="A153" s="4">
        <v>45919</v>
      </c>
      <c r="B153" s="19"/>
      <c r="C153" s="19">
        <v>52.834300000000042</v>
      </c>
      <c r="E153" s="4">
        <v>45919</v>
      </c>
      <c r="F153" s="19"/>
      <c r="G153" s="19">
        <v>45.547800000000024</v>
      </c>
    </row>
    <row r="154" spans="1:7" x14ac:dyDescent="0.3">
      <c r="A154" s="4">
        <v>45918</v>
      </c>
      <c r="B154" s="19"/>
      <c r="C154" s="19">
        <v>19.068199999999933</v>
      </c>
      <c r="E154" s="4">
        <v>45918</v>
      </c>
      <c r="F154" s="19"/>
      <c r="G154" s="19">
        <v>43.816400000000044</v>
      </c>
    </row>
    <row r="155" spans="1:7" x14ac:dyDescent="0.3">
      <c r="A155" s="4">
        <v>45917</v>
      </c>
      <c r="B155" s="19"/>
      <c r="C155" s="19">
        <v>21.556299999999965</v>
      </c>
      <c r="E155" s="4">
        <v>45917</v>
      </c>
      <c r="F155" s="19"/>
      <c r="G155" s="19">
        <v>72.847899999999981</v>
      </c>
    </row>
    <row r="156" spans="1:7" x14ac:dyDescent="0.3">
      <c r="A156" s="4">
        <v>45916</v>
      </c>
      <c r="B156" s="19"/>
      <c r="C156" s="19">
        <v>-29.758100000000013</v>
      </c>
      <c r="E156" s="4">
        <v>45916</v>
      </c>
      <c r="F156" s="19"/>
      <c r="G156" s="19">
        <v>-2.134900000000016</v>
      </c>
    </row>
    <row r="157" spans="1:7" x14ac:dyDescent="0.3">
      <c r="A157" s="4">
        <v>45915</v>
      </c>
      <c r="B157" s="19"/>
      <c r="C157" s="19">
        <v>69.683400000000006</v>
      </c>
      <c r="E157" s="4">
        <v>45915</v>
      </c>
      <c r="F157" s="19"/>
      <c r="G157" s="19">
        <v>75.045699999999954</v>
      </c>
    </row>
    <row r="158" spans="1:7" x14ac:dyDescent="0.3">
      <c r="A158" s="4">
        <v>45912</v>
      </c>
      <c r="B158" s="19"/>
      <c r="C158" s="19">
        <v>-14.873700000000042</v>
      </c>
      <c r="E158" s="4">
        <v>45912</v>
      </c>
      <c r="F158" s="19"/>
      <c r="G158" s="19">
        <v>88.181399999999996</v>
      </c>
    </row>
    <row r="159" spans="1:7" x14ac:dyDescent="0.3">
      <c r="A159" s="4">
        <v>45911</v>
      </c>
      <c r="B159" s="19"/>
      <c r="C159" s="19">
        <v>80.726300000000037</v>
      </c>
      <c r="E159" s="4">
        <v>45911</v>
      </c>
      <c r="F159" s="19"/>
      <c r="G159" s="19">
        <v>109.16269999999997</v>
      </c>
    </row>
    <row r="160" spans="1:7" x14ac:dyDescent="0.3">
      <c r="A160" s="4">
        <v>45910</v>
      </c>
      <c r="B160" s="19"/>
      <c r="C160" s="19">
        <v>25.363500000000045</v>
      </c>
      <c r="E160" s="4">
        <v>45910</v>
      </c>
      <c r="F160" s="19"/>
      <c r="G160" s="19">
        <v>50.297500000000014</v>
      </c>
    </row>
    <row r="161" spans="1:7" x14ac:dyDescent="0.3">
      <c r="A161" s="4">
        <v>45909</v>
      </c>
      <c r="B161" s="19"/>
      <c r="C161" s="19">
        <v>21.171799999999962</v>
      </c>
      <c r="E161" s="4">
        <v>45909</v>
      </c>
      <c r="F161" s="19"/>
      <c r="G161" s="19">
        <v>81.139499999999998</v>
      </c>
    </row>
    <row r="162" spans="1:7" x14ac:dyDescent="0.3">
      <c r="A162" s="4">
        <v>45908</v>
      </c>
      <c r="B162" s="19"/>
      <c r="C162" s="19">
        <v>81.670700000000011</v>
      </c>
      <c r="E162" s="4">
        <v>45908</v>
      </c>
      <c r="F162" s="19"/>
      <c r="G162" s="19">
        <v>85.376300000000015</v>
      </c>
    </row>
    <row r="163" spans="1:7" x14ac:dyDescent="0.3">
      <c r="A163" s="4">
        <v>45905</v>
      </c>
      <c r="B163" s="19"/>
      <c r="C163" s="19">
        <v>7.3867000000000189</v>
      </c>
      <c r="E163" s="4">
        <v>45905</v>
      </c>
      <c r="F163" s="19"/>
      <c r="G163" s="19">
        <v>48.840199999999982</v>
      </c>
    </row>
    <row r="164" spans="1:7" x14ac:dyDescent="0.3">
      <c r="A164" s="4">
        <v>45904</v>
      </c>
      <c r="B164" s="19"/>
      <c r="C164" s="19">
        <v>13.863800000000026</v>
      </c>
      <c r="E164" s="4">
        <v>45904</v>
      </c>
      <c r="F164" s="19"/>
      <c r="G164" s="19">
        <v>-6.8046999999999684</v>
      </c>
    </row>
    <row r="165" spans="1:7" x14ac:dyDescent="0.3">
      <c r="A165" s="4">
        <v>45903</v>
      </c>
      <c r="B165" s="19"/>
      <c r="C165" s="19">
        <v>32.016999999999996</v>
      </c>
      <c r="E165" s="4">
        <v>45903</v>
      </c>
      <c r="F165" s="19"/>
      <c r="G165" s="19">
        <v>23.067800000000005</v>
      </c>
    </row>
    <row r="166" spans="1:7" x14ac:dyDescent="0.3">
      <c r="A166" s="4">
        <v>45902</v>
      </c>
      <c r="B166" s="19"/>
      <c r="C166" s="19">
        <v>56.355700000000013</v>
      </c>
      <c r="E166" s="4">
        <v>45902</v>
      </c>
      <c r="F166" s="19"/>
      <c r="G166" s="19">
        <v>36.454100000000039</v>
      </c>
    </row>
    <row r="167" spans="1:7" x14ac:dyDescent="0.3">
      <c r="A167" s="4">
        <v>45901</v>
      </c>
      <c r="B167" s="19"/>
      <c r="C167" s="19">
        <v>56.588700000000017</v>
      </c>
      <c r="E167" s="4">
        <v>45901</v>
      </c>
      <c r="F167" s="19"/>
      <c r="G167" s="19">
        <v>62.834099999999978</v>
      </c>
    </row>
    <row r="168" spans="1:7" x14ac:dyDescent="0.3">
      <c r="A168" s="4">
        <v>45898</v>
      </c>
      <c r="B168" s="19"/>
      <c r="C168" s="19">
        <v>13.415899999999965</v>
      </c>
      <c r="E168" s="4">
        <v>45898</v>
      </c>
      <c r="F168" s="19"/>
      <c r="G168" s="19">
        <v>107.03930000000003</v>
      </c>
    </row>
    <row r="169" spans="1:7" x14ac:dyDescent="0.3">
      <c r="A169" s="4">
        <v>45897</v>
      </c>
      <c r="B169" s="19"/>
      <c r="C169" s="19">
        <v>-132.9661000000001</v>
      </c>
      <c r="E169" s="4">
        <v>45897</v>
      </c>
      <c r="F169" s="19"/>
      <c r="G169" s="19">
        <v>-71.442099999999982</v>
      </c>
    </row>
    <row r="170" spans="1:7" x14ac:dyDescent="0.3">
      <c r="A170" s="4">
        <v>45896</v>
      </c>
      <c r="B170" s="19"/>
      <c r="C170" s="19">
        <v>90.048099999999977</v>
      </c>
      <c r="E170" s="4">
        <v>45896</v>
      </c>
      <c r="F170" s="19"/>
      <c r="G170" s="19">
        <v>63.65809999999999</v>
      </c>
    </row>
    <row r="171" spans="1:7" x14ac:dyDescent="0.3">
      <c r="A171" s="4">
        <v>45895</v>
      </c>
      <c r="B171" s="19"/>
      <c r="C171" s="19">
        <v>96.052199999999971</v>
      </c>
      <c r="E171" s="4">
        <v>45895</v>
      </c>
      <c r="F171" s="19"/>
      <c r="G171" s="19">
        <v>69.674500000000023</v>
      </c>
    </row>
    <row r="172" spans="1:7" x14ac:dyDescent="0.3">
      <c r="A172" s="4">
        <v>45894</v>
      </c>
      <c r="B172" s="19"/>
      <c r="C172" s="19">
        <v>-24.362700000000018</v>
      </c>
      <c r="E172" s="4">
        <v>45894</v>
      </c>
      <c r="F172" s="19"/>
      <c r="G172" s="19">
        <v>10.604499999999973</v>
      </c>
    </row>
    <row r="173" spans="1:7" x14ac:dyDescent="0.3">
      <c r="A173" s="4">
        <v>45891</v>
      </c>
      <c r="B173" s="19"/>
      <c r="C173" s="19">
        <v>5.9144999999999754</v>
      </c>
      <c r="E173" s="4">
        <v>45891</v>
      </c>
      <c r="F173" s="19"/>
      <c r="G173" s="19">
        <v>45.743499999999983</v>
      </c>
    </row>
    <row r="174" spans="1:7" x14ac:dyDescent="0.3">
      <c r="A174" s="4">
        <v>45890</v>
      </c>
      <c r="B174" s="19"/>
      <c r="C174" s="19">
        <v>22.011599999999987</v>
      </c>
      <c r="E174" s="4">
        <v>45890</v>
      </c>
      <c r="F174" s="19"/>
      <c r="G174" s="19">
        <v>52.595699999999994</v>
      </c>
    </row>
    <row r="175" spans="1:7" x14ac:dyDescent="0.3">
      <c r="A175" s="4">
        <v>45889</v>
      </c>
      <c r="B175" s="19"/>
      <c r="C175" s="19">
        <v>-75.867699999999957</v>
      </c>
      <c r="E175" s="4">
        <v>45889</v>
      </c>
      <c r="F175" s="19"/>
      <c r="G175" s="19">
        <v>-70.949599999999975</v>
      </c>
    </row>
    <row r="176" spans="1:7" x14ac:dyDescent="0.3">
      <c r="A176" s="4">
        <v>45888</v>
      </c>
      <c r="B176" s="19"/>
      <c r="C176" s="19">
        <v>89.110499999999945</v>
      </c>
      <c r="E176" s="4">
        <v>45888</v>
      </c>
      <c r="F176" s="19"/>
      <c r="G176" s="19">
        <v>96.620499999999993</v>
      </c>
    </row>
    <row r="177" spans="1:7" x14ac:dyDescent="0.3">
      <c r="A177" s="4">
        <v>45887</v>
      </c>
      <c r="B177" s="19"/>
      <c r="C177" s="19">
        <v>19.415200000000027</v>
      </c>
      <c r="E177" s="4">
        <v>45887</v>
      </c>
      <c r="F177" s="19"/>
      <c r="G177" s="19">
        <v>-5.5513000000000261</v>
      </c>
    </row>
    <row r="178" spans="1:7" x14ac:dyDescent="0.3">
      <c r="A178" s="4">
        <v>45884</v>
      </c>
      <c r="B178" s="19"/>
      <c r="C178" s="19">
        <v>197.11750000000001</v>
      </c>
      <c r="E178" s="4">
        <v>45884</v>
      </c>
      <c r="F178" s="19"/>
      <c r="G178" s="19">
        <v>161.64640000000003</v>
      </c>
    </row>
    <row r="179" spans="1:7" x14ac:dyDescent="0.3">
      <c r="A179" s="4">
        <v>45883</v>
      </c>
      <c r="B179" s="19"/>
      <c r="C179" s="19">
        <v>16.451999999999998</v>
      </c>
      <c r="E179" s="4">
        <v>45883</v>
      </c>
      <c r="F179" s="19"/>
      <c r="G179" s="19">
        <v>-6.1146999999999707</v>
      </c>
    </row>
    <row r="180" spans="1:7" x14ac:dyDescent="0.3">
      <c r="A180" s="4">
        <v>45882</v>
      </c>
      <c r="B180" s="19"/>
      <c r="C180" s="19">
        <v>-84.594100000000026</v>
      </c>
      <c r="E180" s="4">
        <v>45882</v>
      </c>
      <c r="F180" s="19"/>
      <c r="G180" s="19">
        <v>1.821200000000033</v>
      </c>
    </row>
    <row r="181" spans="1:7" x14ac:dyDescent="0.3">
      <c r="A181" s="4">
        <v>45881</v>
      </c>
      <c r="B181" s="19"/>
      <c r="C181" s="19">
        <v>46.121999999999957</v>
      </c>
      <c r="E181" s="4">
        <v>45881</v>
      </c>
      <c r="F181" s="19"/>
      <c r="G181" s="19">
        <v>48.38039999999998</v>
      </c>
    </row>
    <row r="182" spans="1:7" x14ac:dyDescent="0.3">
      <c r="A182" s="4">
        <v>45880</v>
      </c>
      <c r="B182" s="19"/>
      <c r="C182" s="19">
        <v>-1.8042000000000371</v>
      </c>
      <c r="E182" s="4">
        <v>45880</v>
      </c>
      <c r="F182" s="19"/>
      <c r="G182" s="19">
        <v>2.1877000000000066</v>
      </c>
    </row>
    <row r="183" spans="1:7" x14ac:dyDescent="0.3">
      <c r="A183" s="4">
        <v>45877</v>
      </c>
      <c r="B183" s="19"/>
      <c r="C183" s="19">
        <v>32.797599999999989</v>
      </c>
      <c r="E183" s="4">
        <v>45877</v>
      </c>
      <c r="F183" s="19"/>
      <c r="G183" s="19">
        <v>29.915600000000012</v>
      </c>
    </row>
    <row r="184" spans="1:7" x14ac:dyDescent="0.3">
      <c r="A184" s="4">
        <v>45876</v>
      </c>
      <c r="B184" s="19"/>
      <c r="C184" s="19">
        <v>-33.627300000000048</v>
      </c>
      <c r="E184" s="4">
        <v>45876</v>
      </c>
      <c r="F184" s="19"/>
      <c r="G184" s="19">
        <v>40.239199999999983</v>
      </c>
    </row>
    <row r="185" spans="1:7" x14ac:dyDescent="0.3">
      <c r="A185" s="4">
        <v>45875</v>
      </c>
      <c r="B185" s="19"/>
      <c r="C185" s="19">
        <v>44.689400000000035</v>
      </c>
      <c r="E185" s="4">
        <v>45875</v>
      </c>
      <c r="F185" s="19"/>
      <c r="G185" s="19">
        <v>50.163400000000024</v>
      </c>
    </row>
    <row r="186" spans="1:7" x14ac:dyDescent="0.3">
      <c r="A186" s="4">
        <v>45874</v>
      </c>
      <c r="B186" s="19"/>
      <c r="C186" s="19">
        <v>139.3623</v>
      </c>
      <c r="E186" s="4">
        <v>45874</v>
      </c>
      <c r="F186" s="19"/>
      <c r="G186" s="19">
        <v>94.893000000000029</v>
      </c>
    </row>
    <row r="187" spans="1:7" x14ac:dyDescent="0.3">
      <c r="A187" s="4">
        <v>45873</v>
      </c>
      <c r="B187" s="19"/>
      <c r="C187" s="19">
        <v>-111.24450000000002</v>
      </c>
      <c r="E187" s="4">
        <v>45873</v>
      </c>
      <c r="F187" s="19"/>
      <c r="G187" s="19">
        <v>-69.676999999999992</v>
      </c>
    </row>
    <row r="188" spans="1:7" x14ac:dyDescent="0.3">
      <c r="A188" s="4">
        <v>45870</v>
      </c>
      <c r="B188" s="19"/>
      <c r="C188" s="19">
        <v>55.753500000000031</v>
      </c>
      <c r="E188" s="4">
        <v>45870</v>
      </c>
      <c r="F188" s="19"/>
      <c r="G188" s="19">
        <v>66.316999999999979</v>
      </c>
    </row>
    <row r="189" spans="1:7" x14ac:dyDescent="0.3">
      <c r="A189" s="4">
        <v>45869</v>
      </c>
      <c r="B189" s="19"/>
      <c r="C189" s="19">
        <v>76.041000000000054</v>
      </c>
      <c r="E189" s="4">
        <v>45869</v>
      </c>
      <c r="F189" s="19"/>
      <c r="G189" s="19">
        <v>55.216700000000003</v>
      </c>
    </row>
    <row r="190" spans="1:7" x14ac:dyDescent="0.3">
      <c r="A190" s="4">
        <v>45868</v>
      </c>
      <c r="B190" s="19"/>
      <c r="C190" s="19">
        <v>64.267499999999984</v>
      </c>
      <c r="E190" s="4">
        <v>45868</v>
      </c>
      <c r="F190" s="19"/>
      <c r="G190" s="19">
        <v>52.87299999999999</v>
      </c>
    </row>
    <row r="191" spans="1:7" x14ac:dyDescent="0.3">
      <c r="A191" s="4">
        <v>45867</v>
      </c>
      <c r="B191" s="19"/>
      <c r="C191" s="19">
        <v>58.781600000000026</v>
      </c>
      <c r="E191" s="4">
        <v>45867</v>
      </c>
      <c r="F191" s="19"/>
      <c r="G191" s="19">
        <v>68.417300000000012</v>
      </c>
    </row>
    <row r="192" spans="1:7" x14ac:dyDescent="0.3">
      <c r="A192" s="4">
        <v>45866</v>
      </c>
      <c r="B192" s="19"/>
      <c r="C192" s="19">
        <v>63.383100000000013</v>
      </c>
      <c r="E192" s="4">
        <v>45866</v>
      </c>
      <c r="F192" s="19"/>
      <c r="G192" s="19">
        <v>29.150499999999965</v>
      </c>
    </row>
    <row r="193" spans="1:7" x14ac:dyDescent="0.3">
      <c r="A193" s="4">
        <v>45863</v>
      </c>
      <c r="B193" s="19"/>
      <c r="C193" s="19">
        <v>114.73869999999999</v>
      </c>
      <c r="E193" s="4">
        <v>45863</v>
      </c>
      <c r="F193" s="19"/>
      <c r="G193" s="19">
        <v>87.097999999999985</v>
      </c>
    </row>
    <row r="194" spans="1:7" x14ac:dyDescent="0.3">
      <c r="A194" s="4">
        <v>45862</v>
      </c>
      <c r="B194" s="19"/>
      <c r="C194" s="19">
        <v>21.518500000000017</v>
      </c>
      <c r="E194" s="4">
        <v>45862</v>
      </c>
      <c r="F194" s="19"/>
      <c r="G194" s="19">
        <v>15.666999999999973</v>
      </c>
    </row>
    <row r="195" spans="1:7" x14ac:dyDescent="0.3">
      <c r="A195" s="4">
        <v>45861</v>
      </c>
      <c r="B195" s="19"/>
      <c r="C195" s="19">
        <v>-9.280399999999986</v>
      </c>
      <c r="E195" s="4">
        <v>45861</v>
      </c>
      <c r="F195" s="19"/>
      <c r="G195" s="19">
        <v>-3.915300000000002</v>
      </c>
    </row>
    <row r="196" spans="1:7" x14ac:dyDescent="0.3">
      <c r="A196" s="4">
        <v>45860</v>
      </c>
      <c r="B196" s="19"/>
      <c r="C196" s="19">
        <v>29.847399999999993</v>
      </c>
      <c r="E196" s="4">
        <v>45860</v>
      </c>
      <c r="F196" s="19"/>
      <c r="G196" s="19">
        <v>-2.6731000000000336</v>
      </c>
    </row>
    <row r="197" spans="1:7" x14ac:dyDescent="0.3">
      <c r="A197" s="4">
        <v>45859</v>
      </c>
      <c r="B197" s="19"/>
      <c r="C197" s="19">
        <v>38.996599999999944</v>
      </c>
      <c r="E197" s="4">
        <v>45859</v>
      </c>
      <c r="F197" s="19"/>
      <c r="G197" s="19">
        <v>31.517300000000034</v>
      </c>
    </row>
    <row r="198" spans="1:7" x14ac:dyDescent="0.3">
      <c r="A198" s="4">
        <v>45856</v>
      </c>
      <c r="B198" s="19"/>
      <c r="C198" s="19">
        <v>32.8827</v>
      </c>
      <c r="E198" s="4">
        <v>45856</v>
      </c>
      <c r="F198" s="19"/>
      <c r="G198" s="19">
        <v>26.430200000000013</v>
      </c>
    </row>
    <row r="199" spans="1:7" x14ac:dyDescent="0.3">
      <c r="A199" s="4">
        <v>45855</v>
      </c>
      <c r="B199" s="19"/>
      <c r="C199" s="19">
        <v>16.684700000000021</v>
      </c>
      <c r="E199" s="4">
        <v>45855</v>
      </c>
      <c r="F199" s="19"/>
      <c r="G199" s="19">
        <v>1.8656000000000006</v>
      </c>
    </row>
    <row r="200" spans="1:7" x14ac:dyDescent="0.3">
      <c r="A200" s="4">
        <v>45854</v>
      </c>
      <c r="B200" s="19"/>
      <c r="C200" s="19">
        <v>20.093200000000024</v>
      </c>
      <c r="E200" s="4">
        <v>45854</v>
      </c>
      <c r="F200" s="19"/>
      <c r="G200" s="19">
        <v>-4.0641999999999996</v>
      </c>
    </row>
    <row r="201" spans="1:7" x14ac:dyDescent="0.3">
      <c r="A201" s="4">
        <v>45853</v>
      </c>
      <c r="B201" s="19"/>
      <c r="C201" s="19">
        <v>15.897899999999993</v>
      </c>
      <c r="E201" s="4">
        <v>45853</v>
      </c>
      <c r="F201" s="19"/>
      <c r="G201" s="19">
        <v>22.341200000000015</v>
      </c>
    </row>
    <row r="202" spans="1:7" x14ac:dyDescent="0.3">
      <c r="A202" s="4">
        <v>45852</v>
      </c>
      <c r="B202" s="19"/>
      <c r="C202" s="19">
        <v>31.021299999999997</v>
      </c>
      <c r="E202" s="4">
        <v>45852</v>
      </c>
      <c r="F202" s="19"/>
      <c r="G202" s="19">
        <v>51.407899999999984</v>
      </c>
    </row>
    <row r="203" spans="1:7" x14ac:dyDescent="0.3">
      <c r="A203" s="4">
        <v>45849</v>
      </c>
      <c r="B203" s="19"/>
      <c r="C203" s="19">
        <v>-21.969000000000051</v>
      </c>
      <c r="E203" s="4">
        <v>45849</v>
      </c>
      <c r="F203" s="19"/>
      <c r="G203" s="19">
        <v>39.405199999999979</v>
      </c>
    </row>
    <row r="204" spans="1:7" x14ac:dyDescent="0.3">
      <c r="A204" s="4">
        <v>45848</v>
      </c>
      <c r="B204" s="19"/>
      <c r="C204" s="19">
        <v>15.790799999999933</v>
      </c>
      <c r="E204" s="4">
        <v>45848</v>
      </c>
      <c r="F204" s="19"/>
      <c r="G204" s="19">
        <v>13.231200000000001</v>
      </c>
    </row>
    <row r="205" spans="1:7" x14ac:dyDescent="0.3">
      <c r="A205" s="4">
        <v>45847</v>
      </c>
      <c r="B205" s="19"/>
      <c r="C205" s="19">
        <v>65.845399999999984</v>
      </c>
      <c r="E205" s="4">
        <v>45847</v>
      </c>
      <c r="F205" s="19"/>
      <c r="G205" s="19">
        <v>26.718500000000006</v>
      </c>
    </row>
    <row r="206" spans="1:7" x14ac:dyDescent="0.3">
      <c r="A206" s="4">
        <v>45846</v>
      </c>
      <c r="B206" s="19"/>
      <c r="C206" s="19">
        <v>-2.3794999999999504</v>
      </c>
      <c r="E206" s="4">
        <v>45846</v>
      </c>
      <c r="F206" s="19"/>
      <c r="G206" s="19">
        <v>6.2461000000000126</v>
      </c>
    </row>
    <row r="207" spans="1:7" x14ac:dyDescent="0.3">
      <c r="A207" s="4">
        <v>45845</v>
      </c>
      <c r="B207" s="19"/>
      <c r="C207" s="19">
        <v>57.906599999999969</v>
      </c>
      <c r="E207" s="4">
        <v>45845</v>
      </c>
      <c r="F207" s="19"/>
      <c r="G207" s="19">
        <v>62.760099999999994</v>
      </c>
    </row>
    <row r="208" spans="1:7" x14ac:dyDescent="0.3">
      <c r="A208" s="4">
        <v>45842</v>
      </c>
      <c r="B208" s="19"/>
      <c r="C208" s="19">
        <v>30.043799999999976</v>
      </c>
      <c r="E208" s="4">
        <v>45842</v>
      </c>
      <c r="F208" s="19"/>
      <c r="G208" s="19">
        <v>36.791000000000025</v>
      </c>
    </row>
    <row r="209" spans="1:7" x14ac:dyDescent="0.3">
      <c r="A209" s="4">
        <v>45841</v>
      </c>
      <c r="B209" s="19"/>
      <c r="C209" s="19">
        <v>-18.661299999999983</v>
      </c>
      <c r="E209" s="4">
        <v>45841</v>
      </c>
      <c r="F209" s="19"/>
      <c r="G209" s="19">
        <v>-11.809899999999999</v>
      </c>
    </row>
    <row r="210" spans="1:7" x14ac:dyDescent="0.3">
      <c r="A210" s="4">
        <v>45840</v>
      </c>
      <c r="B210" s="19"/>
      <c r="C210" s="19">
        <v>12.78959999999995</v>
      </c>
      <c r="E210" s="4">
        <v>45840</v>
      </c>
      <c r="F210" s="19"/>
      <c r="G210" s="19">
        <v>37.570300000000003</v>
      </c>
    </row>
    <row r="211" spans="1:7" x14ac:dyDescent="0.3">
      <c r="A211" s="4">
        <v>45838</v>
      </c>
      <c r="B211" s="19"/>
      <c r="C211" s="19">
        <v>23.934799999999996</v>
      </c>
      <c r="E211" s="4">
        <v>45838</v>
      </c>
      <c r="F211" s="19"/>
      <c r="G211" s="19">
        <v>28.263599999999997</v>
      </c>
    </row>
    <row r="212" spans="1:7" x14ac:dyDescent="0.3">
      <c r="A212" s="4">
        <v>45835</v>
      </c>
      <c r="B212" s="19"/>
      <c r="C212" s="19">
        <v>2.9302999999999884</v>
      </c>
      <c r="E212" s="4">
        <v>45835</v>
      </c>
      <c r="F212" s="19"/>
      <c r="G212" s="19">
        <v>27.442500000000024</v>
      </c>
    </row>
    <row r="213" spans="1:7" x14ac:dyDescent="0.3">
      <c r="A213" s="4">
        <v>45834</v>
      </c>
      <c r="B213" s="19"/>
      <c r="C213" s="19">
        <v>32.406100000000038</v>
      </c>
      <c r="E213" s="4">
        <v>45834</v>
      </c>
      <c r="F213" s="19"/>
      <c r="G213" s="19">
        <v>20.454599999999999</v>
      </c>
    </row>
    <row r="214" spans="1:7" x14ac:dyDescent="0.3">
      <c r="A214" s="4">
        <v>45833</v>
      </c>
      <c r="B214" s="19"/>
      <c r="C214" s="19">
        <v>47.541699999999992</v>
      </c>
      <c r="E214" s="4">
        <v>45833</v>
      </c>
      <c r="F214" s="19"/>
      <c r="G214" s="19">
        <v>48.196100000000001</v>
      </c>
    </row>
    <row r="215" spans="1:7" x14ac:dyDescent="0.3">
      <c r="A215" s="4">
        <v>45832</v>
      </c>
      <c r="B215" s="19"/>
      <c r="C215" s="19">
        <v>8.1158999999999537</v>
      </c>
      <c r="E215" s="4">
        <v>45832</v>
      </c>
      <c r="F215" s="19"/>
      <c r="G215" s="19">
        <v>17.772700000000015</v>
      </c>
    </row>
    <row r="216" spans="1:7" x14ac:dyDescent="0.3">
      <c r="A216" s="4">
        <v>45831</v>
      </c>
      <c r="B216" s="19"/>
      <c r="C216" s="19">
        <v>43.890999999999963</v>
      </c>
      <c r="E216" s="4">
        <v>45831</v>
      </c>
      <c r="F216" s="19"/>
      <c r="G216" s="19">
        <v>35.056599999999975</v>
      </c>
    </row>
    <row r="217" spans="1:7" x14ac:dyDescent="0.3">
      <c r="A217" s="4">
        <v>45828</v>
      </c>
      <c r="B217" s="19"/>
      <c r="C217" s="19">
        <v>-12.416200000000003</v>
      </c>
      <c r="E217" s="4">
        <v>45828</v>
      </c>
      <c r="F217" s="19"/>
      <c r="G217" s="19">
        <v>27.927199999999999</v>
      </c>
    </row>
    <row r="218" spans="1:7" x14ac:dyDescent="0.3">
      <c r="A218" s="4">
        <v>45827</v>
      </c>
      <c r="B218" s="19"/>
      <c r="C218" s="19">
        <v>10.646499999999946</v>
      </c>
      <c r="E218" s="4">
        <v>45827</v>
      </c>
      <c r="F218" s="19"/>
      <c r="G218" s="19">
        <v>3.6252999999999815</v>
      </c>
    </row>
    <row r="219" spans="1:7" x14ac:dyDescent="0.3">
      <c r="A219" s="4">
        <v>45826</v>
      </c>
      <c r="B219" s="19"/>
      <c r="C219" s="19">
        <v>14.709799999999973</v>
      </c>
      <c r="E219" s="4">
        <v>45826</v>
      </c>
      <c r="F219" s="19"/>
      <c r="G219" s="19">
        <v>-2.2939999999999827</v>
      </c>
    </row>
    <row r="220" spans="1:7" x14ac:dyDescent="0.3">
      <c r="A220" s="4">
        <v>45825</v>
      </c>
      <c r="B220" s="19"/>
      <c r="C220" s="19">
        <v>35.802300000000002</v>
      </c>
      <c r="E220" s="4">
        <v>45825</v>
      </c>
      <c r="F220" s="19"/>
      <c r="G220" s="19">
        <v>27.221100000000007</v>
      </c>
    </row>
    <row r="221" spans="1:7" x14ac:dyDescent="0.3">
      <c r="A221" s="4">
        <v>45824</v>
      </c>
      <c r="B221" s="19"/>
      <c r="C221" s="19">
        <v>26.678099999999972</v>
      </c>
      <c r="E221" s="4">
        <v>45824</v>
      </c>
      <c r="F221" s="19"/>
      <c r="G221" s="19">
        <v>30.753100000000018</v>
      </c>
    </row>
    <row r="222" spans="1:7" x14ac:dyDescent="0.3">
      <c r="A222" s="4">
        <v>45821</v>
      </c>
      <c r="B222" s="19"/>
      <c r="C222" s="19">
        <v>-27.894600000000025</v>
      </c>
      <c r="E222" s="4">
        <v>45821</v>
      </c>
      <c r="F222" s="19"/>
      <c r="G222" s="19">
        <v>29.785599999999988</v>
      </c>
    </row>
    <row r="223" spans="1:7" x14ac:dyDescent="0.3">
      <c r="A223" s="4">
        <v>45820</v>
      </c>
      <c r="B223" s="19"/>
      <c r="C223" s="19">
        <v>38.513499999999965</v>
      </c>
      <c r="E223" s="4">
        <v>45820</v>
      </c>
      <c r="F223" s="19"/>
      <c r="G223" s="19">
        <v>17.332799999999992</v>
      </c>
    </row>
    <row r="224" spans="1:7" x14ac:dyDescent="0.3">
      <c r="A224" s="4">
        <v>45819</v>
      </c>
      <c r="B224" s="19"/>
      <c r="C224" s="19">
        <v>2.9968999999999824</v>
      </c>
      <c r="E224" s="4">
        <v>45819</v>
      </c>
      <c r="F224" s="19"/>
      <c r="G224" s="19">
        <v>10.765000000000015</v>
      </c>
    </row>
    <row r="225" spans="1:7" x14ac:dyDescent="0.3">
      <c r="A225" s="4">
        <v>45818</v>
      </c>
      <c r="B225" s="19"/>
      <c r="C225" s="19">
        <v>47.949599999999975</v>
      </c>
      <c r="E225" s="4">
        <v>45818</v>
      </c>
      <c r="F225" s="19"/>
      <c r="G225" s="19">
        <v>27.955299999999994</v>
      </c>
    </row>
    <row r="226" spans="1:7" x14ac:dyDescent="0.3">
      <c r="A226" s="4">
        <v>45817</v>
      </c>
      <c r="B226" s="19"/>
      <c r="C226" s="19">
        <v>-5.3038000000000238</v>
      </c>
      <c r="E226" s="4">
        <v>45817</v>
      </c>
      <c r="F226" s="19"/>
      <c r="G226" s="19">
        <v>12.472199999999987</v>
      </c>
    </row>
    <row r="227" spans="1:7" x14ac:dyDescent="0.3">
      <c r="A227" s="4">
        <v>45814</v>
      </c>
      <c r="B227" s="19"/>
      <c r="C227" s="19">
        <v>77.781400000000019</v>
      </c>
      <c r="E227" s="4">
        <v>45814</v>
      </c>
      <c r="F227" s="19"/>
      <c r="G227" s="19">
        <v>-10.119700000000023</v>
      </c>
    </row>
    <row r="228" spans="1:7" x14ac:dyDescent="0.3">
      <c r="A228" s="4">
        <v>45813</v>
      </c>
      <c r="B228" s="19"/>
      <c r="C228" s="19">
        <v>24.289699999999982</v>
      </c>
      <c r="E228" s="4">
        <v>45813</v>
      </c>
      <c r="F228" s="19"/>
      <c r="G228" s="19">
        <v>-16.879900000000021</v>
      </c>
    </row>
    <row r="229" spans="1:7" x14ac:dyDescent="0.3">
      <c r="A229" s="4">
        <v>45812</v>
      </c>
      <c r="B229" s="19"/>
      <c r="C229" s="19">
        <v>27.739500000000021</v>
      </c>
      <c r="E229" s="4">
        <v>45812</v>
      </c>
      <c r="F229" s="19"/>
      <c r="G229" s="19">
        <v>7.4210999999999956</v>
      </c>
    </row>
    <row r="230" spans="1:7" x14ac:dyDescent="0.3">
      <c r="A230" s="4">
        <v>45811</v>
      </c>
      <c r="B230" s="19"/>
      <c r="C230" s="19">
        <v>29.755100000000027</v>
      </c>
      <c r="E230" s="4">
        <v>45811</v>
      </c>
      <c r="F230" s="19"/>
      <c r="G230" s="19">
        <v>9.292900000000003</v>
      </c>
    </row>
    <row r="231" spans="1:7" x14ac:dyDescent="0.3">
      <c r="A231" s="4">
        <v>45807</v>
      </c>
      <c r="B231" s="19"/>
      <c r="C231" s="19">
        <v>81.673699999999997</v>
      </c>
      <c r="E231" s="4">
        <v>45807</v>
      </c>
      <c r="F231" s="19"/>
      <c r="G231" s="19">
        <v>14.794499999999999</v>
      </c>
    </row>
    <row r="232" spans="1:7" x14ac:dyDescent="0.3">
      <c r="A232" s="4">
        <v>45806</v>
      </c>
      <c r="B232" s="19"/>
      <c r="C232" s="19">
        <v>41.858300000000042</v>
      </c>
      <c r="E232" s="4">
        <v>45806</v>
      </c>
      <c r="F232" s="19"/>
      <c r="G232" s="19">
        <v>1.9603000000000179</v>
      </c>
    </row>
    <row r="233" spans="1:7" x14ac:dyDescent="0.3">
      <c r="A233" s="4">
        <v>45805</v>
      </c>
      <c r="B233" s="19"/>
      <c r="C233" s="19">
        <v>39.241099999999989</v>
      </c>
      <c r="E233" s="4">
        <v>45805</v>
      </c>
      <c r="F233" s="19"/>
      <c r="G233" s="19">
        <v>-3.4632000000000005</v>
      </c>
    </row>
    <row r="234" spans="1:7" x14ac:dyDescent="0.3">
      <c r="A234" s="4">
        <v>45804</v>
      </c>
      <c r="B234" s="19"/>
      <c r="C234" s="19">
        <v>81.671299999999974</v>
      </c>
      <c r="E234" s="4">
        <v>45804</v>
      </c>
      <c r="F234" s="19"/>
      <c r="G234" s="19">
        <v>38.079200000000014</v>
      </c>
    </row>
    <row r="235" spans="1:7" x14ac:dyDescent="0.3">
      <c r="A235" s="4">
        <v>45803</v>
      </c>
      <c r="B235" s="19"/>
      <c r="C235" s="19">
        <v>18.56049999999999</v>
      </c>
      <c r="E235" s="4">
        <v>45803</v>
      </c>
      <c r="F235" s="19"/>
      <c r="G235" s="19">
        <v>-33.63130000000001</v>
      </c>
    </row>
    <row r="236" spans="1:7" x14ac:dyDescent="0.3">
      <c r="A236" s="4">
        <v>45800</v>
      </c>
      <c r="B236" s="19"/>
      <c r="C236" s="19">
        <v>16.939199999999971</v>
      </c>
      <c r="E236" s="4">
        <v>45800</v>
      </c>
      <c r="F236" s="19"/>
      <c r="G236" s="19">
        <v>-28.333100000000002</v>
      </c>
    </row>
    <row r="237" spans="1:7" x14ac:dyDescent="0.3">
      <c r="A237" s="4">
        <v>45799</v>
      </c>
      <c r="B237" s="19"/>
      <c r="C237" s="19">
        <v>30.242599999999982</v>
      </c>
      <c r="E237" s="4">
        <v>45799</v>
      </c>
      <c r="F237" s="19"/>
      <c r="G237" s="19">
        <v>8.5620000000000118</v>
      </c>
    </row>
    <row r="238" spans="1:7" x14ac:dyDescent="0.3">
      <c r="A238" s="4">
        <v>45798</v>
      </c>
      <c r="B238" s="19"/>
      <c r="C238" s="19">
        <v>27.65100000000001</v>
      </c>
      <c r="E238" s="4">
        <v>45798</v>
      </c>
      <c r="F238" s="19"/>
      <c r="G238" s="19">
        <v>-13.382800000000003</v>
      </c>
    </row>
    <row r="239" spans="1:7" x14ac:dyDescent="0.3">
      <c r="A239" s="4">
        <v>45797</v>
      </c>
      <c r="B239" s="19"/>
      <c r="C239" s="19">
        <v>43.045899999999961</v>
      </c>
      <c r="E239" s="4">
        <v>45797</v>
      </c>
      <c r="F239" s="19"/>
      <c r="G239" s="19">
        <v>20.26939999999999</v>
      </c>
    </row>
    <row r="240" spans="1:7" x14ac:dyDescent="0.3">
      <c r="A240" s="4">
        <v>45796</v>
      </c>
      <c r="B240" s="19"/>
      <c r="C240" s="19">
        <v>72.675099999999986</v>
      </c>
      <c r="E240" s="4">
        <v>45796</v>
      </c>
      <c r="F240" s="19"/>
      <c r="G240" s="19">
        <v>11.918199999999985</v>
      </c>
    </row>
    <row r="241" spans="1:7" x14ac:dyDescent="0.3">
      <c r="A241" s="4">
        <v>45793</v>
      </c>
      <c r="B241" s="19"/>
      <c r="C241" s="19">
        <v>21.199700000000007</v>
      </c>
      <c r="E241" s="4">
        <v>45793</v>
      </c>
      <c r="F241" s="19"/>
      <c r="G241" s="19">
        <v>-10.245699999999999</v>
      </c>
    </row>
    <row r="242" spans="1:7" x14ac:dyDescent="0.3">
      <c r="A242" s="4">
        <v>45792</v>
      </c>
      <c r="B242" s="19"/>
      <c r="C242" s="19">
        <v>19.628100000000018</v>
      </c>
      <c r="E242" s="4">
        <v>45792</v>
      </c>
      <c r="F242" s="19"/>
      <c r="G242" s="19">
        <v>-21.838999999999999</v>
      </c>
    </row>
    <row r="243" spans="1:7" x14ac:dyDescent="0.3">
      <c r="A243" s="4">
        <v>45791</v>
      </c>
      <c r="B243" s="19"/>
      <c r="C243" s="19">
        <v>50.027999999999963</v>
      </c>
      <c r="E243" s="4">
        <v>45791</v>
      </c>
      <c r="F243" s="19"/>
      <c r="G243" s="19">
        <v>17.041599999999988</v>
      </c>
    </row>
    <row r="244" spans="1:7" x14ac:dyDescent="0.3">
      <c r="A244" s="4">
        <v>45790</v>
      </c>
      <c r="B244" s="19"/>
      <c r="C244" s="19">
        <v>38.334599999999966</v>
      </c>
      <c r="E244" s="4">
        <v>45790</v>
      </c>
      <c r="F244" s="19"/>
      <c r="G244" s="19">
        <v>-15.719599999999986</v>
      </c>
    </row>
    <row r="245" spans="1:7" x14ac:dyDescent="0.3">
      <c r="A245" s="4">
        <v>45789</v>
      </c>
      <c r="B245" s="19"/>
      <c r="C245" s="19">
        <v>-80.092600000000061</v>
      </c>
      <c r="E245" s="4">
        <v>45789</v>
      </c>
      <c r="F245" s="19"/>
      <c r="G245" s="19">
        <v>-105.18609999999998</v>
      </c>
    </row>
    <row r="246" spans="1:7" x14ac:dyDescent="0.3">
      <c r="A246" s="4">
        <v>45786</v>
      </c>
      <c r="B246" s="19"/>
      <c r="C246" s="19">
        <v>32.460600000000028</v>
      </c>
      <c r="E246" s="4">
        <v>45786</v>
      </c>
      <c r="F246" s="19"/>
      <c r="G246" s="19">
        <v>7.9824000000000126</v>
      </c>
    </row>
    <row r="247" spans="1:7" x14ac:dyDescent="0.3">
      <c r="A247" s="4">
        <v>45785</v>
      </c>
      <c r="B247" s="19"/>
      <c r="C247" s="19">
        <v>-10.969200000000001</v>
      </c>
      <c r="E247" s="4">
        <v>45785</v>
      </c>
      <c r="F247" s="19"/>
      <c r="G247" s="19">
        <v>-12.879300000000001</v>
      </c>
    </row>
    <row r="248" spans="1:7" x14ac:dyDescent="0.3">
      <c r="A248" s="4">
        <v>45784</v>
      </c>
      <c r="B248" s="19"/>
      <c r="C248" s="19">
        <v>-41.780400000000043</v>
      </c>
      <c r="E248" s="4">
        <v>45784</v>
      </c>
      <c r="F248" s="19"/>
      <c r="G248" s="19">
        <v>-36.875499999999988</v>
      </c>
    </row>
    <row r="249" spans="1:7" x14ac:dyDescent="0.3">
      <c r="A249" s="4">
        <v>45783</v>
      </c>
      <c r="B249" s="19"/>
      <c r="C249" s="19">
        <v>76.900100000000009</v>
      </c>
      <c r="E249" s="4">
        <v>45783</v>
      </c>
      <c r="F249" s="19"/>
      <c r="G249" s="19">
        <v>57.851500000000016</v>
      </c>
    </row>
    <row r="250" spans="1:7" x14ac:dyDescent="0.3">
      <c r="A250" s="4">
        <v>45777</v>
      </c>
      <c r="B250" s="19"/>
      <c r="C250" s="19">
        <v>47.891900000000021</v>
      </c>
      <c r="E250" s="4">
        <v>45777</v>
      </c>
      <c r="F250" s="19"/>
      <c r="G250" s="19">
        <v>8.4762000000000057</v>
      </c>
    </row>
    <row r="251" spans="1:7" x14ac:dyDescent="0.3">
      <c r="A251" s="4">
        <v>45776</v>
      </c>
      <c r="B251" s="19"/>
      <c r="C251" s="19">
        <v>-32.510799999999989</v>
      </c>
      <c r="E251" s="4">
        <v>45776</v>
      </c>
      <c r="F251" s="19"/>
      <c r="G251" s="19">
        <v>-31.730400000000003</v>
      </c>
    </row>
    <row r="252" spans="1:7" x14ac:dyDescent="0.3">
      <c r="A252" s="4">
        <v>45775</v>
      </c>
      <c r="B252" s="19"/>
      <c r="C252" s="19">
        <v>23.427599999999984</v>
      </c>
      <c r="E252" s="4">
        <v>45775</v>
      </c>
      <c r="F252" s="19"/>
      <c r="G252" s="19">
        <v>-3.1250999999999749</v>
      </c>
    </row>
    <row r="253" spans="1:7" x14ac:dyDescent="0.3">
      <c r="A253" s="4">
        <v>45772</v>
      </c>
      <c r="B253" s="19"/>
      <c r="C253" s="19">
        <v>-21.586199999999991</v>
      </c>
      <c r="E253" s="4">
        <v>45772</v>
      </c>
      <c r="F253" s="19"/>
      <c r="G253" s="19">
        <v>-48.606200000000001</v>
      </c>
    </row>
    <row r="254" spans="1:7" x14ac:dyDescent="0.3">
      <c r="A254" s="4">
        <v>45771</v>
      </c>
      <c r="B254" s="19"/>
      <c r="C254" s="19">
        <v>38.896800000000013</v>
      </c>
      <c r="E254" s="4">
        <v>45771</v>
      </c>
      <c r="F254" s="19"/>
      <c r="G254" s="19">
        <v>-5.0276000000000067</v>
      </c>
    </row>
    <row r="255" spans="1:7" x14ac:dyDescent="0.3">
      <c r="A255" s="4">
        <v>45770</v>
      </c>
      <c r="B255" s="19"/>
      <c r="C255" s="19">
        <v>-94.385800000000017</v>
      </c>
      <c r="E255" s="4">
        <v>45770</v>
      </c>
      <c r="F255" s="19"/>
      <c r="G255" s="19">
        <v>-86.68829999999997</v>
      </c>
    </row>
    <row r="256" spans="1:7" x14ac:dyDescent="0.3">
      <c r="A256" s="4">
        <v>45769</v>
      </c>
      <c r="B256" s="19"/>
      <c r="C256" s="19">
        <v>118.05869999999999</v>
      </c>
      <c r="E256" s="4">
        <v>45769</v>
      </c>
      <c r="F256" s="19"/>
      <c r="G256" s="19">
        <v>95.544299999999993</v>
      </c>
    </row>
    <row r="257" spans="1:7" x14ac:dyDescent="0.3">
      <c r="A257" s="4">
        <v>45764</v>
      </c>
      <c r="B257" s="19"/>
      <c r="C257" s="19">
        <v>5.082300000000032</v>
      </c>
      <c r="E257" s="4">
        <v>45764</v>
      </c>
      <c r="F257" s="19"/>
      <c r="G257" s="19">
        <v>18.005099999999999</v>
      </c>
    </row>
    <row r="258" spans="1:7" x14ac:dyDescent="0.3">
      <c r="A258" s="4">
        <v>45763</v>
      </c>
      <c r="B258" s="19"/>
      <c r="C258" s="19">
        <v>80.41070000000002</v>
      </c>
      <c r="E258" s="4">
        <v>45763</v>
      </c>
      <c r="F258" s="19"/>
      <c r="G258" s="19">
        <v>-1.4742999999999995</v>
      </c>
    </row>
    <row r="259" spans="1:7" x14ac:dyDescent="0.3">
      <c r="A259" s="4">
        <v>45762</v>
      </c>
      <c r="B259" s="19"/>
      <c r="C259" s="19">
        <v>57.588700000000017</v>
      </c>
      <c r="E259" s="4">
        <v>45762</v>
      </c>
      <c r="F259" s="19"/>
      <c r="G259" s="19">
        <v>14.437399999999997</v>
      </c>
    </row>
    <row r="260" spans="1:7" x14ac:dyDescent="0.3">
      <c r="A260" s="4">
        <v>45761</v>
      </c>
      <c r="B260" s="19"/>
      <c r="C260" s="19">
        <v>55.196899999999971</v>
      </c>
      <c r="E260" s="4">
        <v>45761</v>
      </c>
      <c r="F260" s="19"/>
      <c r="G260" s="19">
        <v>2.6046999999999798</v>
      </c>
    </row>
    <row r="261" spans="1:7" x14ac:dyDescent="0.3">
      <c r="A261" s="4">
        <v>45758</v>
      </c>
      <c r="B261" s="19"/>
      <c r="C261" s="19">
        <v>69.768699999999967</v>
      </c>
      <c r="E261" s="4">
        <v>45758</v>
      </c>
      <c r="F261" s="19"/>
      <c r="G261" s="19">
        <v>47.168000000000006</v>
      </c>
    </row>
    <row r="262" spans="1:7" x14ac:dyDescent="0.3">
      <c r="A262" s="4">
        <v>45757</v>
      </c>
      <c r="B262" s="19"/>
      <c r="C262" s="19">
        <v>-56.699600000000032</v>
      </c>
      <c r="E262" s="4">
        <v>45757</v>
      </c>
      <c r="F262" s="19"/>
      <c r="G262" s="19">
        <v>16.368400000000008</v>
      </c>
    </row>
    <row r="263" spans="1:7" x14ac:dyDescent="0.3">
      <c r="A263" s="4">
        <v>45756</v>
      </c>
      <c r="B263" s="19"/>
      <c r="C263" s="19">
        <v>215.24110000000002</v>
      </c>
      <c r="E263" s="4">
        <v>45756</v>
      </c>
      <c r="F263" s="19"/>
      <c r="G263" s="19">
        <v>140.62200000000001</v>
      </c>
    </row>
    <row r="264" spans="1:7" x14ac:dyDescent="0.3">
      <c r="A264" s="4">
        <v>45755</v>
      </c>
      <c r="B264" s="19"/>
      <c r="C264" s="19">
        <v>137.95890000000003</v>
      </c>
      <c r="E264" s="4">
        <v>45755</v>
      </c>
      <c r="F264" s="19"/>
      <c r="G264" s="19">
        <v>98.376100000000008</v>
      </c>
    </row>
    <row r="265" spans="1:7" x14ac:dyDescent="0.3">
      <c r="A265" s="4">
        <v>45754</v>
      </c>
      <c r="B265" s="19"/>
      <c r="C265" s="19">
        <v>91.710299999999961</v>
      </c>
      <c r="E265" s="4">
        <v>45754</v>
      </c>
      <c r="F265" s="19"/>
      <c r="G265" s="19">
        <v>62.018799999999999</v>
      </c>
    </row>
    <row r="266" spans="1:7" x14ac:dyDescent="0.3">
      <c r="A266" s="4">
        <v>45750</v>
      </c>
      <c r="B266" s="19"/>
      <c r="C266" s="19">
        <v>169.92940000000004</v>
      </c>
      <c r="E266" s="4">
        <v>45750</v>
      </c>
      <c r="F266" s="19"/>
      <c r="G266" s="19">
        <v>117.96700000000001</v>
      </c>
    </row>
    <row r="267" spans="1:7" x14ac:dyDescent="0.3">
      <c r="A267" s="4">
        <v>45749</v>
      </c>
      <c r="B267" s="19"/>
      <c r="C267" s="19">
        <v>77.814599999999984</v>
      </c>
      <c r="E267" s="4">
        <v>45749</v>
      </c>
      <c r="F267" s="19"/>
      <c r="G267" s="19">
        <v>39.356999999999999</v>
      </c>
    </row>
    <row r="268" spans="1:7" x14ac:dyDescent="0.3">
      <c r="A268" s="4">
        <v>45748</v>
      </c>
      <c r="B268" s="19"/>
      <c r="C268" s="19">
        <v>119.05189999999999</v>
      </c>
      <c r="E268" s="4">
        <v>45748</v>
      </c>
      <c r="F268" s="19"/>
      <c r="G268" s="19">
        <v>79.5839</v>
      </c>
    </row>
    <row r="269" spans="1:7" x14ac:dyDescent="0.3">
      <c r="A269" s="4">
        <v>45747</v>
      </c>
      <c r="B269" s="19"/>
      <c r="C269" s="19">
        <v>53.682200000000023</v>
      </c>
      <c r="E269" s="4">
        <v>45747</v>
      </c>
      <c r="F269" s="19"/>
      <c r="G269" s="19">
        <v>-24.539999999999992</v>
      </c>
    </row>
    <row r="270" spans="1:7" x14ac:dyDescent="0.3">
      <c r="A270" s="4">
        <v>45744</v>
      </c>
      <c r="B270" s="19"/>
      <c r="C270" s="19">
        <v>55.913499999999999</v>
      </c>
      <c r="E270" s="4">
        <v>45744</v>
      </c>
      <c r="F270" s="19"/>
      <c r="G270" s="19">
        <v>26.505099999999999</v>
      </c>
    </row>
    <row r="271" spans="1:7" x14ac:dyDescent="0.3">
      <c r="A271" s="4">
        <v>45743</v>
      </c>
      <c r="B271" s="19"/>
      <c r="C271" s="19">
        <v>32.194899999999961</v>
      </c>
      <c r="E271" s="4">
        <v>45743</v>
      </c>
      <c r="F271" s="19"/>
      <c r="G271" s="19">
        <v>9.2298999999999864</v>
      </c>
    </row>
    <row r="272" spans="1:7" x14ac:dyDescent="0.3">
      <c r="A272" s="4">
        <v>45742</v>
      </c>
      <c r="B272" s="19"/>
      <c r="C272" s="19">
        <v>50.769799999999975</v>
      </c>
      <c r="E272" s="4">
        <v>45742</v>
      </c>
      <c r="F272" s="19"/>
      <c r="G272" s="19">
        <v>32.909700000000015</v>
      </c>
    </row>
    <row r="273" spans="1:7" x14ac:dyDescent="0.3">
      <c r="A273" s="4">
        <v>45741</v>
      </c>
      <c r="B273" s="19"/>
      <c r="C273" s="19">
        <v>84.7928</v>
      </c>
      <c r="E273" s="4">
        <v>45741</v>
      </c>
      <c r="F273" s="19"/>
      <c r="G273" s="19">
        <v>54.163399999999996</v>
      </c>
    </row>
    <row r="274" spans="1:7" x14ac:dyDescent="0.3">
      <c r="A274" s="4">
        <v>45740</v>
      </c>
      <c r="B274" s="19"/>
      <c r="C274" s="19">
        <v>21.876700000000028</v>
      </c>
      <c r="E274" s="4">
        <v>45740</v>
      </c>
      <c r="F274" s="19"/>
      <c r="G274" s="19">
        <v>3.4442000000000235</v>
      </c>
    </row>
    <row r="275" spans="1:7" x14ac:dyDescent="0.3">
      <c r="A275" s="4">
        <v>45737</v>
      </c>
      <c r="B275" s="19"/>
      <c r="C275" s="19">
        <v>19.524099999999976</v>
      </c>
      <c r="E275" s="4">
        <v>45737</v>
      </c>
      <c r="F275" s="19"/>
      <c r="G275" s="19">
        <v>3.1448000000000036</v>
      </c>
    </row>
    <row r="276" spans="1:7" x14ac:dyDescent="0.3">
      <c r="A276" s="4">
        <v>45736</v>
      </c>
      <c r="B276" s="19"/>
      <c r="C276" s="19">
        <v>-3.9201999999999657</v>
      </c>
      <c r="E276" s="4">
        <v>45736</v>
      </c>
      <c r="F276" s="19"/>
      <c r="G276" s="19">
        <v>-0.15520000000000778</v>
      </c>
    </row>
    <row r="277" spans="1:7" x14ac:dyDescent="0.3">
      <c r="A277" s="4">
        <v>45735</v>
      </c>
      <c r="B277" s="19"/>
      <c r="C277" s="19">
        <v>77.31899999999996</v>
      </c>
      <c r="E277" s="4">
        <v>45735</v>
      </c>
      <c r="F277" s="19"/>
      <c r="G277" s="19">
        <v>40.5274</v>
      </c>
    </row>
    <row r="278" spans="1:7" x14ac:dyDescent="0.3">
      <c r="A278" s="4">
        <v>45734</v>
      </c>
      <c r="B278" s="19"/>
      <c r="C278" s="19">
        <v>-23.887100000000032</v>
      </c>
      <c r="E278" s="4">
        <v>45734</v>
      </c>
      <c r="F278" s="19"/>
      <c r="G278" s="19">
        <v>12.870899999999978</v>
      </c>
    </row>
    <row r="279" spans="1:7" x14ac:dyDescent="0.3">
      <c r="A279" s="4">
        <v>45733</v>
      </c>
      <c r="B279" s="19"/>
      <c r="C279" s="19">
        <v>63.741600000000005</v>
      </c>
      <c r="E279" s="4">
        <v>45733</v>
      </c>
      <c r="F279" s="19"/>
      <c r="G279" s="19">
        <v>41.084899999999976</v>
      </c>
    </row>
    <row r="280" spans="1:7" x14ac:dyDescent="0.3">
      <c r="A280" s="4">
        <v>45730</v>
      </c>
      <c r="B280" s="19"/>
      <c r="C280" s="19">
        <v>16.355399999999975</v>
      </c>
      <c r="E280" s="4">
        <v>45730</v>
      </c>
      <c r="F280" s="19"/>
      <c r="G280" s="19">
        <v>27.109099999999984</v>
      </c>
    </row>
    <row r="281" spans="1:7" x14ac:dyDescent="0.3">
      <c r="A281" s="4">
        <v>45729</v>
      </c>
      <c r="B281" s="19"/>
      <c r="C281" s="19">
        <v>38.156599999999969</v>
      </c>
      <c r="E281" s="4">
        <v>45729</v>
      </c>
      <c r="F281" s="19"/>
      <c r="G281" s="19">
        <v>16.503799999999984</v>
      </c>
    </row>
    <row r="282" spans="1:7" x14ac:dyDescent="0.3">
      <c r="A282" s="4">
        <v>45728</v>
      </c>
      <c r="B282" s="19"/>
      <c r="C282" s="19">
        <v>162.42340000000002</v>
      </c>
      <c r="E282" s="4">
        <v>45728</v>
      </c>
      <c r="F282" s="19"/>
      <c r="G282" s="19">
        <v>99.695400000000006</v>
      </c>
    </row>
    <row r="283" spans="1:7" x14ac:dyDescent="0.3">
      <c r="A283" s="4">
        <v>45727</v>
      </c>
      <c r="B283" s="19"/>
      <c r="C283" s="19">
        <v>-21.053200000000004</v>
      </c>
      <c r="E283" s="4">
        <v>45727</v>
      </c>
      <c r="F283" s="19"/>
      <c r="G283" s="19">
        <v>-19.357600000000019</v>
      </c>
    </row>
    <row r="284" spans="1:7" x14ac:dyDescent="0.3">
      <c r="A284" s="4">
        <v>45726</v>
      </c>
      <c r="B284" s="19"/>
      <c r="C284" s="19">
        <v>179.96940000000001</v>
      </c>
      <c r="E284" s="4">
        <v>45726</v>
      </c>
      <c r="F284" s="19"/>
      <c r="G284" s="19">
        <v>116.28620000000001</v>
      </c>
    </row>
    <row r="285" spans="1:7" x14ac:dyDescent="0.3">
      <c r="A285" s="4">
        <v>45723</v>
      </c>
      <c r="B285" s="19"/>
      <c r="C285" s="19">
        <v>77.6755</v>
      </c>
      <c r="E285" s="4">
        <v>45723</v>
      </c>
      <c r="F285" s="19"/>
      <c r="G285" s="19">
        <v>43.456399999999974</v>
      </c>
    </row>
    <row r="286" spans="1:7" x14ac:dyDescent="0.3">
      <c r="A286" s="4">
        <v>45722</v>
      </c>
      <c r="B286" s="19"/>
      <c r="C286" s="19">
        <v>12.398099999999999</v>
      </c>
      <c r="E286" s="4">
        <v>45722</v>
      </c>
      <c r="F286" s="19"/>
      <c r="G286" s="19">
        <v>52.905100000000004</v>
      </c>
    </row>
    <row r="287" spans="1:7" x14ac:dyDescent="0.3">
      <c r="A287" s="4">
        <v>45721</v>
      </c>
      <c r="B287" s="19"/>
      <c r="C287" s="19">
        <v>45.802200000000028</v>
      </c>
      <c r="E287" s="4">
        <v>45721</v>
      </c>
      <c r="F287" s="19"/>
      <c r="G287" s="19">
        <v>37.8904</v>
      </c>
    </row>
    <row r="288" spans="1:7" x14ac:dyDescent="0.3">
      <c r="A288" s="4">
        <v>45720</v>
      </c>
      <c r="B288" s="19"/>
      <c r="C288" s="19">
        <v>-22.324099999999987</v>
      </c>
      <c r="E288" s="4">
        <v>45720</v>
      </c>
      <c r="F288" s="19"/>
      <c r="G288" s="19">
        <v>10.320799999999991</v>
      </c>
    </row>
    <row r="289" spans="1:7" x14ac:dyDescent="0.3">
      <c r="A289" s="4">
        <v>45719</v>
      </c>
      <c r="B289" s="19"/>
      <c r="C289" s="19">
        <v>59.999000000000024</v>
      </c>
      <c r="E289" s="4">
        <v>45719</v>
      </c>
      <c r="F289" s="19"/>
      <c r="G289" s="19">
        <v>37.420299999999997</v>
      </c>
    </row>
    <row r="290" spans="1:7" x14ac:dyDescent="0.3">
      <c r="A290" s="4">
        <v>45716</v>
      </c>
      <c r="B290" s="19"/>
      <c r="C290" s="19">
        <v>56.02720000000005</v>
      </c>
      <c r="E290" s="4">
        <v>45716</v>
      </c>
      <c r="F290" s="19"/>
      <c r="G290" s="19">
        <v>62.976900000000001</v>
      </c>
    </row>
    <row r="291" spans="1:7" x14ac:dyDescent="0.3">
      <c r="A291" s="4">
        <v>45715</v>
      </c>
      <c r="B291" s="19"/>
      <c r="C291" s="19">
        <v>99.426800000000071</v>
      </c>
      <c r="E291" s="4">
        <v>45715</v>
      </c>
      <c r="F291" s="19"/>
      <c r="G291" s="19">
        <v>69.555099999999982</v>
      </c>
    </row>
    <row r="292" spans="1:7" x14ac:dyDescent="0.3">
      <c r="A292" s="4">
        <v>45714</v>
      </c>
      <c r="B292" s="19"/>
      <c r="C292" s="19">
        <v>21.260499999999979</v>
      </c>
      <c r="E292" s="4">
        <v>45714</v>
      </c>
      <c r="F292" s="19"/>
      <c r="G292" s="19">
        <v>82.734100000000012</v>
      </c>
    </row>
    <row r="293" spans="1:7" x14ac:dyDescent="0.3">
      <c r="A293" s="4">
        <v>45713</v>
      </c>
      <c r="B293" s="19"/>
      <c r="C293" s="19">
        <v>128.90170000000006</v>
      </c>
      <c r="E293" s="4">
        <v>45713</v>
      </c>
      <c r="F293" s="19"/>
      <c r="G293" s="19">
        <v>91.424099999999981</v>
      </c>
    </row>
    <row r="294" spans="1:7" x14ac:dyDescent="0.3">
      <c r="A294" s="4">
        <v>45712</v>
      </c>
      <c r="B294" s="19"/>
      <c r="C294" s="19">
        <v>107.72699999999992</v>
      </c>
      <c r="E294" s="4">
        <v>45712</v>
      </c>
      <c r="F294" s="19"/>
      <c r="G294" s="19">
        <v>29.640100000000018</v>
      </c>
    </row>
    <row r="295" spans="1:7" x14ac:dyDescent="0.3">
      <c r="A295" s="4">
        <v>45709</v>
      </c>
      <c r="B295" s="19"/>
      <c r="C295" s="19">
        <v>86.4846</v>
      </c>
      <c r="E295" s="4">
        <v>45709</v>
      </c>
      <c r="F295" s="19"/>
      <c r="G295" s="19">
        <v>53.862500000000011</v>
      </c>
    </row>
    <row r="296" spans="1:7" x14ac:dyDescent="0.3">
      <c r="A296" s="4">
        <v>45708</v>
      </c>
      <c r="B296" s="19"/>
      <c r="C296" s="19">
        <v>-2.1062000000000012</v>
      </c>
      <c r="E296" s="4">
        <v>45708</v>
      </c>
      <c r="F296" s="19"/>
      <c r="G296" s="19">
        <v>-61.31140000000002</v>
      </c>
    </row>
    <row r="297" spans="1:7" x14ac:dyDescent="0.3">
      <c r="A297" s="4">
        <v>45707</v>
      </c>
      <c r="B297" s="19"/>
      <c r="C297" s="19">
        <v>87.295999999999992</v>
      </c>
      <c r="E297" s="4">
        <v>45707</v>
      </c>
      <c r="F297" s="19"/>
      <c r="G297" s="19">
        <v>15.948599999999999</v>
      </c>
    </row>
    <row r="298" spans="1:7" x14ac:dyDescent="0.3">
      <c r="A298" s="4">
        <v>45706</v>
      </c>
      <c r="B298" s="19"/>
      <c r="C298" s="19">
        <v>135.13359999999994</v>
      </c>
      <c r="E298" s="4">
        <v>45706</v>
      </c>
      <c r="F298" s="19"/>
      <c r="G298" s="19">
        <v>89.091700000000003</v>
      </c>
    </row>
    <row r="299" spans="1:7" x14ac:dyDescent="0.3">
      <c r="A299" s="4">
        <v>45705</v>
      </c>
      <c r="B299" s="19"/>
      <c r="C299" s="19">
        <v>76.704100000000039</v>
      </c>
      <c r="E299" s="4">
        <v>45705</v>
      </c>
      <c r="F299" s="19"/>
      <c r="G299" s="19">
        <v>31.016699999999958</v>
      </c>
    </row>
    <row r="300" spans="1:7" x14ac:dyDescent="0.3">
      <c r="A300" s="4">
        <v>45702</v>
      </c>
      <c r="B300" s="19"/>
      <c r="C300" s="19">
        <v>40.434500000000014</v>
      </c>
      <c r="E300" s="4">
        <v>45702</v>
      </c>
      <c r="F300" s="19"/>
      <c r="G300" s="19">
        <v>36.695099999999968</v>
      </c>
    </row>
    <row r="301" spans="1:7" x14ac:dyDescent="0.3">
      <c r="A301" s="4">
        <v>45701</v>
      </c>
      <c r="B301" s="19"/>
      <c r="C301" s="19">
        <v>23.350999999999999</v>
      </c>
      <c r="E301" s="4">
        <v>45701</v>
      </c>
      <c r="F301" s="19"/>
      <c r="G301" s="19">
        <v>-33.587600000000009</v>
      </c>
    </row>
    <row r="302" spans="1:7" x14ac:dyDescent="0.3">
      <c r="A302" s="4">
        <v>45700</v>
      </c>
      <c r="B302" s="19"/>
      <c r="C302" s="19">
        <v>59.194500000000005</v>
      </c>
      <c r="E302" s="4">
        <v>45700</v>
      </c>
      <c r="F302" s="19"/>
      <c r="G302" s="19">
        <v>15.921300000000002</v>
      </c>
    </row>
    <row r="303" spans="1:7" x14ac:dyDescent="0.3">
      <c r="A303" s="4">
        <v>45699</v>
      </c>
      <c r="B303" s="19"/>
      <c r="C303" s="19">
        <v>-16.966200000000015</v>
      </c>
      <c r="E303" s="4">
        <v>45699</v>
      </c>
      <c r="F303" s="19"/>
      <c r="G303" s="19">
        <v>-72.014899999999983</v>
      </c>
    </row>
    <row r="304" spans="1:7" x14ac:dyDescent="0.3">
      <c r="A304" s="4">
        <v>45698</v>
      </c>
      <c r="B304" s="19"/>
      <c r="C304" s="19">
        <v>105.14850000000001</v>
      </c>
      <c r="E304" s="4">
        <v>45698</v>
      </c>
      <c r="F304" s="19"/>
      <c r="G304" s="19">
        <v>59.529800000000023</v>
      </c>
    </row>
    <row r="305" spans="1:7" x14ac:dyDescent="0.3">
      <c r="A305" s="4">
        <v>45695</v>
      </c>
      <c r="B305" s="19"/>
      <c r="C305" s="19">
        <v>22.996399999999994</v>
      </c>
      <c r="E305" s="4">
        <v>45695</v>
      </c>
      <c r="F305" s="19"/>
      <c r="G305" s="19">
        <v>-12.32589999999999</v>
      </c>
    </row>
    <row r="306" spans="1:7" x14ac:dyDescent="0.3">
      <c r="A306" s="4">
        <v>45694</v>
      </c>
      <c r="B306" s="19"/>
      <c r="C306" s="19">
        <v>51.299099999999981</v>
      </c>
      <c r="E306" s="4">
        <v>45694</v>
      </c>
      <c r="F306" s="19"/>
      <c r="G306" s="19">
        <v>39.308900000000023</v>
      </c>
    </row>
    <row r="307" spans="1:7" x14ac:dyDescent="0.3">
      <c r="A307" s="4">
        <v>45693</v>
      </c>
      <c r="B307" s="19"/>
      <c r="C307" s="19">
        <v>-17.275800000000032</v>
      </c>
      <c r="E307" s="4">
        <v>45693</v>
      </c>
      <c r="F307" s="19"/>
      <c r="G307" s="19">
        <v>-35.724600000000009</v>
      </c>
    </row>
    <row r="308" spans="1:7" x14ac:dyDescent="0.3">
      <c r="A308" s="4">
        <v>45684</v>
      </c>
      <c r="B308" s="19"/>
      <c r="C308" s="19">
        <v>64.761799999999994</v>
      </c>
      <c r="E308" s="4">
        <v>45684</v>
      </c>
      <c r="F308" s="19"/>
      <c r="G308" s="19">
        <v>26.003</v>
      </c>
    </row>
    <row r="309" spans="1:7" x14ac:dyDescent="0.3">
      <c r="A309" s="4">
        <v>45681</v>
      </c>
      <c r="B309" s="19"/>
      <c r="C309" s="19">
        <v>-17.334000000000003</v>
      </c>
      <c r="E309" s="4">
        <v>45681</v>
      </c>
      <c r="F309" s="19"/>
      <c r="G309" s="19">
        <v>-16.287199999999999</v>
      </c>
    </row>
    <row r="310" spans="1:7" x14ac:dyDescent="0.3">
      <c r="A310" s="4">
        <v>45680</v>
      </c>
      <c r="B310" s="19"/>
      <c r="C310" s="19">
        <v>40.239800000000002</v>
      </c>
      <c r="E310" s="4">
        <v>45680</v>
      </c>
      <c r="F310" s="19"/>
      <c r="G310" s="19">
        <v>13.790900000000008</v>
      </c>
    </row>
    <row r="311" spans="1:7" x14ac:dyDescent="0.3">
      <c r="A311" s="4">
        <v>45679</v>
      </c>
      <c r="B311" s="19"/>
      <c r="C311" s="19">
        <v>32.108500000000021</v>
      </c>
      <c r="E311" s="4">
        <v>45679</v>
      </c>
      <c r="F311" s="19"/>
      <c r="G311" s="19">
        <v>9.6046000000000049</v>
      </c>
    </row>
    <row r="312" spans="1:7" x14ac:dyDescent="0.3">
      <c r="A312" s="4">
        <v>45678</v>
      </c>
      <c r="B312" s="19"/>
      <c r="C312" s="19">
        <v>25.895199999999988</v>
      </c>
      <c r="E312" s="4">
        <v>45678</v>
      </c>
      <c r="F312" s="19"/>
      <c r="G312" s="19">
        <v>-10.542299999999997</v>
      </c>
    </row>
    <row r="313" spans="1:7" x14ac:dyDescent="0.3">
      <c r="A313" s="4">
        <v>45677</v>
      </c>
      <c r="B313" s="19"/>
      <c r="C313" s="19">
        <v>20.442399999999992</v>
      </c>
      <c r="E313" s="4">
        <v>45677</v>
      </c>
      <c r="F313" s="19"/>
      <c r="G313" s="19">
        <v>-6.9679000000000002</v>
      </c>
    </row>
    <row r="314" spans="1:7" x14ac:dyDescent="0.3">
      <c r="A314" s="4">
        <v>45674</v>
      </c>
      <c r="B314" s="19"/>
      <c r="C314" s="19">
        <v>51.238500000000016</v>
      </c>
      <c r="E314" s="4">
        <v>45674</v>
      </c>
      <c r="F314" s="19"/>
      <c r="G314" s="19">
        <v>32.007899999999992</v>
      </c>
    </row>
    <row r="315" spans="1:7" x14ac:dyDescent="0.3">
      <c r="A315" s="4">
        <v>45673</v>
      </c>
      <c r="B315" s="19"/>
      <c r="C315" s="19">
        <v>48.130600000000015</v>
      </c>
      <c r="E315" s="4">
        <v>45673</v>
      </c>
      <c r="F315" s="19"/>
      <c r="G315" s="19">
        <v>14.848399999999998</v>
      </c>
    </row>
    <row r="316" spans="1:7" x14ac:dyDescent="0.3">
      <c r="A316" s="4">
        <v>45672</v>
      </c>
      <c r="B316" s="19"/>
      <c r="C316" s="19">
        <v>61.20989999999999</v>
      </c>
      <c r="E316" s="4">
        <v>45672</v>
      </c>
      <c r="F316" s="19"/>
      <c r="G316" s="19">
        <v>32.288799999999995</v>
      </c>
    </row>
    <row r="317" spans="1:7" x14ac:dyDescent="0.3">
      <c r="A317" s="4">
        <v>45671</v>
      </c>
      <c r="B317" s="19"/>
      <c r="C317" s="19">
        <v>83.314400000000006</v>
      </c>
      <c r="E317" s="4">
        <v>45671</v>
      </c>
      <c r="F317" s="19"/>
      <c r="G317" s="19">
        <v>38.519599999999997</v>
      </c>
    </row>
    <row r="318" spans="1:7" x14ac:dyDescent="0.3">
      <c r="A318" s="4">
        <v>45670</v>
      </c>
      <c r="B318" s="19"/>
      <c r="C318" s="19">
        <v>55.164000000000001</v>
      </c>
      <c r="E318" s="4">
        <v>45670</v>
      </c>
      <c r="F318" s="19"/>
      <c r="G318" s="19">
        <v>10.560400000000001</v>
      </c>
    </row>
    <row r="319" spans="1:7" x14ac:dyDescent="0.3">
      <c r="A319" s="4">
        <v>45667</v>
      </c>
      <c r="B319" s="19"/>
      <c r="C319" s="19">
        <v>41.277899999999988</v>
      </c>
      <c r="E319" s="4">
        <v>45667</v>
      </c>
      <c r="F319" s="19"/>
      <c r="G319" s="19">
        <v>5.2182999999999993</v>
      </c>
    </row>
    <row r="320" spans="1:7" x14ac:dyDescent="0.3">
      <c r="A320" s="4">
        <v>45666</v>
      </c>
      <c r="B320" s="19"/>
      <c r="C320" s="19">
        <v>79.457599999999999</v>
      </c>
      <c r="E320" s="4">
        <v>45666</v>
      </c>
      <c r="F320" s="19"/>
      <c r="G320" s="19">
        <v>34.168700000000001</v>
      </c>
    </row>
    <row r="321" spans="1:7" x14ac:dyDescent="0.3">
      <c r="A321" s="4">
        <v>45665</v>
      </c>
      <c r="B321" s="19"/>
      <c r="C321" s="19">
        <v>95.056200000000018</v>
      </c>
      <c r="E321" s="4">
        <v>45665</v>
      </c>
      <c r="F321" s="19"/>
      <c r="G321" s="19">
        <v>53.67179999999999</v>
      </c>
    </row>
    <row r="322" spans="1:7" x14ac:dyDescent="0.3">
      <c r="A322" s="4">
        <v>45664</v>
      </c>
      <c r="B322" s="19"/>
      <c r="C322" s="19">
        <v>132.78870000000001</v>
      </c>
      <c r="E322" s="4">
        <v>45664</v>
      </c>
      <c r="F322" s="19"/>
      <c r="G322" s="19">
        <v>-3.7532999999999959</v>
      </c>
    </row>
    <row r="323" spans="1:7" x14ac:dyDescent="0.3">
      <c r="A323" s="4">
        <v>45663</v>
      </c>
      <c r="B323" s="19"/>
      <c r="C323" s="19">
        <v>43.571599999999989</v>
      </c>
      <c r="E323" s="4">
        <v>45663</v>
      </c>
      <c r="F323" s="19"/>
      <c r="G323" s="19">
        <v>7.6636000000000024</v>
      </c>
    </row>
    <row r="324" spans="1:7" x14ac:dyDescent="0.3">
      <c r="A324" s="4">
        <v>45660</v>
      </c>
      <c r="B324" s="19"/>
      <c r="C324" s="19">
        <v>56.382199999999983</v>
      </c>
      <c r="E324" s="4">
        <v>45660</v>
      </c>
      <c r="F324" s="19"/>
      <c r="G324" s="19">
        <v>36.312700000000007</v>
      </c>
    </row>
    <row r="325" spans="1:7" x14ac:dyDescent="0.3">
      <c r="A325" s="4">
        <v>45659</v>
      </c>
      <c r="B325" s="19"/>
      <c r="C325" s="19">
        <v>66.254599999999982</v>
      </c>
      <c r="E325" s="4">
        <v>45659</v>
      </c>
      <c r="F325" s="19"/>
      <c r="G325" s="19">
        <v>-1.1457999999999799</v>
      </c>
    </row>
    <row r="326" spans="1:7" x14ac:dyDescent="0.3">
      <c r="A326" s="4">
        <v>45657</v>
      </c>
      <c r="B326" s="19"/>
      <c r="C326" s="19">
        <v>49.156900000000007</v>
      </c>
      <c r="E326" s="4">
        <v>45657</v>
      </c>
      <c r="F326" s="19"/>
      <c r="G326" s="19">
        <v>15.255199999999988</v>
      </c>
    </row>
    <row r="327" spans="1:7" x14ac:dyDescent="0.3">
      <c r="A327" s="4">
        <v>45656</v>
      </c>
      <c r="B327" s="19"/>
      <c r="C327" s="19">
        <v>48.14100000000002</v>
      </c>
      <c r="E327" s="4">
        <v>45656</v>
      </c>
      <c r="F327" s="19"/>
      <c r="G327" s="19">
        <v>25.368599999999986</v>
      </c>
    </row>
    <row r="328" spans="1:7" x14ac:dyDescent="0.3">
      <c r="A328" s="4">
        <v>45653</v>
      </c>
      <c r="B328" s="19"/>
      <c r="C328" s="19">
        <v>39.180200000000013</v>
      </c>
      <c r="E328" s="4">
        <v>45653</v>
      </c>
      <c r="F328" s="19"/>
      <c r="G328" s="19">
        <v>45.752200000000016</v>
      </c>
    </row>
    <row r="329" spans="1:7" x14ac:dyDescent="0.3">
      <c r="A329" s="4">
        <v>45650</v>
      </c>
      <c r="B329" s="19"/>
      <c r="C329" s="19">
        <v>29.025800000000018</v>
      </c>
      <c r="E329" s="4">
        <v>45650</v>
      </c>
      <c r="F329" s="19"/>
      <c r="G329" s="19">
        <v>23.24560000000001</v>
      </c>
    </row>
    <row r="330" spans="1:7" x14ac:dyDescent="0.3">
      <c r="A330" s="4">
        <v>45649</v>
      </c>
      <c r="B330" s="19"/>
      <c r="C330" s="19">
        <v>31.774599999999992</v>
      </c>
      <c r="E330" s="4">
        <v>45649</v>
      </c>
      <c r="F330" s="19"/>
      <c r="G330" s="19">
        <v>-5.2796000000000021</v>
      </c>
    </row>
    <row r="331" spans="1:7" x14ac:dyDescent="0.3">
      <c r="A331" s="4">
        <v>45646</v>
      </c>
      <c r="B331" s="19"/>
      <c r="C331" s="19">
        <v>12.2089</v>
      </c>
      <c r="E331" s="4">
        <v>45646</v>
      </c>
      <c r="F331" s="19"/>
      <c r="G331" s="19">
        <v>4.1060999999999979</v>
      </c>
    </row>
    <row r="332" spans="1:7" x14ac:dyDescent="0.3">
      <c r="A332" s="4">
        <v>45645</v>
      </c>
      <c r="B332" s="19"/>
      <c r="C332" s="19">
        <v>91.536599999999993</v>
      </c>
      <c r="E332" s="4">
        <v>45645</v>
      </c>
      <c r="F332" s="19"/>
      <c r="G332" s="19">
        <v>54.478100000000012</v>
      </c>
    </row>
    <row r="333" spans="1:7" x14ac:dyDescent="0.3">
      <c r="A333" s="4">
        <v>45644</v>
      </c>
      <c r="B333" s="19"/>
      <c r="C333" s="19">
        <v>26.931700000000006</v>
      </c>
      <c r="E333" s="4">
        <v>45644</v>
      </c>
      <c r="F333" s="19"/>
      <c r="G333" s="19">
        <v>-6.2310999999999979</v>
      </c>
    </row>
    <row r="334" spans="1:7" x14ac:dyDescent="0.3">
      <c r="A334" s="4">
        <v>45643</v>
      </c>
      <c r="B334" s="19"/>
      <c r="C334" s="19">
        <v>60.681600000000003</v>
      </c>
      <c r="E334" s="4">
        <v>45643</v>
      </c>
      <c r="F334" s="19"/>
      <c r="G334" s="19">
        <v>19.038600000000002</v>
      </c>
    </row>
    <row r="335" spans="1:7" x14ac:dyDescent="0.3">
      <c r="A335" s="4">
        <v>45642</v>
      </c>
      <c r="B335" s="19"/>
      <c r="C335" s="19">
        <v>10.057199999999995</v>
      </c>
      <c r="E335" s="4">
        <v>45642</v>
      </c>
      <c r="F335" s="19"/>
      <c r="G335" s="19">
        <v>-13.925600000000003</v>
      </c>
    </row>
    <row r="336" spans="1:7" x14ac:dyDescent="0.3">
      <c r="A336" s="4">
        <v>45639</v>
      </c>
      <c r="B336" s="19"/>
      <c r="C336" s="19">
        <v>93.599800000000016</v>
      </c>
      <c r="E336" s="4">
        <v>45639</v>
      </c>
      <c r="F336" s="19"/>
      <c r="G336" s="19">
        <v>49.455500000000001</v>
      </c>
    </row>
    <row r="337" spans="1:7" x14ac:dyDescent="0.3">
      <c r="A337" s="4">
        <v>45638</v>
      </c>
      <c r="B337" s="19"/>
      <c r="C337" s="19">
        <v>1.7201999999999771</v>
      </c>
      <c r="E337" s="4">
        <v>45638</v>
      </c>
      <c r="F337" s="19"/>
      <c r="G337" s="19">
        <v>-31.002299999999991</v>
      </c>
    </row>
    <row r="338" spans="1:7" x14ac:dyDescent="0.3">
      <c r="A338" s="4">
        <v>45637</v>
      </c>
      <c r="B338" s="19"/>
      <c r="C338" s="19">
        <v>47.264400000000023</v>
      </c>
      <c r="E338" s="4">
        <v>45637</v>
      </c>
      <c r="F338" s="19"/>
      <c r="G338" s="19">
        <v>25.589199999999991</v>
      </c>
    </row>
    <row r="339" spans="1:7" x14ac:dyDescent="0.3">
      <c r="A339" s="4">
        <v>45636</v>
      </c>
      <c r="B339" s="19"/>
      <c r="C339" s="19">
        <v>-72.537000000000035</v>
      </c>
      <c r="E339" s="4">
        <v>45636</v>
      </c>
      <c r="F339" s="19"/>
      <c r="G339" s="19">
        <v>-30.702799999999996</v>
      </c>
    </row>
    <row r="340" spans="1:7" x14ac:dyDescent="0.3">
      <c r="A340" s="4">
        <v>45635</v>
      </c>
      <c r="B340" s="19"/>
      <c r="C340" s="19">
        <v>74.069099999999992</v>
      </c>
      <c r="E340" s="4">
        <v>45635</v>
      </c>
      <c r="F340" s="19"/>
      <c r="G340" s="19">
        <v>53.700300000000027</v>
      </c>
    </row>
    <row r="341" spans="1:7" x14ac:dyDescent="0.3">
      <c r="A341" s="4">
        <v>45632</v>
      </c>
      <c r="B341" s="19"/>
      <c r="C341" s="19">
        <v>28.302199999999999</v>
      </c>
      <c r="E341" s="4">
        <v>45632</v>
      </c>
      <c r="F341" s="19"/>
      <c r="G341" s="19">
        <v>21.48060000000001</v>
      </c>
    </row>
    <row r="342" spans="1:7" x14ac:dyDescent="0.3">
      <c r="A342" s="4">
        <v>45631</v>
      </c>
      <c r="B342" s="19"/>
      <c r="C342" s="19">
        <v>29.604000000000013</v>
      </c>
      <c r="E342" s="4">
        <v>45631</v>
      </c>
      <c r="F342" s="19"/>
      <c r="G342" s="19">
        <v>7.5587000000000018</v>
      </c>
    </row>
    <row r="343" spans="1:7" x14ac:dyDescent="0.3">
      <c r="A343" s="4">
        <v>45630</v>
      </c>
      <c r="B343" s="19"/>
      <c r="C343" s="19">
        <v>-43.649499999999989</v>
      </c>
      <c r="E343" s="4">
        <v>45630</v>
      </c>
      <c r="F343" s="19"/>
      <c r="G343" s="19">
        <v>-59.947699999999998</v>
      </c>
    </row>
    <row r="344" spans="1:7" x14ac:dyDescent="0.3">
      <c r="A344" s="4">
        <v>45629</v>
      </c>
      <c r="B344" s="19"/>
      <c r="C344" s="19">
        <v>1.7612000000000023</v>
      </c>
      <c r="E344" s="4">
        <v>45629</v>
      </c>
      <c r="F344" s="19"/>
      <c r="G344" s="19">
        <v>1.185299999999998</v>
      </c>
    </row>
    <row r="345" spans="1:7" x14ac:dyDescent="0.3">
      <c r="A345" s="4">
        <v>45628</v>
      </c>
      <c r="B345" s="19"/>
      <c r="C345" s="19">
        <v>110.58449999999999</v>
      </c>
      <c r="E345" s="4">
        <v>45628</v>
      </c>
      <c r="F345" s="19"/>
      <c r="G345" s="19">
        <v>85.955399999999997</v>
      </c>
    </row>
    <row r="346" spans="1:7" x14ac:dyDescent="0.3">
      <c r="A346" s="4">
        <v>45625</v>
      </c>
      <c r="B346" s="19"/>
      <c r="C346" s="19">
        <v>2.9415000000000191</v>
      </c>
      <c r="E346" s="4">
        <v>45625</v>
      </c>
      <c r="F346" s="19"/>
      <c r="G346" s="19">
        <v>29.84129999999999</v>
      </c>
    </row>
    <row r="347" spans="1:7" x14ac:dyDescent="0.3">
      <c r="A347" s="4">
        <v>45624</v>
      </c>
      <c r="B347" s="19"/>
      <c r="C347" s="19">
        <v>46.135900000000007</v>
      </c>
      <c r="E347" s="4">
        <v>45624</v>
      </c>
      <c r="F347" s="19"/>
      <c r="G347" s="19">
        <v>31.968199999999996</v>
      </c>
    </row>
    <row r="348" spans="1:7" x14ac:dyDescent="0.3">
      <c r="A348" s="4">
        <v>45623</v>
      </c>
      <c r="B348" s="19"/>
      <c r="C348" s="19">
        <v>19.142199999999974</v>
      </c>
      <c r="E348" s="4">
        <v>45623</v>
      </c>
      <c r="F348" s="19"/>
      <c r="G348" s="19">
        <v>33.569800000000001</v>
      </c>
    </row>
    <row r="349" spans="1:7" x14ac:dyDescent="0.3">
      <c r="A349" s="4">
        <v>45622</v>
      </c>
      <c r="B349" s="19"/>
      <c r="C349" s="19">
        <v>40.859199999999987</v>
      </c>
      <c r="E349" s="4">
        <v>45622</v>
      </c>
      <c r="F349" s="19"/>
      <c r="G349" s="19">
        <v>27.788600000000002</v>
      </c>
    </row>
    <row r="350" spans="1:7" x14ac:dyDescent="0.3">
      <c r="A350" s="4">
        <v>45621</v>
      </c>
      <c r="B350" s="19"/>
      <c r="C350" s="19">
        <v>7.0088000000000079</v>
      </c>
      <c r="E350" s="4">
        <v>45621</v>
      </c>
      <c r="F350" s="19"/>
      <c r="G350" s="19">
        <v>5.0106000000000108</v>
      </c>
    </row>
    <row r="351" spans="1:7" x14ac:dyDescent="0.3">
      <c r="A351" s="4">
        <v>45618</v>
      </c>
      <c r="B351" s="19"/>
      <c r="C351" s="19">
        <v>11.647999999999996</v>
      </c>
      <c r="E351" s="4">
        <v>45618</v>
      </c>
      <c r="F351" s="19"/>
      <c r="G351" s="19">
        <v>14.012599999999992</v>
      </c>
    </row>
    <row r="352" spans="1:7" x14ac:dyDescent="0.3">
      <c r="A352" s="4">
        <v>45617</v>
      </c>
      <c r="B352" s="19"/>
      <c r="C352" s="19">
        <v>26.830400000000026</v>
      </c>
      <c r="E352" s="4">
        <v>45617</v>
      </c>
      <c r="F352" s="19"/>
      <c r="G352" s="19">
        <v>19.827200000000005</v>
      </c>
    </row>
    <row r="353" spans="1:7" x14ac:dyDescent="0.3">
      <c r="A353" s="4">
        <v>45616</v>
      </c>
      <c r="B353" s="19"/>
      <c r="C353" s="19">
        <v>30.128299999999996</v>
      </c>
      <c r="E353" s="4">
        <v>45616</v>
      </c>
      <c r="F353" s="19"/>
      <c r="G353" s="19">
        <v>25.585700000000003</v>
      </c>
    </row>
    <row r="354" spans="1:7" x14ac:dyDescent="0.3">
      <c r="A354" s="4">
        <v>45615</v>
      </c>
      <c r="B354" s="19"/>
      <c r="C354" s="19">
        <v>1.9679000000000144</v>
      </c>
      <c r="E354" s="4">
        <v>45615</v>
      </c>
      <c r="F354" s="19"/>
      <c r="G354" s="19">
        <v>17.758499999999998</v>
      </c>
    </row>
    <row r="355" spans="1:7" x14ac:dyDescent="0.3">
      <c r="A355" s="4">
        <v>45614</v>
      </c>
      <c r="B355" s="19"/>
      <c r="C355" s="19">
        <v>78.639199999999988</v>
      </c>
      <c r="E355" s="4">
        <v>45614</v>
      </c>
      <c r="F355" s="19"/>
      <c r="G355" s="19">
        <v>56.871300000000005</v>
      </c>
    </row>
    <row r="356" spans="1:7" x14ac:dyDescent="0.3">
      <c r="A356" s="4">
        <v>45611</v>
      </c>
      <c r="B356" s="19"/>
      <c r="C356" s="19">
        <v>-15.159700000000015</v>
      </c>
      <c r="E356" s="4">
        <v>45611</v>
      </c>
      <c r="F356" s="19"/>
      <c r="G356" s="19">
        <v>24.379199999999997</v>
      </c>
    </row>
    <row r="357" spans="1:7" x14ac:dyDescent="0.3">
      <c r="A357" s="4">
        <v>45610</v>
      </c>
      <c r="B357" s="19"/>
      <c r="C357" s="19">
        <v>100.51829999999998</v>
      </c>
      <c r="E357" s="4">
        <v>45610</v>
      </c>
      <c r="F357" s="19"/>
      <c r="G357" s="19">
        <v>96.041799999999995</v>
      </c>
    </row>
    <row r="358" spans="1:7" x14ac:dyDescent="0.3">
      <c r="A358" s="4">
        <v>45609</v>
      </c>
      <c r="B358" s="19"/>
      <c r="C358" s="19">
        <v>6.3900999999999897</v>
      </c>
      <c r="E358" s="4">
        <v>45609</v>
      </c>
      <c r="F358" s="19"/>
      <c r="G358" s="19">
        <v>-51.90270000000001</v>
      </c>
    </row>
    <row r="359" spans="1:7" x14ac:dyDescent="0.3">
      <c r="A359" s="4">
        <v>45608</v>
      </c>
      <c r="B359" s="19"/>
      <c r="C359" s="19">
        <v>44.858800000000031</v>
      </c>
      <c r="E359" s="4">
        <v>45608</v>
      </c>
      <c r="F359" s="19"/>
      <c r="G359" s="19">
        <v>53.06</v>
      </c>
    </row>
    <row r="360" spans="1:7" x14ac:dyDescent="0.3">
      <c r="A360" s="4">
        <v>45607</v>
      </c>
      <c r="B360" s="19"/>
      <c r="C360" s="19">
        <v>60.714499999999987</v>
      </c>
      <c r="E360" s="4">
        <v>45607</v>
      </c>
      <c r="F360" s="19"/>
      <c r="G360" s="19">
        <v>37.934299999999979</v>
      </c>
    </row>
    <row r="361" spans="1:7" x14ac:dyDescent="0.3">
      <c r="A361" s="4">
        <v>45604</v>
      </c>
      <c r="B361" s="19"/>
      <c r="C361" s="19">
        <v>-1.0819999999999936</v>
      </c>
      <c r="E361" s="4">
        <v>45604</v>
      </c>
      <c r="F361" s="19"/>
      <c r="G361" s="19">
        <v>-29.351900000000001</v>
      </c>
    </row>
    <row r="362" spans="1:7" x14ac:dyDescent="0.3">
      <c r="A362" s="4">
        <v>45603</v>
      </c>
      <c r="B362" s="19"/>
      <c r="C362" s="19">
        <v>19.451900000000023</v>
      </c>
      <c r="E362" s="4">
        <v>45603</v>
      </c>
      <c r="F362" s="19"/>
      <c r="G362" s="19">
        <v>-7.6239999999999952</v>
      </c>
    </row>
    <row r="363" spans="1:7" x14ac:dyDescent="0.3">
      <c r="A363" s="4">
        <v>45602</v>
      </c>
      <c r="B363" s="19"/>
      <c r="C363" s="19">
        <v>118.38640000000001</v>
      </c>
      <c r="E363" s="4">
        <v>45602</v>
      </c>
      <c r="F363" s="19"/>
      <c r="G363" s="19">
        <v>96.479900000000015</v>
      </c>
    </row>
    <row r="364" spans="1:7" x14ac:dyDescent="0.3">
      <c r="A364" s="4">
        <v>45601</v>
      </c>
      <c r="B364" s="19"/>
      <c r="C364" s="19">
        <v>46.540599999999984</v>
      </c>
      <c r="E364" s="4">
        <v>45601</v>
      </c>
      <c r="F364" s="19"/>
      <c r="G364" s="19">
        <v>47.714100000000002</v>
      </c>
    </row>
    <row r="365" spans="1:7" x14ac:dyDescent="0.3">
      <c r="A365" s="4">
        <v>45600</v>
      </c>
      <c r="B365" s="19"/>
      <c r="C365" s="19">
        <v>22.701799999999992</v>
      </c>
      <c r="E365" s="4">
        <v>45600</v>
      </c>
      <c r="F365" s="19"/>
      <c r="G365" s="19">
        <v>10.091499999999996</v>
      </c>
    </row>
    <row r="366" spans="1:7" x14ac:dyDescent="0.3">
      <c r="A366" s="4">
        <v>45597</v>
      </c>
      <c r="B366" s="19"/>
      <c r="C366" s="19">
        <v>26.70150000000001</v>
      </c>
      <c r="E366" s="4">
        <v>45597</v>
      </c>
      <c r="F366" s="19"/>
      <c r="G366" s="19">
        <v>15.823899999999995</v>
      </c>
    </row>
    <row r="367" spans="1:7" x14ac:dyDescent="0.3">
      <c r="A367" s="4">
        <v>45596</v>
      </c>
      <c r="B367" s="19"/>
      <c r="C367" s="19">
        <v>21.165899999999993</v>
      </c>
      <c r="E367" s="4">
        <v>45596</v>
      </c>
      <c r="F367" s="19"/>
      <c r="G367" s="19">
        <v>5.6616999999999962</v>
      </c>
    </row>
    <row r="368" spans="1:7" x14ac:dyDescent="0.3">
      <c r="A368" s="4">
        <v>45595</v>
      </c>
      <c r="B368" s="19"/>
      <c r="C368" s="19">
        <v>-14.438600000000008</v>
      </c>
      <c r="E368" s="4">
        <v>45595</v>
      </c>
      <c r="F368" s="19"/>
      <c r="G368" s="19">
        <v>-33.352199999999982</v>
      </c>
    </row>
    <row r="369" spans="1:7" x14ac:dyDescent="0.3">
      <c r="A369" s="4">
        <v>45594</v>
      </c>
      <c r="B369" s="19"/>
      <c r="C369" s="19">
        <v>38.985500000000002</v>
      </c>
      <c r="E369" s="4">
        <v>45594</v>
      </c>
      <c r="F369" s="19"/>
      <c r="G369" s="19">
        <v>28.544700000000006</v>
      </c>
    </row>
    <row r="370" spans="1:7" x14ac:dyDescent="0.3">
      <c r="A370" s="4">
        <v>45593</v>
      </c>
      <c r="B370" s="19"/>
      <c r="C370" s="19">
        <v>39.230700000000013</v>
      </c>
      <c r="E370" s="4">
        <v>45593</v>
      </c>
      <c r="F370" s="19"/>
      <c r="G370" s="19">
        <v>23.592000000000013</v>
      </c>
    </row>
    <row r="371" spans="1:7" x14ac:dyDescent="0.3">
      <c r="A371" s="4">
        <v>45590</v>
      </c>
      <c r="B371" s="19"/>
      <c r="C371" s="19">
        <v>53.3125</v>
      </c>
      <c r="E371" s="4">
        <v>45590</v>
      </c>
      <c r="F371" s="19"/>
      <c r="G371" s="19">
        <v>38.695899999999995</v>
      </c>
    </row>
    <row r="372" spans="1:7" x14ac:dyDescent="0.3">
      <c r="A372" s="4">
        <v>45589</v>
      </c>
      <c r="B372" s="19"/>
      <c r="C372" s="19">
        <v>24.065899999999999</v>
      </c>
      <c r="E372" s="4">
        <v>45589</v>
      </c>
      <c r="F372" s="19"/>
      <c r="G372" s="19">
        <v>-28.75800000000001</v>
      </c>
    </row>
    <row r="373" spans="1:7" x14ac:dyDescent="0.3">
      <c r="A373" s="4">
        <v>45588</v>
      </c>
      <c r="B373" s="19"/>
      <c r="C373" s="19">
        <v>66.032900000000012</v>
      </c>
      <c r="E373" s="4">
        <v>45588</v>
      </c>
      <c r="F373" s="19"/>
      <c r="G373" s="19">
        <v>27.959700000000026</v>
      </c>
    </row>
    <row r="374" spans="1:7" x14ac:dyDescent="0.3">
      <c r="A374" s="4">
        <v>45587</v>
      </c>
      <c r="B374" s="19"/>
      <c r="C374" s="19">
        <v>40.005400000000009</v>
      </c>
      <c r="E374" s="4">
        <v>45587</v>
      </c>
      <c r="F374" s="19"/>
      <c r="G374" s="19">
        <v>19.058800000000005</v>
      </c>
    </row>
    <row r="375" spans="1:7" x14ac:dyDescent="0.3">
      <c r="A375" s="4">
        <v>45586</v>
      </c>
      <c r="B375" s="19"/>
      <c r="C375" s="19">
        <v>100.9161</v>
      </c>
      <c r="E375" s="4">
        <v>45586</v>
      </c>
      <c r="F375" s="19"/>
      <c r="G375" s="19">
        <v>23.387500000000017</v>
      </c>
    </row>
    <row r="376" spans="1:7" x14ac:dyDescent="0.3">
      <c r="A376" s="4">
        <v>45583</v>
      </c>
      <c r="B376" s="19"/>
      <c r="C376" s="19">
        <v>-29.462600000000009</v>
      </c>
      <c r="E376" s="4">
        <v>45583</v>
      </c>
      <c r="F376" s="19"/>
      <c r="G376" s="19">
        <v>-1.5572999999999979</v>
      </c>
    </row>
    <row r="377" spans="1:7" x14ac:dyDescent="0.3">
      <c r="A377" s="4">
        <v>45582</v>
      </c>
      <c r="B377" s="19"/>
      <c r="C377" s="19">
        <v>45.223199999999991</v>
      </c>
      <c r="E377" s="4">
        <v>45582</v>
      </c>
      <c r="F377" s="19"/>
      <c r="G377" s="19">
        <v>38.363299999999995</v>
      </c>
    </row>
    <row r="378" spans="1:7" x14ac:dyDescent="0.3">
      <c r="A378" s="4">
        <v>45581</v>
      </c>
      <c r="B378" s="19"/>
      <c r="C378" s="19">
        <v>-22.984800000000007</v>
      </c>
      <c r="E378" s="4">
        <v>45581</v>
      </c>
      <c r="F378" s="19"/>
      <c r="G378" s="19">
        <v>7.522199999999998</v>
      </c>
    </row>
    <row r="379" spans="1:7" x14ac:dyDescent="0.3">
      <c r="A379" s="4">
        <v>45580</v>
      </c>
      <c r="B379" s="19"/>
      <c r="C379" s="19">
        <v>49.649100000000033</v>
      </c>
      <c r="E379" s="4">
        <v>45580</v>
      </c>
      <c r="F379" s="19"/>
      <c r="G379" s="19">
        <v>35.790599999999984</v>
      </c>
    </row>
    <row r="380" spans="1:7" x14ac:dyDescent="0.3">
      <c r="A380" s="4">
        <v>45579</v>
      </c>
      <c r="B380" s="19"/>
      <c r="C380" s="19">
        <v>75.525199999999984</v>
      </c>
      <c r="E380" s="4">
        <v>45579</v>
      </c>
      <c r="F380" s="19"/>
      <c r="G380" s="19">
        <v>46.171199999999999</v>
      </c>
    </row>
    <row r="381" spans="1:7" x14ac:dyDescent="0.3">
      <c r="A381" s="4">
        <v>45575</v>
      </c>
      <c r="B381" s="19"/>
      <c r="C381" s="19">
        <v>40.881000000000029</v>
      </c>
      <c r="E381" s="4">
        <v>45575</v>
      </c>
      <c r="F381" s="19"/>
      <c r="G381" s="19">
        <v>64.687899999999985</v>
      </c>
    </row>
    <row r="382" spans="1:7" x14ac:dyDescent="0.3">
      <c r="A382" s="4">
        <v>45574</v>
      </c>
      <c r="B382" s="19"/>
      <c r="C382" s="19">
        <v>-30.982300000000009</v>
      </c>
      <c r="E382" s="4">
        <v>45574</v>
      </c>
      <c r="F382" s="19"/>
      <c r="G382" s="19">
        <v>24.600099999999998</v>
      </c>
    </row>
    <row r="383" spans="1:7" x14ac:dyDescent="0.3">
      <c r="A383" s="4">
        <v>45573</v>
      </c>
      <c r="B383" s="19"/>
      <c r="C383" s="19">
        <v>4.3681000000000267</v>
      </c>
      <c r="E383" s="4">
        <v>45573</v>
      </c>
      <c r="F383" s="19"/>
      <c r="G383" s="19">
        <v>16.289299999999912</v>
      </c>
    </row>
    <row r="384" spans="1:7" x14ac:dyDescent="0.3">
      <c r="A384" s="4">
        <v>45565</v>
      </c>
      <c r="B384" s="19"/>
      <c r="C384" s="19">
        <v>77.163099999999986</v>
      </c>
      <c r="E384" s="4">
        <v>45565</v>
      </c>
      <c r="F384" s="19"/>
      <c r="G384" s="19">
        <v>44.273500000000013</v>
      </c>
    </row>
    <row r="385" spans="1:7" x14ac:dyDescent="0.3">
      <c r="A385" s="4">
        <v>45562</v>
      </c>
      <c r="B385" s="19"/>
      <c r="C385" s="19">
        <v>-4.2939000000000078</v>
      </c>
      <c r="E385" s="4">
        <v>45562</v>
      </c>
      <c r="F385" s="19"/>
      <c r="G385" s="19">
        <v>-19.017399999999952</v>
      </c>
    </row>
    <row r="386" spans="1:7" x14ac:dyDescent="0.3">
      <c r="A386" s="4">
        <v>45561</v>
      </c>
      <c r="B386" s="19"/>
      <c r="C386" s="19">
        <v>63.251199999999983</v>
      </c>
      <c r="E386" s="4">
        <v>45561</v>
      </c>
      <c r="F386" s="19"/>
      <c r="G386" s="19">
        <v>-3.3190000000000168</v>
      </c>
    </row>
    <row r="387" spans="1:7" x14ac:dyDescent="0.3">
      <c r="A387" s="4">
        <v>45560</v>
      </c>
      <c r="B387" s="19"/>
      <c r="C387" s="19">
        <v>-36.222999999999985</v>
      </c>
      <c r="E387" s="4">
        <v>45560</v>
      </c>
      <c r="F387" s="19"/>
      <c r="G387" s="19">
        <v>-17.576900000000023</v>
      </c>
    </row>
    <row r="388" spans="1:7" x14ac:dyDescent="0.3">
      <c r="A388" s="4">
        <v>45559</v>
      </c>
      <c r="B388" s="19"/>
      <c r="C388" s="19">
        <v>-35.407000000000011</v>
      </c>
      <c r="E388" s="4">
        <v>45559</v>
      </c>
      <c r="F388" s="19"/>
      <c r="G388" s="19">
        <v>-7.6761999999999944</v>
      </c>
    </row>
    <row r="389" spans="1:7" x14ac:dyDescent="0.3">
      <c r="A389" s="4">
        <v>45558</v>
      </c>
      <c r="B389" s="19"/>
      <c r="C389" s="19">
        <v>46.967699999999994</v>
      </c>
      <c r="E389" s="4">
        <v>45558</v>
      </c>
      <c r="F389" s="19"/>
      <c r="G389" s="19">
        <v>37.178699999999992</v>
      </c>
    </row>
    <row r="390" spans="1:7" x14ac:dyDescent="0.3">
      <c r="A390" s="4">
        <v>45555</v>
      </c>
      <c r="B390" s="19"/>
      <c r="C390" s="19">
        <v>2.2194000000000074</v>
      </c>
      <c r="E390" s="4">
        <v>45555</v>
      </c>
      <c r="F390" s="19"/>
      <c r="G390" s="19">
        <v>31.772500000000008</v>
      </c>
    </row>
    <row r="391" spans="1:7" x14ac:dyDescent="0.3">
      <c r="A391" s="4">
        <v>45554</v>
      </c>
      <c r="B391" s="19"/>
      <c r="C391" s="19">
        <v>-2.3284000000000162</v>
      </c>
      <c r="E391" s="4">
        <v>45554</v>
      </c>
      <c r="F391" s="19"/>
      <c r="G391" s="19">
        <v>28.367099999999994</v>
      </c>
    </row>
    <row r="392" spans="1:7" x14ac:dyDescent="0.3">
      <c r="A392" s="4">
        <v>45548</v>
      </c>
      <c r="B392" s="19"/>
      <c r="C392" s="19">
        <v>-6.2203999999999979</v>
      </c>
      <c r="E392" s="4">
        <v>45548</v>
      </c>
      <c r="F392" s="19"/>
      <c r="G392" s="19">
        <v>8.609499999999997</v>
      </c>
    </row>
    <row r="393" spans="1:7" x14ac:dyDescent="0.3">
      <c r="A393" s="4">
        <v>45547</v>
      </c>
      <c r="B393" s="19"/>
      <c r="C393" s="19">
        <v>12.15809999999999</v>
      </c>
      <c r="E393" s="4">
        <v>45547</v>
      </c>
      <c r="F393" s="19"/>
      <c r="G393" s="19">
        <v>18.587699999999998</v>
      </c>
    </row>
    <row r="394" spans="1:7" x14ac:dyDescent="0.3">
      <c r="A394" s="4">
        <v>45546</v>
      </c>
      <c r="B394" s="19"/>
      <c r="C394" s="19">
        <v>-26.459099999999992</v>
      </c>
      <c r="E394" s="4">
        <v>45546</v>
      </c>
      <c r="F394" s="19"/>
      <c r="G394" s="19">
        <v>-32.587000000000003</v>
      </c>
    </row>
    <row r="395" spans="1:7" x14ac:dyDescent="0.3">
      <c r="A395" s="4">
        <v>45545</v>
      </c>
      <c r="B395" s="19"/>
      <c r="C395" s="19">
        <v>41.213999999999999</v>
      </c>
      <c r="E395" s="4">
        <v>45545</v>
      </c>
      <c r="F395" s="19"/>
      <c r="G395" s="19">
        <v>51.676900000000003</v>
      </c>
    </row>
    <row r="396" spans="1:7" x14ac:dyDescent="0.3">
      <c r="A396" s="4">
        <v>45544</v>
      </c>
      <c r="B396" s="19"/>
      <c r="C396" s="19">
        <v>32.747400000000013</v>
      </c>
      <c r="E396" s="4">
        <v>45544</v>
      </c>
      <c r="F396" s="19"/>
      <c r="G396" s="19">
        <v>25.534700000000001</v>
      </c>
    </row>
    <row r="397" spans="1:7" x14ac:dyDescent="0.3">
      <c r="A397" s="4">
        <v>45540</v>
      </c>
      <c r="B397" s="19"/>
      <c r="C397" s="19">
        <v>-6.9211999999999989</v>
      </c>
      <c r="E397" s="4">
        <v>45540</v>
      </c>
      <c r="F397" s="19"/>
      <c r="G397" s="19">
        <v>-8.9801000000000002</v>
      </c>
    </row>
    <row r="398" spans="1:7" x14ac:dyDescent="0.3">
      <c r="A398" s="4">
        <v>45539</v>
      </c>
      <c r="B398" s="19"/>
      <c r="C398" s="19">
        <v>-15.813000000000002</v>
      </c>
      <c r="E398" s="4">
        <v>45539</v>
      </c>
      <c r="F398" s="19"/>
      <c r="G398" s="19">
        <v>-21.216099999999997</v>
      </c>
    </row>
    <row r="399" spans="1:7" x14ac:dyDescent="0.3">
      <c r="A399" s="4">
        <v>45538</v>
      </c>
      <c r="B399" s="19"/>
      <c r="C399" s="19">
        <v>15.021899999999995</v>
      </c>
      <c r="E399" s="4">
        <v>45538</v>
      </c>
      <c r="F399" s="19"/>
      <c r="G399" s="19">
        <v>11.165800000000004</v>
      </c>
    </row>
    <row r="400" spans="1:7" x14ac:dyDescent="0.3">
      <c r="A400" s="4">
        <v>45537</v>
      </c>
      <c r="B400" s="19"/>
      <c r="C400" s="19">
        <v>80.088599999999985</v>
      </c>
      <c r="E400" s="4">
        <v>45537</v>
      </c>
      <c r="F400" s="19"/>
      <c r="G400" s="19">
        <v>39.303199999999997</v>
      </c>
    </row>
    <row r="401" spans="1:7" x14ac:dyDescent="0.3">
      <c r="A401" s="4">
        <v>45534</v>
      </c>
      <c r="B401" s="19"/>
      <c r="C401" s="19">
        <v>14.286000000000016</v>
      </c>
      <c r="E401" s="4">
        <v>45534</v>
      </c>
      <c r="F401" s="19"/>
      <c r="G401" s="19">
        <v>-0.61339999999999861</v>
      </c>
    </row>
    <row r="402" spans="1:7" x14ac:dyDescent="0.3">
      <c r="A402" s="4">
        <v>45533</v>
      </c>
      <c r="B402" s="19"/>
      <c r="C402" s="19">
        <v>-11.832700000000003</v>
      </c>
      <c r="E402" s="4">
        <v>45533</v>
      </c>
      <c r="F402" s="19"/>
      <c r="G402" s="19">
        <v>-6.546299999999988</v>
      </c>
    </row>
    <row r="403" spans="1:7" x14ac:dyDescent="0.3">
      <c r="A403" s="4">
        <v>45532</v>
      </c>
      <c r="B403" s="19"/>
      <c r="C403" s="19">
        <v>19.790100000000002</v>
      </c>
      <c r="E403" s="4">
        <v>45532</v>
      </c>
      <c r="F403" s="19"/>
      <c r="G403" s="19">
        <v>6.8853000000000009</v>
      </c>
    </row>
    <row r="404" spans="1:7" x14ac:dyDescent="0.3">
      <c r="A404" s="4">
        <v>45531</v>
      </c>
      <c r="B404" s="19"/>
      <c r="C404" s="19">
        <v>18.0809</v>
      </c>
      <c r="E404" s="4">
        <v>45531</v>
      </c>
      <c r="F404" s="19"/>
      <c r="G404" s="19">
        <v>10.672899999999998</v>
      </c>
    </row>
    <row r="405" spans="1:7" x14ac:dyDescent="0.3">
      <c r="A405" s="4">
        <v>45530</v>
      </c>
      <c r="B405" s="19"/>
      <c r="C405" s="19">
        <v>0.14389999999998793</v>
      </c>
      <c r="E405" s="4">
        <v>45530</v>
      </c>
      <c r="F405" s="19"/>
      <c r="G405" s="19">
        <v>-0.55559999999999832</v>
      </c>
    </row>
    <row r="406" spans="1:7" x14ac:dyDescent="0.3">
      <c r="A406" s="4">
        <v>45527</v>
      </c>
      <c r="B406" s="19"/>
      <c r="C406" s="19">
        <v>25.793299999999995</v>
      </c>
      <c r="E406" s="4">
        <v>45527</v>
      </c>
      <c r="F406" s="19"/>
      <c r="G406" s="19">
        <v>1.4992999999999981</v>
      </c>
    </row>
    <row r="407" spans="1:7" x14ac:dyDescent="0.3">
      <c r="A407" s="4">
        <v>45526</v>
      </c>
      <c r="B407" s="19"/>
      <c r="C407" s="19">
        <v>15.653499999999994</v>
      </c>
      <c r="E407" s="4">
        <v>45526</v>
      </c>
      <c r="F407" s="19"/>
      <c r="G407" s="19">
        <v>-16.483600000000003</v>
      </c>
    </row>
    <row r="408" spans="1:7" x14ac:dyDescent="0.3">
      <c r="A408" s="4">
        <v>45525</v>
      </c>
      <c r="B408" s="19"/>
      <c r="C408" s="19">
        <v>5.6626000000000047</v>
      </c>
      <c r="E408" s="4">
        <v>45525</v>
      </c>
      <c r="F408" s="19"/>
      <c r="G408" s="19">
        <v>-2.8500999999999976</v>
      </c>
    </row>
    <row r="409" spans="1:7" x14ac:dyDescent="0.3">
      <c r="A409" s="4">
        <v>45524</v>
      </c>
      <c r="B409" s="19"/>
      <c r="C409" s="19">
        <v>12.601200000000006</v>
      </c>
      <c r="E409" s="4">
        <v>45524</v>
      </c>
      <c r="F409" s="19"/>
      <c r="G409" s="19">
        <v>5.3387999999999991</v>
      </c>
    </row>
    <row r="410" spans="1:7" x14ac:dyDescent="0.3">
      <c r="A410" s="4">
        <v>45523</v>
      </c>
      <c r="B410" s="19"/>
      <c r="C410" s="19">
        <v>-35.638800000000003</v>
      </c>
      <c r="E410" s="4">
        <v>45523</v>
      </c>
      <c r="F410" s="19"/>
      <c r="G410" s="19">
        <v>-26.154700000000005</v>
      </c>
    </row>
    <row r="411" spans="1:7" x14ac:dyDescent="0.3">
      <c r="A411" s="4">
        <v>45520</v>
      </c>
      <c r="B411" s="19">
        <v>-25.682199999999995</v>
      </c>
      <c r="C411" s="19">
        <v>28.2059</v>
      </c>
      <c r="E411" s="4">
        <v>45520</v>
      </c>
      <c r="F411" s="19">
        <v>-42.067699999999974</v>
      </c>
      <c r="G411" s="19">
        <v>19.048900000000003</v>
      </c>
    </row>
    <row r="412" spans="1:7" x14ac:dyDescent="0.3">
      <c r="A412" s="4">
        <v>45519</v>
      </c>
      <c r="B412" s="19">
        <v>88.650100000000009</v>
      </c>
      <c r="C412" s="19">
        <v>44.739200000000004</v>
      </c>
      <c r="E412" s="4">
        <v>45519</v>
      </c>
      <c r="F412" s="19">
        <v>33.408299999999997</v>
      </c>
      <c r="G412" s="19">
        <v>21.608399999999996</v>
      </c>
    </row>
    <row r="413" spans="1:7" x14ac:dyDescent="0.3">
      <c r="A413" s="4">
        <v>45518</v>
      </c>
      <c r="B413" s="19">
        <v>-30.606999999999999</v>
      </c>
      <c r="C413" s="19">
        <v>-8.9453999999999994</v>
      </c>
      <c r="E413" s="4">
        <v>45518</v>
      </c>
      <c r="F413" s="19">
        <v>-41.057400000000001</v>
      </c>
      <c r="G413" s="19">
        <v>-1.4626000000000019</v>
      </c>
    </row>
    <row r="414" spans="1:7" x14ac:dyDescent="0.3">
      <c r="A414" s="4">
        <v>45517</v>
      </c>
      <c r="B414" s="19">
        <v>-8.6215000000000259</v>
      </c>
      <c r="C414" s="19">
        <v>12.622399999999999</v>
      </c>
      <c r="E414" s="4">
        <v>45517</v>
      </c>
      <c r="F414" s="19">
        <v>-16.6524</v>
      </c>
      <c r="G414" s="19">
        <v>6.5551999999999992</v>
      </c>
    </row>
    <row r="415" spans="1:7" x14ac:dyDescent="0.3">
      <c r="A415" s="4">
        <v>45516</v>
      </c>
      <c r="B415" s="19">
        <v>-2.8897000000000048</v>
      </c>
      <c r="C415" s="19">
        <v>26.912999999999997</v>
      </c>
      <c r="E415" s="4">
        <v>45516</v>
      </c>
      <c r="F415" s="19">
        <v>-4.84020000000001</v>
      </c>
      <c r="G415" s="19">
        <v>16.546900000000001</v>
      </c>
    </row>
    <row r="416" spans="1:7" x14ac:dyDescent="0.3">
      <c r="A416" s="4">
        <v>45513</v>
      </c>
      <c r="B416" s="19">
        <v>-31.354100000000017</v>
      </c>
      <c r="C416" s="19">
        <v>13.28779999999999</v>
      </c>
      <c r="E416" s="4">
        <v>45513</v>
      </c>
      <c r="F416" s="19">
        <v>-46.295199999999994</v>
      </c>
      <c r="G416" s="19">
        <v>9.4876000000000005</v>
      </c>
    </row>
    <row r="417" spans="1:7" x14ac:dyDescent="0.3">
      <c r="A417" s="4">
        <v>45512</v>
      </c>
      <c r="B417" s="19">
        <v>7.9955000000000211</v>
      </c>
      <c r="C417" s="19">
        <v>-22.749799999999993</v>
      </c>
      <c r="E417" s="4">
        <v>45512</v>
      </c>
      <c r="F417" s="19">
        <v>3.0350999999999999</v>
      </c>
      <c r="G417" s="19">
        <v>-38.115999999999993</v>
      </c>
    </row>
    <row r="418" spans="1:7" x14ac:dyDescent="0.3">
      <c r="A418" s="4">
        <v>45511</v>
      </c>
      <c r="B418" s="19">
        <v>4.1704000000000008</v>
      </c>
      <c r="C418" s="19">
        <v>66.402599999999993</v>
      </c>
      <c r="E418" s="4">
        <v>45511</v>
      </c>
      <c r="F418" s="19">
        <v>-25.525499999999994</v>
      </c>
      <c r="G418" s="19">
        <v>50.326900000000002</v>
      </c>
    </row>
    <row r="419" spans="1:7" x14ac:dyDescent="0.3">
      <c r="A419" s="4">
        <v>45510</v>
      </c>
      <c r="B419" s="19">
        <v>-28.851600000000019</v>
      </c>
      <c r="C419" s="19">
        <v>32.0779</v>
      </c>
      <c r="E419" s="4">
        <v>45510</v>
      </c>
      <c r="F419" s="19">
        <v>-33.653500000000008</v>
      </c>
      <c r="G419" s="19">
        <v>27.788100000000007</v>
      </c>
    </row>
    <row r="420" spans="1:7" x14ac:dyDescent="0.3">
      <c r="A420" s="4">
        <v>45509</v>
      </c>
      <c r="B420" s="19">
        <v>-3.9440000000000168</v>
      </c>
      <c r="C420" s="19">
        <v>14.150700000000015</v>
      </c>
      <c r="E420" s="4">
        <v>45509</v>
      </c>
      <c r="F420" s="19">
        <v>6.8235000000000241</v>
      </c>
      <c r="G420" s="19">
        <v>-0.27519999999999811</v>
      </c>
    </row>
    <row r="421" spans="1:7" x14ac:dyDescent="0.3">
      <c r="A421" s="4">
        <v>45506</v>
      </c>
      <c r="B421" s="19">
        <v>-24.348900000000015</v>
      </c>
      <c r="C421" s="19">
        <v>-16.400699999999986</v>
      </c>
      <c r="E421" s="4">
        <v>45506</v>
      </c>
      <c r="F421" s="19">
        <v>-7.9484000000000208</v>
      </c>
      <c r="G421" s="19">
        <v>-2.558099999999996</v>
      </c>
    </row>
    <row r="422" spans="1:7" x14ac:dyDescent="0.3">
      <c r="A422" s="4">
        <v>45505</v>
      </c>
      <c r="B422" s="19">
        <v>-9.5933999999999742</v>
      </c>
      <c r="C422" s="19">
        <v>43.753900000000002</v>
      </c>
      <c r="E422" s="4">
        <v>45505</v>
      </c>
      <c r="F422" s="19">
        <v>-47.420000000000016</v>
      </c>
      <c r="G422" s="19">
        <v>40.015200000000007</v>
      </c>
    </row>
    <row r="423" spans="1:7" x14ac:dyDescent="0.3">
      <c r="A423" s="4">
        <v>45504</v>
      </c>
      <c r="B423" s="19">
        <v>113.63329999999996</v>
      </c>
      <c r="C423" s="19">
        <v>16.1297</v>
      </c>
      <c r="E423" s="4">
        <v>45504</v>
      </c>
      <c r="F423" s="19">
        <v>82.166299999999978</v>
      </c>
      <c r="G423" s="19">
        <v>6.7813000000000017</v>
      </c>
    </row>
    <row r="424" spans="1:7" x14ac:dyDescent="0.3">
      <c r="A424" s="4">
        <v>45503</v>
      </c>
      <c r="B424" s="19">
        <v>-18.159399999999977</v>
      </c>
      <c r="C424" s="19">
        <v>6.0938999999999908</v>
      </c>
      <c r="E424" s="4">
        <v>45503</v>
      </c>
      <c r="F424" s="19">
        <v>-6.2882999999999925</v>
      </c>
      <c r="G424" s="19">
        <v>-9.5022999999999982</v>
      </c>
    </row>
    <row r="425" spans="1:7" x14ac:dyDescent="0.3">
      <c r="A425" s="4">
        <v>45502</v>
      </c>
      <c r="B425" s="19">
        <v>-18.449899999999985</v>
      </c>
      <c r="C425" s="19">
        <v>3.239200000000011</v>
      </c>
      <c r="E425" s="4">
        <v>45502</v>
      </c>
      <c r="F425" s="19">
        <v>-31.402000000000015</v>
      </c>
      <c r="G425" s="19">
        <v>4.2150999999999996</v>
      </c>
    </row>
    <row r="426" spans="1:7" x14ac:dyDescent="0.3">
      <c r="A426" s="4">
        <v>45499</v>
      </c>
      <c r="B426" s="19">
        <v>-4.4331999999999994</v>
      </c>
      <c r="C426" s="19">
        <v>48.811600000000013</v>
      </c>
      <c r="E426" s="4">
        <v>45499</v>
      </c>
      <c r="F426" s="19">
        <v>0.94669999999999277</v>
      </c>
      <c r="G426" s="19">
        <v>38.922600000000003</v>
      </c>
    </row>
    <row r="427" spans="1:7" x14ac:dyDescent="0.3">
      <c r="A427" s="4">
        <v>45498</v>
      </c>
      <c r="B427" s="19">
        <v>-44.856699999999989</v>
      </c>
      <c r="C427" s="19">
        <v>-18.379300000000001</v>
      </c>
      <c r="E427" s="4">
        <v>45498</v>
      </c>
      <c r="F427" s="19">
        <v>-20.961000000000013</v>
      </c>
      <c r="G427" s="19">
        <v>-28.225500000000004</v>
      </c>
    </row>
    <row r="428" spans="1:7" x14ac:dyDescent="0.3">
      <c r="A428" s="4">
        <v>45497</v>
      </c>
      <c r="B428" s="19">
        <v>-6.9483999999999924</v>
      </c>
      <c r="C428" s="19">
        <v>5.1138000000000119</v>
      </c>
      <c r="E428" s="4">
        <v>45497</v>
      </c>
      <c r="F428" s="19">
        <v>-15.816199999999981</v>
      </c>
      <c r="G428" s="19">
        <v>-5.8721999999999994</v>
      </c>
    </row>
    <row r="429" spans="1:7" x14ac:dyDescent="0.3">
      <c r="A429" s="4">
        <v>45496</v>
      </c>
      <c r="B429" s="19">
        <v>-10.298799999999972</v>
      </c>
      <c r="C429" s="19">
        <v>1.6256000000000057</v>
      </c>
      <c r="E429" s="4">
        <v>45496</v>
      </c>
      <c r="F429" s="19">
        <v>-31.531700000000001</v>
      </c>
      <c r="G429" s="19">
        <v>-0.68289999999999651</v>
      </c>
    </row>
    <row r="430" spans="1:7" x14ac:dyDescent="0.3">
      <c r="A430" s="4">
        <v>45495</v>
      </c>
      <c r="B430" s="19">
        <v>45.023800000000051</v>
      </c>
      <c r="C430" s="19">
        <v>23.897500000000008</v>
      </c>
      <c r="E430" s="4">
        <v>45495</v>
      </c>
      <c r="F430" s="19">
        <v>-25.29019999999997</v>
      </c>
      <c r="G430" s="19">
        <v>13.019400000000005</v>
      </c>
    </row>
    <row r="431" spans="1:7" x14ac:dyDescent="0.3">
      <c r="A431" s="4">
        <v>45492</v>
      </c>
      <c r="B431" s="19">
        <v>-20.287399999999991</v>
      </c>
      <c r="C431" s="19">
        <v>41.062600000000003</v>
      </c>
      <c r="E431" s="4">
        <v>45492</v>
      </c>
      <c r="F431" s="19">
        <v>-39.502699999999976</v>
      </c>
      <c r="G431" s="19">
        <v>20.172500000000007</v>
      </c>
    </row>
    <row r="432" spans="1:7" x14ac:dyDescent="0.3">
      <c r="A432" s="4">
        <v>45491</v>
      </c>
      <c r="B432" s="19">
        <v>17.13779999999997</v>
      </c>
      <c r="C432" s="19">
        <v>16.743799999999993</v>
      </c>
      <c r="E432" s="4">
        <v>45491</v>
      </c>
      <c r="F432" s="19">
        <v>-3.6204999999999927</v>
      </c>
      <c r="G432" s="19">
        <v>7.2206000000000046</v>
      </c>
    </row>
    <row r="433" spans="1:7" x14ac:dyDescent="0.3">
      <c r="A433" s="4">
        <v>45490</v>
      </c>
      <c r="B433" s="19">
        <v>-45.406400000000019</v>
      </c>
      <c r="C433" s="19">
        <v>17.146699999999996</v>
      </c>
      <c r="E433" s="4">
        <v>45490</v>
      </c>
      <c r="F433" s="19">
        <v>-43.396799999999985</v>
      </c>
      <c r="G433" s="19">
        <v>-20.308899999999994</v>
      </c>
    </row>
    <row r="434" spans="1:7" x14ac:dyDescent="0.3">
      <c r="A434" s="4">
        <v>45489</v>
      </c>
      <c r="B434" s="19">
        <v>-3.1334999999999695</v>
      </c>
      <c r="C434" s="19">
        <v>34.958500000000001</v>
      </c>
      <c r="E434" s="4">
        <v>45489</v>
      </c>
      <c r="F434" s="19">
        <v>-25.627700000000004</v>
      </c>
      <c r="G434" s="19">
        <v>26.304000000000002</v>
      </c>
    </row>
    <row r="435" spans="1:7" x14ac:dyDescent="0.3">
      <c r="A435" s="4">
        <v>45488</v>
      </c>
      <c r="B435" s="19">
        <v>9.2405000000000257</v>
      </c>
      <c r="C435" s="19">
        <v>26.978099999999998</v>
      </c>
      <c r="E435" s="4">
        <v>45488</v>
      </c>
      <c r="F435" s="19">
        <v>-38.635699999999986</v>
      </c>
      <c r="G435" s="19">
        <v>21.731599999999993</v>
      </c>
    </row>
    <row r="436" spans="1:7" x14ac:dyDescent="0.3">
      <c r="A436" s="4">
        <v>45485</v>
      </c>
      <c r="B436" s="19">
        <v>33.008399999999995</v>
      </c>
      <c r="C436" s="19">
        <v>-2.2419999999999902</v>
      </c>
      <c r="E436" s="4">
        <v>45485</v>
      </c>
      <c r="F436" s="19">
        <v>-5.6732000000000085</v>
      </c>
      <c r="G436" s="19">
        <v>3.9530999999999921</v>
      </c>
    </row>
    <row r="437" spans="1:7" x14ac:dyDescent="0.3">
      <c r="A437" s="4">
        <v>45484</v>
      </c>
      <c r="B437" s="19">
        <v>12.825400000000002</v>
      </c>
      <c r="C437" s="19">
        <v>9.5980999999999881</v>
      </c>
      <c r="E437" s="4">
        <v>45484</v>
      </c>
      <c r="F437" s="19">
        <v>17.632499999999993</v>
      </c>
      <c r="G437" s="19">
        <v>-4.8608000000000047</v>
      </c>
    </row>
    <row r="438" spans="1:7" x14ac:dyDescent="0.3">
      <c r="A438" s="4">
        <v>45483</v>
      </c>
      <c r="B438" s="19">
        <v>5.7185999999999808</v>
      </c>
      <c r="C438" s="19">
        <v>8.2301000000000073</v>
      </c>
      <c r="E438" s="4">
        <v>45483</v>
      </c>
      <c r="F438" s="19">
        <v>-23.550200000000018</v>
      </c>
      <c r="G438" s="19">
        <v>0.41809999999999548</v>
      </c>
    </row>
    <row r="439" spans="1:7" x14ac:dyDescent="0.3">
      <c r="A439" s="4">
        <v>45482</v>
      </c>
      <c r="B439" s="19">
        <v>89.329799999999977</v>
      </c>
      <c r="C439" s="19">
        <v>21.724599999999995</v>
      </c>
      <c r="E439" s="4">
        <v>45482</v>
      </c>
      <c r="F439" s="19">
        <v>51.776999999999987</v>
      </c>
      <c r="G439" s="19">
        <v>14.782399999999996</v>
      </c>
    </row>
    <row r="440" spans="1:7" x14ac:dyDescent="0.3">
      <c r="A440" s="4">
        <v>45481</v>
      </c>
      <c r="B440" s="19">
        <v>10.093099999999993</v>
      </c>
      <c r="C440" s="19">
        <v>9.1585000000000036</v>
      </c>
      <c r="E440" s="4">
        <v>45481</v>
      </c>
      <c r="F440" s="19">
        <v>-32.092299999999994</v>
      </c>
      <c r="G440" s="19">
        <v>12.594800000000006</v>
      </c>
    </row>
    <row r="441" spans="1:7" x14ac:dyDescent="0.3">
      <c r="A441" s="4">
        <v>45478</v>
      </c>
      <c r="B441" s="19">
        <v>-21.197499999999991</v>
      </c>
      <c r="C441" s="19">
        <v>11.569800000000001</v>
      </c>
      <c r="E441" s="4">
        <v>45478</v>
      </c>
      <c r="F441" s="19">
        <v>-9.3000000000000114</v>
      </c>
      <c r="G441" s="19">
        <v>-8.0686999999999927</v>
      </c>
    </row>
    <row r="442" spans="1:7" x14ac:dyDescent="0.3">
      <c r="A442" s="4">
        <v>45477</v>
      </c>
      <c r="B442" s="19">
        <v>-7.873800000000017</v>
      </c>
      <c r="C442" s="19">
        <v>-0.18129999999999313</v>
      </c>
      <c r="E442" s="4">
        <v>45477</v>
      </c>
      <c r="F442" s="19">
        <v>-31.7911</v>
      </c>
      <c r="G442" s="19">
        <v>9.6355000000000075</v>
      </c>
    </row>
    <row r="443" spans="1:7" x14ac:dyDescent="0.3">
      <c r="A443" s="4">
        <v>45476</v>
      </c>
      <c r="B443" s="19">
        <v>-1.1957999999999913</v>
      </c>
      <c r="C443" s="19">
        <v>8.4639999999999986</v>
      </c>
      <c r="E443" s="4">
        <v>45476</v>
      </c>
      <c r="F443" s="19">
        <v>-12.833799999999997</v>
      </c>
      <c r="G443" s="19">
        <v>27.962299999999999</v>
      </c>
    </row>
    <row r="444" spans="1:7" x14ac:dyDescent="0.3">
      <c r="A444" s="4">
        <v>45475</v>
      </c>
      <c r="B444" s="19">
        <v>-14.65300000000002</v>
      </c>
      <c r="C444" s="19">
        <v>23.179000000000002</v>
      </c>
      <c r="E444" s="4">
        <v>45475</v>
      </c>
      <c r="F444" s="19">
        <v>-40.624100000000027</v>
      </c>
      <c r="G444" s="19">
        <v>36.346299999999999</v>
      </c>
    </row>
    <row r="445" spans="1:7" x14ac:dyDescent="0.3">
      <c r="A445" s="4">
        <v>45471</v>
      </c>
      <c r="B445" s="19">
        <v>49.365799999999979</v>
      </c>
      <c r="C445" s="19">
        <v>14.272999999999996</v>
      </c>
      <c r="E445" s="4">
        <v>45471</v>
      </c>
      <c r="F445" s="19">
        <v>0.11889999999999645</v>
      </c>
      <c r="G445" s="19">
        <v>22.350099999999998</v>
      </c>
    </row>
    <row r="446" spans="1:7" x14ac:dyDescent="0.3">
      <c r="A446" s="4">
        <v>45470</v>
      </c>
      <c r="B446" s="19">
        <v>-54.357500000000016</v>
      </c>
      <c r="C446" s="19">
        <v>20.40870000000001</v>
      </c>
      <c r="E446" s="4">
        <v>45470</v>
      </c>
      <c r="F446" s="19">
        <v>-55.217799999999983</v>
      </c>
      <c r="G446" s="19">
        <v>16.179000000000002</v>
      </c>
    </row>
    <row r="447" spans="1:7" x14ac:dyDescent="0.3">
      <c r="A447" s="4">
        <v>45469</v>
      </c>
      <c r="B447" s="19">
        <v>-14.06110000000001</v>
      </c>
      <c r="C447" s="19">
        <v>21.6357</v>
      </c>
      <c r="E447" s="4">
        <v>45469</v>
      </c>
      <c r="F447" s="19">
        <v>-5.7620999999999754</v>
      </c>
      <c r="G447" s="19">
        <v>16.449799999999996</v>
      </c>
    </row>
    <row r="448" spans="1:7" x14ac:dyDescent="0.3">
      <c r="A448" s="4">
        <v>45468</v>
      </c>
      <c r="B448" s="19">
        <v>-9.1188999999999965</v>
      </c>
      <c r="C448" s="19">
        <v>5.0342000000000127</v>
      </c>
      <c r="E448" s="4">
        <v>45468</v>
      </c>
      <c r="F448" s="19">
        <v>-24.555099999999982</v>
      </c>
      <c r="G448" s="19">
        <v>-1.8025000000000091</v>
      </c>
    </row>
    <row r="449" spans="1:7" x14ac:dyDescent="0.3">
      <c r="A449" s="4">
        <v>45467</v>
      </c>
      <c r="B449" s="19">
        <v>-0.14260000000001583</v>
      </c>
      <c r="C449" s="19">
        <v>-11.503699999999995</v>
      </c>
      <c r="E449" s="4">
        <v>45467</v>
      </c>
      <c r="F449" s="19">
        <v>-3.8851999999999975</v>
      </c>
      <c r="G449" s="19">
        <v>-9.6869999999999976</v>
      </c>
    </row>
    <row r="450" spans="1:7" x14ac:dyDescent="0.3">
      <c r="A450" s="4">
        <v>45464</v>
      </c>
      <c r="B450" s="19">
        <v>-2.2946000000000026</v>
      </c>
      <c r="C450" s="19">
        <v>26.083699999999993</v>
      </c>
      <c r="E450" s="4">
        <v>45464</v>
      </c>
      <c r="F450" s="19">
        <v>2.3344999999999914</v>
      </c>
      <c r="G450" s="19">
        <v>19.699100000000001</v>
      </c>
    </row>
    <row r="451" spans="1:7" x14ac:dyDescent="0.3">
      <c r="A451" s="4">
        <v>45463</v>
      </c>
      <c r="B451" s="19">
        <v>-20.602000000000004</v>
      </c>
      <c r="C451" s="19">
        <v>38.4251</v>
      </c>
      <c r="E451" s="4">
        <v>45463</v>
      </c>
      <c r="F451" s="19">
        <v>-12.101699999999965</v>
      </c>
      <c r="G451" s="19">
        <v>36.879500000000007</v>
      </c>
    </row>
    <row r="452" spans="1:7" x14ac:dyDescent="0.3">
      <c r="A452" s="4">
        <v>45462</v>
      </c>
      <c r="B452" s="19">
        <v>-34.982599999999991</v>
      </c>
      <c r="C452" s="19">
        <v>8.3419999999999987</v>
      </c>
      <c r="E452" s="4">
        <v>45462</v>
      </c>
      <c r="F452" s="19">
        <v>-37.373500000000007</v>
      </c>
      <c r="G452" s="19">
        <v>15.340799999999987</v>
      </c>
    </row>
    <row r="453" spans="1:7" x14ac:dyDescent="0.3">
      <c r="A453" s="4">
        <v>45461</v>
      </c>
      <c r="B453" s="19">
        <v>-24.957499999999982</v>
      </c>
      <c r="C453" s="19">
        <v>25.334000000000003</v>
      </c>
      <c r="E453" s="4">
        <v>45461</v>
      </c>
      <c r="F453" s="19">
        <v>1.8383999999999787</v>
      </c>
      <c r="G453" s="19">
        <v>33.2791</v>
      </c>
    </row>
    <row r="454" spans="1:7" x14ac:dyDescent="0.3">
      <c r="A454" s="4">
        <v>45460</v>
      </c>
      <c r="B454" s="19">
        <v>-25.85390000000001</v>
      </c>
      <c r="C454" s="19">
        <v>18.327600000000004</v>
      </c>
      <c r="E454" s="4">
        <v>45460</v>
      </c>
      <c r="F454" s="19">
        <v>-7.1589000000000169</v>
      </c>
      <c r="G454" s="19">
        <v>19.470699999999994</v>
      </c>
    </row>
    <row r="455" spans="1:7" x14ac:dyDescent="0.3">
      <c r="A455" s="4">
        <v>45457</v>
      </c>
      <c r="B455" s="19">
        <v>-58.817900000000009</v>
      </c>
      <c r="C455" s="19">
        <v>30.513800000000003</v>
      </c>
      <c r="E455" s="4">
        <v>45457</v>
      </c>
      <c r="F455" s="19">
        <v>11.465100000000007</v>
      </c>
      <c r="G455" s="19">
        <v>27.558999999999997</v>
      </c>
    </row>
    <row r="456" spans="1:7" x14ac:dyDescent="0.3">
      <c r="A456" s="4">
        <v>45456</v>
      </c>
      <c r="B456" s="19">
        <v>-34.698199999999986</v>
      </c>
      <c r="C456" s="19">
        <v>12.991599999999991</v>
      </c>
      <c r="E456" s="4">
        <v>45456</v>
      </c>
      <c r="F456" s="19">
        <v>-28.359699999999975</v>
      </c>
      <c r="G456" s="19">
        <v>26.986500000000007</v>
      </c>
    </row>
    <row r="457" spans="1:7" x14ac:dyDescent="0.3">
      <c r="A457" s="4">
        <v>45455</v>
      </c>
      <c r="B457" s="19">
        <v>-9.5523000000000025</v>
      </c>
      <c r="C457" s="19">
        <v>35.992400000000018</v>
      </c>
      <c r="E457" s="4">
        <v>45455</v>
      </c>
      <c r="F457" s="19">
        <v>-23.800700000000006</v>
      </c>
      <c r="G457" s="19">
        <v>32.724599999999995</v>
      </c>
    </row>
    <row r="458" spans="1:7" x14ac:dyDescent="0.3">
      <c r="A458" s="4">
        <v>45454</v>
      </c>
      <c r="B458" s="19">
        <v>-62.307199999999966</v>
      </c>
      <c r="C458" s="19">
        <v>55.686099999999996</v>
      </c>
      <c r="E458" s="4">
        <v>45454</v>
      </c>
      <c r="F458" s="19">
        <v>-12.662500000000023</v>
      </c>
      <c r="G458" s="19">
        <v>47.124499999999998</v>
      </c>
    </row>
    <row r="459" spans="1:7" x14ac:dyDescent="0.3">
      <c r="A459" s="4">
        <v>45450</v>
      </c>
      <c r="B459" s="19">
        <v>8.0532999999999788</v>
      </c>
      <c r="C459" s="19">
        <v>21.505100000000013</v>
      </c>
      <c r="E459" s="4">
        <v>45450</v>
      </c>
      <c r="F459" s="19">
        <v>-15.105200000000025</v>
      </c>
      <c r="G459" s="19">
        <v>14.567600000000013</v>
      </c>
    </row>
    <row r="460" spans="1:7" x14ac:dyDescent="0.3">
      <c r="A460" s="4">
        <v>45449</v>
      </c>
      <c r="B460" s="19">
        <v>40.787499999999966</v>
      </c>
      <c r="C460" s="19">
        <v>21.470199999999991</v>
      </c>
      <c r="E460" s="4">
        <v>45449</v>
      </c>
      <c r="F460" s="19">
        <v>26.944799999999987</v>
      </c>
      <c r="G460" s="19">
        <v>15.214200000000005</v>
      </c>
    </row>
    <row r="461" spans="1:7" x14ac:dyDescent="0.3">
      <c r="A461" s="4">
        <v>45448</v>
      </c>
      <c r="B461" s="19">
        <v>-28.855099999999993</v>
      </c>
      <c r="C461" s="19">
        <v>49.578500000000005</v>
      </c>
      <c r="E461" s="4">
        <v>45448</v>
      </c>
      <c r="F461" s="19">
        <v>-27.949699999999979</v>
      </c>
      <c r="G461" s="19">
        <v>27.796099999999996</v>
      </c>
    </row>
    <row r="462" spans="1:7" x14ac:dyDescent="0.3">
      <c r="A462" s="4">
        <v>45447</v>
      </c>
      <c r="B462" s="19">
        <v>23.5077</v>
      </c>
      <c r="C462" s="19">
        <v>47.011399999999995</v>
      </c>
      <c r="E462" s="4">
        <v>45447</v>
      </c>
      <c r="F462" s="19">
        <v>10.270299999999963</v>
      </c>
      <c r="G462" s="19">
        <v>41.22359999999999</v>
      </c>
    </row>
    <row r="463" spans="1:7" x14ac:dyDescent="0.3">
      <c r="A463" s="4">
        <v>45446</v>
      </c>
      <c r="B463" s="19">
        <v>12.621899999999982</v>
      </c>
      <c r="C463" s="19">
        <v>14.488799999999998</v>
      </c>
      <c r="E463" s="4">
        <v>45446</v>
      </c>
      <c r="F463" s="19">
        <v>2.7719000000000165</v>
      </c>
      <c r="G463" s="19">
        <v>19.511499999999998</v>
      </c>
    </row>
    <row r="464" spans="1:7" x14ac:dyDescent="0.3">
      <c r="A464" s="4">
        <v>45443</v>
      </c>
      <c r="B464" s="19">
        <v>-44.570299999999975</v>
      </c>
      <c r="C464" s="19">
        <v>66.746500000000012</v>
      </c>
      <c r="E464" s="4">
        <v>45443</v>
      </c>
      <c r="F464" s="19">
        <v>-33.40870000000001</v>
      </c>
      <c r="G464" s="19">
        <v>32.305000000000007</v>
      </c>
    </row>
    <row r="465" spans="1:7" x14ac:dyDescent="0.3">
      <c r="A465" s="4">
        <v>45442</v>
      </c>
      <c r="B465" s="19">
        <v>4.4293999999999869</v>
      </c>
      <c r="C465" s="19">
        <v>20.633200000000002</v>
      </c>
      <c r="E465" s="4">
        <v>45442</v>
      </c>
      <c r="F465" s="19">
        <v>6.0232000000000312</v>
      </c>
      <c r="G465" s="19">
        <v>23.381599999999992</v>
      </c>
    </row>
    <row r="466" spans="1:7" x14ac:dyDescent="0.3">
      <c r="A466" s="4">
        <v>45441</v>
      </c>
      <c r="B466" s="19">
        <v>23.710499999999996</v>
      </c>
      <c r="C466" s="19">
        <v>38.103300000000004</v>
      </c>
      <c r="E466" s="4">
        <v>45441</v>
      </c>
      <c r="F466" s="19">
        <v>10.278399999999976</v>
      </c>
      <c r="G466" s="19">
        <v>29.6387</v>
      </c>
    </row>
    <row r="467" spans="1:7" x14ac:dyDescent="0.3">
      <c r="A467" s="4">
        <v>45440</v>
      </c>
      <c r="B467" s="19">
        <v>-26.663299999999992</v>
      </c>
      <c r="C467" s="19">
        <v>15.2012</v>
      </c>
      <c r="E467" s="4">
        <v>45440</v>
      </c>
      <c r="F467" s="19">
        <v>-23.882800000000003</v>
      </c>
      <c r="G467" s="19">
        <v>26.458100000000002</v>
      </c>
    </row>
    <row r="468" spans="1:7" x14ac:dyDescent="0.3">
      <c r="A468" s="4">
        <v>45439</v>
      </c>
      <c r="B468" s="19">
        <v>24.279799999999966</v>
      </c>
      <c r="C468" s="19">
        <v>20.427700000000016</v>
      </c>
      <c r="E468" s="4">
        <v>45439</v>
      </c>
      <c r="F468" s="19">
        <v>3.1958000000000197</v>
      </c>
      <c r="G468" s="19">
        <v>23.821399999999997</v>
      </c>
    </row>
    <row r="469" spans="1:7" x14ac:dyDescent="0.3">
      <c r="A469" s="4">
        <v>45436</v>
      </c>
      <c r="B469" s="19">
        <v>-10.985799999999983</v>
      </c>
      <c r="C469" s="19">
        <v>16.118200000000002</v>
      </c>
      <c r="E469" s="4">
        <v>45436</v>
      </c>
      <c r="F469" s="19">
        <v>-29.408899999999988</v>
      </c>
      <c r="G469" s="19">
        <v>9.045100000000005</v>
      </c>
    </row>
    <row r="470" spans="1:7" x14ac:dyDescent="0.3">
      <c r="A470" s="4">
        <v>45435</v>
      </c>
      <c r="B470" s="19">
        <v>-11.262800000000027</v>
      </c>
      <c r="C470" s="19">
        <v>27.257400000000004</v>
      </c>
      <c r="E470" s="4">
        <v>45435</v>
      </c>
      <c r="F470" s="19">
        <v>-21.400699999999972</v>
      </c>
      <c r="G470" s="19">
        <v>7.8432999999999993</v>
      </c>
    </row>
    <row r="471" spans="1:7" x14ac:dyDescent="0.3">
      <c r="A471" s="4">
        <v>45434</v>
      </c>
      <c r="B471" s="19">
        <v>38.258199999999988</v>
      </c>
      <c r="C471" s="19">
        <v>12.67519999999999</v>
      </c>
      <c r="E471" s="4">
        <v>45434</v>
      </c>
      <c r="F471" s="19">
        <v>9.5015999999999963</v>
      </c>
      <c r="G471" s="19">
        <v>3.8586000000000098</v>
      </c>
    </row>
    <row r="472" spans="1:7" x14ac:dyDescent="0.3">
      <c r="A472" s="4">
        <v>45433</v>
      </c>
      <c r="B472" s="19">
        <v>3.3467999999999734</v>
      </c>
      <c r="C472" s="19">
        <v>7.8100000000000023</v>
      </c>
      <c r="E472" s="4">
        <v>45433</v>
      </c>
      <c r="F472" s="19">
        <v>-23.0197</v>
      </c>
      <c r="G472" s="19">
        <v>-3.0801999999999907</v>
      </c>
    </row>
    <row r="473" spans="1:7" x14ac:dyDescent="0.3">
      <c r="A473" s="4">
        <v>45432</v>
      </c>
      <c r="B473" s="19">
        <v>31.703399999999988</v>
      </c>
      <c r="C473" s="19">
        <v>17.960299999999989</v>
      </c>
      <c r="E473" s="4">
        <v>45432</v>
      </c>
      <c r="F473" s="19">
        <v>21.622099999999989</v>
      </c>
      <c r="G473" s="19">
        <v>6.9367000000000019</v>
      </c>
    </row>
    <row r="474" spans="1:7" x14ac:dyDescent="0.3">
      <c r="A474" s="4">
        <v>45429</v>
      </c>
      <c r="B474" s="19">
        <v>87.473799999999983</v>
      </c>
      <c r="C474" s="19">
        <v>33.5608</v>
      </c>
      <c r="E474" s="4">
        <v>45429</v>
      </c>
      <c r="F474" s="19">
        <v>52.083899999999971</v>
      </c>
      <c r="G474" s="19">
        <v>26.007400000000018</v>
      </c>
    </row>
    <row r="475" spans="1:7" x14ac:dyDescent="0.3">
      <c r="A475" s="4">
        <v>45428</v>
      </c>
      <c r="B475" s="19">
        <v>37.496200000000044</v>
      </c>
      <c r="C475" s="19">
        <v>20.52600000000001</v>
      </c>
      <c r="E475" s="4">
        <v>45428</v>
      </c>
      <c r="F475" s="19">
        <v>23.177799999999991</v>
      </c>
      <c r="G475" s="19">
        <v>19.19919999999999</v>
      </c>
    </row>
    <row r="476" spans="1:7" x14ac:dyDescent="0.3">
      <c r="A476" s="4">
        <v>45426</v>
      </c>
      <c r="B476" s="19">
        <v>-29.750899999999973</v>
      </c>
      <c r="C476" s="19">
        <v>3.8646000000000242</v>
      </c>
      <c r="E476" s="4">
        <v>45426</v>
      </c>
      <c r="F476" s="19">
        <v>-36.949299999999994</v>
      </c>
      <c r="G476" s="19">
        <v>-5.0161999999999978</v>
      </c>
    </row>
    <row r="477" spans="1:7" x14ac:dyDescent="0.3">
      <c r="A477" s="4">
        <v>45425</v>
      </c>
      <c r="B477" s="19">
        <v>-27.697000000000003</v>
      </c>
      <c r="C477" s="19">
        <v>51.32480000000001</v>
      </c>
      <c r="E477" s="4">
        <v>45425</v>
      </c>
      <c r="F477" s="19">
        <v>-18.210299999999961</v>
      </c>
      <c r="G477" s="19">
        <v>36.745399999999989</v>
      </c>
    </row>
    <row r="478" spans="1:7" x14ac:dyDescent="0.3">
      <c r="A478" s="4">
        <v>45422</v>
      </c>
      <c r="B478" s="19">
        <v>-21.337899999999991</v>
      </c>
      <c r="C478" s="19">
        <v>32.062099999999987</v>
      </c>
      <c r="E478" s="4">
        <v>45422</v>
      </c>
      <c r="F478" s="19">
        <v>-41.697399999999959</v>
      </c>
      <c r="G478" s="19">
        <v>32.989800000000002</v>
      </c>
    </row>
    <row r="479" spans="1:7" x14ac:dyDescent="0.3">
      <c r="A479" s="4">
        <v>45421</v>
      </c>
      <c r="B479" s="19">
        <v>39.247299999999996</v>
      </c>
      <c r="C479" s="19">
        <v>-37.219699999999989</v>
      </c>
      <c r="E479" s="4">
        <v>45421</v>
      </c>
      <c r="F479" s="19">
        <v>40.895100000000014</v>
      </c>
      <c r="G479" s="19">
        <v>-4.4806999999999988</v>
      </c>
    </row>
    <row r="480" spans="1:7" x14ac:dyDescent="0.3">
      <c r="A480" s="4">
        <v>45420</v>
      </c>
      <c r="B480" s="19">
        <v>-19.991899999999987</v>
      </c>
      <c r="C480" s="19">
        <v>5.7363</v>
      </c>
      <c r="E480" s="4">
        <v>45420</v>
      </c>
      <c r="F480" s="19">
        <v>-20.450600000000009</v>
      </c>
      <c r="G480" s="19">
        <v>12.167100000000005</v>
      </c>
    </row>
    <row r="481" spans="1:7" x14ac:dyDescent="0.3">
      <c r="A481" s="4">
        <v>45419</v>
      </c>
      <c r="B481" s="19">
        <v>-3.5079000000000065</v>
      </c>
      <c r="C481" s="19">
        <v>15.510099999999994</v>
      </c>
      <c r="E481" s="4">
        <v>45419</v>
      </c>
      <c r="F481" s="19">
        <v>-17.891099999999994</v>
      </c>
      <c r="G481" s="19">
        <v>5.9072999999999922</v>
      </c>
    </row>
    <row r="482" spans="1:7" x14ac:dyDescent="0.3">
      <c r="A482" s="4">
        <v>45418</v>
      </c>
      <c r="B482" s="19">
        <v>64.552599999999984</v>
      </c>
      <c r="C482" s="19">
        <v>33.611799999999988</v>
      </c>
      <c r="E482" s="4">
        <v>45418</v>
      </c>
      <c r="F482" s="19">
        <v>28.604100000000017</v>
      </c>
      <c r="G482" s="19">
        <v>17.24860000000001</v>
      </c>
    </row>
    <row r="483" spans="1:7" x14ac:dyDescent="0.3">
      <c r="A483" s="4">
        <v>45412</v>
      </c>
      <c r="B483" s="19">
        <v>-39.504900000000021</v>
      </c>
      <c r="C483" s="19">
        <v>27.702600000000004</v>
      </c>
      <c r="E483" s="4">
        <v>45412</v>
      </c>
      <c r="F483" s="19">
        <v>-46.661699999999996</v>
      </c>
      <c r="G483" s="19">
        <v>4.7912999999999926</v>
      </c>
    </row>
    <row r="484" spans="1:7" x14ac:dyDescent="0.3">
      <c r="A484" s="4">
        <v>45411</v>
      </c>
      <c r="B484" s="19">
        <v>45.348599999999976</v>
      </c>
      <c r="C484" s="19">
        <v>21.813000000000017</v>
      </c>
      <c r="E484" s="4">
        <v>45411</v>
      </c>
      <c r="F484" s="19">
        <v>63.575400000000002</v>
      </c>
      <c r="G484" s="19">
        <v>5.7172999999999945</v>
      </c>
    </row>
    <row r="485" spans="1:7" x14ac:dyDescent="0.3">
      <c r="A485" s="4">
        <v>45408</v>
      </c>
      <c r="B485" s="19">
        <v>113.23099999999999</v>
      </c>
      <c r="C485" s="19">
        <v>1.0838999999999999</v>
      </c>
      <c r="E485" s="4">
        <v>45408</v>
      </c>
      <c r="F485" s="19">
        <v>111.25889999999998</v>
      </c>
      <c r="G485" s="19">
        <v>10.652900000000002</v>
      </c>
    </row>
    <row r="486" spans="1:7" x14ac:dyDescent="0.3">
      <c r="A486" s="4">
        <v>45407</v>
      </c>
      <c r="B486" s="19">
        <v>9.2054999999999723</v>
      </c>
      <c r="C486" s="19">
        <v>17.051599999999993</v>
      </c>
      <c r="E486" s="4">
        <v>45407</v>
      </c>
      <c r="F486" s="19">
        <v>-5.7152000000000385</v>
      </c>
      <c r="G486" s="19">
        <v>1.7503999999999991</v>
      </c>
    </row>
    <row r="487" spans="1:7" x14ac:dyDescent="0.3">
      <c r="A487" s="4">
        <v>45406</v>
      </c>
      <c r="B487" s="19">
        <v>30.697200000000009</v>
      </c>
      <c r="C487" s="19">
        <v>15.972799999999992</v>
      </c>
      <c r="E487" s="4">
        <v>45406</v>
      </c>
      <c r="F487" s="19">
        <v>15.3596</v>
      </c>
      <c r="G487" s="19">
        <v>3.9759999999999991</v>
      </c>
    </row>
    <row r="488" spans="1:7" x14ac:dyDescent="0.3">
      <c r="A488" s="4">
        <v>45405</v>
      </c>
      <c r="B488" s="19">
        <v>2.3210000000000264</v>
      </c>
      <c r="C488" s="19">
        <v>16.404600000000002</v>
      </c>
      <c r="E488" s="4">
        <v>45405</v>
      </c>
      <c r="F488" s="19">
        <v>-32.286200000000008</v>
      </c>
      <c r="G488" s="19">
        <v>6.990799999999993</v>
      </c>
    </row>
    <row r="489" spans="1:7" x14ac:dyDescent="0.3">
      <c r="A489" s="4">
        <v>45404</v>
      </c>
      <c r="B489" s="19">
        <v>9.0754000000000019</v>
      </c>
      <c r="C489" s="19">
        <v>15.311399999999992</v>
      </c>
      <c r="E489" s="4">
        <v>45404</v>
      </c>
      <c r="F489" s="19">
        <v>4.8109999999999786</v>
      </c>
      <c r="G489" s="19">
        <v>13.694199999999995</v>
      </c>
    </row>
    <row r="490" spans="1:7" x14ac:dyDescent="0.3">
      <c r="A490" s="4">
        <v>45401</v>
      </c>
      <c r="B490" s="19">
        <v>-33.90949999999998</v>
      </c>
      <c r="C490" s="19">
        <v>46.1417</v>
      </c>
      <c r="E490" s="4">
        <v>45401</v>
      </c>
      <c r="F490" s="19">
        <v>-30.990199999999959</v>
      </c>
      <c r="G490" s="19">
        <v>28.173600000000008</v>
      </c>
    </row>
    <row r="491" spans="1:7" x14ac:dyDescent="0.3">
      <c r="A491" s="4">
        <v>45400</v>
      </c>
      <c r="B491" s="19">
        <v>-15.328599999999994</v>
      </c>
      <c r="C491" s="19">
        <v>38.835800000000006</v>
      </c>
      <c r="E491" s="4">
        <v>45400</v>
      </c>
      <c r="F491" s="19">
        <v>-37.520199999999988</v>
      </c>
      <c r="G491" s="19">
        <v>27.540400000000005</v>
      </c>
    </row>
    <row r="492" spans="1:7" x14ac:dyDescent="0.3">
      <c r="A492" s="4">
        <v>45399</v>
      </c>
      <c r="B492" s="19">
        <v>-2.5495999999999981</v>
      </c>
      <c r="C492" s="19">
        <v>15.660299999999992</v>
      </c>
      <c r="E492" s="4">
        <v>45399</v>
      </c>
      <c r="F492" s="19">
        <v>0.23430000000001883</v>
      </c>
      <c r="G492" s="19">
        <v>-4.1936000000000035</v>
      </c>
    </row>
    <row r="493" spans="1:7" x14ac:dyDescent="0.3">
      <c r="A493" s="4">
        <v>45398</v>
      </c>
      <c r="B493" s="19">
        <v>-13.603800000000035</v>
      </c>
      <c r="C493" s="19">
        <v>56.239199999999983</v>
      </c>
      <c r="E493" s="4">
        <v>45398</v>
      </c>
      <c r="F493" s="19">
        <v>-14.323599999999999</v>
      </c>
      <c r="G493" s="19">
        <v>42.534100000000002</v>
      </c>
    </row>
    <row r="494" spans="1:7" x14ac:dyDescent="0.3">
      <c r="A494" s="4">
        <v>45397</v>
      </c>
      <c r="B494" s="19">
        <v>38.921500000000037</v>
      </c>
      <c r="C494" s="19">
        <v>37.447800000000001</v>
      </c>
      <c r="E494" s="4">
        <v>45397</v>
      </c>
      <c r="F494" s="19">
        <v>42.162699999999973</v>
      </c>
      <c r="G494" s="19">
        <v>33.094499999999996</v>
      </c>
    </row>
    <row r="495" spans="1:7" x14ac:dyDescent="0.3">
      <c r="A495" s="4">
        <v>45394</v>
      </c>
      <c r="B495" s="19">
        <v>-45.688500000000033</v>
      </c>
      <c r="C495" s="19">
        <v>32.604300000000009</v>
      </c>
      <c r="E495" s="4">
        <v>45394</v>
      </c>
      <c r="F495" s="19">
        <v>-28.164800000000014</v>
      </c>
      <c r="G495" s="19">
        <v>28.845599999999997</v>
      </c>
    </row>
    <row r="496" spans="1:7" x14ac:dyDescent="0.3">
      <c r="A496" s="4">
        <v>45393</v>
      </c>
      <c r="B496" s="19">
        <v>-1.0228000000000179</v>
      </c>
      <c r="C496" s="19">
        <v>43.130499999999998</v>
      </c>
      <c r="E496" s="4">
        <v>45393</v>
      </c>
      <c r="F496" s="19">
        <v>21.238099999999974</v>
      </c>
      <c r="G496" s="19">
        <v>28.368599999999994</v>
      </c>
    </row>
    <row r="497" spans="1:7" x14ac:dyDescent="0.3">
      <c r="A497" s="4">
        <v>45392</v>
      </c>
      <c r="B497" s="19">
        <v>-10.053899999999999</v>
      </c>
      <c r="C497" s="19">
        <v>5.8778999999999968</v>
      </c>
      <c r="E497" s="4">
        <v>45392</v>
      </c>
      <c r="F497" s="19">
        <v>-31.087199999999996</v>
      </c>
      <c r="G497" s="19">
        <v>17.368700000000004</v>
      </c>
    </row>
    <row r="498" spans="1:7" x14ac:dyDescent="0.3">
      <c r="A498" s="4">
        <v>45391</v>
      </c>
      <c r="B498" s="19">
        <v>4.5293000000000347</v>
      </c>
      <c r="C498" s="19">
        <v>12.587499999999991</v>
      </c>
      <c r="E498" s="4">
        <v>45391</v>
      </c>
      <c r="F498" s="19">
        <v>6.021000000000015</v>
      </c>
      <c r="G498" s="19">
        <v>14.747</v>
      </c>
    </row>
    <row r="499" spans="1:7" x14ac:dyDescent="0.3">
      <c r="A499" s="4">
        <v>45390</v>
      </c>
      <c r="B499" s="19">
        <v>-15.201799999999992</v>
      </c>
      <c r="C499" s="19">
        <v>31.242900000000006</v>
      </c>
      <c r="E499" s="4">
        <v>45390</v>
      </c>
      <c r="F499" s="19">
        <v>-15.245000000000005</v>
      </c>
      <c r="G499" s="19">
        <v>16.243700000000004</v>
      </c>
    </row>
    <row r="500" spans="1:7" x14ac:dyDescent="0.3">
      <c r="A500" s="4">
        <v>45385</v>
      </c>
      <c r="B500" s="19">
        <v>-15.961299999999994</v>
      </c>
      <c r="C500" s="19">
        <v>37.688400000000001</v>
      </c>
      <c r="E500" s="4">
        <v>45385</v>
      </c>
      <c r="F500" s="19">
        <v>-6.7883999999999673</v>
      </c>
      <c r="G500" s="19">
        <v>13.550799999999995</v>
      </c>
    </row>
    <row r="501" spans="1:7" x14ac:dyDescent="0.3">
      <c r="A501" s="4">
        <v>45384</v>
      </c>
      <c r="B501" s="19">
        <v>-15.026800000000037</v>
      </c>
      <c r="C501" s="19">
        <v>21.840400000000017</v>
      </c>
      <c r="E501" s="4">
        <v>45384</v>
      </c>
      <c r="F501" s="19">
        <v>-1.1517999999999802</v>
      </c>
      <c r="G501" s="19">
        <v>15.119399999999999</v>
      </c>
    </row>
    <row r="502" spans="1:7" x14ac:dyDescent="0.3">
      <c r="A502" s="4">
        <v>45379</v>
      </c>
      <c r="B502" s="19">
        <v>25.590599999999995</v>
      </c>
      <c r="C502" s="19">
        <v>23.210800000000006</v>
      </c>
      <c r="E502" s="4">
        <v>45379</v>
      </c>
      <c r="F502" s="19">
        <v>-2.2450999999999794</v>
      </c>
      <c r="G502" s="19">
        <v>14.807000000000002</v>
      </c>
    </row>
    <row r="503" spans="1:7" x14ac:dyDescent="0.3">
      <c r="A503" s="4">
        <v>45378</v>
      </c>
      <c r="B503" s="19">
        <v>-17.637400000000014</v>
      </c>
      <c r="C503" s="19">
        <v>38.756100000000004</v>
      </c>
      <c r="E503" s="4">
        <v>45378</v>
      </c>
      <c r="F503" s="19">
        <v>-54.85590000000002</v>
      </c>
      <c r="G503" s="19">
        <v>26.877900000000004</v>
      </c>
    </row>
    <row r="504" spans="1:7" x14ac:dyDescent="0.3">
      <c r="A504" s="4">
        <v>45377</v>
      </c>
      <c r="B504" s="19">
        <v>22.516999999999996</v>
      </c>
      <c r="C504" s="19">
        <v>24.36269999999999</v>
      </c>
      <c r="E504" s="4">
        <v>45377</v>
      </c>
      <c r="F504" s="19">
        <v>24.733499999999992</v>
      </c>
      <c r="G504" s="19">
        <v>20.902800000000006</v>
      </c>
    </row>
    <row r="505" spans="1:7" x14ac:dyDescent="0.3">
      <c r="A505" s="4">
        <v>45376</v>
      </c>
      <c r="B505" s="19">
        <v>38.511399999999981</v>
      </c>
      <c r="C505" s="19">
        <v>-32.204399999999993</v>
      </c>
      <c r="E505" s="4">
        <v>45376</v>
      </c>
      <c r="F505" s="19">
        <v>17.199800000000039</v>
      </c>
      <c r="G505" s="19">
        <v>-31.232900000000001</v>
      </c>
    </row>
    <row r="506" spans="1:7" x14ac:dyDescent="0.3">
      <c r="A506" s="4">
        <v>45373</v>
      </c>
      <c r="B506" s="19">
        <v>-17.142399999999952</v>
      </c>
      <c r="C506" s="19">
        <v>81.955799999999996</v>
      </c>
      <c r="E506" s="4">
        <v>45373</v>
      </c>
      <c r="F506" s="19">
        <v>-14.2423</v>
      </c>
      <c r="G506" s="19">
        <v>63.428100000000015</v>
      </c>
    </row>
    <row r="507" spans="1:7" x14ac:dyDescent="0.3">
      <c r="A507" s="4">
        <v>45372</v>
      </c>
      <c r="B507" s="19">
        <v>-31.124600000000044</v>
      </c>
      <c r="C507" s="19">
        <v>16.276800000000009</v>
      </c>
      <c r="E507" s="4">
        <v>45372</v>
      </c>
      <c r="F507" s="19">
        <v>-29.078200000000038</v>
      </c>
      <c r="G507" s="19">
        <v>31.443600000000004</v>
      </c>
    </row>
    <row r="508" spans="1:7" x14ac:dyDescent="0.3">
      <c r="A508" s="4">
        <v>45371</v>
      </c>
      <c r="B508" s="19">
        <v>25.598100000000045</v>
      </c>
      <c r="C508" s="19">
        <v>38.724900000000005</v>
      </c>
      <c r="E508" s="4">
        <v>45371</v>
      </c>
      <c r="F508" s="19">
        <v>30.085499999999968</v>
      </c>
      <c r="G508" s="19">
        <v>25.236599999999996</v>
      </c>
    </row>
    <row r="509" spans="1:7" x14ac:dyDescent="0.3">
      <c r="A509" s="4">
        <v>45370</v>
      </c>
      <c r="B509" s="19">
        <v>-45.663800000000037</v>
      </c>
      <c r="C509" s="19">
        <v>33.189099999999996</v>
      </c>
      <c r="E509" s="4">
        <v>45370</v>
      </c>
      <c r="F509" s="19">
        <v>-24.446199999999976</v>
      </c>
      <c r="G509" s="19">
        <v>36.041199999999996</v>
      </c>
    </row>
    <row r="510" spans="1:7" x14ac:dyDescent="0.3">
      <c r="A510" s="4">
        <v>45369</v>
      </c>
      <c r="B510" s="19">
        <v>17.667700000000025</v>
      </c>
      <c r="C510" s="19">
        <v>13.783200000000008</v>
      </c>
      <c r="E510" s="4">
        <v>45369</v>
      </c>
      <c r="F510" s="19">
        <v>10.583000000000027</v>
      </c>
      <c r="G510" s="19">
        <v>15.529200000000003</v>
      </c>
    </row>
    <row r="511" spans="1:7" x14ac:dyDescent="0.3">
      <c r="A511" s="4">
        <v>45366</v>
      </c>
      <c r="B511" s="19">
        <v>67.917399999999986</v>
      </c>
      <c r="C511" s="19">
        <v>24.191000000000003</v>
      </c>
      <c r="E511" s="4">
        <v>45366</v>
      </c>
      <c r="F511" s="19">
        <v>35.340300000000013</v>
      </c>
      <c r="G511" s="19">
        <v>17.471299999999999</v>
      </c>
    </row>
    <row r="512" spans="1:7" x14ac:dyDescent="0.3">
      <c r="A512" s="4">
        <v>45365</v>
      </c>
      <c r="B512" s="19">
        <v>42.472300000000018</v>
      </c>
      <c r="C512" s="19">
        <v>18.252200000000002</v>
      </c>
      <c r="E512" s="4">
        <v>45365</v>
      </c>
      <c r="F512" s="19">
        <v>21.749599999999987</v>
      </c>
      <c r="G512" s="19">
        <v>7.7628999999999877</v>
      </c>
    </row>
    <row r="513" spans="1:7" x14ac:dyDescent="0.3">
      <c r="A513" s="4">
        <v>45364</v>
      </c>
      <c r="B513" s="19">
        <v>6.4901999999999589</v>
      </c>
      <c r="C513" s="19">
        <v>66.237700000000004</v>
      </c>
      <c r="E513" s="4">
        <v>45364</v>
      </c>
      <c r="F513" s="19">
        <v>9.1762999999999693</v>
      </c>
      <c r="G513" s="19">
        <v>47.952899999999985</v>
      </c>
    </row>
    <row r="514" spans="1:7" x14ac:dyDescent="0.3">
      <c r="A514" s="4">
        <v>45363</v>
      </c>
      <c r="B514" s="19">
        <v>26.398300000000006</v>
      </c>
      <c r="C514" s="19">
        <v>5.032100000000014</v>
      </c>
      <c r="E514" s="4">
        <v>45363</v>
      </c>
      <c r="F514" s="19">
        <v>16.042399999999986</v>
      </c>
      <c r="G514" s="19">
        <v>-3.0832999999999942</v>
      </c>
    </row>
    <row r="515" spans="1:7" x14ac:dyDescent="0.3">
      <c r="A515" s="4">
        <v>45362</v>
      </c>
      <c r="B515" s="19">
        <v>39.865700000000004</v>
      </c>
      <c r="C515" s="19">
        <v>22.348200000000006</v>
      </c>
      <c r="E515" s="4">
        <v>45362</v>
      </c>
      <c r="F515" s="19">
        <v>62.746600000000001</v>
      </c>
      <c r="G515" s="19">
        <v>7.6657000000000011</v>
      </c>
    </row>
    <row r="516" spans="1:7" x14ac:dyDescent="0.3">
      <c r="A516" s="4">
        <v>45359</v>
      </c>
      <c r="B516" s="19">
        <v>35.905700000000024</v>
      </c>
      <c r="C516" s="19">
        <v>16.978499999999997</v>
      </c>
      <c r="E516" s="4">
        <v>45359</v>
      </c>
      <c r="F516" s="19">
        <v>24.096799999999973</v>
      </c>
      <c r="G516" s="19">
        <v>1.8009000000000057</v>
      </c>
    </row>
    <row r="517" spans="1:7" x14ac:dyDescent="0.3">
      <c r="A517" s="4">
        <v>45358</v>
      </c>
      <c r="B517" s="19">
        <v>1.0349999999999682</v>
      </c>
      <c r="C517" s="19">
        <v>31.732100000000003</v>
      </c>
      <c r="E517" s="4">
        <v>45358</v>
      </c>
      <c r="F517" s="19">
        <v>-22.439999999999998</v>
      </c>
      <c r="G517" s="19">
        <v>13.246899999999997</v>
      </c>
    </row>
    <row r="518" spans="1:7" x14ac:dyDescent="0.3">
      <c r="A518" s="4">
        <v>45357</v>
      </c>
      <c r="B518" s="19">
        <v>-1.2547000000000139</v>
      </c>
      <c r="C518" s="19">
        <v>8.4133000000000067</v>
      </c>
      <c r="E518" s="4">
        <v>45357</v>
      </c>
      <c r="F518" s="19">
        <v>-13.34190000000001</v>
      </c>
      <c r="G518" s="19">
        <v>3.1467000000000027</v>
      </c>
    </row>
    <row r="519" spans="1:7" x14ac:dyDescent="0.3">
      <c r="A519" s="4">
        <v>45356</v>
      </c>
      <c r="B519" s="19">
        <v>4.4723999999999933</v>
      </c>
      <c r="C519" s="19">
        <v>37.015799999999999</v>
      </c>
      <c r="E519" s="4">
        <v>45356</v>
      </c>
      <c r="F519" s="19">
        <v>11.063199999999995</v>
      </c>
      <c r="G519" s="19">
        <v>22.269799999999996</v>
      </c>
    </row>
    <row r="520" spans="1:7" x14ac:dyDescent="0.3">
      <c r="A520" s="4">
        <v>45355</v>
      </c>
      <c r="B520" s="19">
        <v>-23.124599999999987</v>
      </c>
      <c r="C520" s="19">
        <v>20.341699999999989</v>
      </c>
      <c r="E520" s="4">
        <v>45355</v>
      </c>
      <c r="F520" s="19">
        <v>-47.482200000000034</v>
      </c>
      <c r="G520" s="19">
        <v>16.28670000000001</v>
      </c>
    </row>
    <row r="521" spans="1:7" x14ac:dyDescent="0.3">
      <c r="A521" s="4">
        <v>45352</v>
      </c>
      <c r="B521" s="19">
        <v>-17.099600000000009</v>
      </c>
      <c r="C521" s="19">
        <v>23.369699999999995</v>
      </c>
      <c r="E521" s="4">
        <v>45352</v>
      </c>
      <c r="F521" s="19">
        <v>-36.232599999999991</v>
      </c>
      <c r="G521" s="19">
        <v>9.9679999999999893</v>
      </c>
    </row>
    <row r="522" spans="1:7" x14ac:dyDescent="0.3">
      <c r="A522" s="4">
        <v>45351</v>
      </c>
      <c r="B522" s="19">
        <v>86.414999999999964</v>
      </c>
      <c r="C522" s="19">
        <v>14.838000000000008</v>
      </c>
      <c r="E522" s="4">
        <v>45351</v>
      </c>
      <c r="F522" s="19">
        <v>79.618799999999965</v>
      </c>
      <c r="G522" s="19">
        <v>-1.1591999999999985</v>
      </c>
    </row>
    <row r="523" spans="1:7" x14ac:dyDescent="0.3">
      <c r="A523" s="4">
        <v>45350</v>
      </c>
      <c r="B523" s="19">
        <v>16.919199999999989</v>
      </c>
      <c r="C523" s="19">
        <v>14.517799999999994</v>
      </c>
      <c r="E523" s="4">
        <v>45350</v>
      </c>
      <c r="F523" s="19">
        <v>-3.522199999999998</v>
      </c>
      <c r="G523" s="19">
        <v>-0.51399999999999579</v>
      </c>
    </row>
    <row r="524" spans="1:7" x14ac:dyDescent="0.3">
      <c r="A524" s="4">
        <v>45349</v>
      </c>
      <c r="B524" s="19">
        <v>62.136600000000044</v>
      </c>
      <c r="C524" s="19">
        <v>11.816400000000002</v>
      </c>
      <c r="E524" s="4">
        <v>45349</v>
      </c>
      <c r="F524" s="19">
        <v>60.345700000000022</v>
      </c>
      <c r="G524" s="19">
        <v>1.4750999999999976</v>
      </c>
    </row>
    <row r="525" spans="1:7" x14ac:dyDescent="0.3">
      <c r="A525" s="4">
        <v>45348</v>
      </c>
      <c r="B525" s="19">
        <v>8.2919999999999732</v>
      </c>
      <c r="C525" s="19">
        <v>16.443100000000001</v>
      </c>
      <c r="E525" s="4">
        <v>45348</v>
      </c>
      <c r="F525" s="19">
        <v>-21.417899999999975</v>
      </c>
      <c r="G525" s="19">
        <v>1.1369000000000042</v>
      </c>
    </row>
    <row r="526" spans="1:7" x14ac:dyDescent="0.3">
      <c r="A526" s="4">
        <v>45345</v>
      </c>
      <c r="B526" s="19">
        <v>28.366199999999992</v>
      </c>
      <c r="C526" s="19">
        <v>38.471100000000007</v>
      </c>
      <c r="E526" s="4">
        <v>45345</v>
      </c>
      <c r="F526" s="19">
        <v>-29.290500000000009</v>
      </c>
      <c r="G526" s="19">
        <v>25.978799999999993</v>
      </c>
    </row>
    <row r="527" spans="1:7" x14ac:dyDescent="0.3">
      <c r="A527" s="4">
        <v>45344</v>
      </c>
      <c r="B527" s="19">
        <v>25.510199999999998</v>
      </c>
      <c r="C527" s="19">
        <v>22.138599999999997</v>
      </c>
      <c r="E527" s="4">
        <v>45344</v>
      </c>
      <c r="F527" s="19">
        <v>11.384999999999991</v>
      </c>
      <c r="G527" s="19">
        <v>25.629600000000003</v>
      </c>
    </row>
    <row r="528" spans="1:7" x14ac:dyDescent="0.3">
      <c r="A528" s="4">
        <v>45343</v>
      </c>
      <c r="B528" s="19">
        <v>96.408299999999997</v>
      </c>
      <c r="C528" s="19">
        <v>6.5670999999999964</v>
      </c>
      <c r="E528" s="4">
        <v>45343</v>
      </c>
      <c r="F528" s="19">
        <v>39.540699999999958</v>
      </c>
      <c r="G528" s="19">
        <v>4.2550000000000097</v>
      </c>
    </row>
    <row r="529" spans="1:7" x14ac:dyDescent="0.3">
      <c r="A529" s="4">
        <v>45342</v>
      </c>
      <c r="B529" s="19">
        <v>15.36239999999998</v>
      </c>
      <c r="C529" s="19">
        <v>29.798999999999992</v>
      </c>
      <c r="E529" s="4">
        <v>45342</v>
      </c>
      <c r="F529" s="19">
        <v>-16.593500000000006</v>
      </c>
      <c r="G529" s="19">
        <v>4.9159000000000006</v>
      </c>
    </row>
    <row r="530" spans="1:7" x14ac:dyDescent="0.3">
      <c r="A530" s="4">
        <v>45341</v>
      </c>
      <c r="B530" s="19">
        <v>1.803799999999967</v>
      </c>
      <c r="C530" s="19">
        <v>34.628799999999991</v>
      </c>
      <c r="E530" s="4">
        <v>45341</v>
      </c>
      <c r="F530" s="19">
        <v>-65.52800000000002</v>
      </c>
      <c r="G530" s="19">
        <v>8.0285999999999973</v>
      </c>
    </row>
    <row r="531" spans="1:7" x14ac:dyDescent="0.3">
      <c r="A531" s="4">
        <v>45330</v>
      </c>
      <c r="B531" s="19">
        <v>0.31729999999998881</v>
      </c>
      <c r="C531" s="19">
        <v>29.900500000000008</v>
      </c>
      <c r="E531" s="4">
        <v>45330</v>
      </c>
      <c r="F531" s="19">
        <v>5.5126999999999953</v>
      </c>
      <c r="G531" s="19">
        <v>16.0122</v>
      </c>
    </row>
    <row r="532" spans="1:7" x14ac:dyDescent="0.3">
      <c r="A532" s="4">
        <v>45329</v>
      </c>
      <c r="B532" s="19">
        <v>9.5883000000000038</v>
      </c>
      <c r="C532" s="19">
        <v>26.029499999999992</v>
      </c>
      <c r="E532" s="4">
        <v>45329</v>
      </c>
      <c r="F532" s="19">
        <v>7.2501000000000317</v>
      </c>
      <c r="G532" s="19">
        <v>-2.484800000000007</v>
      </c>
    </row>
    <row r="533" spans="1:7" x14ac:dyDescent="0.3">
      <c r="A533" s="4">
        <v>45328</v>
      </c>
      <c r="B533" s="19">
        <v>60.130400000000009</v>
      </c>
      <c r="C533" s="19">
        <v>-30.408300000000011</v>
      </c>
      <c r="E533" s="4">
        <v>45328</v>
      </c>
      <c r="F533" s="19">
        <v>65.915399999999977</v>
      </c>
      <c r="G533" s="19">
        <v>-38.490900000000003</v>
      </c>
    </row>
    <row r="534" spans="1:7" x14ac:dyDescent="0.3">
      <c r="A534" s="4">
        <v>45327</v>
      </c>
      <c r="B534" s="19">
        <v>16.142999999999972</v>
      </c>
      <c r="C534" s="19">
        <v>24.047500000000007</v>
      </c>
      <c r="E534" s="4">
        <v>45327</v>
      </c>
      <c r="F534" s="19">
        <v>-4.0330000000000155</v>
      </c>
      <c r="G534" s="19">
        <v>14.972099999999998</v>
      </c>
    </row>
    <row r="535" spans="1:7" x14ac:dyDescent="0.3">
      <c r="A535" s="4">
        <v>45324</v>
      </c>
      <c r="B535" s="19">
        <v>12.928600000000017</v>
      </c>
      <c r="C535" s="19">
        <v>-13.182400000000001</v>
      </c>
      <c r="E535" s="4">
        <v>45324</v>
      </c>
      <c r="F535" s="19">
        <v>10.673200000000008</v>
      </c>
      <c r="G535" s="19">
        <v>-26.683199999999999</v>
      </c>
    </row>
    <row r="536" spans="1:7" x14ac:dyDescent="0.3">
      <c r="A536" s="4">
        <v>45323</v>
      </c>
      <c r="B536" s="19">
        <v>11.25849999999997</v>
      </c>
      <c r="C536" s="19">
        <v>-1.4536000000000087</v>
      </c>
      <c r="E536" s="4">
        <v>45323</v>
      </c>
      <c r="F536" s="19">
        <v>16.004900000000021</v>
      </c>
      <c r="G536" s="19">
        <v>-11.966499999999996</v>
      </c>
    </row>
    <row r="537" spans="1:7" x14ac:dyDescent="0.3">
      <c r="A537" s="4">
        <v>45322</v>
      </c>
      <c r="B537" s="19">
        <v>7.5772999999999797</v>
      </c>
      <c r="C537" s="19">
        <v>2.9825000000000017</v>
      </c>
      <c r="E537" s="4">
        <v>45322</v>
      </c>
      <c r="F537" s="19">
        <v>29.433699999999988</v>
      </c>
      <c r="G537" s="19">
        <v>-9.3029999999999973</v>
      </c>
    </row>
    <row r="538" spans="1:7" x14ac:dyDescent="0.3">
      <c r="A538" s="4">
        <v>45321</v>
      </c>
      <c r="B538" s="19">
        <v>25.020199999999988</v>
      </c>
      <c r="C538" s="19">
        <v>-0.93560000000000798</v>
      </c>
      <c r="E538" s="4">
        <v>45321</v>
      </c>
      <c r="F538" s="19">
        <v>-7.5964999999999918</v>
      </c>
      <c r="G538" s="19">
        <v>-7.6676000000000002</v>
      </c>
    </row>
    <row r="539" spans="1:7" x14ac:dyDescent="0.3">
      <c r="A539" s="4">
        <v>45320</v>
      </c>
      <c r="B539" s="19">
        <v>9.3563000000000329</v>
      </c>
      <c r="C539" s="19">
        <v>-13.447000000000003</v>
      </c>
      <c r="E539" s="4">
        <v>45320</v>
      </c>
      <c r="F539" s="19">
        <v>-15.280100000000004</v>
      </c>
      <c r="G539" s="19">
        <v>-12.513399999999997</v>
      </c>
    </row>
    <row r="540" spans="1:7" x14ac:dyDescent="0.3">
      <c r="A540" s="4">
        <v>45317</v>
      </c>
      <c r="B540" s="19">
        <v>19.153599999999983</v>
      </c>
      <c r="C540" s="19">
        <v>31.702299999999994</v>
      </c>
      <c r="E540" s="4">
        <v>45317</v>
      </c>
      <c r="F540" s="19">
        <v>-4.0532000000000039</v>
      </c>
      <c r="G540" s="19">
        <v>21.527999999999992</v>
      </c>
    </row>
    <row r="541" spans="1:7" x14ac:dyDescent="0.3">
      <c r="A541" s="4">
        <v>45316</v>
      </c>
      <c r="B541" s="19">
        <v>48.342300000000023</v>
      </c>
      <c r="C541" s="19">
        <v>5.5259000000000071</v>
      </c>
      <c r="E541" s="4">
        <v>45316</v>
      </c>
      <c r="F541" s="19">
        <v>14.593000000000018</v>
      </c>
      <c r="G541" s="19">
        <v>12.641500000000008</v>
      </c>
    </row>
    <row r="542" spans="1:7" x14ac:dyDescent="0.3">
      <c r="A542" s="4">
        <v>45315</v>
      </c>
      <c r="B542" s="19">
        <v>9.0076999999999998</v>
      </c>
      <c r="C542" s="19">
        <v>17.127499999999998</v>
      </c>
      <c r="E542" s="4">
        <v>45315</v>
      </c>
      <c r="F542" s="19">
        <v>-14.397199999999998</v>
      </c>
      <c r="G542" s="19">
        <v>2.6807999999999979</v>
      </c>
    </row>
    <row r="543" spans="1:7" x14ac:dyDescent="0.3">
      <c r="A543" s="4">
        <v>45314</v>
      </c>
      <c r="B543" s="19">
        <v>29.020399999999995</v>
      </c>
      <c r="C543" s="19">
        <v>-24.773700000000005</v>
      </c>
      <c r="E543" s="4">
        <v>45314</v>
      </c>
      <c r="F543" s="19">
        <v>8.8793000000000006</v>
      </c>
      <c r="G543" s="19">
        <v>-28.424499999999995</v>
      </c>
    </row>
    <row r="544" spans="1:7" x14ac:dyDescent="0.3">
      <c r="A544" s="4">
        <v>45313</v>
      </c>
      <c r="B544" s="19">
        <v>7.3854000000000042</v>
      </c>
      <c r="C544" s="19">
        <v>10.688900000000004</v>
      </c>
      <c r="E544" s="4">
        <v>45313</v>
      </c>
      <c r="F544" s="19">
        <v>3.0885000000000105</v>
      </c>
      <c r="G544" s="19">
        <v>-4.127200000000002</v>
      </c>
    </row>
    <row r="545" spans="1:7" x14ac:dyDescent="0.3">
      <c r="A545" s="4">
        <v>45310</v>
      </c>
      <c r="B545" s="19">
        <v>-1.4951999999999543</v>
      </c>
      <c r="C545" s="19">
        <v>11.151000000000003</v>
      </c>
      <c r="E545" s="4">
        <v>45310</v>
      </c>
      <c r="F545" s="19">
        <v>-50.590899999999976</v>
      </c>
      <c r="G545" s="19">
        <v>-0.84129999999999683</v>
      </c>
    </row>
    <row r="546" spans="1:7" x14ac:dyDescent="0.3">
      <c r="A546" s="4">
        <v>45309</v>
      </c>
      <c r="B546" s="19">
        <v>10.517299999999977</v>
      </c>
      <c r="C546" s="19">
        <v>8.4662000000000006</v>
      </c>
      <c r="E546" s="4">
        <v>45309</v>
      </c>
      <c r="F546" s="19">
        <v>-17.928499999999985</v>
      </c>
      <c r="G546" s="19">
        <v>-2.6205000000000069</v>
      </c>
    </row>
    <row r="547" spans="1:7" x14ac:dyDescent="0.3">
      <c r="A547" s="4">
        <v>45308</v>
      </c>
      <c r="B547" s="19">
        <v>-63.724300000000028</v>
      </c>
      <c r="C547" s="19">
        <v>40.063500000000005</v>
      </c>
      <c r="E547" s="4">
        <v>45308</v>
      </c>
      <c r="F547" s="19">
        <v>-66.842100000000016</v>
      </c>
      <c r="G547" s="19">
        <v>19.2727</v>
      </c>
    </row>
    <row r="548" spans="1:7" x14ac:dyDescent="0.3">
      <c r="A548" s="4">
        <v>45307</v>
      </c>
      <c r="B548" s="19">
        <v>1.690700000000021</v>
      </c>
      <c r="C548" s="19">
        <v>24.193899999999999</v>
      </c>
      <c r="E548" s="4">
        <v>45307</v>
      </c>
      <c r="F548" s="19">
        <v>-43.021999999999991</v>
      </c>
      <c r="G548" s="19">
        <v>5.254800000000003</v>
      </c>
    </row>
    <row r="549" spans="1:7" x14ac:dyDescent="0.3">
      <c r="A549" s="4">
        <v>45306</v>
      </c>
      <c r="B549" s="19">
        <v>17.498800000000017</v>
      </c>
      <c r="C549" s="19">
        <v>24.344999999999999</v>
      </c>
      <c r="E549" s="4">
        <v>45306</v>
      </c>
      <c r="F549" s="19">
        <v>-21.046400000000006</v>
      </c>
      <c r="G549" s="19">
        <v>17.954900000000002</v>
      </c>
    </row>
    <row r="550" spans="1:7" x14ac:dyDescent="0.3">
      <c r="A550" s="4">
        <v>45303</v>
      </c>
      <c r="B550" s="19">
        <v>3.5204999999999984</v>
      </c>
      <c r="C550" s="19">
        <v>8.7484000000000037</v>
      </c>
      <c r="E550" s="4">
        <v>45303</v>
      </c>
      <c r="F550" s="19">
        <v>-33.838099999999997</v>
      </c>
      <c r="G550" s="19">
        <v>5.9322000000000017</v>
      </c>
    </row>
    <row r="551" spans="1:7" x14ac:dyDescent="0.3">
      <c r="A551" s="4">
        <v>45302</v>
      </c>
      <c r="B551" s="19">
        <v>-2.1141000000000076</v>
      </c>
      <c r="C551" s="19">
        <v>-20.101200000000006</v>
      </c>
      <c r="E551" s="4">
        <v>45302</v>
      </c>
      <c r="F551" s="19">
        <v>44.419199999999989</v>
      </c>
      <c r="G551" s="19">
        <v>-34.148599999999995</v>
      </c>
    </row>
    <row r="552" spans="1:7" x14ac:dyDescent="0.3">
      <c r="A552" s="4">
        <v>45301</v>
      </c>
      <c r="B552" s="19">
        <v>2.5695999999999799</v>
      </c>
      <c r="C552" s="19">
        <v>15.685000000000002</v>
      </c>
      <c r="E552" s="4">
        <v>45301</v>
      </c>
      <c r="F552" s="19">
        <v>4.3268999999999949</v>
      </c>
      <c r="G552" s="19">
        <v>10.009099999999997</v>
      </c>
    </row>
    <row r="553" spans="1:7" x14ac:dyDescent="0.3">
      <c r="A553" s="4">
        <v>45300</v>
      </c>
      <c r="B553" s="19">
        <v>1.9412000000000091</v>
      </c>
      <c r="C553" s="19">
        <v>-15.720900000000007</v>
      </c>
      <c r="E553" s="4">
        <v>45300</v>
      </c>
      <c r="F553" s="19">
        <v>-1.7536000000000058</v>
      </c>
      <c r="G553" s="19">
        <v>-24.6389</v>
      </c>
    </row>
    <row r="554" spans="1:7" x14ac:dyDescent="0.3">
      <c r="A554" s="4">
        <v>45299</v>
      </c>
      <c r="B554" s="19">
        <v>-11.563400000000001</v>
      </c>
      <c r="C554" s="19">
        <v>-2.9368999999999943</v>
      </c>
      <c r="E554" s="4">
        <v>45299</v>
      </c>
      <c r="F554" s="19">
        <v>-31.901900000000012</v>
      </c>
      <c r="G554" s="19">
        <v>-11.357800000000005</v>
      </c>
    </row>
    <row r="555" spans="1:7" x14ac:dyDescent="0.3">
      <c r="A555" s="4">
        <v>45296</v>
      </c>
      <c r="B555" s="19">
        <v>15.6387</v>
      </c>
      <c r="C555" s="19">
        <v>12.594299999999997</v>
      </c>
      <c r="E555" s="4">
        <v>45296</v>
      </c>
      <c r="F555" s="19">
        <v>4.2787999999999897</v>
      </c>
      <c r="G555" s="19">
        <v>3.4721000000000046</v>
      </c>
    </row>
    <row r="556" spans="1:7" x14ac:dyDescent="0.3">
      <c r="A556" s="4">
        <v>45295</v>
      </c>
      <c r="B556" s="19">
        <v>-7.848399999999998</v>
      </c>
      <c r="C556" s="19">
        <v>17.759299999999996</v>
      </c>
      <c r="E556" s="4">
        <v>45295</v>
      </c>
      <c r="F556" s="19">
        <v>-31.515200000000021</v>
      </c>
      <c r="G556" s="19">
        <v>3.7458999999999989</v>
      </c>
    </row>
    <row r="557" spans="1:7" x14ac:dyDescent="0.3">
      <c r="A557" s="4">
        <v>45294</v>
      </c>
      <c r="B557" s="19">
        <v>21.102399999999989</v>
      </c>
      <c r="C557" s="19">
        <v>39.347300000000004</v>
      </c>
      <c r="E557" s="4">
        <v>45294</v>
      </c>
      <c r="F557" s="19">
        <v>-4.2118999999999858</v>
      </c>
      <c r="G557" s="19">
        <v>28.815200000000004</v>
      </c>
    </row>
    <row r="558" spans="1:7" x14ac:dyDescent="0.3">
      <c r="A558" s="4">
        <v>45293</v>
      </c>
      <c r="B558" s="19">
        <v>-11.188299999999998</v>
      </c>
      <c r="C558" s="19">
        <v>25.596800000000002</v>
      </c>
      <c r="E558" s="4">
        <v>45293</v>
      </c>
      <c r="F558" s="19">
        <v>-41.505599999999987</v>
      </c>
      <c r="G558" s="19">
        <v>12.939500000000002</v>
      </c>
    </row>
    <row r="559" spans="1:7" x14ac:dyDescent="0.3">
      <c r="A559" s="4">
        <v>45289</v>
      </c>
      <c r="B559" s="19">
        <v>-16.892600000000016</v>
      </c>
      <c r="C559" s="19">
        <v>16.456900000000005</v>
      </c>
      <c r="E559" s="4">
        <v>45289</v>
      </c>
      <c r="F559" s="19">
        <v>11.230600000000038</v>
      </c>
      <c r="G559" s="19">
        <v>2.3549999999999969</v>
      </c>
    </row>
    <row r="560" spans="1:7" x14ac:dyDescent="0.3">
      <c r="A560" s="4">
        <v>45288</v>
      </c>
      <c r="B560" s="19">
        <v>60.884700000000009</v>
      </c>
      <c r="C560" s="19">
        <v>-15.39070000000001</v>
      </c>
      <c r="E560" s="4">
        <v>45288</v>
      </c>
      <c r="F560" s="19">
        <v>74.699600000000032</v>
      </c>
      <c r="G560" s="19">
        <v>-4.2613000000000056</v>
      </c>
    </row>
    <row r="561" spans="1:7" x14ac:dyDescent="0.3">
      <c r="A561" s="4">
        <v>45287</v>
      </c>
      <c r="B561" s="19">
        <v>37.239699999999999</v>
      </c>
      <c r="C561" s="19">
        <v>5.7069999999999936</v>
      </c>
      <c r="E561" s="4">
        <v>45287</v>
      </c>
      <c r="F561" s="19">
        <v>19.539799999999985</v>
      </c>
      <c r="G561" s="19">
        <v>6.7160000000000082</v>
      </c>
    </row>
    <row r="562" spans="1:7" x14ac:dyDescent="0.3">
      <c r="A562" s="4">
        <v>45282</v>
      </c>
      <c r="B562" s="19">
        <v>-4.286200000000008</v>
      </c>
      <c r="C562" s="19">
        <v>-25.879699999999985</v>
      </c>
      <c r="E562" s="4">
        <v>45282</v>
      </c>
      <c r="F562" s="19">
        <v>-20.823599999999999</v>
      </c>
      <c r="G562" s="19">
        <v>-16.892100000000013</v>
      </c>
    </row>
    <row r="563" spans="1:7" x14ac:dyDescent="0.3">
      <c r="A563" s="4">
        <v>45281</v>
      </c>
      <c r="B563" s="19">
        <v>8.0310000000000059</v>
      </c>
      <c r="C563" s="19">
        <v>14.614899999999999</v>
      </c>
      <c r="E563" s="4">
        <v>45281</v>
      </c>
      <c r="F563" s="19">
        <v>3.9972000000000207</v>
      </c>
      <c r="G563" s="19">
        <v>9.7600999999999942</v>
      </c>
    </row>
    <row r="564" spans="1:7" x14ac:dyDescent="0.3">
      <c r="A564" s="4">
        <v>45280</v>
      </c>
      <c r="B564" s="19">
        <v>-1.4042999999999779</v>
      </c>
      <c r="C564" s="19">
        <v>-48.130799999999994</v>
      </c>
      <c r="E564" s="4">
        <v>45280</v>
      </c>
      <c r="F564" s="19">
        <v>-14.017400000000009</v>
      </c>
      <c r="G564" s="19">
        <v>-62.258700000000005</v>
      </c>
    </row>
    <row r="565" spans="1:7" x14ac:dyDescent="0.3">
      <c r="A565" s="4">
        <v>45279</v>
      </c>
      <c r="B565" s="19">
        <v>-18.383200000000016</v>
      </c>
      <c r="C565" s="19">
        <v>12.438399999999987</v>
      </c>
      <c r="E565" s="4">
        <v>45279</v>
      </c>
      <c r="F565" s="19">
        <v>-2.7435999999999865</v>
      </c>
      <c r="G565" s="19">
        <v>0.2967000000000013</v>
      </c>
    </row>
    <row r="566" spans="1:7" x14ac:dyDescent="0.3">
      <c r="A566" s="4">
        <v>45278</v>
      </c>
      <c r="B566" s="19">
        <v>14.702200000000005</v>
      </c>
      <c r="C566" s="19">
        <v>63.146299999999997</v>
      </c>
      <c r="E566" s="4">
        <v>45278</v>
      </c>
      <c r="F566" s="19">
        <v>12.567700000000002</v>
      </c>
      <c r="G566" s="19">
        <v>54.352600000000002</v>
      </c>
    </row>
    <row r="567" spans="1:7" x14ac:dyDescent="0.3">
      <c r="A567" s="4">
        <v>45275</v>
      </c>
      <c r="B567" s="19">
        <v>-33.726499999999987</v>
      </c>
      <c r="C567" s="19">
        <v>-16.703800000000001</v>
      </c>
      <c r="E567" s="4">
        <v>45275</v>
      </c>
      <c r="F567" s="19">
        <v>-7.9290999999999485</v>
      </c>
      <c r="G567" s="19">
        <v>-22.927100000000003</v>
      </c>
    </row>
    <row r="568" spans="1:7" x14ac:dyDescent="0.3">
      <c r="A568" s="4">
        <v>45274</v>
      </c>
      <c r="B568" s="19">
        <v>10.004699999999985</v>
      </c>
      <c r="C568" s="19">
        <v>-47.854599999999998</v>
      </c>
      <c r="E568" s="4">
        <v>45274</v>
      </c>
      <c r="F568" s="19">
        <v>24.622899999999959</v>
      </c>
      <c r="G568" s="19">
        <v>-49.127700000000004</v>
      </c>
    </row>
    <row r="569" spans="1:7" x14ac:dyDescent="0.3">
      <c r="A569" s="4">
        <v>45273</v>
      </c>
      <c r="B569" s="19">
        <v>-57.709800000000001</v>
      </c>
      <c r="C569" s="19">
        <v>5.6695000000000064</v>
      </c>
      <c r="E569" s="4">
        <v>45273</v>
      </c>
      <c r="F569" s="19">
        <v>-38.188300000000027</v>
      </c>
      <c r="G569" s="19">
        <v>2.8800999999999988</v>
      </c>
    </row>
    <row r="570" spans="1:7" x14ac:dyDescent="0.3">
      <c r="A570" s="4">
        <v>45272</v>
      </c>
      <c r="B570" s="19">
        <v>-18.289900000000017</v>
      </c>
      <c r="C570" s="19">
        <v>-8.5262000000000029</v>
      </c>
      <c r="E570" s="4">
        <v>45272</v>
      </c>
      <c r="F570" s="19">
        <v>-31.949399999999997</v>
      </c>
      <c r="G570" s="19">
        <v>-18.450499999999998</v>
      </c>
    </row>
    <row r="571" spans="1:7" x14ac:dyDescent="0.3">
      <c r="A571" s="4">
        <v>45271</v>
      </c>
      <c r="B571" s="19">
        <v>-8.5318000000000325</v>
      </c>
      <c r="C571" s="19">
        <v>27.863399999999999</v>
      </c>
      <c r="E571" s="4">
        <v>45271</v>
      </c>
      <c r="F571" s="19">
        <v>-24.060799999999972</v>
      </c>
      <c r="G571" s="19">
        <v>28.077199999999998</v>
      </c>
    </row>
    <row r="572" spans="1:7" x14ac:dyDescent="0.3">
      <c r="A572" s="4">
        <v>45268</v>
      </c>
      <c r="B572" s="19">
        <v>-9.6157000000000039</v>
      </c>
      <c r="C572" s="19">
        <v>20.477800000000002</v>
      </c>
      <c r="E572" s="4">
        <v>45268</v>
      </c>
      <c r="F572" s="19">
        <v>14.215300000000013</v>
      </c>
      <c r="G572" s="19">
        <v>13.209700000000005</v>
      </c>
    </row>
    <row r="573" spans="1:7" x14ac:dyDescent="0.3">
      <c r="A573" s="4">
        <v>45267</v>
      </c>
      <c r="B573" s="19">
        <v>12.261499999999984</v>
      </c>
      <c r="C573" s="19">
        <v>1.7429000000000059</v>
      </c>
      <c r="E573" s="4">
        <v>45267</v>
      </c>
      <c r="F573" s="19">
        <v>-8.5298999999999978</v>
      </c>
      <c r="G573" s="19">
        <v>-18.093800000000002</v>
      </c>
    </row>
    <row r="574" spans="1:7" x14ac:dyDescent="0.3">
      <c r="A574" s="4">
        <v>45266</v>
      </c>
      <c r="B574" s="19">
        <v>1.0900000000000034</v>
      </c>
      <c r="C574" s="19">
        <v>26.669000000000004</v>
      </c>
      <c r="E574" s="4">
        <v>45266</v>
      </c>
      <c r="F574" s="19">
        <v>22.327600000000018</v>
      </c>
      <c r="G574" s="19">
        <v>29.4358</v>
      </c>
    </row>
    <row r="575" spans="1:7" x14ac:dyDescent="0.3">
      <c r="A575" s="4">
        <v>45265</v>
      </c>
      <c r="B575" s="19">
        <v>-48.941000000000031</v>
      </c>
      <c r="C575" s="19">
        <v>22.816999999999993</v>
      </c>
      <c r="E575" s="4">
        <v>45265</v>
      </c>
      <c r="F575" s="19">
        <v>-26.265700000000038</v>
      </c>
      <c r="G575" s="19">
        <v>22.8001</v>
      </c>
    </row>
    <row r="576" spans="1:7" x14ac:dyDescent="0.3">
      <c r="A576" s="4">
        <v>45264</v>
      </c>
      <c r="B576" s="19">
        <v>-3.9802999999999997</v>
      </c>
      <c r="C576" s="19">
        <v>-2.1285000000000025</v>
      </c>
      <c r="E576" s="4">
        <v>45264</v>
      </c>
      <c r="F576" s="19">
        <v>-10.427999999999997</v>
      </c>
      <c r="G576" s="19">
        <v>-4.8214000000000112</v>
      </c>
    </row>
    <row r="577" spans="1:7" x14ac:dyDescent="0.3">
      <c r="A577" s="4">
        <v>45261</v>
      </c>
      <c r="B577" s="19">
        <v>-40.626800000000003</v>
      </c>
      <c r="C577" s="19">
        <v>29.887299999999996</v>
      </c>
      <c r="E577" s="4">
        <v>45261</v>
      </c>
      <c r="F577" s="19">
        <v>-9.3459000000000287</v>
      </c>
      <c r="G577" s="19">
        <v>23.002900000000004</v>
      </c>
    </row>
    <row r="578" spans="1:7" x14ac:dyDescent="0.3">
      <c r="A578" s="4">
        <v>45260</v>
      </c>
      <c r="B578" s="19">
        <v>63.771500000000003</v>
      </c>
      <c r="C578" s="19">
        <v>11.985399999999998</v>
      </c>
      <c r="E578" s="4">
        <v>45260</v>
      </c>
      <c r="F578" s="19">
        <v>21.391600000000039</v>
      </c>
      <c r="G578" s="19">
        <v>5.2250000000000014</v>
      </c>
    </row>
    <row r="579" spans="1:7" x14ac:dyDescent="0.3">
      <c r="A579" s="4">
        <v>45259</v>
      </c>
      <c r="B579" s="19">
        <v>-19.843900000000019</v>
      </c>
      <c r="C579" s="19">
        <v>6.5071999999999974</v>
      </c>
      <c r="E579" s="4">
        <v>45259</v>
      </c>
      <c r="F579" s="19">
        <v>-30.956099999999992</v>
      </c>
      <c r="G579" s="19">
        <v>-14.686099999999996</v>
      </c>
    </row>
    <row r="580" spans="1:7" x14ac:dyDescent="0.3">
      <c r="A580" s="4">
        <v>45258</v>
      </c>
      <c r="B580" s="19">
        <v>23.506799999999998</v>
      </c>
      <c r="C580" s="19">
        <v>-18.528399999999991</v>
      </c>
      <c r="E580" s="4">
        <v>45258</v>
      </c>
      <c r="F580" s="19">
        <v>4.8378000000000156</v>
      </c>
      <c r="G580" s="19">
        <v>-12.004699999999993</v>
      </c>
    </row>
    <row r="581" spans="1:7" x14ac:dyDescent="0.3">
      <c r="A581" s="4">
        <v>45257</v>
      </c>
      <c r="B581" s="19">
        <v>12.425999999999988</v>
      </c>
      <c r="C581" s="19">
        <v>3.4975000000000023</v>
      </c>
      <c r="E581" s="4">
        <v>45257</v>
      </c>
      <c r="F581" s="19">
        <v>-9.0858000000000061</v>
      </c>
      <c r="G581" s="19">
        <v>-2.0199999999995555E-2</v>
      </c>
    </row>
    <row r="582" spans="1:7" x14ac:dyDescent="0.3">
      <c r="A582" s="4">
        <v>45254</v>
      </c>
      <c r="B582" s="19">
        <v>-21.785600000000017</v>
      </c>
      <c r="C582" s="19">
        <v>44.345100000000002</v>
      </c>
      <c r="E582" s="4">
        <v>45254</v>
      </c>
      <c r="F582" s="19">
        <v>-40.174199999999985</v>
      </c>
      <c r="G582" s="19">
        <v>42.920700000000004</v>
      </c>
    </row>
    <row r="583" spans="1:7" x14ac:dyDescent="0.3">
      <c r="A583" s="4">
        <v>45253</v>
      </c>
      <c r="B583" s="19">
        <v>19.292000000000002</v>
      </c>
      <c r="C583" s="19">
        <v>-35.606699999999996</v>
      </c>
      <c r="E583" s="4">
        <v>45253</v>
      </c>
      <c r="F583" s="19">
        <v>31.287800000000004</v>
      </c>
      <c r="G583" s="19">
        <v>-21.902899999999995</v>
      </c>
    </row>
    <row r="584" spans="1:7" x14ac:dyDescent="0.3">
      <c r="A584" s="4">
        <v>45252</v>
      </c>
      <c r="B584" s="19">
        <v>-7.0021000000000129</v>
      </c>
      <c r="C584" s="19">
        <v>28.399799999999999</v>
      </c>
      <c r="E584" s="4">
        <v>45252</v>
      </c>
      <c r="F584" s="19">
        <v>-28.383399999999995</v>
      </c>
      <c r="G584" s="19">
        <v>23.230100000000007</v>
      </c>
    </row>
    <row r="585" spans="1:7" x14ac:dyDescent="0.3">
      <c r="A585" s="4">
        <v>45251</v>
      </c>
      <c r="B585" s="19">
        <v>14.513100000000037</v>
      </c>
      <c r="C585" s="19">
        <v>-19.344700000000003</v>
      </c>
      <c r="E585" s="4">
        <v>45251</v>
      </c>
      <c r="F585" s="19">
        <v>-13.090300000000013</v>
      </c>
      <c r="G585" s="19">
        <v>-5.0172999999999988</v>
      </c>
    </row>
    <row r="586" spans="1:7" x14ac:dyDescent="0.3">
      <c r="A586" s="4">
        <v>45250</v>
      </c>
      <c r="B586" s="19">
        <v>10.886700000000019</v>
      </c>
      <c r="C586" s="19">
        <v>-43.073599999999999</v>
      </c>
      <c r="E586" s="4">
        <v>45250</v>
      </c>
      <c r="F586" s="19">
        <v>2.8430000000000177</v>
      </c>
      <c r="G586" s="19">
        <v>-18.006799999999998</v>
      </c>
    </row>
    <row r="587" spans="1:7" x14ac:dyDescent="0.3">
      <c r="A587" s="4">
        <v>45247</v>
      </c>
      <c r="B587" s="19">
        <v>-20.481700000000018</v>
      </c>
      <c r="C587" s="19">
        <v>14.868300000000005</v>
      </c>
      <c r="E587" s="4">
        <v>45247</v>
      </c>
      <c r="F587" s="19">
        <v>-8.1069999999999709</v>
      </c>
      <c r="G587" s="19">
        <v>22.531399999999991</v>
      </c>
    </row>
    <row r="588" spans="1:7" x14ac:dyDescent="0.3">
      <c r="A588" s="4">
        <v>45246</v>
      </c>
      <c r="B588" s="19">
        <v>-16.046600000000012</v>
      </c>
      <c r="C588" s="19">
        <v>20.902799999999999</v>
      </c>
      <c r="E588" s="4">
        <v>45246</v>
      </c>
      <c r="F588" s="19">
        <v>-5.8575000000000159</v>
      </c>
      <c r="G588" s="19">
        <v>22.490499999999997</v>
      </c>
    </row>
    <row r="589" spans="1:7" x14ac:dyDescent="0.3">
      <c r="A589" s="4">
        <v>45245</v>
      </c>
      <c r="B589" s="19">
        <v>23.149400000000014</v>
      </c>
      <c r="C589" s="19">
        <v>-50.721999999999994</v>
      </c>
      <c r="E589" s="4">
        <v>45245</v>
      </c>
      <c r="F589" s="19">
        <v>13.107100000000003</v>
      </c>
      <c r="G589" s="19">
        <v>-44.738299999999995</v>
      </c>
    </row>
    <row r="590" spans="1:7" x14ac:dyDescent="0.3">
      <c r="A590" s="4">
        <v>45244</v>
      </c>
      <c r="B590" s="19">
        <v>-16.844300000000004</v>
      </c>
      <c r="C590" s="19">
        <v>3.9771999999999963</v>
      </c>
      <c r="E590" s="4">
        <v>45244</v>
      </c>
      <c r="F590" s="19">
        <v>-4.2485999999999535</v>
      </c>
      <c r="G590" s="19">
        <v>9.6541999999999959</v>
      </c>
    </row>
    <row r="591" spans="1:7" x14ac:dyDescent="0.3">
      <c r="A591" s="4">
        <v>45243</v>
      </c>
      <c r="B591" s="19">
        <v>-11.598399999999998</v>
      </c>
      <c r="C591" s="19">
        <v>-3.6657000000000011</v>
      </c>
      <c r="E591" s="4">
        <v>45243</v>
      </c>
      <c r="F591" s="19">
        <v>-2.8294999999999959</v>
      </c>
      <c r="G591" s="19">
        <v>-16.216899999999995</v>
      </c>
    </row>
    <row r="592" spans="1:7" x14ac:dyDescent="0.3">
      <c r="A592" s="4">
        <v>45240</v>
      </c>
      <c r="B592" s="19">
        <v>-33.149000000000001</v>
      </c>
      <c r="C592" s="19">
        <v>25.789600000000007</v>
      </c>
      <c r="E592" s="4">
        <v>45240</v>
      </c>
      <c r="F592" s="19">
        <v>-15.492200000000025</v>
      </c>
      <c r="G592" s="19">
        <v>17.522299999999994</v>
      </c>
    </row>
    <row r="593" spans="1:7" x14ac:dyDescent="0.3">
      <c r="A593" s="4">
        <v>45239</v>
      </c>
      <c r="B593" s="19">
        <v>21.702300000000008</v>
      </c>
      <c r="C593" s="19">
        <v>27.256899999999995</v>
      </c>
      <c r="E593" s="4">
        <v>45239</v>
      </c>
      <c r="F593" s="19">
        <v>-22.335900000000038</v>
      </c>
      <c r="G593" s="19">
        <v>23.148500000000006</v>
      </c>
    </row>
    <row r="594" spans="1:7" x14ac:dyDescent="0.3">
      <c r="A594" s="4">
        <v>45238</v>
      </c>
      <c r="B594" s="19">
        <v>-17.393100000000032</v>
      </c>
      <c r="C594" s="19">
        <v>-3.5918999999999954</v>
      </c>
      <c r="E594" s="4">
        <v>45238</v>
      </c>
      <c r="F594" s="19">
        <v>-19.706899999999962</v>
      </c>
      <c r="G594" s="19">
        <v>-9.9908999999999963</v>
      </c>
    </row>
    <row r="595" spans="1:7" x14ac:dyDescent="0.3">
      <c r="A595" s="4">
        <v>45237</v>
      </c>
      <c r="B595" s="19">
        <v>-24.263199999999983</v>
      </c>
      <c r="C595" s="19">
        <v>47.1113</v>
      </c>
      <c r="E595" s="4">
        <v>45237</v>
      </c>
      <c r="F595" s="19">
        <v>-21.612500000000011</v>
      </c>
      <c r="G595" s="19">
        <v>48.560900000000004</v>
      </c>
    </row>
    <row r="596" spans="1:7" x14ac:dyDescent="0.3">
      <c r="A596" s="4">
        <v>45236</v>
      </c>
      <c r="B596" s="19">
        <v>-6.2886000000000308</v>
      </c>
      <c r="C596" s="19">
        <v>-2.457800000000006</v>
      </c>
      <c r="E596" s="4">
        <v>45236</v>
      </c>
      <c r="F596" s="19">
        <v>59.018599999999992</v>
      </c>
      <c r="G596" s="19">
        <v>10.809899999999999</v>
      </c>
    </row>
    <row r="597" spans="1:7" x14ac:dyDescent="0.3">
      <c r="A597" s="4">
        <v>45233</v>
      </c>
      <c r="B597" s="19">
        <v>28.039200000000022</v>
      </c>
      <c r="C597" s="19">
        <v>5.2044000000000068</v>
      </c>
      <c r="E597" s="4">
        <v>45233</v>
      </c>
      <c r="F597" s="19">
        <v>43.043600000000026</v>
      </c>
      <c r="G597" s="19">
        <v>6.3782000000000068</v>
      </c>
    </row>
    <row r="598" spans="1:7" x14ac:dyDescent="0.3">
      <c r="A598" s="4">
        <v>45232</v>
      </c>
      <c r="B598" s="19">
        <v>19.593999999999994</v>
      </c>
      <c r="C598" s="19">
        <v>5.8742000000000019</v>
      </c>
      <c r="E598" s="4">
        <v>45232</v>
      </c>
      <c r="F598" s="19">
        <v>7.2233999999999696</v>
      </c>
      <c r="G598" s="19">
        <v>3.5247000000000028</v>
      </c>
    </row>
    <row r="599" spans="1:7" x14ac:dyDescent="0.3">
      <c r="A599" s="4">
        <v>45231</v>
      </c>
      <c r="B599" s="19">
        <v>3.6231999999999971</v>
      </c>
      <c r="C599" s="19">
        <v>15.733699999999999</v>
      </c>
      <c r="E599" s="4">
        <v>45231</v>
      </c>
      <c r="F599" s="19">
        <v>-24.445700000000045</v>
      </c>
      <c r="G599" s="19">
        <v>6.6113</v>
      </c>
    </row>
    <row r="600" spans="1:7" x14ac:dyDescent="0.3">
      <c r="A600" s="4">
        <v>45230</v>
      </c>
      <c r="B600" s="19">
        <v>-14.642600000000016</v>
      </c>
      <c r="C600" s="19">
        <v>9.2671000000000063</v>
      </c>
      <c r="E600" s="4">
        <v>45230</v>
      </c>
      <c r="F600" s="19">
        <v>-32.891300000000001</v>
      </c>
      <c r="G600" s="19">
        <v>10.087599999999995</v>
      </c>
    </row>
    <row r="601" spans="1:7" x14ac:dyDescent="0.3">
      <c r="A601" s="4">
        <v>45229</v>
      </c>
      <c r="B601" s="19">
        <v>-27.943100000000015</v>
      </c>
      <c r="C601" s="19">
        <v>13.244</v>
      </c>
      <c r="E601" s="4">
        <v>45229</v>
      </c>
      <c r="F601" s="19">
        <v>3.9669999999999845</v>
      </c>
      <c r="G601" s="19">
        <v>9.227099999999993</v>
      </c>
    </row>
    <row r="602" spans="1:7" x14ac:dyDescent="0.3">
      <c r="A602" s="4">
        <v>45226</v>
      </c>
      <c r="B602" s="19">
        <v>18.981200000000001</v>
      </c>
      <c r="C602" s="19">
        <v>16.612000000000002</v>
      </c>
      <c r="E602" s="4">
        <v>45226</v>
      </c>
      <c r="F602" s="19">
        <v>27.699099999999987</v>
      </c>
      <c r="G602" s="19">
        <v>7.5028000000000006</v>
      </c>
    </row>
    <row r="603" spans="1:7" x14ac:dyDescent="0.3">
      <c r="A603" s="4">
        <v>45225</v>
      </c>
      <c r="B603" s="19">
        <v>8.1273999999999944</v>
      </c>
      <c r="C603" s="19">
        <v>16.93549999999999</v>
      </c>
      <c r="E603" s="4">
        <v>45225</v>
      </c>
      <c r="F603" s="19">
        <v>4.1400999999999613</v>
      </c>
      <c r="G603" s="19">
        <v>5.339100000000002</v>
      </c>
    </row>
    <row r="604" spans="1:7" x14ac:dyDescent="0.3">
      <c r="A604" s="4">
        <v>45224</v>
      </c>
      <c r="B604" s="19">
        <v>0.60430000000002337</v>
      </c>
      <c r="C604" s="19">
        <v>1.966700000000003</v>
      </c>
      <c r="E604" s="4">
        <v>45224</v>
      </c>
      <c r="F604" s="19">
        <v>-13.556300000000022</v>
      </c>
      <c r="G604" s="19">
        <v>-2.4786999999999892</v>
      </c>
    </row>
    <row r="605" spans="1:7" x14ac:dyDescent="0.3">
      <c r="A605" s="4">
        <v>45223</v>
      </c>
      <c r="B605" s="19">
        <v>-16.878199999999993</v>
      </c>
      <c r="C605" s="19">
        <v>35.5304</v>
      </c>
      <c r="E605" s="4">
        <v>45223</v>
      </c>
      <c r="F605" s="19">
        <v>-33.577500000000043</v>
      </c>
      <c r="G605" s="19">
        <v>-12.278899999999993</v>
      </c>
    </row>
    <row r="606" spans="1:7" x14ac:dyDescent="0.3">
      <c r="A606" s="4">
        <v>45219</v>
      </c>
      <c r="B606" s="19">
        <v>6.3724000000000274</v>
      </c>
      <c r="C606" s="19">
        <v>15.253300000000003</v>
      </c>
      <c r="E606" s="4">
        <v>45219</v>
      </c>
      <c r="F606" s="19">
        <v>-22.834600000000023</v>
      </c>
      <c r="G606" s="19">
        <v>3.4299000000000035</v>
      </c>
    </row>
    <row r="607" spans="1:7" x14ac:dyDescent="0.3">
      <c r="A607" s="4">
        <v>45218</v>
      </c>
      <c r="B607" s="19">
        <v>-69.732400000000041</v>
      </c>
      <c r="C607" s="19">
        <v>14.386300000000006</v>
      </c>
      <c r="E607" s="4">
        <v>45218</v>
      </c>
      <c r="F607" s="19">
        <v>-47.310299999999984</v>
      </c>
      <c r="G607" s="19">
        <v>3.5371000000000024</v>
      </c>
    </row>
    <row r="608" spans="1:7" x14ac:dyDescent="0.3">
      <c r="A608" s="4">
        <v>45217</v>
      </c>
      <c r="B608" s="19">
        <v>-23.573100000000011</v>
      </c>
      <c r="C608" s="19">
        <v>-23.564200000000007</v>
      </c>
      <c r="E608" s="4">
        <v>45217</v>
      </c>
      <c r="F608" s="19">
        <v>11.966699999999946</v>
      </c>
      <c r="G608" s="19">
        <v>-19.705200000000005</v>
      </c>
    </row>
    <row r="609" spans="1:7" x14ac:dyDescent="0.3">
      <c r="A609" s="4">
        <v>45216</v>
      </c>
      <c r="B609" s="19">
        <v>-8.8970999999999947</v>
      </c>
      <c r="C609" s="19">
        <v>-1.2227999999999994</v>
      </c>
      <c r="E609" s="4">
        <v>45216</v>
      </c>
      <c r="F609" s="19">
        <v>-21.677899999999966</v>
      </c>
      <c r="G609" s="19">
        <v>6.5564000000000036</v>
      </c>
    </row>
    <row r="610" spans="1:7" x14ac:dyDescent="0.3">
      <c r="A610" s="4">
        <v>45215</v>
      </c>
      <c r="B610" s="19">
        <v>-37.269599999999997</v>
      </c>
      <c r="C610" s="19">
        <v>20.146399999999993</v>
      </c>
      <c r="E610" s="4">
        <v>45215</v>
      </c>
      <c r="F610" s="19">
        <v>-27.499799999999993</v>
      </c>
      <c r="G610" s="19">
        <v>20.423600000000008</v>
      </c>
    </row>
    <row r="611" spans="1:7" x14ac:dyDescent="0.3">
      <c r="A611" s="4">
        <v>45212</v>
      </c>
      <c r="B611" s="19">
        <v>-39.681900000000013</v>
      </c>
      <c r="C611" s="19">
        <v>18.87149999999999</v>
      </c>
      <c r="E611" s="4">
        <v>45212</v>
      </c>
      <c r="F611" s="19">
        <v>-24.70350000000002</v>
      </c>
      <c r="G611" s="19">
        <v>21.2988</v>
      </c>
    </row>
    <row r="612" spans="1:7" x14ac:dyDescent="0.3">
      <c r="A612" s="4">
        <v>45211</v>
      </c>
      <c r="B612" s="19">
        <v>48.42289999999997</v>
      </c>
      <c r="C612" s="19">
        <v>-37.594400000000007</v>
      </c>
      <c r="E612" s="4">
        <v>45211</v>
      </c>
      <c r="F612" s="19">
        <v>17.7346</v>
      </c>
      <c r="G612" s="19">
        <v>-17.238699999999994</v>
      </c>
    </row>
    <row r="613" spans="1:7" x14ac:dyDescent="0.3">
      <c r="A613" s="4">
        <v>45210</v>
      </c>
      <c r="B613" s="19">
        <v>7.2760999999999854</v>
      </c>
      <c r="C613" s="19">
        <v>5.4787999999999926</v>
      </c>
      <c r="E613" s="4">
        <v>45210</v>
      </c>
      <c r="F613" s="19">
        <v>-11.175700000000006</v>
      </c>
      <c r="G613" s="19">
        <v>7.8529000000000053</v>
      </c>
    </row>
    <row r="614" spans="1:7" x14ac:dyDescent="0.3">
      <c r="A614" s="4">
        <v>45209</v>
      </c>
      <c r="B614" s="19">
        <v>-47.566200000000009</v>
      </c>
      <c r="C614" s="19">
        <v>36.8232</v>
      </c>
      <c r="E614" s="4">
        <v>45209</v>
      </c>
      <c r="F614" s="19">
        <v>-7.1465000000000032</v>
      </c>
      <c r="G614" s="19">
        <v>25.441099999999999</v>
      </c>
    </row>
    <row r="615" spans="1:7" x14ac:dyDescent="0.3">
      <c r="A615" s="4">
        <v>45208</v>
      </c>
      <c r="B615" s="19">
        <v>-35.891000000000005</v>
      </c>
      <c r="C615" s="19">
        <v>10.509699999999995</v>
      </c>
      <c r="E615" s="4">
        <v>45208</v>
      </c>
      <c r="F615" s="19">
        <v>-38.71129999999998</v>
      </c>
      <c r="G615" s="19">
        <v>9.9158000000000044</v>
      </c>
    </row>
    <row r="616" spans="1:7" x14ac:dyDescent="0.3">
      <c r="A616" s="4">
        <v>45197</v>
      </c>
      <c r="B616" s="19">
        <v>-28.474500000000006</v>
      </c>
      <c r="C616" s="19">
        <v>24.0749</v>
      </c>
      <c r="E616" s="4">
        <v>45197</v>
      </c>
      <c r="F616" s="19">
        <v>-21.476699999999994</v>
      </c>
      <c r="G616" s="19">
        <v>17.214199999999998</v>
      </c>
    </row>
    <row r="617" spans="1:7" x14ac:dyDescent="0.3">
      <c r="A617" s="4">
        <v>45196</v>
      </c>
      <c r="B617" s="19">
        <v>19.83850000000001</v>
      </c>
      <c r="C617" s="19">
        <v>16.112000000000002</v>
      </c>
      <c r="E617" s="4">
        <v>45196</v>
      </c>
      <c r="F617" s="19">
        <v>-1.8063000000000216</v>
      </c>
      <c r="G617" s="19">
        <v>20.708100000000002</v>
      </c>
    </row>
    <row r="618" spans="1:7" x14ac:dyDescent="0.3">
      <c r="A618" s="4">
        <v>45195</v>
      </c>
      <c r="B618" s="19">
        <v>-29.830600000000004</v>
      </c>
      <c r="C618" s="19">
        <v>-2.9765000000000015</v>
      </c>
      <c r="E618" s="4">
        <v>45195</v>
      </c>
      <c r="F618" s="19">
        <v>-33.128399999999999</v>
      </c>
      <c r="G618" s="19">
        <v>4.5639000000000038</v>
      </c>
    </row>
    <row r="619" spans="1:7" x14ac:dyDescent="0.3">
      <c r="A619" s="4">
        <v>45194</v>
      </c>
      <c r="B619" s="19">
        <v>-42.433300000000031</v>
      </c>
      <c r="C619" s="19">
        <v>32.176099999999991</v>
      </c>
      <c r="E619" s="4">
        <v>45194</v>
      </c>
      <c r="F619" s="19">
        <v>-37.960300000000018</v>
      </c>
      <c r="G619" s="19">
        <v>28.157199999999996</v>
      </c>
    </row>
    <row r="620" spans="1:7" x14ac:dyDescent="0.3">
      <c r="A620" s="4">
        <v>45191</v>
      </c>
      <c r="B620" s="19">
        <v>33.134600000000034</v>
      </c>
      <c r="C620" s="19">
        <v>-24.429100000000005</v>
      </c>
      <c r="E620" s="4">
        <v>45191</v>
      </c>
      <c r="F620" s="19">
        <v>41.794300000000021</v>
      </c>
      <c r="G620" s="19">
        <v>-17.846799999999988</v>
      </c>
    </row>
    <row r="621" spans="1:7" x14ac:dyDescent="0.3">
      <c r="A621" s="4">
        <v>45190</v>
      </c>
      <c r="B621" s="19">
        <v>-22.632200000000012</v>
      </c>
      <c r="C621" s="19">
        <v>22.250100000000003</v>
      </c>
      <c r="E621" s="4">
        <v>45190</v>
      </c>
      <c r="F621" s="19">
        <v>-20.668399999999991</v>
      </c>
      <c r="G621" s="19">
        <v>10.1937</v>
      </c>
    </row>
    <row r="622" spans="1:7" x14ac:dyDescent="0.3">
      <c r="A622" s="4">
        <v>45189</v>
      </c>
      <c r="B622" s="19">
        <v>-13.722199999999987</v>
      </c>
      <c r="C622" s="19">
        <v>19.355400000000003</v>
      </c>
      <c r="E622" s="4">
        <v>45189</v>
      </c>
      <c r="F622" s="19">
        <v>-21.675700000000006</v>
      </c>
      <c r="G622" s="19">
        <v>12.6389</v>
      </c>
    </row>
    <row r="623" spans="1:7" x14ac:dyDescent="0.3">
      <c r="A623" s="4">
        <v>45188</v>
      </c>
      <c r="B623" s="19">
        <v>-5.0681999999999903</v>
      </c>
      <c r="C623" s="19">
        <v>17.238600000000005</v>
      </c>
      <c r="E623" s="4">
        <v>45188</v>
      </c>
      <c r="F623" s="19">
        <v>-19.160500000000013</v>
      </c>
      <c r="G623" s="19">
        <v>17.625700000000002</v>
      </c>
    </row>
    <row r="624" spans="1:7" x14ac:dyDescent="0.3">
      <c r="A624" s="4">
        <v>45187</v>
      </c>
      <c r="B624" s="19">
        <v>3.8891000000000133</v>
      </c>
      <c r="C624" s="19">
        <v>45.801800000000007</v>
      </c>
      <c r="E624" s="4">
        <v>45187</v>
      </c>
      <c r="F624" s="19">
        <v>24.402599999999978</v>
      </c>
      <c r="G624" s="19">
        <v>41.529400000000003</v>
      </c>
    </row>
    <row r="625" spans="1:7" x14ac:dyDescent="0.3">
      <c r="A625" s="4">
        <v>45184</v>
      </c>
      <c r="B625" s="19">
        <v>2.293899999999951</v>
      </c>
      <c r="C625" s="19">
        <v>0.54919999999999902</v>
      </c>
      <c r="E625" s="4">
        <v>45184</v>
      </c>
      <c r="F625" s="19">
        <v>-26.894900000000007</v>
      </c>
      <c r="G625" s="19">
        <v>11.394799999999996</v>
      </c>
    </row>
    <row r="626" spans="1:7" x14ac:dyDescent="0.3">
      <c r="A626" s="4">
        <v>45183</v>
      </c>
      <c r="B626" s="19">
        <v>-15.148899999999998</v>
      </c>
      <c r="C626" s="19">
        <v>12.169200000000004</v>
      </c>
      <c r="E626" s="4">
        <v>45183</v>
      </c>
      <c r="F626" s="19">
        <v>-49.033300000000025</v>
      </c>
      <c r="G626" s="19">
        <v>13.952199999999998</v>
      </c>
    </row>
    <row r="627" spans="1:7" x14ac:dyDescent="0.3">
      <c r="A627" s="4">
        <v>45182</v>
      </c>
      <c r="B627" s="19">
        <v>-32.506</v>
      </c>
      <c r="C627" s="19">
        <v>-12.365600000000001</v>
      </c>
      <c r="E627" s="4">
        <v>45182</v>
      </c>
      <c r="F627" s="19">
        <v>-33.413499999999999</v>
      </c>
      <c r="G627" s="19">
        <v>-5.3051999999999992</v>
      </c>
    </row>
    <row r="628" spans="1:7" x14ac:dyDescent="0.3">
      <c r="A628" s="4">
        <v>45181</v>
      </c>
      <c r="B628" s="19">
        <v>-11.516300000000001</v>
      </c>
      <c r="C628" s="19">
        <v>33.156100000000009</v>
      </c>
      <c r="E628" s="4">
        <v>45181</v>
      </c>
      <c r="F628" s="19">
        <v>-8.2789999999999964</v>
      </c>
      <c r="G628" s="19">
        <v>34.136700000000005</v>
      </c>
    </row>
    <row r="629" spans="1:7" x14ac:dyDescent="0.3">
      <c r="A629" s="4">
        <v>45180</v>
      </c>
      <c r="B629" s="19">
        <v>12.331999999999994</v>
      </c>
      <c r="C629" s="19">
        <v>-50.597799999999992</v>
      </c>
      <c r="E629" s="4">
        <v>45180</v>
      </c>
      <c r="F629" s="19">
        <v>10.107100000000003</v>
      </c>
      <c r="G629" s="19">
        <v>-51.966800000000006</v>
      </c>
    </row>
    <row r="630" spans="1:7" x14ac:dyDescent="0.3">
      <c r="A630" s="4">
        <v>45176</v>
      </c>
      <c r="B630" s="19">
        <v>-38.790700000000015</v>
      </c>
      <c r="C630" s="19">
        <v>39.590299999999999</v>
      </c>
      <c r="E630" s="4">
        <v>45176</v>
      </c>
      <c r="F630" s="19">
        <v>-31.932299999999998</v>
      </c>
      <c r="G630" s="19">
        <v>30.877399999999994</v>
      </c>
    </row>
    <row r="631" spans="1:7" x14ac:dyDescent="0.3">
      <c r="A631" s="4">
        <v>45175</v>
      </c>
      <c r="B631" s="19">
        <v>-17.608300000000014</v>
      </c>
      <c r="C631" s="19">
        <v>25.207599999999999</v>
      </c>
      <c r="E631" s="4">
        <v>45175</v>
      </c>
      <c r="F631" s="19">
        <v>18.016199999999998</v>
      </c>
      <c r="G631" s="19">
        <v>16.472300000000004</v>
      </c>
    </row>
    <row r="632" spans="1:7" x14ac:dyDescent="0.3">
      <c r="A632" s="4">
        <v>45174</v>
      </c>
      <c r="B632" s="19">
        <v>-28.169199999999989</v>
      </c>
      <c r="C632" s="19">
        <v>62.003700000000002</v>
      </c>
      <c r="E632" s="4">
        <v>45174</v>
      </c>
      <c r="F632" s="19">
        <v>-17.922000000000025</v>
      </c>
      <c r="G632" s="19">
        <v>57.98</v>
      </c>
    </row>
    <row r="633" spans="1:7" x14ac:dyDescent="0.3">
      <c r="A633" s="4">
        <v>45173</v>
      </c>
      <c r="B633" s="19">
        <v>38.259400000000028</v>
      </c>
      <c r="C633" s="19">
        <v>24.978399999999993</v>
      </c>
      <c r="E633" s="4">
        <v>45173</v>
      </c>
      <c r="F633" s="19">
        <v>30.583500000000015</v>
      </c>
      <c r="G633" s="19">
        <v>18.010100000000008</v>
      </c>
    </row>
    <row r="634" spans="1:7" x14ac:dyDescent="0.3">
      <c r="A634" s="4">
        <v>45169</v>
      </c>
      <c r="B634" s="19">
        <v>-21.442799999999977</v>
      </c>
      <c r="C634" s="19">
        <v>17.127299999999998</v>
      </c>
      <c r="E634" s="4">
        <v>45169</v>
      </c>
      <c r="F634" s="19">
        <v>-21.520999999999958</v>
      </c>
      <c r="G634" s="19">
        <v>11.179899999999996</v>
      </c>
    </row>
    <row r="635" spans="1:7" x14ac:dyDescent="0.3">
      <c r="A635" s="4">
        <v>45168</v>
      </c>
      <c r="B635" s="19">
        <v>-21.500299999999982</v>
      </c>
      <c r="C635" s="19">
        <v>28.054899999999996</v>
      </c>
      <c r="E635" s="4">
        <v>45168</v>
      </c>
      <c r="F635" s="19">
        <v>-3.1299000000000206</v>
      </c>
      <c r="G635" s="19">
        <v>17.853099999999998</v>
      </c>
    </row>
    <row r="636" spans="1:7" x14ac:dyDescent="0.3">
      <c r="A636" s="4">
        <v>45167</v>
      </c>
      <c r="B636" s="19">
        <v>-33.962299999999971</v>
      </c>
      <c r="C636" s="19">
        <v>16.012999999999991</v>
      </c>
      <c r="E636" s="4">
        <v>45167</v>
      </c>
      <c r="F636" s="19">
        <v>27.158000000000015</v>
      </c>
      <c r="G636" s="19">
        <v>13.049899999999994</v>
      </c>
    </row>
    <row r="637" spans="1:7" x14ac:dyDescent="0.3">
      <c r="A637" s="4">
        <v>45166</v>
      </c>
      <c r="B637" s="19">
        <v>-42.826300000000003</v>
      </c>
      <c r="C637" s="19">
        <v>25.4208</v>
      </c>
      <c r="E637" s="4">
        <v>45166</v>
      </c>
      <c r="F637" s="19">
        <v>-39.64609999999999</v>
      </c>
      <c r="G637" s="19">
        <v>15.5991</v>
      </c>
    </row>
    <row r="638" spans="1:7" x14ac:dyDescent="0.3">
      <c r="A638" s="4">
        <v>45163</v>
      </c>
      <c r="B638" s="19">
        <v>-6.731000000000023</v>
      </c>
      <c r="C638" s="19">
        <v>18.467200000000005</v>
      </c>
      <c r="E638" s="4">
        <v>45163</v>
      </c>
      <c r="F638" s="19">
        <v>-17.281900000000007</v>
      </c>
      <c r="G638" s="19">
        <v>15.392600000000002</v>
      </c>
    </row>
    <row r="639" spans="1:7" x14ac:dyDescent="0.3">
      <c r="A639" s="4">
        <v>45162</v>
      </c>
      <c r="B639" s="19">
        <v>9.5271999999999935</v>
      </c>
      <c r="C639" s="19">
        <v>22.623099999999994</v>
      </c>
      <c r="E639" s="4">
        <v>45162</v>
      </c>
      <c r="F639" s="19">
        <v>22.807099999999991</v>
      </c>
      <c r="G639" s="19">
        <v>21.839500000000001</v>
      </c>
    </row>
    <row r="640" spans="1:7" x14ac:dyDescent="0.3">
      <c r="A640" s="4">
        <v>45161</v>
      </c>
      <c r="B640" s="19">
        <v>-46.203299999999984</v>
      </c>
      <c r="C640" s="19">
        <v>25.479499999999994</v>
      </c>
      <c r="E640" s="4">
        <v>45161</v>
      </c>
      <c r="F640" s="19">
        <v>-58.409799999999962</v>
      </c>
      <c r="G640" s="19">
        <v>5.7363</v>
      </c>
    </row>
    <row r="641" spans="1:7" x14ac:dyDescent="0.3">
      <c r="A641" s="4">
        <v>45160</v>
      </c>
      <c r="B641" s="19">
        <v>-39.588700000000017</v>
      </c>
      <c r="C641" s="19">
        <v>25.036999999999992</v>
      </c>
      <c r="E641" s="4">
        <v>45160</v>
      </c>
      <c r="F641" s="19">
        <v>-24.191800000000001</v>
      </c>
      <c r="G641" s="19">
        <v>-17.692200000000007</v>
      </c>
    </row>
    <row r="642" spans="1:7" x14ac:dyDescent="0.3">
      <c r="A642" s="4">
        <v>45159</v>
      </c>
      <c r="B642" s="19">
        <v>-54.317600000000027</v>
      </c>
      <c r="C642" s="19">
        <v>45.551399999999994</v>
      </c>
      <c r="E642" s="4">
        <v>45159</v>
      </c>
      <c r="F642" s="19">
        <v>-9.8056000000000267</v>
      </c>
      <c r="G642" s="19">
        <v>50.095799999999997</v>
      </c>
    </row>
    <row r="643" spans="1:7" x14ac:dyDescent="0.3">
      <c r="A643" s="4">
        <v>45156</v>
      </c>
      <c r="B643" s="19">
        <v>-37.230999999999995</v>
      </c>
      <c r="C643" s="19">
        <v>7.8367999999999967</v>
      </c>
      <c r="E643" s="4">
        <v>45156</v>
      </c>
      <c r="F643" s="19">
        <v>-47.987899999999968</v>
      </c>
      <c r="G643" s="19">
        <v>-48.7485</v>
      </c>
    </row>
    <row r="644" spans="1:7" x14ac:dyDescent="0.3">
      <c r="A644" s="4">
        <v>45155</v>
      </c>
      <c r="B644" s="19">
        <v>-7.6585999999999785</v>
      </c>
      <c r="C644" s="19">
        <v>49.943899999999999</v>
      </c>
      <c r="E644" s="4">
        <v>45155</v>
      </c>
      <c r="F644" s="19">
        <v>-7.5268000000000086</v>
      </c>
      <c r="G644" s="19">
        <v>49.434399999999997</v>
      </c>
    </row>
    <row r="645" spans="1:7" x14ac:dyDescent="0.3">
      <c r="A645" s="4">
        <v>45154</v>
      </c>
      <c r="B645" s="19">
        <v>-39.206299999999999</v>
      </c>
      <c r="C645" s="19">
        <v>-4.0015000000000072</v>
      </c>
      <c r="E645" s="4">
        <v>45154</v>
      </c>
      <c r="F645" s="19">
        <v>-7.1854000000000156</v>
      </c>
      <c r="G645" s="19">
        <v>-26.428999999999995</v>
      </c>
    </row>
    <row r="646" spans="1:7" x14ac:dyDescent="0.3">
      <c r="A646" s="4">
        <v>45153</v>
      </c>
      <c r="B646" s="19">
        <v>-33.301699999999983</v>
      </c>
      <c r="C646" s="19">
        <v>32.780699999999996</v>
      </c>
      <c r="E646" s="4">
        <v>45153</v>
      </c>
      <c r="F646" s="19">
        <v>-64.432500000000005</v>
      </c>
      <c r="G646" s="19">
        <v>35.140400000000007</v>
      </c>
    </row>
    <row r="647" spans="1:7" x14ac:dyDescent="0.3">
      <c r="A647" s="4">
        <v>45152</v>
      </c>
      <c r="B647" s="19">
        <v>-19.8613</v>
      </c>
      <c r="C647" s="19">
        <v>45.9039</v>
      </c>
      <c r="E647" s="4">
        <v>45152</v>
      </c>
      <c r="F647" s="19">
        <v>-26.77079999999998</v>
      </c>
      <c r="G647" s="19">
        <v>42.540300000000002</v>
      </c>
    </row>
    <row r="648" spans="1:7" x14ac:dyDescent="0.3">
      <c r="A648" s="4">
        <v>45149</v>
      </c>
      <c r="B648" s="19">
        <v>-53.959300000000013</v>
      </c>
      <c r="C648" s="19">
        <v>47.371100000000006</v>
      </c>
      <c r="E648" s="4">
        <v>45149</v>
      </c>
      <c r="F648" s="19">
        <v>-69.415700000000015</v>
      </c>
      <c r="G648" s="19">
        <v>24.418700000000001</v>
      </c>
    </row>
    <row r="649" spans="1:7" x14ac:dyDescent="0.3">
      <c r="A649" s="4">
        <v>45148</v>
      </c>
      <c r="B649" s="19">
        <v>-18.29310000000001</v>
      </c>
      <c r="C649" s="19">
        <v>6.1503000000000014</v>
      </c>
      <c r="E649" s="4">
        <v>45148</v>
      </c>
      <c r="F649" s="19">
        <v>-7.6931999999999903</v>
      </c>
      <c r="G649" s="19">
        <v>11.604999999999997</v>
      </c>
    </row>
    <row r="650" spans="1:7" x14ac:dyDescent="0.3">
      <c r="A650" s="4">
        <v>45147</v>
      </c>
      <c r="B650" s="19">
        <v>-14.120499999999993</v>
      </c>
      <c r="C650" s="19">
        <v>-16.107100000000003</v>
      </c>
      <c r="E650" s="4">
        <v>45147</v>
      </c>
      <c r="F650" s="19">
        <v>0.80170000000001096</v>
      </c>
      <c r="G650" s="19">
        <v>-52.700600000000009</v>
      </c>
    </row>
    <row r="651" spans="1:7" x14ac:dyDescent="0.3">
      <c r="A651" s="4">
        <v>45146</v>
      </c>
      <c r="B651" s="19">
        <v>-32.578900000000033</v>
      </c>
      <c r="C651" s="19">
        <v>33.407800000000002</v>
      </c>
      <c r="E651" s="4">
        <v>45146</v>
      </c>
      <c r="F651" s="19">
        <v>-35.566599999999994</v>
      </c>
      <c r="G651" s="19">
        <v>39.887499999999996</v>
      </c>
    </row>
    <row r="652" spans="1:7" x14ac:dyDescent="0.3">
      <c r="A652" s="4">
        <v>45145</v>
      </c>
      <c r="B652" s="19">
        <v>10.76339999999999</v>
      </c>
      <c r="C652" s="19">
        <v>28.413599999999995</v>
      </c>
      <c r="E652" s="4">
        <v>45145</v>
      </c>
      <c r="F652" s="19">
        <v>-35.739900000000034</v>
      </c>
      <c r="G652" s="19">
        <v>15.948700000000002</v>
      </c>
    </row>
    <row r="653" spans="1:7" x14ac:dyDescent="0.3">
      <c r="A653" s="4">
        <v>45142</v>
      </c>
      <c r="B653" s="19">
        <v>1.1580999999999904</v>
      </c>
      <c r="C653" s="19">
        <v>-21.9709</v>
      </c>
      <c r="E653" s="4">
        <v>45142</v>
      </c>
      <c r="F653" s="19">
        <v>26.262299999999982</v>
      </c>
      <c r="G653" s="19">
        <v>-35.394400000000005</v>
      </c>
    </row>
    <row r="654" spans="1:7" x14ac:dyDescent="0.3">
      <c r="A654" s="4">
        <v>45141</v>
      </c>
      <c r="B654" s="19">
        <v>5.343400000000031</v>
      </c>
      <c r="C654" s="19">
        <v>18.620099999999994</v>
      </c>
      <c r="E654" s="4">
        <v>45141</v>
      </c>
      <c r="F654" s="19">
        <v>9.030000000001337E-2</v>
      </c>
      <c r="G654" s="19">
        <v>15.592800000000004</v>
      </c>
    </row>
    <row r="655" spans="1:7" x14ac:dyDescent="0.3">
      <c r="A655" s="4">
        <v>45140</v>
      </c>
      <c r="B655" s="19">
        <v>-33.794599999999974</v>
      </c>
      <c r="C655" s="19">
        <v>0.84199999999999875</v>
      </c>
      <c r="E655" s="4">
        <v>45140</v>
      </c>
      <c r="F655" s="19">
        <v>-16.397400000000005</v>
      </c>
      <c r="G655" s="19">
        <v>3.1822999999999979</v>
      </c>
    </row>
    <row r="656" spans="1:7" x14ac:dyDescent="0.3">
      <c r="A656" s="4">
        <v>45139</v>
      </c>
      <c r="B656" s="19">
        <v>48.178999999999974</v>
      </c>
      <c r="C656" s="19">
        <v>41.266700000000014</v>
      </c>
      <c r="E656" s="4">
        <v>45139</v>
      </c>
      <c r="F656" s="19">
        <v>0.363900000000001</v>
      </c>
      <c r="G656" s="19">
        <v>53.533400000000015</v>
      </c>
    </row>
    <row r="657" spans="1:7" x14ac:dyDescent="0.3">
      <c r="A657" s="4">
        <v>45138</v>
      </c>
      <c r="B657" s="19">
        <v>31.350000000000023</v>
      </c>
      <c r="C657" s="19">
        <v>-17.797899999999998</v>
      </c>
      <c r="E657" s="4">
        <v>45138</v>
      </c>
      <c r="F657" s="19">
        <v>62.117699999999957</v>
      </c>
      <c r="G657" s="19">
        <v>-41.810299999999984</v>
      </c>
    </row>
    <row r="658" spans="1:7" x14ac:dyDescent="0.3">
      <c r="A658" s="4">
        <v>45135</v>
      </c>
      <c r="B658" s="19">
        <v>83.818799999999953</v>
      </c>
      <c r="C658" s="19">
        <v>37.188599999999994</v>
      </c>
      <c r="E658" s="4">
        <v>45135</v>
      </c>
      <c r="F658" s="19">
        <v>80.211000000000013</v>
      </c>
      <c r="G658" s="19">
        <v>35.908000000000001</v>
      </c>
    </row>
    <row r="659" spans="1:7" x14ac:dyDescent="0.3">
      <c r="A659" s="4">
        <v>45134</v>
      </c>
      <c r="B659" s="19">
        <v>16.115100000000012</v>
      </c>
      <c r="C659" s="19">
        <v>-11.628999999999991</v>
      </c>
      <c r="E659" s="4">
        <v>45134</v>
      </c>
      <c r="F659" s="19">
        <v>21.355799999999988</v>
      </c>
      <c r="G659" s="19">
        <v>-25.181300000000007</v>
      </c>
    </row>
    <row r="660" spans="1:7" x14ac:dyDescent="0.3">
      <c r="A660" s="4">
        <v>45133</v>
      </c>
      <c r="B660" s="19">
        <v>9.5124999999999886</v>
      </c>
      <c r="C660" s="19">
        <v>36.5535</v>
      </c>
      <c r="E660" s="4">
        <v>45133</v>
      </c>
      <c r="F660" s="19">
        <v>-4.3611999999999966</v>
      </c>
      <c r="G660" s="19">
        <v>41.280200000000008</v>
      </c>
    </row>
    <row r="661" spans="1:7" x14ac:dyDescent="0.3">
      <c r="A661" s="4">
        <v>45132</v>
      </c>
      <c r="B661" s="19">
        <v>98.78649999999999</v>
      </c>
      <c r="C661" s="19">
        <v>-20.823599999999999</v>
      </c>
      <c r="E661" s="4">
        <v>45132</v>
      </c>
      <c r="F661" s="19">
        <v>91.047599999999989</v>
      </c>
      <c r="G661" s="19">
        <v>-40.381900000000002</v>
      </c>
    </row>
    <row r="662" spans="1:7" x14ac:dyDescent="0.3">
      <c r="A662" s="4">
        <v>45131</v>
      </c>
      <c r="B662" s="19">
        <v>-6.5944000000000074</v>
      </c>
      <c r="C662" s="19">
        <v>47.901499999999992</v>
      </c>
      <c r="E662" s="4">
        <v>45131</v>
      </c>
      <c r="F662" s="19">
        <v>-44.831199999999967</v>
      </c>
      <c r="G662" s="19">
        <v>50.063600000000001</v>
      </c>
    </row>
    <row r="663" spans="1:7" x14ac:dyDescent="0.3">
      <c r="A663" s="4">
        <v>45128</v>
      </c>
      <c r="B663" s="19">
        <v>39.927899999999994</v>
      </c>
      <c r="C663" s="19">
        <v>4.0118999999999971</v>
      </c>
      <c r="E663" s="4">
        <v>45128</v>
      </c>
      <c r="F663" s="19">
        <v>18.322800000000029</v>
      </c>
      <c r="G663" s="19">
        <v>0.98610000000000042</v>
      </c>
    </row>
    <row r="664" spans="1:7" x14ac:dyDescent="0.3">
      <c r="A664" s="4">
        <v>45127</v>
      </c>
      <c r="B664" s="19">
        <v>-10.843900000000019</v>
      </c>
      <c r="C664" s="19">
        <v>-58.844799999999999</v>
      </c>
      <c r="E664" s="4">
        <v>45127</v>
      </c>
      <c r="F664" s="19">
        <v>14.310400000000016</v>
      </c>
      <c r="G664" s="19">
        <v>-79.490700000000004</v>
      </c>
    </row>
    <row r="665" spans="1:7" x14ac:dyDescent="0.3">
      <c r="A665" s="4">
        <v>45126</v>
      </c>
      <c r="B665" s="19">
        <v>-39.599199999999996</v>
      </c>
      <c r="C665" s="19">
        <v>75.023300000000006</v>
      </c>
      <c r="E665" s="4">
        <v>45126</v>
      </c>
      <c r="F665" s="19">
        <v>-9.7159000000000049</v>
      </c>
      <c r="G665" s="19">
        <v>89.755099999999999</v>
      </c>
    </row>
    <row r="666" spans="1:7" x14ac:dyDescent="0.3">
      <c r="A666" s="4">
        <v>45125</v>
      </c>
      <c r="B666" s="19">
        <v>-46.505999999999972</v>
      </c>
      <c r="C666" s="19">
        <v>13.468299999999999</v>
      </c>
      <c r="E666" s="4">
        <v>45125</v>
      </c>
      <c r="F666" s="19">
        <v>-41.145600000000002</v>
      </c>
      <c r="G666" s="19">
        <v>-1.7070000000000007</v>
      </c>
    </row>
    <row r="667" spans="1:7" x14ac:dyDescent="0.3">
      <c r="A667" s="4">
        <v>45121</v>
      </c>
      <c r="B667" s="19">
        <v>11.770199999999988</v>
      </c>
      <c r="C667" s="19">
        <v>-7.4958999999999918</v>
      </c>
      <c r="E667" s="4">
        <v>45121</v>
      </c>
      <c r="F667" s="19">
        <v>-1.3182999999999652</v>
      </c>
      <c r="G667" s="19">
        <v>0.75019999999999953</v>
      </c>
    </row>
    <row r="668" spans="1:7" x14ac:dyDescent="0.3">
      <c r="A668" s="4">
        <v>45120</v>
      </c>
      <c r="B668" s="19">
        <v>68.823800000000006</v>
      </c>
      <c r="C668" s="19">
        <v>-15.141199999999998</v>
      </c>
      <c r="E668" s="4">
        <v>45120</v>
      </c>
      <c r="F668" s="19">
        <v>67.022600000000011</v>
      </c>
      <c r="G668" s="19">
        <v>11.871899999999997</v>
      </c>
    </row>
    <row r="669" spans="1:7" x14ac:dyDescent="0.3">
      <c r="A669" s="4">
        <v>45119</v>
      </c>
      <c r="B669" s="19">
        <v>-2.671100000000024</v>
      </c>
      <c r="C669" s="19">
        <v>-3.0290999999999997</v>
      </c>
      <c r="E669" s="4">
        <v>45119</v>
      </c>
      <c r="F669" s="19">
        <v>7.6166999999999803</v>
      </c>
      <c r="G669" s="19">
        <v>2.2942000000000036</v>
      </c>
    </row>
    <row r="670" spans="1:7" x14ac:dyDescent="0.3">
      <c r="A670" s="4">
        <v>45118</v>
      </c>
      <c r="B670" s="19">
        <v>19.150000000000006</v>
      </c>
      <c r="C670" s="19">
        <v>-15.1798</v>
      </c>
      <c r="E670" s="4">
        <v>45118</v>
      </c>
      <c r="F670" s="19">
        <v>15.740899999999982</v>
      </c>
      <c r="G670" s="19">
        <v>-5.6088999999999984</v>
      </c>
    </row>
    <row r="671" spans="1:7" x14ac:dyDescent="0.3">
      <c r="A671" s="4">
        <v>45117</v>
      </c>
      <c r="B671" s="19">
        <v>12.66749999999999</v>
      </c>
      <c r="C671" s="19">
        <v>-11.482499999999995</v>
      </c>
      <c r="E671" s="4">
        <v>45117</v>
      </c>
      <c r="F671" s="19">
        <v>-0.36449999999996407</v>
      </c>
      <c r="G671" s="19">
        <v>-0.5</v>
      </c>
    </row>
    <row r="672" spans="1:7" x14ac:dyDescent="0.3">
      <c r="A672" s="4">
        <v>45114</v>
      </c>
      <c r="B672" s="19">
        <v>-21.078399999999988</v>
      </c>
      <c r="C672" s="19">
        <v>-19.089200000000005</v>
      </c>
      <c r="E672" s="4">
        <v>45114</v>
      </c>
      <c r="F672" s="19">
        <v>-24.093900000000019</v>
      </c>
      <c r="G672" s="19">
        <v>-22.821899999999992</v>
      </c>
    </row>
    <row r="673" spans="1:7" x14ac:dyDescent="0.3">
      <c r="A673" s="4">
        <v>45113</v>
      </c>
      <c r="B673" s="19">
        <v>-21.731699999999989</v>
      </c>
      <c r="C673" s="19">
        <v>19.913599999999995</v>
      </c>
      <c r="E673" s="4">
        <v>45113</v>
      </c>
      <c r="F673" s="19">
        <v>8.2922000000000367</v>
      </c>
      <c r="G673" s="19">
        <v>12.361800000000002</v>
      </c>
    </row>
    <row r="674" spans="1:7" x14ac:dyDescent="0.3">
      <c r="A674" s="4">
        <v>45112</v>
      </c>
      <c r="B674" s="19">
        <v>-11.583400000000012</v>
      </c>
      <c r="C674" s="19">
        <v>45.655100000000004</v>
      </c>
      <c r="E674" s="4">
        <v>45112</v>
      </c>
      <c r="F674" s="19">
        <v>-28.766900000000021</v>
      </c>
      <c r="G674" s="19">
        <v>46.752400000000009</v>
      </c>
    </row>
    <row r="675" spans="1:7" x14ac:dyDescent="0.3">
      <c r="A675" s="4">
        <v>45111</v>
      </c>
      <c r="B675" s="19">
        <v>-15.852000000000004</v>
      </c>
      <c r="C675" s="19">
        <v>-6.1452000000000027</v>
      </c>
      <c r="E675" s="4">
        <v>45111</v>
      </c>
      <c r="F675" s="19">
        <v>-3.643100000000004</v>
      </c>
      <c r="G675" s="19">
        <v>10.6922</v>
      </c>
    </row>
    <row r="676" spans="1:7" x14ac:dyDescent="0.3">
      <c r="A676" s="4">
        <v>45110</v>
      </c>
      <c r="B676" s="19">
        <v>18.66700000000003</v>
      </c>
      <c r="C676" s="19">
        <v>-18.765799999999999</v>
      </c>
      <c r="E676" s="4">
        <v>45110</v>
      </c>
      <c r="F676" s="19">
        <v>8.1868000000000052</v>
      </c>
      <c r="G676" s="19">
        <v>-1.5035999999999987</v>
      </c>
    </row>
    <row r="677" spans="1:7" x14ac:dyDescent="0.3">
      <c r="A677" s="4">
        <v>45107</v>
      </c>
      <c r="B677" s="19">
        <v>-9.0000000000031832E-2</v>
      </c>
      <c r="C677" s="19">
        <v>1.0810000000000031</v>
      </c>
      <c r="E677" s="4">
        <v>45107</v>
      </c>
      <c r="F677" s="19">
        <v>36.84250000000003</v>
      </c>
      <c r="G677" s="19">
        <v>15.567200000000007</v>
      </c>
    </row>
    <row r="678" spans="1:7" x14ac:dyDescent="0.3">
      <c r="A678" s="4">
        <v>45106</v>
      </c>
      <c r="B678" s="19">
        <v>-46.413399999999996</v>
      </c>
      <c r="C678" s="19">
        <v>-13.796100000000003</v>
      </c>
      <c r="E678" s="4">
        <v>45106</v>
      </c>
      <c r="F678" s="19">
        <v>-29.646999999999991</v>
      </c>
      <c r="G678" s="19">
        <v>-22.089600000000004</v>
      </c>
    </row>
    <row r="679" spans="1:7" x14ac:dyDescent="0.3">
      <c r="A679" s="4">
        <v>45105</v>
      </c>
      <c r="B679" s="19">
        <v>-25.82880000000003</v>
      </c>
      <c r="C679" s="19">
        <v>33.262600000000006</v>
      </c>
      <c r="E679" s="4">
        <v>45105</v>
      </c>
      <c r="F679" s="19">
        <v>-14.887499999999989</v>
      </c>
      <c r="G679" s="19">
        <v>39.830199999999998</v>
      </c>
    </row>
    <row r="680" spans="1:7" x14ac:dyDescent="0.3">
      <c r="A680" s="4">
        <v>45104</v>
      </c>
      <c r="B680" s="19">
        <v>-0.58429999999998472</v>
      </c>
      <c r="C680" s="19">
        <v>-43.504999999999995</v>
      </c>
      <c r="E680" s="4">
        <v>45104</v>
      </c>
      <c r="F680" s="19">
        <v>-25.376899999999978</v>
      </c>
      <c r="G680" s="19">
        <v>-30.085800000000006</v>
      </c>
    </row>
    <row r="681" spans="1:7" x14ac:dyDescent="0.3">
      <c r="A681" s="4">
        <v>45103</v>
      </c>
      <c r="B681" s="19">
        <v>-17.302599999999984</v>
      </c>
      <c r="C681" s="19">
        <v>14.107300000000002</v>
      </c>
      <c r="E681" s="4">
        <v>45103</v>
      </c>
      <c r="F681" s="19">
        <v>38.474700000000041</v>
      </c>
      <c r="G681" s="19">
        <v>17.826100000000004</v>
      </c>
    </row>
    <row r="682" spans="1:7" x14ac:dyDescent="0.3">
      <c r="A682" s="4">
        <v>45098</v>
      </c>
      <c r="B682" s="19">
        <v>-0.76560000000000628</v>
      </c>
      <c r="C682" s="19">
        <v>-11.642499999999998</v>
      </c>
      <c r="E682" s="4">
        <v>45098</v>
      </c>
      <c r="F682" s="19">
        <v>-5.6467999999999847</v>
      </c>
      <c r="G682" s="19">
        <v>-20.9833</v>
      </c>
    </row>
    <row r="683" spans="1:7" x14ac:dyDescent="0.3">
      <c r="A683" s="4">
        <v>45097</v>
      </c>
      <c r="B683" s="19">
        <v>9.1346999999999809</v>
      </c>
      <c r="C683" s="19">
        <v>-19.35499999999999</v>
      </c>
      <c r="E683" s="4">
        <v>45097</v>
      </c>
      <c r="F683" s="19">
        <v>8.2844000000000051</v>
      </c>
      <c r="G683" s="19">
        <v>-10.176299999999998</v>
      </c>
    </row>
    <row r="684" spans="1:7" x14ac:dyDescent="0.3">
      <c r="A684" s="4">
        <v>45096</v>
      </c>
      <c r="B684" s="19">
        <v>2.8283000000000129</v>
      </c>
      <c r="C684" s="19">
        <v>34.850999999999999</v>
      </c>
      <c r="E684" s="4">
        <v>45096</v>
      </c>
      <c r="F684" s="19">
        <v>-17.293499999999995</v>
      </c>
      <c r="G684" s="19">
        <v>36.207599999999992</v>
      </c>
    </row>
    <row r="685" spans="1:7" x14ac:dyDescent="0.3">
      <c r="A685" s="4">
        <v>45093</v>
      </c>
      <c r="B685" s="19">
        <v>42.206200000000024</v>
      </c>
      <c r="C685" s="19">
        <v>-53.166600000000003</v>
      </c>
      <c r="E685" s="4">
        <v>45093</v>
      </c>
      <c r="F685" s="19">
        <v>63.24920000000003</v>
      </c>
      <c r="G685" s="19">
        <v>-43.094499999999996</v>
      </c>
    </row>
    <row r="686" spans="1:7" x14ac:dyDescent="0.3">
      <c r="A686" s="4">
        <v>45092</v>
      </c>
      <c r="B686" s="19">
        <v>19.136099999999999</v>
      </c>
      <c r="C686" s="19">
        <v>-37.632199999999997</v>
      </c>
      <c r="E686" s="4">
        <v>45092</v>
      </c>
      <c r="F686" s="19">
        <v>72.873100000000022</v>
      </c>
      <c r="G686" s="19">
        <v>-35.016900000000007</v>
      </c>
    </row>
    <row r="687" spans="1:7" x14ac:dyDescent="0.3">
      <c r="A687" s="4">
        <v>45091</v>
      </c>
      <c r="B687" s="19">
        <v>-24.133399999999995</v>
      </c>
      <c r="C687" s="19">
        <v>6.7359999999999971</v>
      </c>
      <c r="E687" s="4">
        <v>45091</v>
      </c>
      <c r="F687" s="19">
        <v>2.1895000000000095</v>
      </c>
      <c r="G687" s="19">
        <v>8.7588000000000008</v>
      </c>
    </row>
    <row r="688" spans="1:7" x14ac:dyDescent="0.3">
      <c r="A688" s="4">
        <v>45090</v>
      </c>
      <c r="B688" s="19">
        <v>-3.5324999999999989</v>
      </c>
      <c r="C688" s="19">
        <v>14.897199999999998</v>
      </c>
      <c r="E688" s="4">
        <v>45090</v>
      </c>
      <c r="F688" s="19">
        <v>1.2178000000000111</v>
      </c>
      <c r="G688" s="19">
        <v>16.307599999999994</v>
      </c>
    </row>
    <row r="689" spans="1:7" x14ac:dyDescent="0.3">
      <c r="A689" s="4">
        <v>45089</v>
      </c>
      <c r="B689" s="19">
        <v>-37.463899999999995</v>
      </c>
      <c r="C689" s="19">
        <v>23.063199999999995</v>
      </c>
      <c r="E689" s="4">
        <v>45089</v>
      </c>
      <c r="F689" s="19">
        <v>8.1677999999999997</v>
      </c>
      <c r="G689" s="19">
        <v>22.579799999999999</v>
      </c>
    </row>
    <row r="690" spans="1:7" x14ac:dyDescent="0.3">
      <c r="A690" s="4">
        <v>45086</v>
      </c>
      <c r="B690" s="19">
        <v>-4.1250999999999749</v>
      </c>
      <c r="C690" s="19">
        <v>-8.0882999999999967</v>
      </c>
      <c r="E690" s="4">
        <v>45086</v>
      </c>
      <c r="F690" s="19">
        <v>-10.283999999999992</v>
      </c>
      <c r="G690" s="19">
        <v>-4.4664000000000001</v>
      </c>
    </row>
    <row r="691" spans="1:7" x14ac:dyDescent="0.3">
      <c r="A691" s="4">
        <v>45085</v>
      </c>
      <c r="B691" s="19">
        <v>8.8817999999999984</v>
      </c>
      <c r="C691" s="19">
        <v>26.019299999999994</v>
      </c>
      <c r="E691" s="4">
        <v>45085</v>
      </c>
      <c r="F691" s="19">
        <v>20.633199999999988</v>
      </c>
      <c r="G691" s="19">
        <v>14.459400000000002</v>
      </c>
    </row>
    <row r="692" spans="1:7" x14ac:dyDescent="0.3">
      <c r="A692" s="4">
        <v>45084</v>
      </c>
      <c r="B692" s="19">
        <v>16.767300000000006</v>
      </c>
      <c r="C692" s="19">
        <v>5.7958999999999961</v>
      </c>
      <c r="E692" s="4">
        <v>45084</v>
      </c>
      <c r="F692" s="19">
        <v>8.3425999999999476</v>
      </c>
      <c r="G692" s="19">
        <v>-3.3855000000000004</v>
      </c>
    </row>
    <row r="693" spans="1:7" x14ac:dyDescent="0.3">
      <c r="A693" s="4">
        <v>45083</v>
      </c>
      <c r="B693" s="19">
        <v>5.1903000000000077</v>
      </c>
      <c r="C693" s="19">
        <v>-36.262200000000007</v>
      </c>
      <c r="E693" s="4">
        <v>45083</v>
      </c>
      <c r="F693" s="19">
        <v>-15.964800000000025</v>
      </c>
      <c r="G693" s="19">
        <v>-45.037300000000002</v>
      </c>
    </row>
    <row r="694" spans="1:7" x14ac:dyDescent="0.3">
      <c r="A694" s="4">
        <v>45082</v>
      </c>
      <c r="B694" s="19">
        <v>4.8509999999999991</v>
      </c>
      <c r="C694" s="19">
        <v>50.411099999999998</v>
      </c>
      <c r="E694" s="4">
        <v>45082</v>
      </c>
      <c r="F694" s="19">
        <v>-16.99920000000003</v>
      </c>
      <c r="G694" s="19">
        <v>58.442999999999991</v>
      </c>
    </row>
    <row r="695" spans="1:7" x14ac:dyDescent="0.3">
      <c r="A695" s="4">
        <v>45079</v>
      </c>
      <c r="B695" s="19">
        <v>31.300999999999988</v>
      </c>
      <c r="C695" s="19">
        <v>-2.7583999999999946</v>
      </c>
      <c r="E695" s="4">
        <v>45079</v>
      </c>
      <c r="F695" s="19">
        <v>54.043000000000006</v>
      </c>
      <c r="G695" s="19">
        <v>-21.495399999999989</v>
      </c>
    </row>
    <row r="696" spans="1:7" x14ac:dyDescent="0.3">
      <c r="A696" s="4">
        <v>45078</v>
      </c>
      <c r="B696" s="19">
        <v>-36.067799999999977</v>
      </c>
      <c r="C696" s="19">
        <v>-12.807599999999994</v>
      </c>
      <c r="E696" s="4">
        <v>45078</v>
      </c>
      <c r="F696" s="19">
        <v>18.052199999999971</v>
      </c>
      <c r="G696" s="19">
        <v>-23.836700000000008</v>
      </c>
    </row>
    <row r="697" spans="1:7" x14ac:dyDescent="0.3">
      <c r="A697" s="4">
        <v>45077</v>
      </c>
      <c r="B697" s="19">
        <v>-12.293200000000013</v>
      </c>
      <c r="C697" s="19">
        <v>0.25029999999999575</v>
      </c>
      <c r="E697" s="4">
        <v>45077</v>
      </c>
      <c r="F697" s="19">
        <v>-25.687799999999982</v>
      </c>
      <c r="G697" s="19">
        <v>-4.1248999999999967</v>
      </c>
    </row>
    <row r="698" spans="1:7" x14ac:dyDescent="0.3">
      <c r="A698" s="4">
        <v>45076</v>
      </c>
      <c r="B698" s="19">
        <v>-31.87360000000001</v>
      </c>
      <c r="C698" s="19">
        <v>7.7651000000000039</v>
      </c>
      <c r="E698" s="4">
        <v>45076</v>
      </c>
      <c r="F698" s="19">
        <v>38.368400000000008</v>
      </c>
      <c r="G698" s="19">
        <v>6.2688000000000059</v>
      </c>
    </row>
    <row r="699" spans="1:7" x14ac:dyDescent="0.3">
      <c r="A699" s="4">
        <v>45075</v>
      </c>
      <c r="B699" s="19">
        <v>3.5729999999999791</v>
      </c>
      <c r="C699" s="19">
        <v>-8.704899999999995</v>
      </c>
      <c r="E699" s="4">
        <v>45075</v>
      </c>
      <c r="F699" s="19">
        <v>10.795700000000011</v>
      </c>
      <c r="G699" s="19">
        <v>-9.6056000000000097</v>
      </c>
    </row>
    <row r="700" spans="1:7" x14ac:dyDescent="0.3">
      <c r="A700" s="4">
        <v>45071</v>
      </c>
      <c r="B700" s="19">
        <v>-50.745300000000015</v>
      </c>
      <c r="C700" s="19">
        <v>39.033299999999997</v>
      </c>
      <c r="E700" s="4">
        <v>45071</v>
      </c>
      <c r="F700" s="19">
        <v>-44.869999999999976</v>
      </c>
      <c r="G700" s="19">
        <v>33.016800000000003</v>
      </c>
    </row>
    <row r="701" spans="1:7" x14ac:dyDescent="0.3">
      <c r="A701" s="4">
        <v>45070</v>
      </c>
      <c r="B701" s="19">
        <v>-13.787300000000016</v>
      </c>
      <c r="C701" s="19">
        <v>-18.970300000000002</v>
      </c>
      <c r="E701" s="4">
        <v>45070</v>
      </c>
      <c r="F701" s="19">
        <v>-31.035500000000013</v>
      </c>
      <c r="G701" s="19">
        <v>-15.980699999999999</v>
      </c>
    </row>
    <row r="702" spans="1:7" x14ac:dyDescent="0.3">
      <c r="A702" s="4">
        <v>45069</v>
      </c>
      <c r="B702" s="19">
        <v>-29.031699999999972</v>
      </c>
      <c r="C702" s="19">
        <v>29.949200000000005</v>
      </c>
      <c r="E702" s="4">
        <v>45069</v>
      </c>
      <c r="F702" s="19">
        <v>-50.729800000000012</v>
      </c>
      <c r="G702" s="19">
        <v>20.581200000000003</v>
      </c>
    </row>
    <row r="703" spans="1:7" x14ac:dyDescent="0.3">
      <c r="A703" s="4">
        <v>45068</v>
      </c>
      <c r="B703" s="19">
        <v>34.686799999999977</v>
      </c>
      <c r="C703" s="19">
        <v>-7.3696000000000055</v>
      </c>
      <c r="E703" s="4">
        <v>45068</v>
      </c>
      <c r="F703" s="19">
        <v>6.632300000000015</v>
      </c>
      <c r="G703" s="19">
        <v>-14.249400000000009</v>
      </c>
    </row>
    <row r="704" spans="1:7" x14ac:dyDescent="0.3">
      <c r="A704" s="4">
        <v>45065</v>
      </c>
      <c r="B704" s="19">
        <v>-22.428199999999975</v>
      </c>
      <c r="C704" s="19">
        <v>-7.445999999999998</v>
      </c>
      <c r="E704" s="4">
        <v>45065</v>
      </c>
      <c r="F704" s="19">
        <v>0.17250000000001364</v>
      </c>
      <c r="G704" s="19">
        <v>-0.33480000000000132</v>
      </c>
    </row>
    <row r="705" spans="1:7" x14ac:dyDescent="0.3">
      <c r="A705" s="4">
        <v>45064</v>
      </c>
      <c r="B705" s="19">
        <v>-9.376199999999983</v>
      </c>
      <c r="C705" s="19">
        <v>14.034899999999993</v>
      </c>
      <c r="E705" s="4">
        <v>45064</v>
      </c>
      <c r="F705" s="19">
        <v>-8.9830000000000041</v>
      </c>
      <c r="G705" s="19">
        <v>3.2751999999999981</v>
      </c>
    </row>
    <row r="706" spans="1:7" x14ac:dyDescent="0.3">
      <c r="A706" s="4">
        <v>45063</v>
      </c>
      <c r="B706" s="19">
        <v>5.7427999999999884</v>
      </c>
      <c r="C706" s="19">
        <v>32.366599999999998</v>
      </c>
      <c r="E706" s="4">
        <v>45063</v>
      </c>
      <c r="F706" s="19">
        <v>11.122899999999987</v>
      </c>
      <c r="G706" s="19">
        <v>35.415599999999998</v>
      </c>
    </row>
    <row r="707" spans="1:7" x14ac:dyDescent="0.3">
      <c r="A707" s="4">
        <v>45062</v>
      </c>
      <c r="B707" s="19">
        <v>1.4711999999999534</v>
      </c>
      <c r="C707" s="19">
        <v>2.0238999999999976</v>
      </c>
      <c r="E707" s="4">
        <v>45062</v>
      </c>
      <c r="F707" s="19">
        <v>-35.479100000000017</v>
      </c>
      <c r="G707" s="19">
        <v>12.068599999999996</v>
      </c>
    </row>
    <row r="708" spans="1:7" x14ac:dyDescent="0.3">
      <c r="A708" s="4">
        <v>45061</v>
      </c>
      <c r="B708" s="19">
        <v>15.016799999999989</v>
      </c>
      <c r="C708" s="19">
        <v>10.300900000000013</v>
      </c>
      <c r="E708" s="4">
        <v>45061</v>
      </c>
      <c r="F708" s="19">
        <v>25.831499999999949</v>
      </c>
      <c r="G708" s="19">
        <v>6.2258999999999958</v>
      </c>
    </row>
    <row r="709" spans="1:7" x14ac:dyDescent="0.3">
      <c r="A709" s="4">
        <v>45058</v>
      </c>
      <c r="B709" s="19">
        <v>5.4685000000000059</v>
      </c>
      <c r="C709" s="19">
        <v>1.7963000000000022</v>
      </c>
      <c r="E709" s="4">
        <v>45058</v>
      </c>
      <c r="F709" s="19">
        <v>7.7918999999999983</v>
      </c>
      <c r="G709" s="19">
        <v>-7.6437999999999988</v>
      </c>
    </row>
    <row r="710" spans="1:7" x14ac:dyDescent="0.3">
      <c r="A710" s="4">
        <v>45057</v>
      </c>
      <c r="B710" s="19">
        <v>-5.3256999999999834</v>
      </c>
      <c r="C710" s="19">
        <v>5.9309000000000012</v>
      </c>
      <c r="E710" s="4">
        <v>45057</v>
      </c>
      <c r="F710" s="19">
        <v>5.6194000000000415</v>
      </c>
      <c r="G710" s="19">
        <v>15.116600000000005</v>
      </c>
    </row>
    <row r="711" spans="1:7" x14ac:dyDescent="0.3">
      <c r="A711" s="4">
        <v>45056</v>
      </c>
      <c r="B711" s="19">
        <v>48.067200000000014</v>
      </c>
      <c r="C711" s="19">
        <v>3.2968000000000046</v>
      </c>
      <c r="E711" s="4">
        <v>45056</v>
      </c>
      <c r="F711" s="19">
        <v>7.6465000000000032</v>
      </c>
      <c r="G711" s="19">
        <v>-5.6454000000000022</v>
      </c>
    </row>
    <row r="712" spans="1:7" x14ac:dyDescent="0.3">
      <c r="A712" s="4">
        <v>45055</v>
      </c>
      <c r="B712" s="19">
        <v>27.92470000000003</v>
      </c>
      <c r="C712" s="19">
        <v>23.331900000000005</v>
      </c>
      <c r="E712" s="4">
        <v>45055</v>
      </c>
      <c r="F712" s="19">
        <v>-18.090100000000007</v>
      </c>
      <c r="G712" s="19">
        <v>-13.927599999999998</v>
      </c>
    </row>
    <row r="713" spans="1:7" x14ac:dyDescent="0.3">
      <c r="A713" s="4">
        <v>45054</v>
      </c>
      <c r="B713" s="19">
        <v>23.540800000000047</v>
      </c>
      <c r="C713" s="19">
        <v>6.8701000000000079</v>
      </c>
      <c r="E713" s="4">
        <v>45054</v>
      </c>
      <c r="F713" s="19">
        <v>-3.0468000000000188</v>
      </c>
      <c r="G713" s="19">
        <v>11.34490000000001</v>
      </c>
    </row>
    <row r="714" spans="1:7" x14ac:dyDescent="0.3">
      <c r="A714" s="4">
        <v>45051</v>
      </c>
      <c r="B714" s="19">
        <v>15.925799999999981</v>
      </c>
      <c r="C714" s="19">
        <v>3.6263000000000005</v>
      </c>
      <c r="E714" s="4">
        <v>45051</v>
      </c>
      <c r="F714" s="19">
        <v>-9.5937999999999874</v>
      </c>
      <c r="G714" s="19">
        <v>-13.431699999999992</v>
      </c>
    </row>
    <row r="715" spans="1:7" x14ac:dyDescent="0.3">
      <c r="A715" s="4">
        <v>45050</v>
      </c>
      <c r="B715" s="19">
        <v>19.444299999999998</v>
      </c>
      <c r="C715" s="19">
        <v>15.133799999999994</v>
      </c>
      <c r="E715" s="4">
        <v>45050</v>
      </c>
      <c r="F715" s="19">
        <v>-33.834000000000003</v>
      </c>
      <c r="G715" s="19">
        <v>13.016200000000005</v>
      </c>
    </row>
    <row r="716" spans="1:7" x14ac:dyDescent="0.3">
      <c r="A716" s="4">
        <v>45044</v>
      </c>
      <c r="B716" s="19">
        <v>-7.8885000000000218</v>
      </c>
      <c r="C716" s="19">
        <v>5.3241000000000085</v>
      </c>
      <c r="E716" s="4">
        <v>45044</v>
      </c>
      <c r="F716" s="19">
        <v>23.7423</v>
      </c>
      <c r="G716" s="19">
        <v>1.3504000000000005</v>
      </c>
    </row>
    <row r="717" spans="1:7" x14ac:dyDescent="0.3">
      <c r="A717" s="4">
        <v>45043</v>
      </c>
      <c r="B717" s="19">
        <v>-5.1370000000000005</v>
      </c>
      <c r="C717" s="19">
        <v>-3.9637999999999991</v>
      </c>
      <c r="E717" s="4">
        <v>45043</v>
      </c>
      <c r="F717" s="19">
        <v>3.472500000000025</v>
      </c>
      <c r="G717" s="19">
        <v>4.7656000000000063</v>
      </c>
    </row>
    <row r="718" spans="1:7" x14ac:dyDescent="0.3">
      <c r="A718" s="4">
        <v>45042</v>
      </c>
      <c r="B718" s="19">
        <v>0.7902000000000271</v>
      </c>
      <c r="C718" s="19">
        <v>3.8671999999999969</v>
      </c>
      <c r="E718" s="4">
        <v>45042</v>
      </c>
      <c r="F718" s="19">
        <v>6.7228000000000065</v>
      </c>
      <c r="G718" s="19">
        <v>11.148899999999998</v>
      </c>
    </row>
    <row r="719" spans="1:7" x14ac:dyDescent="0.3">
      <c r="A719" s="4">
        <v>45041</v>
      </c>
      <c r="B719" s="19">
        <v>-16.437299999999993</v>
      </c>
      <c r="C719" s="19">
        <v>13.014799999999994</v>
      </c>
      <c r="E719" s="4">
        <v>45041</v>
      </c>
      <c r="F719" s="19">
        <v>-32.734899999999982</v>
      </c>
      <c r="G719" s="19">
        <v>8.0769999999999982</v>
      </c>
    </row>
    <row r="720" spans="1:7" x14ac:dyDescent="0.3">
      <c r="A720" s="4">
        <v>45040</v>
      </c>
      <c r="B720" s="19">
        <v>2.0825000000000387</v>
      </c>
      <c r="C720" s="19">
        <v>-1.4395000000000095</v>
      </c>
      <c r="E720" s="4">
        <v>45040</v>
      </c>
      <c r="F720" s="19">
        <v>-40.359699999999975</v>
      </c>
      <c r="G720" s="19">
        <v>3.3844999999999885</v>
      </c>
    </row>
    <row r="721" spans="1:7" x14ac:dyDescent="0.3">
      <c r="A721" s="4">
        <v>45037</v>
      </c>
      <c r="B721" s="19">
        <v>-47.271799999999985</v>
      </c>
      <c r="C721" s="19">
        <v>8.0043000000000006</v>
      </c>
      <c r="E721" s="4">
        <v>45037</v>
      </c>
      <c r="F721" s="19">
        <v>-28.920700000000011</v>
      </c>
      <c r="G721" s="19">
        <v>22.615200000000002</v>
      </c>
    </row>
    <row r="722" spans="1:7" x14ac:dyDescent="0.3">
      <c r="A722" s="4">
        <v>45036</v>
      </c>
      <c r="B722" s="19">
        <v>33.322000000000003</v>
      </c>
      <c r="C722" s="19">
        <v>-30.78609999999999</v>
      </c>
      <c r="E722" s="4">
        <v>45036</v>
      </c>
      <c r="F722" s="19">
        <v>13.586399999999969</v>
      </c>
      <c r="G722" s="19">
        <v>-20.701099999999997</v>
      </c>
    </row>
    <row r="723" spans="1:7" x14ac:dyDescent="0.3">
      <c r="A723" s="4">
        <v>45035</v>
      </c>
      <c r="B723" s="19">
        <v>5.801400000000001</v>
      </c>
      <c r="C723" s="19">
        <v>14.862099999999998</v>
      </c>
      <c r="E723" s="4">
        <v>45035</v>
      </c>
      <c r="F723" s="19">
        <v>-14.958500000000015</v>
      </c>
      <c r="G723" s="19">
        <v>14.7941</v>
      </c>
    </row>
    <row r="724" spans="1:7" x14ac:dyDescent="0.3">
      <c r="A724" s="4">
        <v>45034</v>
      </c>
      <c r="B724" s="19">
        <v>25.4649</v>
      </c>
      <c r="C724" s="19">
        <v>3.7215999999999951</v>
      </c>
      <c r="E724" s="4">
        <v>45034</v>
      </c>
      <c r="F724" s="19">
        <v>-2.8201000000000249</v>
      </c>
      <c r="G724" s="19">
        <v>18.872499999999995</v>
      </c>
    </row>
    <row r="725" spans="1:7" x14ac:dyDescent="0.3">
      <c r="A725" s="4">
        <v>45033</v>
      </c>
      <c r="B725" s="19">
        <v>31.675700000000006</v>
      </c>
      <c r="C725" s="19">
        <v>41.15000000000002</v>
      </c>
      <c r="E725" s="4">
        <v>45033</v>
      </c>
      <c r="F725" s="19">
        <v>-12.495399999999961</v>
      </c>
      <c r="G725" s="19">
        <v>33.120999999999995</v>
      </c>
    </row>
    <row r="726" spans="1:7" x14ac:dyDescent="0.3">
      <c r="A726" s="4">
        <v>45030</v>
      </c>
      <c r="B726" s="19">
        <v>21.582699999999988</v>
      </c>
      <c r="C726" s="19">
        <v>21.051100000000005</v>
      </c>
      <c r="E726" s="4">
        <v>45030</v>
      </c>
      <c r="F726" s="19">
        <v>42.660200000000032</v>
      </c>
      <c r="G726" s="19">
        <v>12.510499999999993</v>
      </c>
    </row>
    <row r="727" spans="1:7" x14ac:dyDescent="0.3">
      <c r="A727" s="4">
        <v>45029</v>
      </c>
      <c r="B727" s="19">
        <v>20.644800000000032</v>
      </c>
      <c r="C727" s="19">
        <v>4.8336000000000041</v>
      </c>
      <c r="E727" s="4">
        <v>45029</v>
      </c>
      <c r="F727" s="19">
        <v>-21.513599999999997</v>
      </c>
      <c r="G727" s="19">
        <v>6.3185999999999893</v>
      </c>
    </row>
    <row r="728" spans="1:7" x14ac:dyDescent="0.3">
      <c r="A728" s="4">
        <v>45028</v>
      </c>
      <c r="B728" s="19">
        <v>-25.369200000000035</v>
      </c>
      <c r="C728" s="19">
        <v>-7.2501999999999924</v>
      </c>
      <c r="E728" s="4">
        <v>45028</v>
      </c>
      <c r="F728" s="19">
        <v>-16.711999999999989</v>
      </c>
      <c r="G728" s="19">
        <v>4.691900000000004</v>
      </c>
    </row>
    <row r="729" spans="1:7" x14ac:dyDescent="0.3">
      <c r="A729" s="4">
        <v>45027</v>
      </c>
      <c r="B729" s="19">
        <v>-5.2683000000000106</v>
      </c>
      <c r="C729" s="19">
        <v>8.2351000000000028</v>
      </c>
      <c r="E729" s="4">
        <v>45027</v>
      </c>
      <c r="F729" s="19">
        <v>31.532300000000021</v>
      </c>
      <c r="G729" s="19">
        <v>13.428799999999995</v>
      </c>
    </row>
    <row r="730" spans="1:7" x14ac:dyDescent="0.3">
      <c r="A730" s="4">
        <v>45022</v>
      </c>
      <c r="B730" s="19"/>
      <c r="C730" s="19">
        <v>15.609199999999987</v>
      </c>
      <c r="E730" s="4">
        <v>45022</v>
      </c>
      <c r="F730" s="19"/>
      <c r="G730" s="19">
        <v>23.2393</v>
      </c>
    </row>
    <row r="731" spans="1:7" x14ac:dyDescent="0.3">
      <c r="A731" s="4">
        <v>45020</v>
      </c>
      <c r="B731" s="19">
        <v>-7.1342999999999961</v>
      </c>
      <c r="C731" s="19">
        <v>23.671999999999997</v>
      </c>
      <c r="E731" s="4">
        <v>45020</v>
      </c>
      <c r="F731" s="19">
        <v>-29.373499999999979</v>
      </c>
      <c r="G731" s="19">
        <v>-17.161799999999999</v>
      </c>
    </row>
    <row r="732" spans="1:7" x14ac:dyDescent="0.3">
      <c r="A732" s="4">
        <v>45019</v>
      </c>
      <c r="B732" s="19">
        <v>-10.73679999999996</v>
      </c>
      <c r="C732" s="19">
        <v>23.371200000000002</v>
      </c>
      <c r="E732" s="4">
        <v>45019</v>
      </c>
      <c r="F732" s="19">
        <v>16.523300000000006</v>
      </c>
      <c r="G732" s="19">
        <v>29.034700000000001</v>
      </c>
    </row>
    <row r="733" spans="1:7" x14ac:dyDescent="0.3">
      <c r="A733" s="4">
        <v>45016</v>
      </c>
      <c r="B733" s="19">
        <v>-6.47950000000003</v>
      </c>
      <c r="C733" s="19">
        <v>-3.725200000000001</v>
      </c>
      <c r="E733" s="4">
        <v>45016</v>
      </c>
      <c r="F733" s="19">
        <v>23.223099999999988</v>
      </c>
      <c r="G733" s="19">
        <v>10.410399999999996</v>
      </c>
    </row>
    <row r="734" spans="1:7" x14ac:dyDescent="0.3">
      <c r="A734" s="4">
        <v>45015</v>
      </c>
      <c r="B734" s="19">
        <v>23.909299999999973</v>
      </c>
      <c r="C734" s="19">
        <v>11.077500000000001</v>
      </c>
      <c r="E734" s="4">
        <v>45015</v>
      </c>
      <c r="F734" s="19">
        <v>24.161800000000028</v>
      </c>
      <c r="G734" s="19">
        <v>9.7841999999999985</v>
      </c>
    </row>
    <row r="735" spans="1:7" x14ac:dyDescent="0.3">
      <c r="A735" s="4">
        <v>45014</v>
      </c>
      <c r="B735" s="19">
        <v>36.289600000000007</v>
      </c>
      <c r="C735" s="19">
        <v>1.8281000000000063</v>
      </c>
      <c r="E735" s="4">
        <v>45014</v>
      </c>
      <c r="F735" s="19">
        <v>6.9397999999999911</v>
      </c>
      <c r="G735" s="19">
        <v>28.788200000000003</v>
      </c>
    </row>
    <row r="736" spans="1:7" x14ac:dyDescent="0.3">
      <c r="A736" s="4">
        <v>45013</v>
      </c>
      <c r="B736" s="19">
        <v>3.9787999999999784</v>
      </c>
      <c r="C736" s="19">
        <v>15.720999999999989</v>
      </c>
      <c r="E736" s="4">
        <v>45013</v>
      </c>
      <c r="F736" s="19">
        <v>-0.43410000000000082</v>
      </c>
      <c r="G736" s="19">
        <v>13.207800000000006</v>
      </c>
    </row>
    <row r="737" spans="1:7" x14ac:dyDescent="0.3">
      <c r="A737" s="4">
        <v>45012</v>
      </c>
      <c r="B737" s="19">
        <v>-3.7769999999999868</v>
      </c>
      <c r="C737" s="19">
        <v>30.392499999999998</v>
      </c>
      <c r="E737" s="4">
        <v>45012</v>
      </c>
      <c r="F737" s="19">
        <v>-3.1644000000000005</v>
      </c>
      <c r="G737" s="19">
        <v>12.246700000000004</v>
      </c>
    </row>
    <row r="738" spans="1:7" x14ac:dyDescent="0.3">
      <c r="A738" s="4">
        <v>45009</v>
      </c>
      <c r="B738" s="19">
        <v>-17.005499999999984</v>
      </c>
      <c r="C738" s="19">
        <v>25.251900000000006</v>
      </c>
      <c r="E738" s="4">
        <v>45009</v>
      </c>
      <c r="F738" s="19">
        <v>14.663799999999981</v>
      </c>
      <c r="G738" s="19">
        <v>36.250600000000006</v>
      </c>
    </row>
    <row r="739" spans="1:7" x14ac:dyDescent="0.3">
      <c r="A739" s="4">
        <v>45008</v>
      </c>
      <c r="B739" s="19">
        <v>27.575500000000005</v>
      </c>
      <c r="C739" s="19">
        <v>3.2639000000000067</v>
      </c>
      <c r="E739" s="4">
        <v>45008</v>
      </c>
      <c r="F739" s="19">
        <v>20.507499999999993</v>
      </c>
      <c r="G739" s="19">
        <v>5.0076999999999998</v>
      </c>
    </row>
    <row r="740" spans="1:7" x14ac:dyDescent="0.3">
      <c r="A740" s="4">
        <v>45007</v>
      </c>
      <c r="B740" s="19">
        <v>0.75379999999998404</v>
      </c>
      <c r="C740" s="19">
        <v>17.264300000000006</v>
      </c>
      <c r="E740" s="4">
        <v>45007</v>
      </c>
      <c r="F740" s="19">
        <v>4.0321999999999889</v>
      </c>
      <c r="G740" s="19">
        <v>13.472099999999998</v>
      </c>
    </row>
    <row r="741" spans="1:7" x14ac:dyDescent="0.3">
      <c r="A741" s="4">
        <v>45006</v>
      </c>
      <c r="B741" s="19">
        <v>24.799399999999991</v>
      </c>
      <c r="C741" s="19">
        <v>7.5865000000000009</v>
      </c>
      <c r="E741" s="4">
        <v>45006</v>
      </c>
      <c r="F741" s="19">
        <v>18.152000000000044</v>
      </c>
      <c r="G741" s="19">
        <v>2.5474999999999994</v>
      </c>
    </row>
    <row r="742" spans="1:7" x14ac:dyDescent="0.3">
      <c r="A742" s="4">
        <v>45005</v>
      </c>
      <c r="B742" s="19">
        <v>12.70350000000002</v>
      </c>
      <c r="C742" s="19">
        <v>27.9739</v>
      </c>
      <c r="E742" s="4">
        <v>45005</v>
      </c>
      <c r="F742" s="19">
        <v>3.3209999999999695</v>
      </c>
      <c r="G742" s="19">
        <v>28.947900000000004</v>
      </c>
    </row>
    <row r="743" spans="1:7" x14ac:dyDescent="0.3">
      <c r="A743" s="4">
        <v>45002</v>
      </c>
      <c r="B743" s="19">
        <v>11.451000000000022</v>
      </c>
      <c r="C743" s="19">
        <v>-2.4531999999999954</v>
      </c>
      <c r="E743" s="4">
        <v>45002</v>
      </c>
      <c r="F743" s="19">
        <v>60.374900000000025</v>
      </c>
      <c r="G743" s="19">
        <v>24.9512</v>
      </c>
    </row>
    <row r="744" spans="1:7" x14ac:dyDescent="0.3">
      <c r="A744" s="4">
        <v>45001</v>
      </c>
      <c r="B744" s="19">
        <v>-6.9501999999999953</v>
      </c>
      <c r="C744" s="19">
        <v>18.636900000000011</v>
      </c>
      <c r="E744" s="4">
        <v>45001</v>
      </c>
      <c r="F744" s="19">
        <v>14.823799999999977</v>
      </c>
      <c r="G744" s="19">
        <v>1.9804999999999922</v>
      </c>
    </row>
    <row r="745" spans="1:7" x14ac:dyDescent="0.3">
      <c r="A745" s="4">
        <v>45000</v>
      </c>
      <c r="B745" s="19">
        <v>17.820599999999985</v>
      </c>
      <c r="C745" s="19">
        <v>20.709199999999996</v>
      </c>
      <c r="E745" s="4">
        <v>45000</v>
      </c>
      <c r="F745" s="19">
        <v>15.04079999999999</v>
      </c>
      <c r="G745" s="19">
        <v>18.407799999999995</v>
      </c>
    </row>
    <row r="746" spans="1:7" x14ac:dyDescent="0.3">
      <c r="A746" s="4">
        <v>44999</v>
      </c>
      <c r="B746" s="19">
        <v>-15.771700000000038</v>
      </c>
      <c r="C746" s="19">
        <v>29.008399999999995</v>
      </c>
      <c r="E746" s="4">
        <v>44999</v>
      </c>
      <c r="F746" s="19">
        <v>23.318899999999985</v>
      </c>
      <c r="G746" s="19">
        <v>19.903500000000008</v>
      </c>
    </row>
    <row r="747" spans="1:7" x14ac:dyDescent="0.3">
      <c r="A747" s="4">
        <v>44998</v>
      </c>
      <c r="B747" s="19">
        <v>15.592900000000014</v>
      </c>
      <c r="C747" s="19">
        <v>5.1144000000000034</v>
      </c>
      <c r="E747" s="4">
        <v>44998</v>
      </c>
      <c r="F747" s="19">
        <v>12.109000000000009</v>
      </c>
      <c r="G747" s="19">
        <v>-1.6751999999999896</v>
      </c>
    </row>
    <row r="748" spans="1:7" x14ac:dyDescent="0.3">
      <c r="A748" s="4">
        <v>44995</v>
      </c>
      <c r="B748" s="19">
        <v>-25.746999999999986</v>
      </c>
      <c r="C748" s="19">
        <v>4.3190000000000026</v>
      </c>
      <c r="E748" s="4">
        <v>44995</v>
      </c>
      <c r="F748" s="19">
        <v>-27.211299999999994</v>
      </c>
      <c r="G748" s="19">
        <v>8.9775000000000063</v>
      </c>
    </row>
    <row r="749" spans="1:7" x14ac:dyDescent="0.3">
      <c r="A749" s="4">
        <v>44994</v>
      </c>
      <c r="B749" s="19">
        <v>-22.97120000000001</v>
      </c>
      <c r="C749" s="19">
        <v>6.3118999999999943</v>
      </c>
      <c r="E749" s="4">
        <v>44994</v>
      </c>
      <c r="F749" s="19">
        <v>-18.789200000000022</v>
      </c>
      <c r="G749" s="19">
        <v>-0.16189999999998861</v>
      </c>
    </row>
    <row r="750" spans="1:7" x14ac:dyDescent="0.3">
      <c r="A750" s="4">
        <v>44993</v>
      </c>
      <c r="B750" s="19">
        <v>-12.600200000000001</v>
      </c>
      <c r="C750" s="19">
        <v>35.685500000000005</v>
      </c>
      <c r="E750" s="4">
        <v>44993</v>
      </c>
      <c r="F750" s="19">
        <v>2.4574999999999818</v>
      </c>
      <c r="G750" s="19">
        <v>39.863399999999999</v>
      </c>
    </row>
    <row r="751" spans="1:7" x14ac:dyDescent="0.3">
      <c r="A751" s="4">
        <v>44992</v>
      </c>
      <c r="B751" s="19">
        <v>17.141400000000004</v>
      </c>
      <c r="C751" s="19">
        <v>-12.152299999999997</v>
      </c>
      <c r="E751" s="4">
        <v>44992</v>
      </c>
      <c r="F751" s="19">
        <v>-19.019300000000015</v>
      </c>
      <c r="G751" s="19">
        <v>4.3508000000000067</v>
      </c>
    </row>
    <row r="752" spans="1:7" x14ac:dyDescent="0.3">
      <c r="A752" s="4">
        <v>44991</v>
      </c>
      <c r="B752" s="19">
        <v>5.2983999999999867</v>
      </c>
      <c r="C752" s="19">
        <v>8.8472000000000008</v>
      </c>
      <c r="E752" s="4">
        <v>44991</v>
      </c>
      <c r="F752" s="19">
        <v>-4.5404000000000337</v>
      </c>
      <c r="G752" s="19">
        <v>13.887799999999999</v>
      </c>
    </row>
    <row r="753" spans="1:7" x14ac:dyDescent="0.3">
      <c r="A753" s="4">
        <v>44988</v>
      </c>
      <c r="B753" s="19">
        <v>20.147300000000001</v>
      </c>
      <c r="C753" s="19">
        <v>6.8565000000000111</v>
      </c>
      <c r="E753" s="4">
        <v>44988</v>
      </c>
      <c r="F753" s="19">
        <v>0.51600000000001955</v>
      </c>
      <c r="G753" s="19">
        <v>15.648799999999994</v>
      </c>
    </row>
    <row r="754" spans="1:7" x14ac:dyDescent="0.3">
      <c r="A754" s="4">
        <v>44987</v>
      </c>
      <c r="B754" s="19">
        <v>18.603800000000007</v>
      </c>
      <c r="C754" s="19">
        <v>33.791700000000006</v>
      </c>
      <c r="E754" s="4">
        <v>44987</v>
      </c>
      <c r="F754" s="19">
        <v>-10.948900000000009</v>
      </c>
      <c r="G754" s="19">
        <v>39.321100000000001</v>
      </c>
    </row>
    <row r="755" spans="1:7" x14ac:dyDescent="0.3">
      <c r="A755" s="4">
        <v>44986</v>
      </c>
      <c r="B755" s="19">
        <v>42.052899999999994</v>
      </c>
      <c r="C755" s="19">
        <v>16.355800000000002</v>
      </c>
      <c r="E755" s="4">
        <v>44986</v>
      </c>
      <c r="F755" s="19">
        <v>28.050200000000018</v>
      </c>
      <c r="G755" s="19">
        <v>17.593600000000009</v>
      </c>
    </row>
    <row r="756" spans="1:7" x14ac:dyDescent="0.3">
      <c r="A756" s="4">
        <v>44985</v>
      </c>
      <c r="B756" s="19">
        <v>-9.9511000000000251</v>
      </c>
      <c r="C756" s="19">
        <v>-24.966200000000001</v>
      </c>
      <c r="E756" s="4">
        <v>44985</v>
      </c>
      <c r="F756" s="19">
        <v>-3.0891999999999769</v>
      </c>
      <c r="G756" s="19">
        <v>-7.1829999999999927</v>
      </c>
    </row>
    <row r="757" spans="1:7" x14ac:dyDescent="0.3">
      <c r="A757" s="4">
        <v>44984</v>
      </c>
      <c r="B757" s="19">
        <v>-5.0127999999999986</v>
      </c>
      <c r="C757" s="19">
        <v>22.984300000000005</v>
      </c>
      <c r="E757" s="4">
        <v>44984</v>
      </c>
      <c r="F757" s="19">
        <v>-14.1755</v>
      </c>
      <c r="G757" s="19">
        <v>37.502300000000005</v>
      </c>
    </row>
    <row r="758" spans="1:7" x14ac:dyDescent="0.3">
      <c r="A758" s="4">
        <v>44981</v>
      </c>
      <c r="B758" s="19">
        <v>-30.178799999999995</v>
      </c>
      <c r="C758" s="19">
        <v>39.075999999999993</v>
      </c>
      <c r="E758" s="4">
        <v>44981</v>
      </c>
      <c r="F758" s="19">
        <v>-20.792200000000008</v>
      </c>
      <c r="G758" s="19">
        <v>43.266299999999994</v>
      </c>
    </row>
    <row r="759" spans="1:7" x14ac:dyDescent="0.3">
      <c r="A759" s="4">
        <v>44980</v>
      </c>
      <c r="B759" s="19">
        <v>4.9210000000000207</v>
      </c>
      <c r="C759" s="19">
        <v>0.27080000000000126</v>
      </c>
      <c r="E759" s="4">
        <v>44980</v>
      </c>
      <c r="F759" s="19">
        <v>-26.423999999999978</v>
      </c>
      <c r="G759" s="19">
        <v>8.0515999999999934</v>
      </c>
    </row>
    <row r="760" spans="1:7" x14ac:dyDescent="0.3">
      <c r="A760" s="4">
        <v>44979</v>
      </c>
      <c r="B760" s="19">
        <v>-34.370900000000006</v>
      </c>
      <c r="C760" s="19">
        <v>2.8699000000000012</v>
      </c>
      <c r="E760" s="4">
        <v>44979</v>
      </c>
      <c r="F760" s="19">
        <v>-12.971399999999988</v>
      </c>
      <c r="G760" s="19">
        <v>4.4480999999999966</v>
      </c>
    </row>
    <row r="761" spans="1:7" x14ac:dyDescent="0.3">
      <c r="A761" s="4">
        <v>44978</v>
      </c>
      <c r="B761" s="19">
        <v>26.413499999999999</v>
      </c>
      <c r="C761" s="19">
        <v>1.5769999999999982</v>
      </c>
      <c r="E761" s="4">
        <v>44978</v>
      </c>
      <c r="F761" s="19">
        <v>-7.8731999999999971</v>
      </c>
      <c r="G761" s="19">
        <v>3.1210999999999984</v>
      </c>
    </row>
    <row r="762" spans="1:7" x14ac:dyDescent="0.3">
      <c r="A762" s="4">
        <v>44977</v>
      </c>
      <c r="B762" s="19">
        <v>58.041200000000003</v>
      </c>
      <c r="C762" s="19">
        <v>-34.861400000000003</v>
      </c>
      <c r="E762" s="4">
        <v>44977</v>
      </c>
      <c r="F762" s="19">
        <v>1.9916000000000054</v>
      </c>
      <c r="G762" s="19">
        <v>-22.641400000000004</v>
      </c>
    </row>
    <row r="763" spans="1:7" x14ac:dyDescent="0.3">
      <c r="A763" s="4">
        <v>44974</v>
      </c>
      <c r="B763" s="19">
        <v>6.26400000000001</v>
      </c>
      <c r="C763" s="19">
        <v>-2.6803999999999988</v>
      </c>
      <c r="E763" s="4">
        <v>44974</v>
      </c>
      <c r="F763" s="19">
        <v>14.029999999999973</v>
      </c>
      <c r="G763" s="19">
        <v>1.6436999999999955</v>
      </c>
    </row>
    <row r="764" spans="1:7" x14ac:dyDescent="0.3">
      <c r="A764" s="4">
        <v>44973</v>
      </c>
      <c r="B764" s="19">
        <v>30.149299999999982</v>
      </c>
      <c r="C764" s="19">
        <v>-7.7874999999999943</v>
      </c>
      <c r="E764" s="4">
        <v>44973</v>
      </c>
      <c r="F764" s="19">
        <v>37.793699999999944</v>
      </c>
      <c r="G764" s="19">
        <v>-0.85330000000000439</v>
      </c>
    </row>
    <row r="765" spans="1:7" x14ac:dyDescent="0.3">
      <c r="A765" s="4">
        <v>44972</v>
      </c>
      <c r="B765" s="19">
        <v>-18.587799999999987</v>
      </c>
      <c r="C765" s="19">
        <v>22.993499999999997</v>
      </c>
      <c r="E765" s="4">
        <v>44972</v>
      </c>
      <c r="F765" s="19">
        <v>-4.7300000000007003E-2</v>
      </c>
      <c r="G765" s="19">
        <v>36.121400000000008</v>
      </c>
    </row>
    <row r="766" spans="1:7" x14ac:dyDescent="0.3">
      <c r="A766" s="4">
        <v>44971</v>
      </c>
      <c r="B766" s="19">
        <v>7.8684999999999832</v>
      </c>
      <c r="C766" s="19">
        <v>-15.556800000000003</v>
      </c>
      <c r="E766" s="4">
        <v>44971</v>
      </c>
      <c r="F766" s="19">
        <v>-1.8808999999999969</v>
      </c>
      <c r="G766" s="19">
        <v>-22.114699999999999</v>
      </c>
    </row>
    <row r="767" spans="1:7" x14ac:dyDescent="0.3">
      <c r="A767" s="4">
        <v>44970</v>
      </c>
      <c r="B767" s="19">
        <v>5.3651999999999873</v>
      </c>
      <c r="C767" s="19">
        <v>10.317400000000006</v>
      </c>
      <c r="E767" s="4">
        <v>44970</v>
      </c>
      <c r="F767" s="19">
        <v>1.5578000000000429</v>
      </c>
      <c r="G767" s="19">
        <v>21.546800000000005</v>
      </c>
    </row>
    <row r="768" spans="1:7" x14ac:dyDescent="0.3">
      <c r="A768" s="4">
        <v>44967</v>
      </c>
      <c r="B768" s="19">
        <v>-13.375999999999976</v>
      </c>
      <c r="C768" s="19">
        <v>13.83850000000001</v>
      </c>
      <c r="E768" s="4">
        <v>44967</v>
      </c>
      <c r="F768" s="19">
        <v>-20.366700000000009</v>
      </c>
      <c r="G768" s="19">
        <v>18.401399999999995</v>
      </c>
    </row>
    <row r="769" spans="1:7" x14ac:dyDescent="0.3">
      <c r="A769" s="4">
        <v>44966</v>
      </c>
      <c r="B769" s="19">
        <v>57.066099999999977</v>
      </c>
      <c r="C769" s="19">
        <v>-0.26129999999999143</v>
      </c>
      <c r="E769" s="4">
        <v>44966</v>
      </c>
      <c r="F769" s="19">
        <v>63.939399999999978</v>
      </c>
      <c r="G769" s="19">
        <v>-7.9244000000000057</v>
      </c>
    </row>
    <row r="770" spans="1:7" x14ac:dyDescent="0.3">
      <c r="A770" s="4">
        <v>44965</v>
      </c>
      <c r="B770" s="19">
        <v>-4.3548000000000116</v>
      </c>
      <c r="C770" s="19">
        <v>-27.219099999999997</v>
      </c>
      <c r="E770" s="4">
        <v>44965</v>
      </c>
      <c r="F770" s="19">
        <v>-9.5343000000000018</v>
      </c>
      <c r="G770" s="19">
        <v>-9.1408999999999878</v>
      </c>
    </row>
    <row r="771" spans="1:7" x14ac:dyDescent="0.3">
      <c r="A771" s="4">
        <v>44964</v>
      </c>
      <c r="B771" s="19">
        <v>-2.1208000000000027</v>
      </c>
      <c r="C771" s="19">
        <v>-6.6968999999999994</v>
      </c>
      <c r="E771" s="4">
        <v>44964</v>
      </c>
      <c r="F771" s="19">
        <v>-36.488400000000013</v>
      </c>
      <c r="G771" s="19">
        <v>6.8626000000000005</v>
      </c>
    </row>
    <row r="772" spans="1:7" x14ac:dyDescent="0.3">
      <c r="A772" s="4">
        <v>44963</v>
      </c>
      <c r="B772" s="19">
        <v>13.135099999999994</v>
      </c>
      <c r="C772" s="19">
        <v>2.7629000000000019</v>
      </c>
      <c r="E772" s="4">
        <v>44963</v>
      </c>
      <c r="F772" s="19">
        <v>-18.569099999999992</v>
      </c>
      <c r="G772" s="19">
        <v>17.139900000000011</v>
      </c>
    </row>
    <row r="773" spans="1:7" x14ac:dyDescent="0.3">
      <c r="A773" s="4">
        <v>44960</v>
      </c>
      <c r="B773" s="19">
        <v>-43.319400000000002</v>
      </c>
      <c r="C773" s="19">
        <v>-5.8897000000000048</v>
      </c>
      <c r="E773" s="4">
        <v>44960</v>
      </c>
      <c r="F773" s="19">
        <v>0.85640000000000782</v>
      </c>
      <c r="G773" s="19">
        <v>-0.15480000000000871</v>
      </c>
    </row>
    <row r="774" spans="1:7" x14ac:dyDescent="0.3">
      <c r="A774" s="4">
        <v>44959</v>
      </c>
      <c r="B774" s="19">
        <v>10.118200000000002</v>
      </c>
      <c r="C774" s="19">
        <v>-12.422200000000004</v>
      </c>
      <c r="E774" s="4">
        <v>44959</v>
      </c>
      <c r="F774" s="19">
        <v>16.816599999999994</v>
      </c>
      <c r="G774" s="19">
        <v>-3.884200000000007</v>
      </c>
    </row>
    <row r="775" spans="1:7" x14ac:dyDescent="0.3">
      <c r="A775" s="4">
        <v>44958</v>
      </c>
      <c r="B775" s="19">
        <v>31.016099999999994</v>
      </c>
      <c r="C775" s="19">
        <v>-11.011300000000006</v>
      </c>
      <c r="E775" s="4">
        <v>44958</v>
      </c>
      <c r="F775" s="19">
        <v>38.721299999999985</v>
      </c>
      <c r="G775" s="19">
        <v>-9.2809000000000026</v>
      </c>
    </row>
    <row r="776" spans="1:7" x14ac:dyDescent="0.3">
      <c r="A776" s="4">
        <v>44957</v>
      </c>
      <c r="B776" s="19">
        <v>60.76939999999999</v>
      </c>
      <c r="C776" s="19">
        <v>-32.665899999999993</v>
      </c>
      <c r="E776" s="4">
        <v>44957</v>
      </c>
      <c r="F776" s="19">
        <v>40.6721</v>
      </c>
      <c r="G776" s="19">
        <v>-30.536300000000011</v>
      </c>
    </row>
    <row r="777" spans="1:7" x14ac:dyDescent="0.3">
      <c r="A777" s="4">
        <v>44956</v>
      </c>
      <c r="B777" s="19">
        <v>94.350399999999979</v>
      </c>
      <c r="C777" s="19">
        <v>-37.557400000000001</v>
      </c>
      <c r="E777" s="4">
        <v>44956</v>
      </c>
      <c r="F777" s="19">
        <v>91.7928</v>
      </c>
      <c r="G777" s="19">
        <v>-31.480099999999993</v>
      </c>
    </row>
    <row r="778" spans="1:7" x14ac:dyDescent="0.3">
      <c r="A778" s="4">
        <v>44946</v>
      </c>
      <c r="B778" s="19">
        <v>42.105400000000003</v>
      </c>
      <c r="C778" s="19"/>
      <c r="E778" s="4">
        <v>44946</v>
      </c>
      <c r="F778" s="19">
        <v>50.459199999999981</v>
      </c>
      <c r="G778" s="19"/>
    </row>
    <row r="779" spans="1:7" x14ac:dyDescent="0.3">
      <c r="A779" s="4">
        <v>44945</v>
      </c>
      <c r="B779" s="19">
        <v>56.907100000000014</v>
      </c>
      <c r="C779" s="19"/>
      <c r="E779" s="4">
        <v>44945</v>
      </c>
      <c r="F779" s="19">
        <v>37.02600000000001</v>
      </c>
      <c r="G779" s="19"/>
    </row>
    <row r="780" spans="1:7" x14ac:dyDescent="0.3">
      <c r="A780" s="4">
        <v>44944</v>
      </c>
      <c r="B780" s="19">
        <v>19.902500000000003</v>
      </c>
      <c r="C780" s="19">
        <v>5.3623999999999938</v>
      </c>
      <c r="E780" s="4">
        <v>44944</v>
      </c>
      <c r="F780" s="19">
        <v>27.451400000000007</v>
      </c>
      <c r="G780" s="19">
        <v>5.8581999999999965</v>
      </c>
    </row>
    <row r="781" spans="1:7" x14ac:dyDescent="0.3">
      <c r="A781" s="4">
        <v>44943</v>
      </c>
      <c r="B781" s="19">
        <v>43.158599999999979</v>
      </c>
      <c r="C781" s="19">
        <v>8.7725999999999971</v>
      </c>
      <c r="E781" s="4">
        <v>44943</v>
      </c>
      <c r="F781" s="19">
        <v>49.721099999999979</v>
      </c>
      <c r="G781" s="19">
        <v>17.924700000000001</v>
      </c>
    </row>
    <row r="782" spans="1:7" x14ac:dyDescent="0.3">
      <c r="A782" s="4">
        <v>44942</v>
      </c>
      <c r="B782" s="19">
        <v>83.545099999999991</v>
      </c>
      <c r="C782" s="19">
        <v>-18.810100000000006</v>
      </c>
      <c r="E782" s="4">
        <v>44942</v>
      </c>
      <c r="F782" s="19">
        <v>74.881799999999998</v>
      </c>
      <c r="G782" s="19">
        <v>10.35560000000001</v>
      </c>
    </row>
    <row r="783" spans="1:7" x14ac:dyDescent="0.3">
      <c r="A783" s="4">
        <v>44939</v>
      </c>
      <c r="B783" s="19">
        <v>63.053200000000004</v>
      </c>
      <c r="C783" s="19">
        <v>7.2125000000000057</v>
      </c>
      <c r="E783" s="4">
        <v>44939</v>
      </c>
      <c r="F783" s="19">
        <v>70.307999999999993</v>
      </c>
      <c r="G783" s="19">
        <v>13.20389999999999</v>
      </c>
    </row>
    <row r="784" spans="1:7" x14ac:dyDescent="0.3">
      <c r="A784" s="4">
        <v>44938</v>
      </c>
      <c r="B784" s="19">
        <v>46.059100000000001</v>
      </c>
      <c r="C784" s="19">
        <v>-18.4071</v>
      </c>
      <c r="E784" s="4">
        <v>44938</v>
      </c>
      <c r="F784" s="19">
        <v>49.3887</v>
      </c>
      <c r="G784" s="19">
        <v>-5.8136999999999972</v>
      </c>
    </row>
    <row r="785" spans="1:7" x14ac:dyDescent="0.3">
      <c r="A785" s="4">
        <v>44937</v>
      </c>
      <c r="B785" s="19">
        <v>48.234400000000022</v>
      </c>
      <c r="C785" s="19">
        <v>-3.8967999999999989</v>
      </c>
      <c r="E785" s="4">
        <v>44937</v>
      </c>
      <c r="F785" s="19">
        <v>27.907700000000006</v>
      </c>
      <c r="G785" s="19">
        <v>13.619</v>
      </c>
    </row>
    <row r="786" spans="1:7" x14ac:dyDescent="0.3">
      <c r="A786" s="4">
        <v>44936</v>
      </c>
      <c r="B786" s="19">
        <v>16.901900000000012</v>
      </c>
      <c r="C786" s="19">
        <v>0.8008000000000095</v>
      </c>
      <c r="E786" s="4">
        <v>44936</v>
      </c>
      <c r="F786" s="19">
        <v>41.110500000000002</v>
      </c>
      <c r="G786" s="19">
        <v>-0.85829999999999984</v>
      </c>
    </row>
    <row r="787" spans="1:7" x14ac:dyDescent="0.3">
      <c r="A787" s="4">
        <v>44935</v>
      </c>
      <c r="B787" s="19">
        <v>47.230000000000018</v>
      </c>
      <c r="C787" s="19">
        <v>-8.5982999999999947</v>
      </c>
      <c r="E787" s="4">
        <v>44935</v>
      </c>
      <c r="F787" s="19">
        <v>29.772999999999996</v>
      </c>
      <c r="G787" s="19">
        <v>-3.6527999999999992</v>
      </c>
    </row>
    <row r="788" spans="1:7" x14ac:dyDescent="0.3">
      <c r="A788" s="4">
        <v>44932</v>
      </c>
      <c r="B788" s="19">
        <v>44.7166</v>
      </c>
      <c r="C788" s="19">
        <v>-9.8699999999999903</v>
      </c>
      <c r="E788" s="4">
        <v>44932</v>
      </c>
      <c r="F788" s="19">
        <v>15.94599999999997</v>
      </c>
      <c r="G788" s="19">
        <v>-3.5674999999999955</v>
      </c>
    </row>
    <row r="789" spans="1:7" x14ac:dyDescent="0.3">
      <c r="A789" s="4">
        <v>44931</v>
      </c>
      <c r="B789" s="19">
        <v>56.586700000000008</v>
      </c>
      <c r="C789" s="19">
        <v>17.894400000000005</v>
      </c>
      <c r="E789" s="4">
        <v>44931</v>
      </c>
      <c r="F789" s="19">
        <v>70.946599999999989</v>
      </c>
      <c r="G789" s="19">
        <v>15.088999999999984</v>
      </c>
    </row>
    <row r="790" spans="1:7" x14ac:dyDescent="0.3">
      <c r="A790" s="4">
        <v>44930</v>
      </c>
      <c r="B790" s="19">
        <v>3.3841000000000179</v>
      </c>
      <c r="C790" s="19">
        <v>23.7226</v>
      </c>
      <c r="E790" s="4">
        <v>44930</v>
      </c>
      <c r="F790" s="19">
        <v>15.057899999999989</v>
      </c>
      <c r="G790" s="19">
        <v>26.375299999999996</v>
      </c>
    </row>
    <row r="791" spans="1:7" x14ac:dyDescent="0.3">
      <c r="A791" s="4">
        <v>44929</v>
      </c>
      <c r="B791" s="19">
        <v>-21.349999999999994</v>
      </c>
      <c r="C791" s="19">
        <v>31.210399999999993</v>
      </c>
      <c r="E791" s="4">
        <v>44929</v>
      </c>
      <c r="F791" s="19">
        <v>14.900000000000006</v>
      </c>
      <c r="G791" s="19">
        <v>11.291799999999995</v>
      </c>
    </row>
    <row r="792" spans="1:7" x14ac:dyDescent="0.3">
      <c r="A792" s="4">
        <v>44925</v>
      </c>
      <c r="B792" s="19">
        <v>15.681999999999988</v>
      </c>
      <c r="C792" s="19">
        <v>5.0430999999999955</v>
      </c>
      <c r="E792" s="4">
        <v>44925</v>
      </c>
      <c r="F792" s="19">
        <v>-14.750900000000001</v>
      </c>
      <c r="G792" s="19">
        <v>15.096000000000004</v>
      </c>
    </row>
    <row r="793" spans="1:7" x14ac:dyDescent="0.3">
      <c r="A793" s="4">
        <v>44924</v>
      </c>
      <c r="B793" s="19">
        <v>-4.2758000000000038</v>
      </c>
      <c r="C793" s="19">
        <v>16.1006</v>
      </c>
      <c r="E793" s="4">
        <v>44924</v>
      </c>
      <c r="F793" s="19">
        <v>-6.8229000000000042</v>
      </c>
      <c r="G793" s="19">
        <v>23.911600000000007</v>
      </c>
    </row>
    <row r="794" spans="1:7" x14ac:dyDescent="0.3">
      <c r="A794" s="4">
        <v>44923</v>
      </c>
      <c r="B794" s="19">
        <v>34.319999999999993</v>
      </c>
      <c r="C794" s="19">
        <v>7.3811000000000035</v>
      </c>
      <c r="E794" s="4">
        <v>44923</v>
      </c>
      <c r="F794" s="19">
        <v>4.8633000000000095</v>
      </c>
      <c r="G794" s="19">
        <v>13.146600000000007</v>
      </c>
    </row>
    <row r="795" spans="1:7" x14ac:dyDescent="0.3">
      <c r="A795" s="4">
        <v>44918</v>
      </c>
      <c r="B795" s="19"/>
      <c r="C795" s="19">
        <v>1.5736999999999881</v>
      </c>
      <c r="E795" s="4">
        <v>44918</v>
      </c>
      <c r="F795" s="19"/>
      <c r="G795" s="19">
        <v>5.2237999999999971</v>
      </c>
    </row>
    <row r="796" spans="1:7" x14ac:dyDescent="0.3">
      <c r="A796" s="4">
        <v>44917</v>
      </c>
      <c r="B796" s="19">
        <v>18.828600000000023</v>
      </c>
      <c r="C796" s="19">
        <v>2.729699999999994</v>
      </c>
      <c r="E796" s="4">
        <v>44917</v>
      </c>
      <c r="F796" s="19">
        <v>9.3168000000000006</v>
      </c>
      <c r="G796" s="19">
        <v>4.9997000000000043</v>
      </c>
    </row>
    <row r="797" spans="1:7" x14ac:dyDescent="0.3">
      <c r="A797" s="4">
        <v>44916</v>
      </c>
      <c r="B797" s="19">
        <v>16.042699999999996</v>
      </c>
      <c r="C797" s="19">
        <v>6.0571000000000055</v>
      </c>
      <c r="E797" s="4">
        <v>44916</v>
      </c>
      <c r="F797" s="19">
        <v>2.6965999999999894</v>
      </c>
      <c r="G797" s="19">
        <v>-2.5918999999999954</v>
      </c>
    </row>
    <row r="798" spans="1:7" x14ac:dyDescent="0.3">
      <c r="A798" s="4">
        <v>44915</v>
      </c>
      <c r="B798" s="19">
        <v>15.756900000000002</v>
      </c>
      <c r="C798" s="19">
        <v>-21.079400000000007</v>
      </c>
      <c r="E798" s="4">
        <v>44915</v>
      </c>
      <c r="F798" s="19">
        <v>-4.1967999999999961</v>
      </c>
      <c r="G798" s="19">
        <v>0.35229999999999961</v>
      </c>
    </row>
    <row r="799" spans="1:7" x14ac:dyDescent="0.3">
      <c r="A799" s="4">
        <v>44914</v>
      </c>
      <c r="B799" s="19">
        <v>-1.4330000000000211</v>
      </c>
      <c r="C799" s="19">
        <v>-3.9618000000000109</v>
      </c>
      <c r="E799" s="4">
        <v>44914</v>
      </c>
      <c r="F799" s="19">
        <v>-13.481500000000011</v>
      </c>
      <c r="G799" s="19">
        <v>-0.30979999999999563</v>
      </c>
    </row>
    <row r="800" spans="1:7" x14ac:dyDescent="0.3">
      <c r="A800" s="4">
        <v>44911</v>
      </c>
      <c r="B800" s="19">
        <v>40.375900000000001</v>
      </c>
      <c r="C800" s="19">
        <v>-9.3840999999999894</v>
      </c>
      <c r="E800" s="4">
        <v>44911</v>
      </c>
      <c r="F800" s="19">
        <v>3.2393999999999892</v>
      </c>
      <c r="G800" s="19">
        <v>-6.3106999999999971</v>
      </c>
    </row>
    <row r="801" spans="1:7" x14ac:dyDescent="0.3">
      <c r="A801" s="4">
        <v>44910</v>
      </c>
      <c r="B801" s="19">
        <v>10.644499999999994</v>
      </c>
      <c r="C801" s="19">
        <v>9.0448999999999984</v>
      </c>
      <c r="E801" s="4">
        <v>44910</v>
      </c>
      <c r="F801" s="19">
        <v>38.714399999999983</v>
      </c>
      <c r="G801" s="19">
        <v>9.9635999999999996</v>
      </c>
    </row>
    <row r="802" spans="1:7" x14ac:dyDescent="0.3">
      <c r="A802" s="4">
        <v>44909</v>
      </c>
      <c r="B802" s="19">
        <v>0.79399999999998272</v>
      </c>
      <c r="C802" s="19">
        <v>-38.408299999999997</v>
      </c>
      <c r="E802" s="4">
        <v>44909</v>
      </c>
      <c r="F802" s="19">
        <v>15.723099999999988</v>
      </c>
      <c r="G802" s="19">
        <v>0.38970000000000482</v>
      </c>
    </row>
    <row r="803" spans="1:7" x14ac:dyDescent="0.3">
      <c r="A803" s="4">
        <v>44908</v>
      </c>
      <c r="B803" s="19">
        <v>-11.355999999999995</v>
      </c>
      <c r="C803" s="19">
        <v>-3.738900000000001</v>
      </c>
      <c r="E803" s="4">
        <v>44908</v>
      </c>
      <c r="F803" s="19">
        <v>1.8905999999999779</v>
      </c>
      <c r="G803" s="19">
        <v>20.351799999999997</v>
      </c>
    </row>
    <row r="804" spans="1:7" x14ac:dyDescent="0.3">
      <c r="A804" s="4">
        <v>44907</v>
      </c>
      <c r="B804" s="19">
        <v>-36.769499999999994</v>
      </c>
      <c r="C804" s="19">
        <v>31.916399999999982</v>
      </c>
      <c r="E804" s="4">
        <v>44907</v>
      </c>
      <c r="F804" s="19">
        <v>-6.606899999999996</v>
      </c>
      <c r="G804" s="19">
        <v>31.767799999999994</v>
      </c>
    </row>
    <row r="805" spans="1:7" x14ac:dyDescent="0.3">
      <c r="A805" s="4">
        <v>44904</v>
      </c>
      <c r="B805" s="19">
        <v>-39.18950000000001</v>
      </c>
      <c r="C805" s="19">
        <v>-12.788200000000018</v>
      </c>
      <c r="E805" s="4">
        <v>44904</v>
      </c>
      <c r="F805" s="19">
        <v>36.474600000000009</v>
      </c>
      <c r="G805" s="19">
        <v>20.198299999999989</v>
      </c>
    </row>
    <row r="806" spans="1:7" x14ac:dyDescent="0.3">
      <c r="A806" s="4">
        <v>44903</v>
      </c>
      <c r="B806" s="19">
        <v>-8.3559999999999945</v>
      </c>
      <c r="C806" s="19">
        <v>-16.325999999999993</v>
      </c>
      <c r="E806" s="4">
        <v>44903</v>
      </c>
      <c r="F806" s="19">
        <v>9.4921999999999969</v>
      </c>
      <c r="G806" s="19">
        <v>12.085999999999984</v>
      </c>
    </row>
    <row r="807" spans="1:7" x14ac:dyDescent="0.3">
      <c r="A807" s="4">
        <v>44902</v>
      </c>
      <c r="B807" s="19">
        <v>-13.906299999999987</v>
      </c>
      <c r="C807" s="19">
        <v>-35.872100000000017</v>
      </c>
      <c r="E807" s="4">
        <v>44902</v>
      </c>
      <c r="F807" s="19">
        <v>16.641100000000051</v>
      </c>
      <c r="G807" s="19">
        <v>-14.377299999999991</v>
      </c>
    </row>
    <row r="808" spans="1:7" x14ac:dyDescent="0.3">
      <c r="A808" s="4">
        <v>44901</v>
      </c>
      <c r="B808" s="19">
        <v>-7.1156000000000006</v>
      </c>
      <c r="C808" s="19">
        <v>12.343999999999994</v>
      </c>
      <c r="E808" s="4">
        <v>44901</v>
      </c>
      <c r="F808" s="19">
        <v>12.524700000000053</v>
      </c>
      <c r="G808" s="19">
        <v>16.0154</v>
      </c>
    </row>
    <row r="809" spans="1:7" x14ac:dyDescent="0.3">
      <c r="A809" s="4">
        <v>44900</v>
      </c>
      <c r="B809" s="19">
        <v>24.588999999999999</v>
      </c>
      <c r="C809" s="19">
        <v>-28.887699999999995</v>
      </c>
      <c r="E809" s="4">
        <v>44900</v>
      </c>
      <c r="F809" s="19">
        <v>34.345399999999984</v>
      </c>
      <c r="G809" s="19">
        <v>14.712600000000009</v>
      </c>
    </row>
    <row r="810" spans="1:7" x14ac:dyDescent="0.3">
      <c r="A810" s="4">
        <v>44897</v>
      </c>
      <c r="B810" s="19">
        <v>4.3196999999999832</v>
      </c>
      <c r="C810" s="19">
        <v>-19.850499999999997</v>
      </c>
      <c r="E810" s="4">
        <v>44897</v>
      </c>
      <c r="F810" s="19">
        <v>36.620900000000006</v>
      </c>
      <c r="G810" s="19">
        <v>7.3196000000000083</v>
      </c>
    </row>
    <row r="811" spans="1:7" x14ac:dyDescent="0.3">
      <c r="A811" s="4">
        <v>44896</v>
      </c>
      <c r="B811" s="19">
        <v>37.158999999999992</v>
      </c>
      <c r="C811" s="19">
        <v>1.5384000000000242</v>
      </c>
      <c r="E811" s="4">
        <v>44896</v>
      </c>
      <c r="F811" s="19">
        <v>77.336700000000008</v>
      </c>
      <c r="G811" s="19">
        <v>18.809300000000007</v>
      </c>
    </row>
    <row r="812" spans="1:7" x14ac:dyDescent="0.3">
      <c r="A812" s="4">
        <v>44895</v>
      </c>
      <c r="B812" s="19">
        <v>36.704299999999989</v>
      </c>
      <c r="C812" s="19">
        <v>8.5280999999999949</v>
      </c>
      <c r="E812" s="4">
        <v>44895</v>
      </c>
      <c r="F812" s="19">
        <v>12.469499999999982</v>
      </c>
      <c r="G812" s="19">
        <v>19.158799999999999</v>
      </c>
    </row>
    <row r="813" spans="1:7" x14ac:dyDescent="0.3">
      <c r="A813" s="4">
        <v>44894</v>
      </c>
      <c r="B813" s="19">
        <v>57.773000000000025</v>
      </c>
      <c r="C813" s="19">
        <v>16.290100000000024</v>
      </c>
      <c r="E813" s="4">
        <v>44894</v>
      </c>
      <c r="F813" s="19">
        <v>40.283900000000017</v>
      </c>
      <c r="G813" s="19">
        <v>-27.270800000000008</v>
      </c>
    </row>
    <row r="814" spans="1:7" x14ac:dyDescent="0.3">
      <c r="A814" s="4">
        <v>44893</v>
      </c>
      <c r="B814" s="19">
        <v>-41.702199999999976</v>
      </c>
      <c r="C814" s="19">
        <v>33.2239</v>
      </c>
      <c r="E814" s="4">
        <v>44893</v>
      </c>
      <c r="F814" s="19">
        <v>4.1060999999999979</v>
      </c>
      <c r="G814" s="19">
        <v>33.153000000000006</v>
      </c>
    </row>
    <row r="815" spans="1:7" x14ac:dyDescent="0.3">
      <c r="A815" s="4">
        <v>44890</v>
      </c>
      <c r="B815" s="19">
        <v>58.107399999999984</v>
      </c>
      <c r="C815" s="19">
        <v>10.719800000000006</v>
      </c>
      <c r="E815" s="4">
        <v>44890</v>
      </c>
      <c r="F815" s="19">
        <v>16.407199999999989</v>
      </c>
      <c r="G815" s="19">
        <v>12.434799999999996</v>
      </c>
    </row>
    <row r="816" spans="1:7" x14ac:dyDescent="0.3">
      <c r="A816" s="4">
        <v>44889</v>
      </c>
      <c r="B816" s="19">
        <v>22.169100000000014</v>
      </c>
      <c r="C816" s="19">
        <v>-18.395299999999992</v>
      </c>
      <c r="E816" s="4">
        <v>44889</v>
      </c>
      <c r="F816" s="19">
        <v>-9.8111000000000104</v>
      </c>
      <c r="G816" s="19">
        <v>-6.5652999999999935</v>
      </c>
    </row>
    <row r="817" spans="1:7" x14ac:dyDescent="0.3">
      <c r="A817" s="4">
        <v>44888</v>
      </c>
      <c r="B817" s="19">
        <v>25.115099999999984</v>
      </c>
      <c r="C817" s="19">
        <v>-5.5478999999999985</v>
      </c>
      <c r="E817" s="4">
        <v>44888</v>
      </c>
      <c r="F817" s="19">
        <v>-9.4628999999999905</v>
      </c>
      <c r="G817" s="19">
        <v>3.5388999999999982</v>
      </c>
    </row>
    <row r="818" spans="1:7" x14ac:dyDescent="0.3">
      <c r="A818" s="4">
        <v>44887</v>
      </c>
      <c r="B818" s="19">
        <v>9.3674999999999784</v>
      </c>
      <c r="C818" s="19">
        <v>-31.843700000000013</v>
      </c>
      <c r="E818" s="4">
        <v>44887</v>
      </c>
      <c r="F818" s="19">
        <v>-16.95829999999998</v>
      </c>
      <c r="G818" s="19">
        <v>-26.311199999999999</v>
      </c>
    </row>
    <row r="819" spans="1:7" x14ac:dyDescent="0.3">
      <c r="A819" s="4">
        <v>44886</v>
      </c>
      <c r="B819" s="19">
        <v>-2.5719999999999743</v>
      </c>
      <c r="C819" s="19">
        <v>20.025300000000001</v>
      </c>
      <c r="E819" s="4">
        <v>44886</v>
      </c>
      <c r="F819" s="19">
        <v>-17.883399999999995</v>
      </c>
      <c r="G819" s="19">
        <v>27.142200000000003</v>
      </c>
    </row>
    <row r="820" spans="1:7" x14ac:dyDescent="0.3">
      <c r="A820" s="4">
        <v>44883</v>
      </c>
      <c r="B820" s="19">
        <v>22.093500000000006</v>
      </c>
      <c r="C820" s="19">
        <v>-14.3399</v>
      </c>
      <c r="E820" s="4">
        <v>44883</v>
      </c>
      <c r="F820" s="19">
        <v>29.106300000000033</v>
      </c>
      <c r="G820" s="19">
        <v>-10.069100000000006</v>
      </c>
    </row>
    <row r="821" spans="1:7" x14ac:dyDescent="0.3">
      <c r="A821" s="4">
        <v>44882</v>
      </c>
      <c r="B821" s="19">
        <v>5.0173000000000059</v>
      </c>
      <c r="C821" s="19">
        <v>16.272600000000011</v>
      </c>
      <c r="E821" s="4">
        <v>44882</v>
      </c>
      <c r="F821" s="19">
        <v>9.0698999999999899</v>
      </c>
      <c r="G821" s="19">
        <v>35.507699999999986</v>
      </c>
    </row>
    <row r="822" spans="1:7" x14ac:dyDescent="0.3">
      <c r="A822" s="4">
        <v>44881</v>
      </c>
      <c r="B822" s="19">
        <v>9.5562999999999931</v>
      </c>
      <c r="C822" s="19">
        <v>21.014699999999991</v>
      </c>
      <c r="E822" s="4">
        <v>44881</v>
      </c>
      <c r="F822" s="19">
        <v>0.42719999999997071</v>
      </c>
      <c r="G822" s="19">
        <v>22.335399999999993</v>
      </c>
    </row>
    <row r="823" spans="1:7" x14ac:dyDescent="0.3">
      <c r="A823" s="4">
        <v>44880</v>
      </c>
      <c r="B823" s="19">
        <v>33.947100000000006</v>
      </c>
      <c r="C823" s="19">
        <v>-2.0979000000000099</v>
      </c>
      <c r="E823" s="4">
        <v>44880</v>
      </c>
      <c r="F823" s="19">
        <v>47.595199999999977</v>
      </c>
      <c r="G823" s="19">
        <v>4.6482000000000028</v>
      </c>
    </row>
    <row r="824" spans="1:7" x14ac:dyDescent="0.3">
      <c r="A824" s="4">
        <v>44879</v>
      </c>
      <c r="B824" s="19">
        <v>83.031999999999982</v>
      </c>
      <c r="C824" s="19">
        <v>-25.174399999999991</v>
      </c>
      <c r="E824" s="4">
        <v>44879</v>
      </c>
      <c r="F824" s="19">
        <v>82.987300000000005</v>
      </c>
      <c r="G824" s="19">
        <v>-15.7714</v>
      </c>
    </row>
    <row r="825" spans="1:7" x14ac:dyDescent="0.3">
      <c r="A825" s="4">
        <v>44876</v>
      </c>
      <c r="B825" s="19">
        <v>82.316399999999987</v>
      </c>
      <c r="C825" s="19">
        <v>-17.199399999999997</v>
      </c>
      <c r="E825" s="4">
        <v>44876</v>
      </c>
      <c r="F825" s="19">
        <v>64.344299999999976</v>
      </c>
      <c r="G825" s="19">
        <v>6.3249000000000137</v>
      </c>
    </row>
    <row r="826" spans="1:7" x14ac:dyDescent="0.3">
      <c r="A826" s="4">
        <v>44875</v>
      </c>
      <c r="B826" s="19">
        <v>-0.24460000000001969</v>
      </c>
      <c r="C826" s="19">
        <v>14.773600000000002</v>
      </c>
      <c r="E826" s="4">
        <v>44875</v>
      </c>
      <c r="F826" s="19">
        <v>-7.328000000000003</v>
      </c>
      <c r="G826" s="19">
        <v>25.537000000000006</v>
      </c>
    </row>
    <row r="827" spans="1:7" x14ac:dyDescent="0.3">
      <c r="A827" s="4">
        <v>44874</v>
      </c>
      <c r="B827" s="19">
        <v>-8.0401999999999987</v>
      </c>
      <c r="C827" s="19">
        <v>-8.0371999999999986</v>
      </c>
      <c r="E827" s="4">
        <v>44874</v>
      </c>
      <c r="F827" s="19">
        <v>1.2019999999999982</v>
      </c>
      <c r="G827" s="19">
        <v>1.1016000000000048</v>
      </c>
    </row>
    <row r="828" spans="1:7" x14ac:dyDescent="0.3">
      <c r="A828" s="4">
        <v>44873</v>
      </c>
      <c r="B828" s="19">
        <v>-16.512500000000017</v>
      </c>
      <c r="C828" s="19">
        <v>13.052300000000002</v>
      </c>
      <c r="E828" s="4">
        <v>44873</v>
      </c>
      <c r="F828" s="19">
        <v>-21.424599999999998</v>
      </c>
      <c r="G828" s="19">
        <v>28.927499999999995</v>
      </c>
    </row>
    <row r="829" spans="1:7" x14ac:dyDescent="0.3">
      <c r="A829" s="4">
        <v>44872</v>
      </c>
      <c r="B829" s="19">
        <v>-15.455600000000004</v>
      </c>
      <c r="C829" s="19">
        <v>21.012600000000006</v>
      </c>
      <c r="E829" s="4">
        <v>44872</v>
      </c>
      <c r="F829" s="19">
        <v>-24.860499999999973</v>
      </c>
      <c r="G829" s="19">
        <v>27.976299999999995</v>
      </c>
    </row>
    <row r="830" spans="1:7" x14ac:dyDescent="0.3">
      <c r="A830" s="4">
        <v>44869</v>
      </c>
      <c r="B830" s="19">
        <v>37.750999999999976</v>
      </c>
      <c r="C830" s="19">
        <v>28.012400000000014</v>
      </c>
      <c r="E830" s="4">
        <v>44869</v>
      </c>
      <c r="F830" s="19">
        <v>62.176199999999994</v>
      </c>
      <c r="G830" s="19">
        <v>32.460200000000015</v>
      </c>
    </row>
    <row r="831" spans="1:7" x14ac:dyDescent="0.3">
      <c r="A831" s="4">
        <v>44868</v>
      </c>
      <c r="B831" s="19">
        <v>-23.081999999999994</v>
      </c>
      <c r="C831" s="19">
        <v>31.235999999999997</v>
      </c>
      <c r="E831" s="4">
        <v>44868</v>
      </c>
      <c r="F831" s="19">
        <v>-22.567099999999982</v>
      </c>
      <c r="G831" s="19">
        <v>44.763399999999997</v>
      </c>
    </row>
    <row r="832" spans="1:7" x14ac:dyDescent="0.3">
      <c r="A832" s="4">
        <v>44867</v>
      </c>
      <c r="B832" s="19">
        <v>-35.707400000000007</v>
      </c>
      <c r="C832" s="19">
        <v>32.759100000000004</v>
      </c>
      <c r="E832" s="4">
        <v>44867</v>
      </c>
      <c r="F832" s="19">
        <v>-40.10990000000001</v>
      </c>
      <c r="G832" s="19">
        <v>43.966099999999997</v>
      </c>
    </row>
    <row r="833" spans="1:7" x14ac:dyDescent="0.3">
      <c r="A833" s="4">
        <v>44866</v>
      </c>
      <c r="B833" s="19">
        <v>34.927800000000047</v>
      </c>
      <c r="C833" s="19">
        <v>28.501199999999997</v>
      </c>
      <c r="E833" s="4">
        <v>44866</v>
      </c>
      <c r="F833" s="19">
        <v>26.61790000000002</v>
      </c>
      <c r="G833" s="19">
        <v>45.873699999999999</v>
      </c>
    </row>
    <row r="834" spans="1:7" x14ac:dyDescent="0.3">
      <c r="A834" s="4">
        <v>44865</v>
      </c>
      <c r="B834" s="19">
        <v>-60.611899999999991</v>
      </c>
      <c r="C834" s="19">
        <v>17.984400000000008</v>
      </c>
      <c r="E834" s="4">
        <v>44865</v>
      </c>
      <c r="F834" s="19">
        <v>-29.509000000000015</v>
      </c>
      <c r="G834" s="19">
        <v>34.160799999999995</v>
      </c>
    </row>
    <row r="835" spans="1:7" x14ac:dyDescent="0.3">
      <c r="A835" s="4">
        <v>44862</v>
      </c>
      <c r="B835" s="19">
        <v>7.3754999999999882</v>
      </c>
      <c r="C835" s="19">
        <v>26.262200000000007</v>
      </c>
      <c r="E835" s="4">
        <v>44862</v>
      </c>
      <c r="F835" s="19">
        <v>-27.690600000000018</v>
      </c>
      <c r="G835" s="19">
        <v>16.542299999999997</v>
      </c>
    </row>
    <row r="836" spans="1:7" x14ac:dyDescent="0.3">
      <c r="A836" s="4">
        <v>44861</v>
      </c>
      <c r="B836" s="19">
        <v>14.58359999999999</v>
      </c>
      <c r="C836" s="19">
        <v>23.087600000000009</v>
      </c>
      <c r="E836" s="4">
        <v>44861</v>
      </c>
      <c r="F836" s="19">
        <v>-4.9934999999999832</v>
      </c>
      <c r="G836" s="19">
        <v>32.627200000000002</v>
      </c>
    </row>
    <row r="837" spans="1:7" x14ac:dyDescent="0.3">
      <c r="A837" s="4">
        <v>44860</v>
      </c>
      <c r="B837" s="19">
        <v>1.533299999999997</v>
      </c>
      <c r="C837" s="19">
        <v>30.165199999999999</v>
      </c>
      <c r="E837" s="4">
        <v>44860</v>
      </c>
      <c r="F837" s="19">
        <v>32.793800000000033</v>
      </c>
      <c r="G837" s="19">
        <v>20.430999999999997</v>
      </c>
    </row>
    <row r="838" spans="1:7" x14ac:dyDescent="0.3">
      <c r="A838" s="4">
        <v>44859</v>
      </c>
      <c r="B838" s="19">
        <v>22.559500000000014</v>
      </c>
      <c r="C838" s="19">
        <v>28.466100000000004</v>
      </c>
      <c r="E838" s="4">
        <v>44859</v>
      </c>
      <c r="F838" s="19">
        <v>5.8897000000000048</v>
      </c>
      <c r="G838" s="19">
        <v>36.849800000000002</v>
      </c>
    </row>
    <row r="839" spans="1:7" x14ac:dyDescent="0.3">
      <c r="A839" s="4">
        <v>44858</v>
      </c>
      <c r="B839" s="19">
        <v>-122.06730000000002</v>
      </c>
      <c r="C839" s="19">
        <v>39.857399999999998</v>
      </c>
      <c r="E839" s="4">
        <v>44858</v>
      </c>
      <c r="F839" s="19">
        <v>-57.047900000000027</v>
      </c>
      <c r="G839" s="19">
        <v>27.052300000000002</v>
      </c>
    </row>
    <row r="840" spans="1:7" x14ac:dyDescent="0.3">
      <c r="A840" s="4">
        <v>44855</v>
      </c>
      <c r="B840" s="19">
        <v>-47.76230000000001</v>
      </c>
      <c r="C840" s="19">
        <v>11.494699999999995</v>
      </c>
      <c r="E840" s="4">
        <v>44855</v>
      </c>
      <c r="F840" s="19">
        <v>-41.4649</v>
      </c>
      <c r="G840" s="19">
        <v>22.579900000000002</v>
      </c>
    </row>
    <row r="841" spans="1:7" x14ac:dyDescent="0.3">
      <c r="A841" s="4">
        <v>44854</v>
      </c>
      <c r="B841" s="19">
        <v>-37.435599999999994</v>
      </c>
      <c r="C841" s="19">
        <v>37.097499999999997</v>
      </c>
      <c r="E841" s="4">
        <v>44854</v>
      </c>
      <c r="F841" s="19">
        <v>-24.798299999999983</v>
      </c>
      <c r="G841" s="19">
        <v>33.600200000000001</v>
      </c>
    </row>
    <row r="842" spans="1:7" x14ac:dyDescent="0.3">
      <c r="A842" s="4">
        <v>44853</v>
      </c>
      <c r="B842" s="19">
        <v>-45.1464</v>
      </c>
      <c r="C842" s="19">
        <v>21.519200000000005</v>
      </c>
      <c r="E842" s="4">
        <v>44853</v>
      </c>
      <c r="F842" s="19">
        <v>-14.876400000000018</v>
      </c>
      <c r="G842" s="19">
        <v>23.880800000000001</v>
      </c>
    </row>
    <row r="843" spans="1:7" x14ac:dyDescent="0.3">
      <c r="A843" s="4">
        <v>44852</v>
      </c>
      <c r="B843" s="19">
        <v>-19.280099999999976</v>
      </c>
      <c r="C843" s="19">
        <v>18.704700000000003</v>
      </c>
      <c r="E843" s="4">
        <v>44852</v>
      </c>
      <c r="F843" s="19">
        <v>-18.285699999999991</v>
      </c>
      <c r="G843" s="19">
        <v>32.6004</v>
      </c>
    </row>
    <row r="844" spans="1:7" x14ac:dyDescent="0.3">
      <c r="A844" s="4">
        <v>44851</v>
      </c>
      <c r="B844" s="19">
        <v>-29.764199999999988</v>
      </c>
      <c r="C844" s="19">
        <v>27.761199999999995</v>
      </c>
      <c r="E844" s="4">
        <v>44851</v>
      </c>
      <c r="F844" s="19">
        <v>-14.482499999999987</v>
      </c>
      <c r="G844" s="19">
        <v>27.734200000000001</v>
      </c>
    </row>
    <row r="845" spans="1:7" x14ac:dyDescent="0.3">
      <c r="A845" s="4">
        <v>44848</v>
      </c>
      <c r="B845" s="19">
        <v>46.531800000000004</v>
      </c>
      <c r="C845" s="19">
        <v>25.001200000000004</v>
      </c>
      <c r="E845" s="4">
        <v>44848</v>
      </c>
      <c r="F845" s="19">
        <v>28.18810000000002</v>
      </c>
      <c r="G845" s="19">
        <v>25.427399999999999</v>
      </c>
    </row>
    <row r="846" spans="1:7" x14ac:dyDescent="0.3">
      <c r="A846" s="4">
        <v>44847</v>
      </c>
      <c r="B846" s="19">
        <v>-54.568900000000014</v>
      </c>
      <c r="C846" s="19">
        <v>28.720199999999998</v>
      </c>
      <c r="E846" s="4">
        <v>44847</v>
      </c>
      <c r="F846" s="19">
        <v>-25.780500000000018</v>
      </c>
      <c r="G846" s="19">
        <v>21.423200000000001</v>
      </c>
    </row>
    <row r="847" spans="1:7" x14ac:dyDescent="0.3">
      <c r="A847" s="4">
        <v>44846</v>
      </c>
      <c r="B847" s="19">
        <v>-54.853799999999978</v>
      </c>
      <c r="C847" s="19">
        <v>9.8299999999999983</v>
      </c>
      <c r="E847" s="4">
        <v>44846</v>
      </c>
      <c r="F847" s="19">
        <v>-3.9019999999999868</v>
      </c>
      <c r="G847" s="19">
        <v>1.5301999999999936</v>
      </c>
    </row>
    <row r="848" spans="1:7" x14ac:dyDescent="0.3">
      <c r="A848" s="4">
        <v>44845</v>
      </c>
      <c r="B848" s="19">
        <v>-22.741600000000005</v>
      </c>
      <c r="C848" s="19">
        <v>17.371000000000002</v>
      </c>
      <c r="E848" s="4">
        <v>44845</v>
      </c>
      <c r="F848" s="19">
        <v>10.299999999999983</v>
      </c>
      <c r="G848" s="19">
        <v>13.828099999999999</v>
      </c>
    </row>
    <row r="849" spans="1:7" x14ac:dyDescent="0.3">
      <c r="A849" s="4">
        <v>44844</v>
      </c>
      <c r="B849" s="19">
        <v>-3.8152000000000044</v>
      </c>
      <c r="C849" s="19">
        <v>0.23300000000000409</v>
      </c>
      <c r="E849" s="4">
        <v>44844</v>
      </c>
      <c r="F849" s="19">
        <v>18.122099999999989</v>
      </c>
      <c r="G849" s="19">
        <v>3.7205000000000013</v>
      </c>
    </row>
    <row r="850" spans="1:7" x14ac:dyDescent="0.3">
      <c r="A850" s="4">
        <v>44834</v>
      </c>
      <c r="B850" s="19">
        <v>2.4312000000000182</v>
      </c>
      <c r="C850" s="19"/>
      <c r="E850" s="4">
        <v>44834</v>
      </c>
      <c r="F850" s="19">
        <v>-15.441200000000009</v>
      </c>
      <c r="G850" s="19"/>
    </row>
    <row r="851" spans="1:7" x14ac:dyDescent="0.3">
      <c r="A851" s="4">
        <v>44833</v>
      </c>
      <c r="B851" s="19">
        <v>20.167599999999993</v>
      </c>
      <c r="C851" s="19"/>
      <c r="E851" s="4">
        <v>44833</v>
      </c>
      <c r="F851" s="19">
        <v>14.123199999999997</v>
      </c>
      <c r="G851" s="19"/>
    </row>
    <row r="852" spans="1:7" x14ac:dyDescent="0.3">
      <c r="A852" s="4">
        <v>44832</v>
      </c>
      <c r="B852" s="19">
        <v>-15.357200000000006</v>
      </c>
      <c r="C852" s="19">
        <v>27.6693</v>
      </c>
      <c r="E852" s="4">
        <v>44832</v>
      </c>
      <c r="F852" s="19">
        <v>-23.038399999999996</v>
      </c>
      <c r="G852" s="19">
        <v>31.572399999999995</v>
      </c>
    </row>
    <row r="853" spans="1:7" x14ac:dyDescent="0.3">
      <c r="A853" s="4">
        <v>44831</v>
      </c>
      <c r="B853" s="19">
        <v>25.300100000000015</v>
      </c>
      <c r="C853" s="19">
        <v>9.3254999999999981</v>
      </c>
      <c r="E853" s="4">
        <v>44831</v>
      </c>
      <c r="F853" s="19">
        <v>7.4245999999999981</v>
      </c>
      <c r="G853" s="19">
        <v>-1.3958999999999975</v>
      </c>
    </row>
    <row r="854" spans="1:7" x14ac:dyDescent="0.3">
      <c r="A854" s="4">
        <v>44830</v>
      </c>
      <c r="B854" s="19">
        <v>11.537700000000001</v>
      </c>
      <c r="C854" s="19">
        <v>2.6140000000000043</v>
      </c>
      <c r="E854" s="4">
        <v>44830</v>
      </c>
      <c r="F854" s="19">
        <v>31.228100000000012</v>
      </c>
      <c r="G854" s="19">
        <v>-3.9044999999999987</v>
      </c>
    </row>
    <row r="855" spans="1:7" x14ac:dyDescent="0.3">
      <c r="A855" s="4">
        <v>44827</v>
      </c>
      <c r="B855" s="19">
        <v>6.8083000000000027</v>
      </c>
      <c r="C855" s="19">
        <v>16.411999999999999</v>
      </c>
      <c r="E855" s="4">
        <v>44827</v>
      </c>
      <c r="F855" s="19">
        <v>-11.864199999999983</v>
      </c>
      <c r="G855" s="19">
        <v>11.740299999999998</v>
      </c>
    </row>
    <row r="856" spans="1:7" x14ac:dyDescent="0.3">
      <c r="A856" s="4">
        <v>44826</v>
      </c>
      <c r="B856" s="19">
        <v>-12.933899999999994</v>
      </c>
      <c r="C856" s="19">
        <v>12.4876</v>
      </c>
      <c r="E856" s="4">
        <v>44826</v>
      </c>
      <c r="F856" s="19">
        <v>-23.551700000000011</v>
      </c>
      <c r="G856" s="19">
        <v>17.863999999999997</v>
      </c>
    </row>
    <row r="857" spans="1:7" x14ac:dyDescent="0.3">
      <c r="A857" s="4">
        <v>44825</v>
      </c>
      <c r="B857" s="19">
        <v>-24.727300000000014</v>
      </c>
      <c r="C857" s="19">
        <v>21.181200000000004</v>
      </c>
      <c r="E857" s="4">
        <v>44825</v>
      </c>
      <c r="F857" s="19">
        <v>-5.8708000000000027</v>
      </c>
      <c r="G857" s="19">
        <v>23.069899999999997</v>
      </c>
    </row>
    <row r="858" spans="1:7" x14ac:dyDescent="0.3">
      <c r="A858" s="4">
        <v>44824</v>
      </c>
      <c r="B858" s="19">
        <v>-6.8636999999999944</v>
      </c>
      <c r="C858" s="19">
        <v>6.4963000000000015</v>
      </c>
      <c r="E858" s="4">
        <v>44824</v>
      </c>
      <c r="F858" s="19">
        <v>1.636400000000009</v>
      </c>
      <c r="G858" s="19">
        <v>11.057700000000004</v>
      </c>
    </row>
    <row r="859" spans="1:7" x14ac:dyDescent="0.3">
      <c r="A859" s="4">
        <v>44823</v>
      </c>
      <c r="B859" s="19">
        <v>6.7021000000000015</v>
      </c>
      <c r="C859" s="19">
        <v>8.9331999999999994</v>
      </c>
      <c r="E859" s="4">
        <v>44823</v>
      </c>
      <c r="F859" s="19">
        <v>9.3249999999999886</v>
      </c>
      <c r="G859" s="19">
        <v>-20.976499999999994</v>
      </c>
    </row>
    <row r="860" spans="1:7" x14ac:dyDescent="0.3">
      <c r="A860" s="4">
        <v>44820</v>
      </c>
      <c r="B860" s="19">
        <v>-18.551899999999989</v>
      </c>
      <c r="C860" s="19">
        <v>12.496400000000001</v>
      </c>
      <c r="E860" s="4">
        <v>44820</v>
      </c>
      <c r="F860" s="19">
        <v>-26.571499999999958</v>
      </c>
      <c r="G860" s="19">
        <v>1.5210000000000008</v>
      </c>
    </row>
    <row r="861" spans="1:7" x14ac:dyDescent="0.3">
      <c r="A861" s="4">
        <v>44819</v>
      </c>
      <c r="B861" s="19">
        <v>-17.255700000000019</v>
      </c>
      <c r="C861" s="19">
        <v>13.427700000000002</v>
      </c>
      <c r="E861" s="4">
        <v>44819</v>
      </c>
      <c r="F861" s="19">
        <v>-24.074600000000032</v>
      </c>
      <c r="G861" s="19">
        <v>8.1757999999999953</v>
      </c>
    </row>
    <row r="862" spans="1:7" x14ac:dyDescent="0.3">
      <c r="A862" s="4">
        <v>44818</v>
      </c>
      <c r="B862" s="19">
        <v>-13.538000000000011</v>
      </c>
      <c r="C862" s="19">
        <v>22.817399999999999</v>
      </c>
      <c r="E862" s="4">
        <v>44818</v>
      </c>
      <c r="F862" s="19">
        <v>-0.60450000000000159</v>
      </c>
      <c r="G862" s="19">
        <v>26.815400000000004</v>
      </c>
    </row>
    <row r="863" spans="1:7" x14ac:dyDescent="0.3">
      <c r="A863" s="4">
        <v>44817</v>
      </c>
      <c r="B863" s="19">
        <v>21.568999999999988</v>
      </c>
      <c r="C863" s="19">
        <v>15.727800000000002</v>
      </c>
      <c r="E863" s="4">
        <v>44817</v>
      </c>
      <c r="F863" s="19">
        <v>18.142800000000022</v>
      </c>
      <c r="G863" s="19">
        <v>6.0921000000000021</v>
      </c>
    </row>
    <row r="864" spans="1:7" x14ac:dyDescent="0.3">
      <c r="A864" s="4">
        <v>44813</v>
      </c>
      <c r="B864" s="19">
        <v>83.165300000000002</v>
      </c>
      <c r="C864" s="19">
        <v>-2.6448999999999998</v>
      </c>
      <c r="E864" s="4">
        <v>44813</v>
      </c>
      <c r="F864" s="19">
        <v>64.367000000000019</v>
      </c>
      <c r="G864" s="19">
        <v>0.83870000000000289</v>
      </c>
    </row>
    <row r="865" spans="1:7" x14ac:dyDescent="0.3">
      <c r="A865" s="4">
        <v>44812</v>
      </c>
      <c r="B865" s="19">
        <v>19.395199999999988</v>
      </c>
      <c r="C865" s="19">
        <v>-1.404200000000003</v>
      </c>
      <c r="E865" s="4">
        <v>44812</v>
      </c>
      <c r="F865" s="19">
        <v>-20.261099999999999</v>
      </c>
      <c r="G865" s="19">
        <v>1.9022000000000006</v>
      </c>
    </row>
    <row r="866" spans="1:7" x14ac:dyDescent="0.3">
      <c r="A866" s="4">
        <v>44811</v>
      </c>
      <c r="B866" s="19">
        <v>-9.3762000000000114</v>
      </c>
      <c r="C866" s="19">
        <v>1.6340999999999966</v>
      </c>
      <c r="E866" s="4">
        <v>44811</v>
      </c>
      <c r="F866" s="19">
        <v>-24.360000000000014</v>
      </c>
      <c r="G866" s="19">
        <v>6.698599999999999</v>
      </c>
    </row>
    <row r="867" spans="1:7" x14ac:dyDescent="0.3">
      <c r="A867" s="4">
        <v>44810</v>
      </c>
      <c r="B867" s="19">
        <v>-4.3922000000000025</v>
      </c>
      <c r="C867" s="19">
        <v>-0.4217000000000013</v>
      </c>
      <c r="E867" s="4">
        <v>44810</v>
      </c>
      <c r="F867" s="19">
        <v>-34.59899999999999</v>
      </c>
      <c r="G867" s="19">
        <v>9.9063999999999979</v>
      </c>
    </row>
    <row r="868" spans="1:7" x14ac:dyDescent="0.3">
      <c r="A868" s="4">
        <v>44809</v>
      </c>
      <c r="B868" s="19">
        <v>-37.6541</v>
      </c>
      <c r="C868" s="19">
        <v>12.218400000000003</v>
      </c>
      <c r="E868" s="4">
        <v>44809</v>
      </c>
      <c r="F868" s="19">
        <v>-38.495800000000003</v>
      </c>
      <c r="G868" s="19">
        <v>16.626400000000004</v>
      </c>
    </row>
    <row r="869" spans="1:7" x14ac:dyDescent="0.3">
      <c r="A869" s="4">
        <v>44806</v>
      </c>
      <c r="B869" s="19">
        <v>-27.608599999999996</v>
      </c>
      <c r="C869" s="19">
        <v>5.1199999999999974</v>
      </c>
      <c r="E869" s="4">
        <v>44806</v>
      </c>
      <c r="F869" s="19">
        <v>-10.220499999999987</v>
      </c>
      <c r="G869" s="19">
        <v>-8.3411000000000044</v>
      </c>
    </row>
    <row r="870" spans="1:7" x14ac:dyDescent="0.3">
      <c r="A870" s="4">
        <v>44805</v>
      </c>
      <c r="B870" s="19">
        <v>-20.924000000000007</v>
      </c>
      <c r="C870" s="19">
        <v>17.616399999999999</v>
      </c>
      <c r="E870" s="4">
        <v>44805</v>
      </c>
      <c r="F870" s="19">
        <v>12.506399999999985</v>
      </c>
      <c r="G870" s="19">
        <v>7.9919000000000082</v>
      </c>
    </row>
    <row r="871" spans="1:7" x14ac:dyDescent="0.3">
      <c r="A871" s="4">
        <v>44804</v>
      </c>
      <c r="B871" s="19">
        <v>45.194600000000037</v>
      </c>
      <c r="C871" s="19">
        <v>1.4666999999999959</v>
      </c>
      <c r="E871" s="4">
        <v>44804</v>
      </c>
      <c r="F871" s="19">
        <v>33.810099999999977</v>
      </c>
      <c r="G871" s="19">
        <v>2.4557999999999964</v>
      </c>
    </row>
    <row r="872" spans="1:7" x14ac:dyDescent="0.3">
      <c r="A872" s="4">
        <v>44803</v>
      </c>
      <c r="B872" s="19">
        <v>-18.041899999999998</v>
      </c>
      <c r="C872" s="19">
        <v>0.19930000000000092</v>
      </c>
      <c r="E872" s="4">
        <v>44803</v>
      </c>
      <c r="F872" s="19">
        <v>-31.756200000000035</v>
      </c>
      <c r="G872" s="19">
        <v>-1.1229000000000013</v>
      </c>
    </row>
    <row r="873" spans="1:7" x14ac:dyDescent="0.3">
      <c r="A873" s="4">
        <v>44802</v>
      </c>
      <c r="B873" s="19">
        <v>13.059999999999974</v>
      </c>
      <c r="C873" s="19">
        <v>10.4679</v>
      </c>
      <c r="E873" s="4">
        <v>44802</v>
      </c>
      <c r="F873" s="19">
        <v>8.3923000000000343</v>
      </c>
      <c r="G873" s="19">
        <v>7.1329999999999956</v>
      </c>
    </row>
    <row r="874" spans="1:7" x14ac:dyDescent="0.3">
      <c r="A874" s="4">
        <v>44799</v>
      </c>
      <c r="B874" s="19">
        <v>27.20859999999999</v>
      </c>
      <c r="C874" s="19">
        <v>-20.194999999999993</v>
      </c>
      <c r="E874" s="4">
        <v>44799</v>
      </c>
      <c r="F874" s="19">
        <v>24.304700000000025</v>
      </c>
      <c r="G874" s="19">
        <v>8.7074000000000069</v>
      </c>
    </row>
    <row r="875" spans="1:7" x14ac:dyDescent="0.3">
      <c r="A875" s="4">
        <v>44798</v>
      </c>
      <c r="B875" s="19">
        <v>25.738500000000016</v>
      </c>
      <c r="C875" s="19">
        <v>-17.016800000000003</v>
      </c>
      <c r="E875" s="4">
        <v>44798</v>
      </c>
      <c r="F875" s="19">
        <v>-9.0334000000000003</v>
      </c>
      <c r="G875" s="19">
        <v>8.980799999999995</v>
      </c>
    </row>
    <row r="876" spans="1:7" x14ac:dyDescent="0.3">
      <c r="A876" s="4">
        <v>44797</v>
      </c>
      <c r="B876" s="19">
        <v>-32.476100000000002</v>
      </c>
      <c r="C876" s="19">
        <v>0.98120000000000118</v>
      </c>
      <c r="E876" s="4">
        <v>44797</v>
      </c>
      <c r="F876" s="19">
        <v>-33.670799999999986</v>
      </c>
      <c r="G876" s="19">
        <v>-5.6222000000000065</v>
      </c>
    </row>
    <row r="877" spans="1:7" x14ac:dyDescent="0.3">
      <c r="A877" s="4">
        <v>44796</v>
      </c>
      <c r="B877" s="19">
        <v>-49.140600000000006</v>
      </c>
      <c r="C877" s="19">
        <v>-0.8411000000000044</v>
      </c>
      <c r="E877" s="4">
        <v>44796</v>
      </c>
      <c r="F877" s="19">
        <v>-43.139999999999986</v>
      </c>
      <c r="G877" s="19">
        <v>-2.0867000000000004</v>
      </c>
    </row>
    <row r="878" spans="1:7" x14ac:dyDescent="0.3">
      <c r="A878" s="4">
        <v>44795</v>
      </c>
      <c r="B878" s="19">
        <v>25.523799999999994</v>
      </c>
      <c r="C878" s="19">
        <v>7.192699999999995</v>
      </c>
      <c r="E878" s="4">
        <v>44795</v>
      </c>
      <c r="F878" s="19">
        <v>17.723900000000015</v>
      </c>
      <c r="G878" s="19">
        <v>6.0961999999999961</v>
      </c>
    </row>
    <row r="879" spans="1:7" x14ac:dyDescent="0.3">
      <c r="A879" s="4">
        <v>44792</v>
      </c>
      <c r="B879" s="19">
        <v>26.810599999999994</v>
      </c>
      <c r="C879" s="19">
        <v>-3.3870000000000005</v>
      </c>
      <c r="E879" s="4">
        <v>44792</v>
      </c>
      <c r="F879" s="19">
        <v>-9.6836000000000126</v>
      </c>
      <c r="G879" s="19">
        <v>13.705200000000005</v>
      </c>
    </row>
    <row r="880" spans="1:7" x14ac:dyDescent="0.3">
      <c r="A880" s="4">
        <v>44791</v>
      </c>
      <c r="B880" s="19">
        <v>-12.423900000000003</v>
      </c>
      <c r="C880" s="19">
        <v>-2.7099999999997237E-2</v>
      </c>
      <c r="E880" s="4">
        <v>44791</v>
      </c>
      <c r="F880" s="19">
        <v>-33.703599999999994</v>
      </c>
      <c r="G880" s="19">
        <v>6.8545000000000016</v>
      </c>
    </row>
    <row r="881" spans="1:7" x14ac:dyDescent="0.3">
      <c r="A881" s="4">
        <v>44790</v>
      </c>
      <c r="B881" s="19">
        <v>37.837299999999999</v>
      </c>
      <c r="C881" s="19">
        <v>-14.878799999999998</v>
      </c>
      <c r="E881" s="4">
        <v>44790</v>
      </c>
      <c r="F881" s="19">
        <v>30.8827</v>
      </c>
      <c r="G881" s="19">
        <v>-9.1689000000000007</v>
      </c>
    </row>
    <row r="882" spans="1:7" x14ac:dyDescent="0.3">
      <c r="A882" s="4">
        <v>44789</v>
      </c>
      <c r="B882" s="19">
        <v>-1.5893999999999835</v>
      </c>
      <c r="C882" s="19">
        <v>-9.3204000000000065</v>
      </c>
      <c r="E882" s="4">
        <v>44789</v>
      </c>
      <c r="F882" s="19">
        <v>10.264299999999992</v>
      </c>
      <c r="G882" s="19">
        <v>-10.249400000000009</v>
      </c>
    </row>
    <row r="883" spans="1:7" x14ac:dyDescent="0.3">
      <c r="A883" s="4">
        <v>44788</v>
      </c>
      <c r="B883" s="19">
        <v>-5.8406000000000233</v>
      </c>
      <c r="C883" s="19">
        <v>1.6419999999999959</v>
      </c>
      <c r="E883" s="4">
        <v>44788</v>
      </c>
      <c r="F883" s="19">
        <v>16.708100000000002</v>
      </c>
      <c r="G883" s="19">
        <v>0.36260000000000048</v>
      </c>
    </row>
    <row r="884" spans="1:7" x14ac:dyDescent="0.3">
      <c r="A884" s="4">
        <v>44785</v>
      </c>
      <c r="B884" s="19">
        <v>30.233100000000007</v>
      </c>
      <c r="C884" s="19">
        <v>5.9215000000000018</v>
      </c>
      <c r="E884" s="4">
        <v>44785</v>
      </c>
      <c r="F884" s="19">
        <v>8.5489000000000033</v>
      </c>
      <c r="G884" s="19">
        <v>3.9735999999999976</v>
      </c>
    </row>
    <row r="885" spans="1:7" x14ac:dyDescent="0.3">
      <c r="A885" s="4">
        <v>44784</v>
      </c>
      <c r="B885" s="19">
        <v>62.131</v>
      </c>
      <c r="C885" s="19">
        <v>0.82050000000000267</v>
      </c>
      <c r="E885" s="4">
        <v>44784</v>
      </c>
      <c r="F885" s="19">
        <v>70.822300000000013</v>
      </c>
      <c r="G885" s="19">
        <v>8.7398999999999987</v>
      </c>
    </row>
    <row r="886" spans="1:7" x14ac:dyDescent="0.3">
      <c r="A886" s="4">
        <v>44783</v>
      </c>
      <c r="B886" s="19">
        <v>-33.657600000000002</v>
      </c>
      <c r="C886" s="19">
        <v>11.6496</v>
      </c>
      <c r="E886" s="4">
        <v>44783</v>
      </c>
      <c r="F886" s="19">
        <v>-28.707300000000004</v>
      </c>
      <c r="G886" s="19">
        <v>1.1455000000000055</v>
      </c>
    </row>
    <row r="887" spans="1:7" x14ac:dyDescent="0.3">
      <c r="A887" s="4">
        <v>44782</v>
      </c>
      <c r="B887" s="19">
        <v>-1.0260000000000105</v>
      </c>
      <c r="C887" s="19">
        <v>-0.81069999999999709</v>
      </c>
      <c r="E887" s="4">
        <v>44782</v>
      </c>
      <c r="F887" s="19">
        <v>-21.096199999999982</v>
      </c>
      <c r="G887" s="19">
        <v>-5.1599000000000004</v>
      </c>
    </row>
    <row r="888" spans="1:7" x14ac:dyDescent="0.3">
      <c r="A888" s="4">
        <v>44781</v>
      </c>
      <c r="B888" s="19">
        <v>6.8802000000000021</v>
      </c>
      <c r="C888" s="19">
        <v>-1.3213000000000008</v>
      </c>
      <c r="E888" s="4">
        <v>44781</v>
      </c>
      <c r="F888" s="19">
        <v>-17.629400000000032</v>
      </c>
      <c r="G888" s="19">
        <v>-0.56819999999999737</v>
      </c>
    </row>
    <row r="889" spans="1:7" x14ac:dyDescent="0.3">
      <c r="A889" s="4">
        <v>44778</v>
      </c>
      <c r="B889" s="19">
        <v>17.790400000000005</v>
      </c>
      <c r="C889" s="19">
        <v>3.927500000000002</v>
      </c>
      <c r="E889" s="4">
        <v>44778</v>
      </c>
      <c r="F889" s="19">
        <v>11.548900000000003</v>
      </c>
      <c r="G889" s="19">
        <v>0.45010000000000616</v>
      </c>
    </row>
    <row r="890" spans="1:7" x14ac:dyDescent="0.3">
      <c r="A890" s="4">
        <v>44777</v>
      </c>
      <c r="B890" s="19">
        <v>-10.458200000000005</v>
      </c>
      <c r="C890" s="19">
        <v>3.3973000000000013</v>
      </c>
      <c r="E890" s="4">
        <v>44777</v>
      </c>
      <c r="F890" s="19">
        <v>-21.590700000000027</v>
      </c>
      <c r="G890" s="19">
        <v>6.2728999999999999</v>
      </c>
    </row>
    <row r="891" spans="1:7" x14ac:dyDescent="0.3">
      <c r="A891" s="4">
        <v>44776</v>
      </c>
      <c r="B891" s="19">
        <v>-13.895099999999985</v>
      </c>
      <c r="C891" s="19">
        <v>-4.2160000000000011</v>
      </c>
      <c r="E891" s="4">
        <v>44776</v>
      </c>
      <c r="F891" s="19">
        <v>3.4014999999999986</v>
      </c>
      <c r="G891" s="19">
        <v>11.4056</v>
      </c>
    </row>
    <row r="892" spans="1:7" x14ac:dyDescent="0.3">
      <c r="A892" s="4">
        <v>44775</v>
      </c>
      <c r="B892" s="19">
        <v>-5.8969999999999914</v>
      </c>
      <c r="C892" s="19">
        <v>13.451399999999992</v>
      </c>
      <c r="E892" s="4">
        <v>44775</v>
      </c>
      <c r="F892" s="19">
        <v>-17.21509999999995</v>
      </c>
      <c r="G892" s="19">
        <v>9.4254999999999924</v>
      </c>
    </row>
    <row r="893" spans="1:7" x14ac:dyDescent="0.3">
      <c r="A893" s="4">
        <v>44774</v>
      </c>
      <c r="B893" s="19">
        <v>8.9305999999999983</v>
      </c>
      <c r="C893" s="19">
        <v>9.5701999999999998</v>
      </c>
      <c r="E893" s="4">
        <v>44774</v>
      </c>
      <c r="F893" s="19">
        <v>15.051799999999957</v>
      </c>
      <c r="G893" s="19">
        <v>23.5931</v>
      </c>
    </row>
    <row r="894" spans="1:7" x14ac:dyDescent="0.3">
      <c r="A894" s="4">
        <v>44771</v>
      </c>
      <c r="B894" s="19">
        <v>-3.9507000000000119</v>
      </c>
      <c r="C894" s="19">
        <v>-11.668500000000002</v>
      </c>
      <c r="E894" s="4">
        <v>44771</v>
      </c>
      <c r="F894" s="19">
        <v>-13.238900000000001</v>
      </c>
      <c r="G894" s="19">
        <v>4.617999999999995</v>
      </c>
    </row>
    <row r="895" spans="1:7" x14ac:dyDescent="0.3">
      <c r="A895" s="4">
        <v>44770</v>
      </c>
      <c r="B895" s="19">
        <v>12.420699999999982</v>
      </c>
      <c r="C895" s="19">
        <v>-2.1319000000000017</v>
      </c>
      <c r="E895" s="4">
        <v>44770</v>
      </c>
      <c r="F895" s="19">
        <v>14.912800000000004</v>
      </c>
      <c r="G895" s="19">
        <v>1.5155999999999992</v>
      </c>
    </row>
    <row r="896" spans="1:7" x14ac:dyDescent="0.3">
      <c r="A896" s="4">
        <v>44769</v>
      </c>
      <c r="B896" s="19">
        <v>-15.727699999999999</v>
      </c>
      <c r="C896" s="19">
        <v>-0.62640000000000384</v>
      </c>
      <c r="E896" s="4">
        <v>44769</v>
      </c>
      <c r="F896" s="19">
        <v>-21.653800000000018</v>
      </c>
      <c r="G896" s="19">
        <v>3.3652999999999977</v>
      </c>
    </row>
    <row r="897" spans="1:7" x14ac:dyDescent="0.3">
      <c r="A897" s="4">
        <v>44768</v>
      </c>
      <c r="B897" s="19">
        <v>50.7166</v>
      </c>
      <c r="C897" s="19">
        <v>8.8408000000000015</v>
      </c>
      <c r="E897" s="4">
        <v>44768</v>
      </c>
      <c r="F897" s="19">
        <v>21.850900000000024</v>
      </c>
      <c r="G897" s="19">
        <v>1.2758000000000038</v>
      </c>
    </row>
    <row r="898" spans="1:7" x14ac:dyDescent="0.3">
      <c r="A898" s="4">
        <v>44767</v>
      </c>
      <c r="B898" s="19">
        <v>-11.675599999999974</v>
      </c>
      <c r="C898" s="19">
        <v>4.8329000000000022</v>
      </c>
      <c r="E898" s="4">
        <v>44767</v>
      </c>
      <c r="F898" s="19">
        <v>-22.17489999999998</v>
      </c>
      <c r="G898" s="19">
        <v>-4.6597999999999971</v>
      </c>
    </row>
    <row r="899" spans="1:7" x14ac:dyDescent="0.3">
      <c r="A899" s="4">
        <v>44764</v>
      </c>
      <c r="B899" s="19">
        <v>32.023799999999994</v>
      </c>
      <c r="C899" s="19">
        <v>0.62080000000000268</v>
      </c>
      <c r="E899" s="4">
        <v>44764</v>
      </c>
      <c r="F899" s="19">
        <v>-15.577799999999996</v>
      </c>
      <c r="G899" s="19">
        <v>5.3406999999999982</v>
      </c>
    </row>
    <row r="900" spans="1:7" x14ac:dyDescent="0.3">
      <c r="A900" s="4">
        <v>44763</v>
      </c>
      <c r="B900" s="19">
        <v>-14.066599999999994</v>
      </c>
      <c r="C900" s="19">
        <v>6.1816000000000031</v>
      </c>
      <c r="E900" s="4">
        <v>44763</v>
      </c>
      <c r="F900" s="19">
        <v>-13.455100000000016</v>
      </c>
      <c r="G900" s="19">
        <v>2.0865000000000009</v>
      </c>
    </row>
    <row r="901" spans="1:7" x14ac:dyDescent="0.3">
      <c r="A901" s="4">
        <v>44762</v>
      </c>
      <c r="B901" s="19">
        <v>19.333399999999983</v>
      </c>
      <c r="C901" s="19">
        <v>10.933500000000002</v>
      </c>
      <c r="E901" s="4">
        <v>44762</v>
      </c>
      <c r="F901" s="19">
        <v>17.446799999999996</v>
      </c>
      <c r="G901" s="19">
        <v>-0.81349999999999767</v>
      </c>
    </row>
    <row r="902" spans="1:7" x14ac:dyDescent="0.3">
      <c r="A902" s="4">
        <v>44761</v>
      </c>
      <c r="B902" s="19">
        <v>-57.953900000000004</v>
      </c>
      <c r="C902" s="19">
        <v>10.053100000000001</v>
      </c>
      <c r="E902" s="4">
        <v>44761</v>
      </c>
      <c r="F902" s="19">
        <v>-40.631299999999953</v>
      </c>
      <c r="G902" s="19">
        <v>1.1879000000000062</v>
      </c>
    </row>
    <row r="903" spans="1:7" x14ac:dyDescent="0.3">
      <c r="A903" s="4">
        <v>44760</v>
      </c>
      <c r="B903" s="19">
        <v>17.873199999999997</v>
      </c>
      <c r="C903" s="19">
        <v>-0.6197000000000088</v>
      </c>
      <c r="E903" s="4">
        <v>44760</v>
      </c>
      <c r="F903" s="19">
        <v>17.642599999999959</v>
      </c>
      <c r="G903" s="19">
        <v>-6.7805999999999926</v>
      </c>
    </row>
    <row r="904" spans="1:7" x14ac:dyDescent="0.3">
      <c r="A904" s="4">
        <v>44757</v>
      </c>
      <c r="B904" s="19">
        <v>-65.901499999999999</v>
      </c>
      <c r="C904" s="19">
        <v>9.0793000000000035</v>
      </c>
      <c r="E904" s="4">
        <v>44757</v>
      </c>
      <c r="F904" s="19">
        <v>-23.403800000000047</v>
      </c>
      <c r="G904" s="19">
        <v>8.3555000000000064</v>
      </c>
    </row>
    <row r="905" spans="1:7" x14ac:dyDescent="0.3">
      <c r="A905" s="4">
        <v>44756</v>
      </c>
      <c r="B905" s="19">
        <v>-28.609499999999997</v>
      </c>
      <c r="C905" s="19">
        <v>2.8399999999999963</v>
      </c>
      <c r="E905" s="4">
        <v>44756</v>
      </c>
      <c r="F905" s="19">
        <v>19.441400000000044</v>
      </c>
      <c r="G905" s="19">
        <v>3.0604000000000013</v>
      </c>
    </row>
    <row r="906" spans="1:7" x14ac:dyDescent="0.3">
      <c r="A906" s="4">
        <v>44755</v>
      </c>
      <c r="B906" s="19">
        <v>-37.843299999999999</v>
      </c>
      <c r="C906" s="19">
        <v>7.7413999999999987</v>
      </c>
      <c r="E906" s="4">
        <v>44755</v>
      </c>
      <c r="F906" s="19">
        <v>-30.897699999999986</v>
      </c>
      <c r="G906" s="19">
        <v>3.507399999999997</v>
      </c>
    </row>
    <row r="907" spans="1:7" x14ac:dyDescent="0.3">
      <c r="A907" s="4">
        <v>44754</v>
      </c>
      <c r="B907" s="19">
        <v>-15.343699999999984</v>
      </c>
      <c r="C907" s="19">
        <v>0.23389999999999844</v>
      </c>
      <c r="E907" s="4">
        <v>44754</v>
      </c>
      <c r="F907" s="19">
        <v>-27.166000000000054</v>
      </c>
      <c r="G907" s="19">
        <v>11.839899999999993</v>
      </c>
    </row>
    <row r="908" spans="1:7" x14ac:dyDescent="0.3">
      <c r="A908" s="4">
        <v>44753</v>
      </c>
      <c r="B908" s="19">
        <v>9.7012</v>
      </c>
      <c r="C908" s="19">
        <v>-6.0760000000000076</v>
      </c>
      <c r="E908" s="4">
        <v>44753</v>
      </c>
      <c r="F908" s="19">
        <v>-20.385499999999979</v>
      </c>
      <c r="G908" s="19">
        <v>-16.161599999999993</v>
      </c>
    </row>
    <row r="909" spans="1:7" x14ac:dyDescent="0.3">
      <c r="A909" s="4">
        <v>44750</v>
      </c>
      <c r="B909" s="19">
        <v>5.2587000000000046</v>
      </c>
      <c r="C909" s="19">
        <v>-0.28359999999999985</v>
      </c>
      <c r="E909" s="4">
        <v>44750</v>
      </c>
      <c r="F909" s="19">
        <v>7.0997999999999593</v>
      </c>
      <c r="G909" s="19">
        <v>6.8266999999999953</v>
      </c>
    </row>
    <row r="910" spans="1:7" x14ac:dyDescent="0.3">
      <c r="A910" s="4">
        <v>44749</v>
      </c>
      <c r="B910" s="19">
        <v>-3.0980999999999881</v>
      </c>
      <c r="C910" s="19">
        <v>-3.7547000000000068</v>
      </c>
      <c r="E910" s="4">
        <v>44749</v>
      </c>
      <c r="F910" s="19">
        <v>8.6391000000000417</v>
      </c>
      <c r="G910" s="19">
        <v>3.144999999999996</v>
      </c>
    </row>
    <row r="911" spans="1:7" x14ac:dyDescent="0.3">
      <c r="A911" s="4">
        <v>44748</v>
      </c>
      <c r="B911" s="19">
        <v>-22.808899999999994</v>
      </c>
      <c r="C911" s="19">
        <v>-22.556299999999993</v>
      </c>
      <c r="E911" s="4">
        <v>44748</v>
      </c>
      <c r="F911" s="19">
        <v>8.9828999999999724</v>
      </c>
      <c r="G911" s="19">
        <v>-13.094699999999989</v>
      </c>
    </row>
    <row r="912" spans="1:7" x14ac:dyDescent="0.3">
      <c r="A912" s="4">
        <v>44747</v>
      </c>
      <c r="B912" s="19">
        <v>-3.7929000000000315</v>
      </c>
      <c r="C912" s="19">
        <v>-12.706299999999999</v>
      </c>
      <c r="E912" s="4">
        <v>44747</v>
      </c>
      <c r="F912" s="19">
        <v>-9.6918000000000006</v>
      </c>
      <c r="G912" s="19">
        <v>-7.4909999999999997</v>
      </c>
    </row>
    <row r="913" spans="1:7" x14ac:dyDescent="0.3">
      <c r="A913" s="4">
        <v>44746</v>
      </c>
      <c r="B913" s="19">
        <v>15.43059999999997</v>
      </c>
      <c r="C913" s="19">
        <v>9.8400000000000034</v>
      </c>
      <c r="E913" s="4">
        <v>44746</v>
      </c>
      <c r="F913" s="19">
        <v>29.58439999999996</v>
      </c>
      <c r="G913" s="19">
        <v>2.2570999999999941</v>
      </c>
    </row>
    <row r="914" spans="1:7" x14ac:dyDescent="0.3">
      <c r="A914" s="4">
        <v>44742</v>
      </c>
      <c r="B914" s="19"/>
      <c r="C914" s="19">
        <v>35.411900000000003</v>
      </c>
      <c r="E914" s="4">
        <v>44742</v>
      </c>
      <c r="F914" s="19"/>
      <c r="G914" s="19">
        <v>39.786900000000003</v>
      </c>
    </row>
    <row r="915" spans="1:7" x14ac:dyDescent="0.3">
      <c r="A915" s="4">
        <v>44741</v>
      </c>
      <c r="B915" s="19">
        <v>1.5000000000213731E-3</v>
      </c>
      <c r="C915" s="19">
        <v>21.198300000000003</v>
      </c>
      <c r="E915" s="4">
        <v>44741</v>
      </c>
      <c r="F915" s="19">
        <v>-16.826799999999992</v>
      </c>
      <c r="G915" s="19">
        <v>12.292100000000005</v>
      </c>
    </row>
    <row r="916" spans="1:7" x14ac:dyDescent="0.3">
      <c r="A916" s="4">
        <v>44740</v>
      </c>
      <c r="B916" s="19">
        <v>16.864599999999996</v>
      </c>
      <c r="C916" s="19">
        <v>6.4879999999999995</v>
      </c>
      <c r="E916" s="4">
        <v>44740</v>
      </c>
      <c r="F916" s="19">
        <v>29.616899999999987</v>
      </c>
      <c r="G916" s="19">
        <v>12.779999999999987</v>
      </c>
    </row>
    <row r="917" spans="1:7" x14ac:dyDescent="0.3">
      <c r="A917" s="4">
        <v>44739</v>
      </c>
      <c r="B917" s="19">
        <v>44.330500000000029</v>
      </c>
      <c r="C917" s="19">
        <v>6.4941000000000031</v>
      </c>
      <c r="E917" s="4">
        <v>44739</v>
      </c>
      <c r="F917" s="19">
        <v>28.324200000000019</v>
      </c>
      <c r="G917" s="19">
        <v>36.148099999999999</v>
      </c>
    </row>
    <row r="918" spans="1:7" x14ac:dyDescent="0.3">
      <c r="A918" s="4">
        <v>44736</v>
      </c>
      <c r="B918" s="19">
        <v>45.388799999999975</v>
      </c>
      <c r="C918" s="19">
        <v>10.615499999999997</v>
      </c>
      <c r="E918" s="4">
        <v>44736</v>
      </c>
      <c r="F918" s="19">
        <v>50.784100000000024</v>
      </c>
      <c r="G918" s="19">
        <v>19.38669999999999</v>
      </c>
    </row>
    <row r="919" spans="1:7" x14ac:dyDescent="0.3">
      <c r="A919" s="4">
        <v>44735</v>
      </c>
      <c r="B919" s="19">
        <v>53.439700000000016</v>
      </c>
      <c r="C919" s="19">
        <v>1.1428999999999974</v>
      </c>
      <c r="E919" s="4">
        <v>44735</v>
      </c>
      <c r="F919" s="19">
        <v>66.887700000000052</v>
      </c>
      <c r="G919" s="19">
        <v>17.572200000000009</v>
      </c>
    </row>
    <row r="920" spans="1:7" x14ac:dyDescent="0.3">
      <c r="A920" s="4">
        <v>44734</v>
      </c>
      <c r="B920" s="19">
        <v>-17.854500000000002</v>
      </c>
      <c r="C920" s="19">
        <v>7.3681999999999874</v>
      </c>
      <c r="E920" s="4">
        <v>44734</v>
      </c>
      <c r="F920" s="19">
        <v>-50.345699999999965</v>
      </c>
      <c r="G920" s="19">
        <v>10.655100000000004</v>
      </c>
    </row>
    <row r="921" spans="1:7" x14ac:dyDescent="0.3">
      <c r="A921" s="4">
        <v>44733</v>
      </c>
      <c r="B921" s="19">
        <v>9.2350000000000136</v>
      </c>
      <c r="C921" s="19">
        <v>-0.92210000000000036</v>
      </c>
      <c r="E921" s="4">
        <v>44733</v>
      </c>
      <c r="F921" s="19">
        <v>-19.857700000000023</v>
      </c>
      <c r="G921" s="19">
        <v>13.241200000000006</v>
      </c>
    </row>
    <row r="922" spans="1:7" x14ac:dyDescent="0.3">
      <c r="A922" s="4">
        <v>44732</v>
      </c>
      <c r="B922" s="19">
        <v>-46.324600000000004</v>
      </c>
      <c r="C922" s="19">
        <v>-0.43689999999999429</v>
      </c>
      <c r="E922" s="4">
        <v>44732</v>
      </c>
      <c r="F922" s="19">
        <v>-50.708299999999952</v>
      </c>
      <c r="G922" s="19">
        <v>3.5641000000000105</v>
      </c>
    </row>
    <row r="923" spans="1:7" x14ac:dyDescent="0.3">
      <c r="A923" s="4">
        <v>44729</v>
      </c>
      <c r="B923" s="19">
        <v>57.445799999999963</v>
      </c>
      <c r="C923" s="19">
        <v>1.785499999999999</v>
      </c>
      <c r="E923" s="4">
        <v>44729</v>
      </c>
      <c r="F923" s="19">
        <v>34.229399999999998</v>
      </c>
      <c r="G923" s="19">
        <v>24.167100000000005</v>
      </c>
    </row>
    <row r="924" spans="1:7" x14ac:dyDescent="0.3">
      <c r="A924" s="4">
        <v>44728</v>
      </c>
      <c r="B924" s="19">
        <v>32.538000000000011</v>
      </c>
      <c r="C924" s="19">
        <v>9.7840999999999951</v>
      </c>
      <c r="E924" s="4">
        <v>44728</v>
      </c>
      <c r="F924" s="19">
        <v>11.982300000000009</v>
      </c>
      <c r="G924" s="19">
        <v>9.579400000000021</v>
      </c>
    </row>
    <row r="925" spans="1:7" x14ac:dyDescent="0.3">
      <c r="A925" s="4">
        <v>44727</v>
      </c>
      <c r="B925" s="19">
        <v>77.600099999999998</v>
      </c>
      <c r="C925" s="19">
        <v>20.068799999999996</v>
      </c>
      <c r="E925" s="4">
        <v>44727</v>
      </c>
      <c r="F925" s="19">
        <v>55.991899999999987</v>
      </c>
      <c r="G925" s="19">
        <v>23.415300000000002</v>
      </c>
    </row>
    <row r="926" spans="1:7" x14ac:dyDescent="0.3">
      <c r="A926" s="4">
        <v>44726</v>
      </c>
      <c r="B926" s="19">
        <v>36.377500000000055</v>
      </c>
      <c r="C926" s="19">
        <v>22.977599999999995</v>
      </c>
      <c r="E926" s="4">
        <v>44726</v>
      </c>
      <c r="F926" s="19">
        <v>3.0668999999999755</v>
      </c>
      <c r="G926" s="19">
        <v>28.814300000000003</v>
      </c>
    </row>
    <row r="927" spans="1:7" x14ac:dyDescent="0.3">
      <c r="A927" s="4">
        <v>44725</v>
      </c>
      <c r="B927" s="19">
        <v>-80.147799999999989</v>
      </c>
      <c r="C927" s="19">
        <v>27.427900000000008</v>
      </c>
      <c r="E927" s="4">
        <v>44725</v>
      </c>
      <c r="F927" s="19">
        <v>-55.044100000000014</v>
      </c>
      <c r="G927" s="19">
        <v>27.547299999999993</v>
      </c>
    </row>
    <row r="928" spans="1:7" x14ac:dyDescent="0.3">
      <c r="A928" s="4">
        <v>44722</v>
      </c>
      <c r="B928" s="19">
        <v>85.441599999999994</v>
      </c>
      <c r="C928" s="19">
        <v>18.768799999999999</v>
      </c>
      <c r="E928" s="4">
        <v>44722</v>
      </c>
      <c r="F928" s="19">
        <v>30.778700000000015</v>
      </c>
      <c r="G928" s="19">
        <v>18.341099999999997</v>
      </c>
    </row>
    <row r="929" spans="1:7" x14ac:dyDescent="0.3">
      <c r="A929" s="4">
        <v>44721</v>
      </c>
      <c r="B929" s="19">
        <v>30.246699999999976</v>
      </c>
      <c r="C929" s="19">
        <v>-1.5433000000000021</v>
      </c>
      <c r="E929" s="4">
        <v>44721</v>
      </c>
      <c r="F929" s="19">
        <v>5.5473999999999819</v>
      </c>
      <c r="G929" s="19">
        <v>5.6669999999999874</v>
      </c>
    </row>
    <row r="930" spans="1:7" x14ac:dyDescent="0.3">
      <c r="A930" s="4">
        <v>44720</v>
      </c>
      <c r="B930" s="19">
        <v>63.169099999999986</v>
      </c>
      <c r="C930" s="19">
        <v>-12.06389999999999</v>
      </c>
      <c r="E930" s="4">
        <v>44720</v>
      </c>
      <c r="F930" s="19">
        <v>-5.4972999999999956</v>
      </c>
      <c r="G930" s="19">
        <v>11.156199999999998</v>
      </c>
    </row>
    <row r="931" spans="1:7" x14ac:dyDescent="0.3">
      <c r="A931" s="4">
        <v>44719</v>
      </c>
      <c r="B931" s="19">
        <v>42.761899999999997</v>
      </c>
      <c r="C931" s="19">
        <v>-7.5284000000000049</v>
      </c>
      <c r="E931" s="4">
        <v>44719</v>
      </c>
      <c r="F931" s="19">
        <v>3.3082999999999743</v>
      </c>
      <c r="G931" s="19">
        <v>19.964599999999997</v>
      </c>
    </row>
    <row r="932" spans="1:7" x14ac:dyDescent="0.3">
      <c r="A932" s="4">
        <v>44718</v>
      </c>
      <c r="B932" s="19">
        <v>50.504699999999985</v>
      </c>
      <c r="C932" s="19">
        <v>2.6846000000000032</v>
      </c>
      <c r="E932" s="4">
        <v>44718</v>
      </c>
      <c r="F932" s="19">
        <v>62.042200000000037</v>
      </c>
      <c r="G932" s="19">
        <v>12.33959999999999</v>
      </c>
    </row>
    <row r="933" spans="1:7" x14ac:dyDescent="0.3">
      <c r="A933" s="4">
        <v>44714</v>
      </c>
      <c r="B933" s="19">
        <v>20.840000000000003</v>
      </c>
      <c r="C933" s="19">
        <v>9.9194000000000031</v>
      </c>
      <c r="E933" s="4">
        <v>44714</v>
      </c>
      <c r="F933" s="19">
        <v>10.986099999999993</v>
      </c>
      <c r="G933" s="19">
        <v>-2.9018000000000015</v>
      </c>
    </row>
    <row r="934" spans="1:7" x14ac:dyDescent="0.3">
      <c r="A934" s="4">
        <v>44713</v>
      </c>
      <c r="B934" s="19">
        <v>3.1274999999999977</v>
      </c>
      <c r="C934" s="19">
        <v>-3.315100000000001</v>
      </c>
      <c r="E934" s="4">
        <v>44713</v>
      </c>
      <c r="F934" s="19">
        <v>9.3465000000000202</v>
      </c>
      <c r="G934" s="19">
        <v>14.038600000000002</v>
      </c>
    </row>
    <row r="935" spans="1:7" x14ac:dyDescent="0.3">
      <c r="A935" s="4">
        <v>44712</v>
      </c>
      <c r="B935" s="19">
        <v>78.71410000000003</v>
      </c>
      <c r="C935" s="19">
        <v>6.1114999999999924</v>
      </c>
      <c r="E935" s="4">
        <v>44712</v>
      </c>
      <c r="F935" s="19">
        <v>59.940699999999993</v>
      </c>
      <c r="G935" s="19">
        <v>15.098600000000005</v>
      </c>
    </row>
    <row r="936" spans="1:7" x14ac:dyDescent="0.3">
      <c r="A936" s="4">
        <v>44711</v>
      </c>
      <c r="B936" s="19">
        <v>24.815600000000018</v>
      </c>
      <c r="C936" s="19">
        <v>-13.413900000000005</v>
      </c>
      <c r="E936" s="4">
        <v>44711</v>
      </c>
      <c r="F936" s="19">
        <v>45.67179999999999</v>
      </c>
      <c r="G936" s="19">
        <v>-1.3482999999999947</v>
      </c>
    </row>
    <row r="937" spans="1:7" x14ac:dyDescent="0.3">
      <c r="A937" s="4">
        <v>44708</v>
      </c>
      <c r="B937" s="19">
        <v>41.865399999999994</v>
      </c>
      <c r="C937" s="19">
        <v>-7.6620000000000061</v>
      </c>
      <c r="E937" s="4">
        <v>44708</v>
      </c>
      <c r="F937" s="19">
        <v>-2.8592999999999904</v>
      </c>
      <c r="G937" s="19">
        <v>11.756300000000003</v>
      </c>
    </row>
    <row r="938" spans="1:7" x14ac:dyDescent="0.3">
      <c r="A938" s="4">
        <v>44707</v>
      </c>
      <c r="B938" s="19">
        <v>-0.86220000000000141</v>
      </c>
      <c r="C938" s="19">
        <v>12.540300000000002</v>
      </c>
      <c r="E938" s="4">
        <v>44707</v>
      </c>
      <c r="F938" s="19">
        <v>-15.110500000000002</v>
      </c>
      <c r="G938" s="19">
        <v>17.399500000000003</v>
      </c>
    </row>
    <row r="939" spans="1:7" x14ac:dyDescent="0.3">
      <c r="A939" s="4">
        <v>44706</v>
      </c>
      <c r="B939" s="19">
        <v>20.445400000000006</v>
      </c>
      <c r="C939" s="19">
        <v>21.394400000000005</v>
      </c>
      <c r="E939" s="4">
        <v>44706</v>
      </c>
      <c r="F939" s="19">
        <v>13.648699999999991</v>
      </c>
      <c r="G939" s="19">
        <v>5.4994000000000014</v>
      </c>
    </row>
    <row r="940" spans="1:7" x14ac:dyDescent="0.3">
      <c r="A940" s="4">
        <v>44705</v>
      </c>
      <c r="B940" s="19">
        <v>-47.38300000000001</v>
      </c>
      <c r="C940" s="19">
        <v>11.282699999999991</v>
      </c>
      <c r="E940" s="4">
        <v>44705</v>
      </c>
      <c r="F940" s="19">
        <v>-48.108400000000017</v>
      </c>
      <c r="G940" s="19">
        <v>-2.1159000000000034</v>
      </c>
    </row>
    <row r="941" spans="1:7" x14ac:dyDescent="0.3">
      <c r="A941" s="4">
        <v>44704</v>
      </c>
      <c r="B941" s="19">
        <v>-25.07510000000002</v>
      </c>
      <c r="C941" s="19">
        <v>9.0604000000000013</v>
      </c>
      <c r="E941" s="4">
        <v>44704</v>
      </c>
      <c r="F941" s="19">
        <v>-32.36330000000001</v>
      </c>
      <c r="G941" s="19">
        <v>6.7545999999999964</v>
      </c>
    </row>
    <row r="942" spans="1:7" x14ac:dyDescent="0.3">
      <c r="A942" s="4">
        <v>44701</v>
      </c>
      <c r="B942" s="19">
        <v>103.74090000000001</v>
      </c>
      <c r="C942" s="19">
        <v>-0.15389999999999304</v>
      </c>
      <c r="E942" s="4">
        <v>44701</v>
      </c>
      <c r="F942" s="19">
        <v>38.619699999999966</v>
      </c>
      <c r="G942" s="19">
        <v>2.3766999999999996</v>
      </c>
    </row>
    <row r="943" spans="1:7" x14ac:dyDescent="0.3">
      <c r="A943" s="4">
        <v>44700</v>
      </c>
      <c r="B943" s="19">
        <v>27.394499999999994</v>
      </c>
      <c r="C943" s="19">
        <v>21.044899999999998</v>
      </c>
      <c r="E943" s="4">
        <v>44700</v>
      </c>
      <c r="F943" s="19">
        <v>23.855899999999991</v>
      </c>
      <c r="G943" s="19">
        <v>32.238499999999995</v>
      </c>
    </row>
    <row r="944" spans="1:7" x14ac:dyDescent="0.3">
      <c r="A944" s="4">
        <v>44699</v>
      </c>
      <c r="B944" s="19">
        <v>-21.095699999999994</v>
      </c>
      <c r="C944" s="19">
        <v>4.9495000000000005</v>
      </c>
      <c r="E944" s="4">
        <v>44699</v>
      </c>
      <c r="F944" s="19">
        <v>-1.6786999999999921</v>
      </c>
      <c r="G944" s="19">
        <v>3.1111000000000004</v>
      </c>
    </row>
    <row r="945" spans="1:7" x14ac:dyDescent="0.3">
      <c r="A945" s="4">
        <v>44698</v>
      </c>
      <c r="B945" s="19">
        <v>32.829100000000011</v>
      </c>
      <c r="C945" s="19">
        <v>5.636099999999999</v>
      </c>
      <c r="E945" s="4">
        <v>44698</v>
      </c>
      <c r="F945" s="19">
        <v>26.7714</v>
      </c>
      <c r="G945" s="19">
        <v>37.430599999999998</v>
      </c>
    </row>
    <row r="946" spans="1:7" x14ac:dyDescent="0.3">
      <c r="A946" s="4">
        <v>44697</v>
      </c>
      <c r="B946" s="19">
        <v>-27.977600000000024</v>
      </c>
      <c r="C946" s="19">
        <v>5.3561999999999941</v>
      </c>
      <c r="E946" s="4">
        <v>44697</v>
      </c>
      <c r="F946" s="19">
        <v>-50.282999999999987</v>
      </c>
      <c r="G946" s="19">
        <v>13.966799999999999</v>
      </c>
    </row>
    <row r="947" spans="1:7" x14ac:dyDescent="0.3">
      <c r="A947" s="4">
        <v>44694</v>
      </c>
      <c r="B947" s="19">
        <v>31.711099999999988</v>
      </c>
      <c r="C947" s="19">
        <v>17.387599999999999</v>
      </c>
      <c r="E947" s="4">
        <v>44694</v>
      </c>
      <c r="F947" s="19">
        <v>-10.925000000000011</v>
      </c>
      <c r="G947" s="19">
        <v>17.559199999999997</v>
      </c>
    </row>
    <row r="948" spans="1:7" x14ac:dyDescent="0.3">
      <c r="A948" s="4">
        <v>44693</v>
      </c>
      <c r="B948" s="19">
        <v>-23.421199999999999</v>
      </c>
      <c r="C948" s="19">
        <v>37.366899999999994</v>
      </c>
      <c r="E948" s="4">
        <v>44693</v>
      </c>
      <c r="F948" s="19">
        <v>-3.6064000000000078</v>
      </c>
      <c r="G948" s="19">
        <v>29.173999999999999</v>
      </c>
    </row>
    <row r="949" spans="1:7" x14ac:dyDescent="0.3">
      <c r="A949" s="4">
        <v>44692</v>
      </c>
      <c r="B949" s="19">
        <v>3.5868000000000109</v>
      </c>
      <c r="C949" s="19">
        <v>27.229599999999991</v>
      </c>
      <c r="E949" s="4">
        <v>44692</v>
      </c>
      <c r="F949" s="19">
        <v>18.690400000000011</v>
      </c>
      <c r="G949" s="19">
        <v>35.690599999999996</v>
      </c>
    </row>
    <row r="950" spans="1:7" x14ac:dyDescent="0.3">
      <c r="A950" s="4">
        <v>44691</v>
      </c>
      <c r="B950" s="19">
        <v>-30.628999999999962</v>
      </c>
      <c r="C950" s="19">
        <v>41.358399999999996</v>
      </c>
      <c r="E950" s="4">
        <v>44691</v>
      </c>
      <c r="F950" s="19">
        <v>-58.629099999999994</v>
      </c>
      <c r="G950" s="19">
        <v>22.929099999999998</v>
      </c>
    </row>
    <row r="951" spans="1:7" x14ac:dyDescent="0.3">
      <c r="A951" s="4">
        <v>44687</v>
      </c>
      <c r="B951" s="19"/>
      <c r="C951" s="19">
        <v>19.601600000000005</v>
      </c>
      <c r="E951" s="4">
        <v>44687</v>
      </c>
      <c r="F951" s="19"/>
      <c r="G951" s="19">
        <v>6.0754999999999981</v>
      </c>
    </row>
    <row r="952" spans="1:7" x14ac:dyDescent="0.3">
      <c r="A952" s="4">
        <v>44686</v>
      </c>
      <c r="B952" s="19">
        <v>0.8528999999999769</v>
      </c>
      <c r="C952" s="19">
        <v>2.8087999999999909</v>
      </c>
      <c r="E952" s="4">
        <v>44686</v>
      </c>
      <c r="F952" s="19">
        <v>-24.475699999999961</v>
      </c>
      <c r="G952" s="19">
        <v>-11.322500000000005</v>
      </c>
    </row>
    <row r="953" spans="1:7" x14ac:dyDescent="0.3">
      <c r="A953" s="4">
        <v>44680</v>
      </c>
      <c r="B953" s="19">
        <v>2.1175000000000068</v>
      </c>
      <c r="C953" s="19"/>
      <c r="E953" s="4">
        <v>44680</v>
      </c>
      <c r="F953" s="19">
        <v>40.338099999999997</v>
      </c>
      <c r="G953" s="19"/>
    </row>
    <row r="954" spans="1:7" x14ac:dyDescent="0.3">
      <c r="A954" s="4">
        <v>44679</v>
      </c>
      <c r="B954" s="19">
        <v>4.5888000000000488</v>
      </c>
      <c r="C954" s="19"/>
      <c r="E954" s="4">
        <v>44679</v>
      </c>
      <c r="F954" s="19">
        <v>-10.954399999999964</v>
      </c>
      <c r="G954" s="19"/>
    </row>
    <row r="955" spans="1:7" x14ac:dyDescent="0.3">
      <c r="A955" s="4">
        <v>44678</v>
      </c>
      <c r="B955" s="19">
        <v>-1.29200000000003</v>
      </c>
      <c r="C955" s="19">
        <v>20.462299999999999</v>
      </c>
      <c r="E955" s="4">
        <v>44678</v>
      </c>
      <c r="F955" s="19">
        <v>44.886799999999994</v>
      </c>
      <c r="G955" s="19">
        <v>7.8149000000000086</v>
      </c>
    </row>
    <row r="956" spans="1:7" x14ac:dyDescent="0.3">
      <c r="A956" s="4">
        <v>44677</v>
      </c>
      <c r="B956" s="19">
        <v>-2.7767999999999802</v>
      </c>
      <c r="C956" s="19">
        <v>-1.3493000000000066</v>
      </c>
      <c r="E956" s="4">
        <v>44677</v>
      </c>
      <c r="F956" s="19">
        <v>18.205899999999986</v>
      </c>
      <c r="G956" s="19">
        <v>2.2542000000000044</v>
      </c>
    </row>
    <row r="957" spans="1:7" x14ac:dyDescent="0.3">
      <c r="A957" s="4">
        <v>44676</v>
      </c>
      <c r="B957" s="19">
        <v>-48.468800000000044</v>
      </c>
      <c r="C957" s="19">
        <v>-5.4966000000000008</v>
      </c>
      <c r="E957" s="4">
        <v>44676</v>
      </c>
      <c r="F957" s="19">
        <v>4.4956000000000245</v>
      </c>
      <c r="G957" s="19">
        <v>2.5345000000000084</v>
      </c>
    </row>
    <row r="958" spans="1:7" x14ac:dyDescent="0.3">
      <c r="A958" s="4">
        <v>44673</v>
      </c>
      <c r="B958" s="19">
        <v>36.105799999999988</v>
      </c>
      <c r="C958" s="19">
        <v>13.276399999999995</v>
      </c>
      <c r="E958" s="4">
        <v>44673</v>
      </c>
      <c r="F958" s="19">
        <v>31.543899999999979</v>
      </c>
      <c r="G958" s="19">
        <v>19.558399999999999</v>
      </c>
    </row>
    <row r="959" spans="1:7" x14ac:dyDescent="0.3">
      <c r="A959" s="4">
        <v>44672</v>
      </c>
      <c r="B959" s="19">
        <v>6.1170999999999935</v>
      </c>
      <c r="C959" s="19">
        <v>-14.4953</v>
      </c>
      <c r="E959" s="4">
        <v>44672</v>
      </c>
      <c r="F959" s="19">
        <v>2.9927000000000135</v>
      </c>
      <c r="G959" s="19">
        <v>-7.764400000000002</v>
      </c>
    </row>
    <row r="960" spans="1:7" x14ac:dyDescent="0.3">
      <c r="A960" s="4">
        <v>44671</v>
      </c>
      <c r="B960" s="19">
        <v>-32.863699999999994</v>
      </c>
      <c r="C960" s="19">
        <v>-5.7079000000000022</v>
      </c>
      <c r="E960" s="4">
        <v>44671</v>
      </c>
      <c r="F960" s="19">
        <v>-20.013499999999993</v>
      </c>
      <c r="G960" s="19">
        <v>-12.515000000000001</v>
      </c>
    </row>
    <row r="961" spans="1:7" x14ac:dyDescent="0.3">
      <c r="A961" s="4">
        <v>44670</v>
      </c>
      <c r="B961" s="19">
        <v>-22.642899999999997</v>
      </c>
      <c r="C961" s="19">
        <v>16.919199999999996</v>
      </c>
      <c r="E961" s="4">
        <v>44670</v>
      </c>
      <c r="F961" s="19">
        <v>3.2067000000000121</v>
      </c>
      <c r="G961" s="19">
        <v>13.029400000000003</v>
      </c>
    </row>
    <row r="962" spans="1:7" x14ac:dyDescent="0.3">
      <c r="A962" s="4">
        <v>44665</v>
      </c>
      <c r="B962" s="19"/>
      <c r="C962" s="19">
        <v>4.6214999999999975</v>
      </c>
      <c r="E962" s="4">
        <v>44665</v>
      </c>
      <c r="F962" s="19"/>
      <c r="G962" s="19">
        <v>4.7833000000000041</v>
      </c>
    </row>
    <row r="963" spans="1:7" x14ac:dyDescent="0.3">
      <c r="A963" s="4">
        <v>44664</v>
      </c>
      <c r="B963" s="19">
        <v>3.8928999999999974</v>
      </c>
      <c r="C963" s="19">
        <v>14.388899999999992</v>
      </c>
      <c r="E963" s="4">
        <v>44664</v>
      </c>
      <c r="F963" s="19">
        <v>-8.8691000000000031</v>
      </c>
      <c r="G963" s="19">
        <v>14.8596</v>
      </c>
    </row>
    <row r="964" spans="1:7" x14ac:dyDescent="0.3">
      <c r="A964" s="4">
        <v>44663</v>
      </c>
      <c r="B964" s="19">
        <v>42.27049999999997</v>
      </c>
      <c r="C964" s="19">
        <v>10.697600000000008</v>
      </c>
      <c r="E964" s="4">
        <v>44663</v>
      </c>
      <c r="F964" s="19">
        <v>49.099900000000019</v>
      </c>
      <c r="G964" s="19">
        <v>6.3307000000000073</v>
      </c>
    </row>
    <row r="965" spans="1:7" x14ac:dyDescent="0.3">
      <c r="A965" s="4">
        <v>44662</v>
      </c>
      <c r="B965" s="19">
        <v>-30.293599999999998</v>
      </c>
      <c r="C965" s="19">
        <v>1.8593999999999937</v>
      </c>
      <c r="E965" s="4">
        <v>44662</v>
      </c>
      <c r="F965" s="19">
        <v>-27.322699999999969</v>
      </c>
      <c r="G965" s="19">
        <v>-1.1774999999999949</v>
      </c>
    </row>
    <row r="966" spans="1:7" x14ac:dyDescent="0.3">
      <c r="A966" s="4">
        <v>44659</v>
      </c>
      <c r="B966" s="19">
        <v>10.633099999999985</v>
      </c>
      <c r="C966" s="19">
        <v>-1.0045999999999964</v>
      </c>
      <c r="E966" s="4">
        <v>44659</v>
      </c>
      <c r="F966" s="19">
        <v>-16.907299999999992</v>
      </c>
      <c r="G966" s="19">
        <v>4.3718000000000004</v>
      </c>
    </row>
    <row r="967" spans="1:7" x14ac:dyDescent="0.3">
      <c r="A967" s="4">
        <v>44658</v>
      </c>
      <c r="B967" s="19">
        <v>6.3849999999999909</v>
      </c>
      <c r="C967" s="19">
        <v>-6.2699000000000069</v>
      </c>
      <c r="E967" s="4">
        <v>44658</v>
      </c>
      <c r="F967" s="19">
        <v>-12.470500000000015</v>
      </c>
      <c r="G967" s="19">
        <v>-3.0750000000000028</v>
      </c>
    </row>
    <row r="968" spans="1:7" x14ac:dyDescent="0.3">
      <c r="A968" s="4">
        <v>44657</v>
      </c>
      <c r="B968" s="19">
        <v>-25.099400000000003</v>
      </c>
      <c r="C968" s="19">
        <v>5.1760000000000019</v>
      </c>
      <c r="E968" s="4">
        <v>44657</v>
      </c>
      <c r="F968" s="19">
        <v>-28.110700000000008</v>
      </c>
      <c r="G968" s="19">
        <v>1.1952999999999889</v>
      </c>
    </row>
    <row r="969" spans="1:7" x14ac:dyDescent="0.3">
      <c r="A969" s="4">
        <v>44652</v>
      </c>
      <c r="B969" s="19">
        <v>16.88130000000001</v>
      </c>
      <c r="C969" s="19"/>
      <c r="E969" s="4">
        <v>44652</v>
      </c>
      <c r="F969" s="19">
        <v>27.32759999999999</v>
      </c>
      <c r="G969" s="19"/>
    </row>
    <row r="970" spans="1:7" x14ac:dyDescent="0.3">
      <c r="A970" s="4">
        <v>44651</v>
      </c>
      <c r="B970" s="19">
        <v>17.291300000000007</v>
      </c>
      <c r="C970" s="19"/>
      <c r="E970" s="4">
        <v>44651</v>
      </c>
      <c r="F970" s="19">
        <v>-6.7567999999999984</v>
      </c>
      <c r="G970" s="19"/>
    </row>
    <row r="971" spans="1:7" x14ac:dyDescent="0.3">
      <c r="A971" s="4">
        <v>44650</v>
      </c>
      <c r="B971" s="19">
        <v>63.522599999999983</v>
      </c>
      <c r="C971" s="19">
        <v>-15.392299999999992</v>
      </c>
      <c r="E971" s="4">
        <v>44650</v>
      </c>
      <c r="F971" s="19">
        <v>63.733500000000021</v>
      </c>
      <c r="G971" s="19">
        <v>-6.0263999999999953</v>
      </c>
    </row>
    <row r="972" spans="1:7" x14ac:dyDescent="0.3">
      <c r="A972" s="4">
        <v>44649</v>
      </c>
      <c r="B972" s="19">
        <v>0.89889999999999759</v>
      </c>
      <c r="C972" s="19">
        <v>-11.6327</v>
      </c>
      <c r="E972" s="4">
        <v>44649</v>
      </c>
      <c r="F972" s="19">
        <v>-4.1799000000000035</v>
      </c>
      <c r="G972" s="19">
        <v>2.5099000000000018</v>
      </c>
    </row>
    <row r="973" spans="1:7" x14ac:dyDescent="0.3">
      <c r="A973" s="4">
        <v>44648</v>
      </c>
      <c r="B973" s="19">
        <v>28.658299999999997</v>
      </c>
      <c r="C973" s="19">
        <v>-15.935199999999995</v>
      </c>
      <c r="E973" s="4">
        <v>44648</v>
      </c>
      <c r="F973" s="19">
        <v>21.645199999999988</v>
      </c>
      <c r="G973" s="19">
        <v>7.0718999999999994</v>
      </c>
    </row>
    <row r="974" spans="1:7" x14ac:dyDescent="0.3">
      <c r="A974" s="4">
        <v>44645</v>
      </c>
      <c r="B974" s="19">
        <v>-7.7633000000000152</v>
      </c>
      <c r="C974" s="19">
        <v>-14.717699999999994</v>
      </c>
      <c r="E974" s="4">
        <v>44645</v>
      </c>
      <c r="F974" s="19">
        <v>-23.411000000000001</v>
      </c>
      <c r="G974" s="19">
        <v>-17.776899999999998</v>
      </c>
    </row>
    <row r="975" spans="1:7" x14ac:dyDescent="0.3">
      <c r="A975" s="4">
        <v>44644</v>
      </c>
      <c r="B975" s="19">
        <v>12.051300000000026</v>
      </c>
      <c r="C975" s="19">
        <v>2.1115000000000066</v>
      </c>
      <c r="E975" s="4">
        <v>44644</v>
      </c>
      <c r="F975" s="19">
        <v>-13.3262</v>
      </c>
      <c r="G975" s="19">
        <v>-10.265500000000003</v>
      </c>
    </row>
    <row r="976" spans="1:7" x14ac:dyDescent="0.3">
      <c r="A976" s="4">
        <v>44643</v>
      </c>
      <c r="B976" s="19">
        <v>-14.906700000000001</v>
      </c>
      <c r="C976" s="19">
        <v>27.953199999999995</v>
      </c>
      <c r="E976" s="4">
        <v>44643</v>
      </c>
      <c r="F976" s="19">
        <v>12.97059999999999</v>
      </c>
      <c r="G976" s="19">
        <v>17.646999999999991</v>
      </c>
    </row>
    <row r="977" spans="1:7" x14ac:dyDescent="0.3">
      <c r="A977" s="4">
        <v>44642</v>
      </c>
      <c r="B977" s="19">
        <v>-3.5683999999999969</v>
      </c>
      <c r="C977" s="19">
        <v>6.1303999999999945</v>
      </c>
      <c r="E977" s="4">
        <v>44642</v>
      </c>
      <c r="F977" s="19">
        <v>-5.6493999999999858</v>
      </c>
      <c r="G977" s="19">
        <v>4.6039000000000101</v>
      </c>
    </row>
    <row r="978" spans="1:7" x14ac:dyDescent="0.3">
      <c r="A978" s="4">
        <v>44641</v>
      </c>
      <c r="B978" s="19">
        <v>-49.532700000000006</v>
      </c>
      <c r="C978" s="19">
        <v>5.9077999999999946</v>
      </c>
      <c r="E978" s="4">
        <v>44641</v>
      </c>
      <c r="F978" s="19">
        <v>-34.653400000000005</v>
      </c>
      <c r="G978" s="19">
        <v>4.8892999999999915</v>
      </c>
    </row>
    <row r="979" spans="1:7" x14ac:dyDescent="0.3">
      <c r="A979" s="4">
        <v>44638</v>
      </c>
      <c r="B979" s="19">
        <v>82.933899999999994</v>
      </c>
      <c r="C979" s="19">
        <v>29.481100000000012</v>
      </c>
      <c r="E979" s="4">
        <v>44638</v>
      </c>
      <c r="F979" s="19">
        <v>1.6402999999999679</v>
      </c>
      <c r="G979" s="19">
        <v>-1.2360999999999933</v>
      </c>
    </row>
    <row r="980" spans="1:7" x14ac:dyDescent="0.3">
      <c r="A980" s="4">
        <v>44637</v>
      </c>
      <c r="B980" s="19">
        <v>4.9156000000000404</v>
      </c>
      <c r="C980" s="19">
        <v>-38.82050000000001</v>
      </c>
      <c r="E980" s="4">
        <v>44637</v>
      </c>
      <c r="F980" s="19">
        <v>48.73739999999998</v>
      </c>
      <c r="G980" s="19">
        <v>36.772099999999995</v>
      </c>
    </row>
    <row r="981" spans="1:7" x14ac:dyDescent="0.3">
      <c r="A981" s="4">
        <v>44636</v>
      </c>
      <c r="B981" s="19">
        <v>3.0799999999999272E-2</v>
      </c>
      <c r="C981" s="19">
        <v>31.275100000000009</v>
      </c>
      <c r="E981" s="4">
        <v>44636</v>
      </c>
      <c r="F981" s="19">
        <v>-0.85379999999997835</v>
      </c>
      <c r="G981" s="19">
        <v>47.45089999999999</v>
      </c>
    </row>
    <row r="982" spans="1:7" x14ac:dyDescent="0.3">
      <c r="A982" s="4">
        <v>44635</v>
      </c>
      <c r="B982" s="19">
        <v>-88.638300000000015</v>
      </c>
      <c r="C982" s="19">
        <v>37.62469999999999</v>
      </c>
      <c r="E982" s="4">
        <v>44635</v>
      </c>
      <c r="F982" s="19">
        <v>-71.606599999999958</v>
      </c>
      <c r="G982" s="19">
        <v>56.211799999999997</v>
      </c>
    </row>
    <row r="983" spans="1:7" x14ac:dyDescent="0.3">
      <c r="A983" s="4">
        <v>44634</v>
      </c>
      <c r="B983" s="19">
        <v>-72.676600000000036</v>
      </c>
      <c r="C983" s="19">
        <v>40.1571</v>
      </c>
      <c r="E983" s="4">
        <v>44634</v>
      </c>
      <c r="F983" s="19">
        <v>-71.405599999999993</v>
      </c>
      <c r="G983" s="19">
        <v>24.562300000000008</v>
      </c>
    </row>
    <row r="984" spans="1:7" x14ac:dyDescent="0.3">
      <c r="A984" s="4">
        <v>44631</v>
      </c>
      <c r="B984" s="19">
        <v>-31.420500000000004</v>
      </c>
      <c r="C984" s="19">
        <v>24.906100000000009</v>
      </c>
      <c r="E984" s="4">
        <v>44631</v>
      </c>
      <c r="F984" s="19">
        <v>-18.997200000000021</v>
      </c>
      <c r="G984" s="19">
        <v>13.278000000000006</v>
      </c>
    </row>
    <row r="985" spans="1:7" x14ac:dyDescent="0.3">
      <c r="A985" s="4">
        <v>44630</v>
      </c>
      <c r="B985" s="19">
        <v>-11.179099999999977</v>
      </c>
      <c r="C985" s="19">
        <v>21.090699999999998</v>
      </c>
      <c r="E985" s="4">
        <v>44630</v>
      </c>
      <c r="F985" s="19">
        <v>-22.56049999999999</v>
      </c>
      <c r="G985" s="19">
        <v>13.404800000000009</v>
      </c>
    </row>
    <row r="986" spans="1:7" x14ac:dyDescent="0.3">
      <c r="A986" s="4">
        <v>44629</v>
      </c>
      <c r="B986" s="19">
        <v>-52.823399999999992</v>
      </c>
      <c r="C986" s="19">
        <v>-12.011400000000009</v>
      </c>
      <c r="E986" s="4">
        <v>44629</v>
      </c>
      <c r="F986" s="19">
        <v>-56.521100000000047</v>
      </c>
      <c r="G986" s="19">
        <v>15.61760000000001</v>
      </c>
    </row>
    <row r="987" spans="1:7" x14ac:dyDescent="0.3">
      <c r="A987" s="4">
        <v>44628</v>
      </c>
      <c r="B987" s="19">
        <v>-31.509200000000021</v>
      </c>
      <c r="C987" s="19">
        <v>0.46290000000000475</v>
      </c>
      <c r="E987" s="4">
        <v>44628</v>
      </c>
      <c r="F987" s="19">
        <v>-55.480400000000031</v>
      </c>
      <c r="G987" s="19">
        <v>18.372400000000013</v>
      </c>
    </row>
    <row r="988" spans="1:7" x14ac:dyDescent="0.3">
      <c r="A988" s="4">
        <v>44627</v>
      </c>
      <c r="B988" s="19">
        <v>-52.857300000000009</v>
      </c>
      <c r="C988" s="19">
        <v>21.763800000000003</v>
      </c>
      <c r="E988" s="4">
        <v>44627</v>
      </c>
      <c r="F988" s="19">
        <v>-29.85469999999998</v>
      </c>
      <c r="G988" s="19">
        <v>32.726100000000002</v>
      </c>
    </row>
    <row r="989" spans="1:7" x14ac:dyDescent="0.3">
      <c r="A989" s="4">
        <v>44624</v>
      </c>
      <c r="B989" s="19">
        <v>1.7151000000000067</v>
      </c>
      <c r="C989" s="19">
        <v>17.486499999999992</v>
      </c>
      <c r="E989" s="4">
        <v>44624</v>
      </c>
      <c r="F989" s="19">
        <v>2.8588000000000306</v>
      </c>
      <c r="G989" s="19">
        <v>25.540499999999994</v>
      </c>
    </row>
    <row r="990" spans="1:7" x14ac:dyDescent="0.3">
      <c r="A990" s="4">
        <v>44623</v>
      </c>
      <c r="B990" s="19">
        <v>7.9986000000000104</v>
      </c>
      <c r="C990" s="19">
        <v>-5.6863999999999919</v>
      </c>
      <c r="E990" s="4">
        <v>44623</v>
      </c>
      <c r="F990" s="19">
        <v>-15.307099999999991</v>
      </c>
      <c r="G990" s="19">
        <v>9.1531999999999982</v>
      </c>
    </row>
    <row r="991" spans="1:7" x14ac:dyDescent="0.3">
      <c r="A991" s="4">
        <v>44622</v>
      </c>
      <c r="B991" s="19">
        <v>-4.5075999999999965</v>
      </c>
      <c r="C991" s="19">
        <v>3.939700000000002</v>
      </c>
      <c r="E991" s="4">
        <v>44622</v>
      </c>
      <c r="F991" s="19">
        <v>-3.2481000000000222</v>
      </c>
      <c r="G991" s="19">
        <v>19.405599999999993</v>
      </c>
    </row>
    <row r="992" spans="1:7" x14ac:dyDescent="0.3">
      <c r="A992" s="4">
        <v>44621</v>
      </c>
      <c r="B992" s="19">
        <v>28.065799999999996</v>
      </c>
      <c r="C992" s="19">
        <v>22.15359999999999</v>
      </c>
      <c r="E992" s="4">
        <v>44621</v>
      </c>
      <c r="F992" s="19">
        <v>4.6967999999999961</v>
      </c>
      <c r="G992" s="19">
        <v>-3.3566000000000074</v>
      </c>
    </row>
    <row r="993" spans="1:7" x14ac:dyDescent="0.3">
      <c r="A993" s="4">
        <v>44620</v>
      </c>
      <c r="B993" s="19">
        <v>17.078000000000031</v>
      </c>
      <c r="C993" s="19">
        <v>2.1992000000000047</v>
      </c>
      <c r="E993" s="4">
        <v>44620</v>
      </c>
      <c r="F993" s="19">
        <v>3.3934999999999889</v>
      </c>
      <c r="G993" s="19">
        <v>6.6354999999999933</v>
      </c>
    </row>
    <row r="994" spans="1:7" x14ac:dyDescent="0.3">
      <c r="A994" s="4">
        <v>44617</v>
      </c>
      <c r="B994" s="19">
        <v>33.227499999999964</v>
      </c>
      <c r="C994" s="19">
        <v>13.531000000000006</v>
      </c>
      <c r="E994" s="4">
        <v>44617</v>
      </c>
      <c r="F994" s="19">
        <v>30.619</v>
      </c>
      <c r="G994" s="19">
        <v>18.075299999999999</v>
      </c>
    </row>
    <row r="995" spans="1:7" x14ac:dyDescent="0.3">
      <c r="A995" s="4">
        <v>44616</v>
      </c>
      <c r="B995" s="19">
        <v>-23.55619999999999</v>
      </c>
      <c r="C995" s="19">
        <v>-0.6518999999999977</v>
      </c>
      <c r="E995" s="4">
        <v>44616</v>
      </c>
      <c r="F995" s="19">
        <v>-10.023300000000006</v>
      </c>
      <c r="G995" s="19">
        <v>10.595299999999995</v>
      </c>
    </row>
    <row r="996" spans="1:7" x14ac:dyDescent="0.3">
      <c r="A996" s="4">
        <v>44615</v>
      </c>
      <c r="B996" s="19">
        <v>9.2610000000000241</v>
      </c>
      <c r="C996" s="19">
        <v>-4.2421000000000006</v>
      </c>
      <c r="E996" s="4">
        <v>44615</v>
      </c>
      <c r="F996" s="19">
        <v>4.9561999999999955</v>
      </c>
      <c r="G996" s="19">
        <v>18.823100000000004</v>
      </c>
    </row>
    <row r="997" spans="1:7" x14ac:dyDescent="0.3">
      <c r="A997" s="4">
        <v>44614</v>
      </c>
      <c r="B997" s="19">
        <v>-42.417100000000005</v>
      </c>
      <c r="C997" s="19">
        <v>-5.1079000000000008</v>
      </c>
      <c r="E997" s="4">
        <v>44614</v>
      </c>
      <c r="F997" s="19">
        <v>-30.9803</v>
      </c>
      <c r="G997" s="19">
        <v>5.0430999999999955</v>
      </c>
    </row>
    <row r="998" spans="1:7" x14ac:dyDescent="0.3">
      <c r="A998" s="4">
        <v>44613</v>
      </c>
      <c r="B998" s="19">
        <v>-29.206799999999987</v>
      </c>
      <c r="C998" s="19">
        <v>-14.662400000000005</v>
      </c>
      <c r="E998" s="4">
        <v>44613</v>
      </c>
      <c r="F998" s="19">
        <v>-6.007300000000015</v>
      </c>
      <c r="G998" s="19">
        <v>20.013000000000005</v>
      </c>
    </row>
    <row r="999" spans="1:7" x14ac:dyDescent="0.3">
      <c r="A999" s="4">
        <v>44610</v>
      </c>
      <c r="B999" s="19">
        <v>30.249000000000024</v>
      </c>
      <c r="C999" s="19">
        <v>-30.485499999999995</v>
      </c>
      <c r="E999" s="4">
        <v>44610</v>
      </c>
      <c r="F999" s="19">
        <v>18.126000000000005</v>
      </c>
      <c r="G999" s="19">
        <v>-1.0046999999999997</v>
      </c>
    </row>
    <row r="1000" spans="1:7" x14ac:dyDescent="0.3">
      <c r="A1000" s="4">
        <v>44609</v>
      </c>
      <c r="B1000" s="19">
        <v>16.365499999999997</v>
      </c>
      <c r="C1000" s="19">
        <v>-9.6274999999999977</v>
      </c>
      <c r="E1000" s="4">
        <v>44609</v>
      </c>
      <c r="F1000" s="19">
        <v>0.83480000000000132</v>
      </c>
      <c r="G1000" s="19">
        <v>2.3849000000000018</v>
      </c>
    </row>
    <row r="1001" spans="1:7" x14ac:dyDescent="0.3">
      <c r="A1001" s="4">
        <v>44608</v>
      </c>
      <c r="B1001" s="19">
        <v>9.5060000000000002</v>
      </c>
      <c r="C1001" s="19">
        <v>-7.5281999999999911</v>
      </c>
      <c r="E1001" s="4">
        <v>44608</v>
      </c>
      <c r="F1001" s="19">
        <v>-25.740099999999984</v>
      </c>
      <c r="G1001" s="19">
        <v>11.1828</v>
      </c>
    </row>
    <row r="1002" spans="1:7" x14ac:dyDescent="0.3">
      <c r="A1002" s="4">
        <v>44607</v>
      </c>
      <c r="B1002" s="19">
        <v>-10.916399999999982</v>
      </c>
      <c r="C1002" s="19">
        <v>-21.491099999999996</v>
      </c>
      <c r="E1002" s="4">
        <v>44607</v>
      </c>
      <c r="F1002" s="19">
        <v>-24.527500000000003</v>
      </c>
      <c r="G1002" s="19">
        <v>6.0619000000000014</v>
      </c>
    </row>
    <row r="1003" spans="1:7" x14ac:dyDescent="0.3">
      <c r="A1003" s="4">
        <v>44606</v>
      </c>
      <c r="B1003" s="19">
        <v>-13.700099999999992</v>
      </c>
      <c r="C1003" s="19">
        <v>-24.654100000000007</v>
      </c>
      <c r="E1003" s="4">
        <v>44606</v>
      </c>
      <c r="F1003" s="19">
        <v>-24.183900000000051</v>
      </c>
      <c r="G1003" s="19">
        <v>-0.10519999999999641</v>
      </c>
    </row>
    <row r="1004" spans="1:7" x14ac:dyDescent="0.3">
      <c r="A1004" s="4">
        <v>44603</v>
      </c>
      <c r="B1004" s="19">
        <v>23.590599999999995</v>
      </c>
      <c r="C1004" s="19">
        <v>-11.293800000000005</v>
      </c>
      <c r="E1004" s="4">
        <v>44603</v>
      </c>
      <c r="F1004" s="19">
        <v>-13.541200000000003</v>
      </c>
      <c r="G1004" s="19">
        <v>7.3697999999999979</v>
      </c>
    </row>
    <row r="1005" spans="1:7" x14ac:dyDescent="0.3">
      <c r="A1005" s="4">
        <v>44602</v>
      </c>
      <c r="B1005" s="19">
        <v>52.706900000000019</v>
      </c>
      <c r="C1005" s="19">
        <v>-11.375799999999998</v>
      </c>
      <c r="E1005" s="4">
        <v>44602</v>
      </c>
      <c r="F1005" s="19">
        <v>-7.5020000000000095</v>
      </c>
      <c r="G1005" s="19">
        <v>10.778500000000001</v>
      </c>
    </row>
    <row r="1006" spans="1:7" x14ac:dyDescent="0.3">
      <c r="A1006" s="4">
        <v>44601</v>
      </c>
      <c r="B1006" s="19">
        <v>9.8340000000000032</v>
      </c>
      <c r="C1006" s="19">
        <v>1.637999999999991</v>
      </c>
      <c r="E1006" s="4">
        <v>44601</v>
      </c>
      <c r="F1006" s="19">
        <v>-4.9911000000000172</v>
      </c>
      <c r="G1006" s="19">
        <v>25.7637</v>
      </c>
    </row>
    <row r="1007" spans="1:7" x14ac:dyDescent="0.3">
      <c r="A1007" s="4">
        <v>44600</v>
      </c>
      <c r="B1007" s="19">
        <v>21.130999999999972</v>
      </c>
      <c r="C1007" s="19">
        <v>-1.2789000000000073</v>
      </c>
      <c r="E1007" s="4">
        <v>44600</v>
      </c>
      <c r="F1007" s="19">
        <v>-29.302799999999991</v>
      </c>
      <c r="G1007" s="19">
        <v>15.371699999999997</v>
      </c>
    </row>
    <row r="1008" spans="1:7" x14ac:dyDescent="0.3">
      <c r="A1008" s="4">
        <v>44599</v>
      </c>
      <c r="B1008" s="19">
        <v>66.276100000000014</v>
      </c>
      <c r="C1008" s="19">
        <v>-10.160300000000007</v>
      </c>
      <c r="E1008" s="4">
        <v>44599</v>
      </c>
      <c r="F1008" s="19">
        <v>-10.759100000000046</v>
      </c>
      <c r="G1008" s="19">
        <v>24.134799999999998</v>
      </c>
    </row>
    <row r="1009" spans="1:7" x14ac:dyDescent="0.3">
      <c r="A1009" s="4">
        <v>44589</v>
      </c>
      <c r="B1009" s="19">
        <v>-83.212099999999992</v>
      </c>
      <c r="C1009" s="19"/>
      <c r="E1009" s="4">
        <v>44589</v>
      </c>
      <c r="F1009" s="19">
        <v>-41.446499999999958</v>
      </c>
      <c r="G1009" s="19"/>
    </row>
    <row r="1010" spans="1:7" x14ac:dyDescent="0.3">
      <c r="A1010" s="4">
        <v>44588</v>
      </c>
      <c r="B1010" s="19">
        <v>-77.236999999999995</v>
      </c>
      <c r="C1010" s="19"/>
      <c r="E1010" s="4">
        <v>44588</v>
      </c>
      <c r="F1010" s="19">
        <v>-68.998299999999972</v>
      </c>
      <c r="G1010" s="19"/>
    </row>
    <row r="1011" spans="1:7" x14ac:dyDescent="0.3">
      <c r="A1011" s="4">
        <v>44587</v>
      </c>
      <c r="B1011" s="19">
        <v>-1.6137999999999977</v>
      </c>
      <c r="C1011" s="19">
        <v>19.129599999999996</v>
      </c>
      <c r="E1011" s="4">
        <v>44587</v>
      </c>
      <c r="F1011" s="19">
        <v>13.007400000000018</v>
      </c>
      <c r="G1011" s="19">
        <v>27.328199999999995</v>
      </c>
    </row>
    <row r="1012" spans="1:7" x14ac:dyDescent="0.3">
      <c r="A1012" s="4">
        <v>44586</v>
      </c>
      <c r="B1012" s="19">
        <v>-13.724199999999996</v>
      </c>
      <c r="C1012" s="19">
        <v>-1.9468999999999994</v>
      </c>
      <c r="E1012" s="4">
        <v>44586</v>
      </c>
      <c r="F1012" s="19">
        <v>-22.011600000000044</v>
      </c>
      <c r="G1012" s="19">
        <v>25.289999999999992</v>
      </c>
    </row>
    <row r="1013" spans="1:7" x14ac:dyDescent="0.3">
      <c r="A1013" s="4">
        <v>44585</v>
      </c>
      <c r="B1013" s="19">
        <v>21.134999999999991</v>
      </c>
      <c r="C1013" s="19">
        <v>6.2359000000000009</v>
      </c>
      <c r="E1013" s="4">
        <v>44585</v>
      </c>
      <c r="F1013" s="19">
        <v>13.388300000000015</v>
      </c>
      <c r="G1013" s="19">
        <v>20.458399999999997</v>
      </c>
    </row>
    <row r="1014" spans="1:7" x14ac:dyDescent="0.3">
      <c r="A1014" s="4">
        <v>44582</v>
      </c>
      <c r="B1014" s="19">
        <v>43.508100000000013</v>
      </c>
      <c r="C1014" s="19">
        <v>5.4954000000000036</v>
      </c>
      <c r="E1014" s="4">
        <v>44582</v>
      </c>
      <c r="F1014" s="19">
        <v>44.069999999999993</v>
      </c>
      <c r="G1014" s="19">
        <v>14.863</v>
      </c>
    </row>
    <row r="1015" spans="1:7" x14ac:dyDescent="0.3">
      <c r="A1015" s="4">
        <v>44581</v>
      </c>
      <c r="B1015" s="19">
        <v>78.366299999999995</v>
      </c>
      <c r="C1015" s="19">
        <v>23.862800000000007</v>
      </c>
      <c r="E1015" s="4">
        <v>44581</v>
      </c>
      <c r="F1015" s="19">
        <v>47.398399999999981</v>
      </c>
      <c r="G1015" s="19">
        <v>41.5809</v>
      </c>
    </row>
    <row r="1016" spans="1:7" x14ac:dyDescent="0.3">
      <c r="A1016" s="4">
        <v>44580</v>
      </c>
      <c r="B1016" s="19">
        <v>29.298100000000005</v>
      </c>
      <c r="C1016" s="19">
        <v>-0.22249999999999659</v>
      </c>
      <c r="E1016" s="4">
        <v>44580</v>
      </c>
      <c r="F1016" s="19">
        <v>8.9139000000000124</v>
      </c>
      <c r="G1016" s="19">
        <v>6.1293000000000006</v>
      </c>
    </row>
    <row r="1017" spans="1:7" x14ac:dyDescent="0.3">
      <c r="A1017" s="4">
        <v>44579</v>
      </c>
      <c r="B1017" s="19">
        <v>42.950199999999995</v>
      </c>
      <c r="C1017" s="19">
        <v>10.263500000000008</v>
      </c>
      <c r="E1017" s="4">
        <v>44579</v>
      </c>
      <c r="F1017" s="19">
        <v>-19.599400000000003</v>
      </c>
      <c r="G1017" s="19">
        <v>11.891100000000002</v>
      </c>
    </row>
    <row r="1018" spans="1:7" x14ac:dyDescent="0.3">
      <c r="A1018" s="4">
        <v>44578</v>
      </c>
      <c r="B1018" s="19">
        <v>3.2313999999999794</v>
      </c>
      <c r="C1018" s="19">
        <v>8.0211999999999932</v>
      </c>
      <c r="E1018" s="4">
        <v>44578</v>
      </c>
      <c r="F1018" s="19">
        <v>13.834799999999973</v>
      </c>
      <c r="G1018" s="19">
        <v>6.541099999999993</v>
      </c>
    </row>
    <row r="1019" spans="1:7" x14ac:dyDescent="0.3">
      <c r="A1019" s="4">
        <v>44575</v>
      </c>
      <c r="B1019" s="19">
        <v>-7.535000000000025</v>
      </c>
      <c r="C1019" s="19">
        <v>18.4679</v>
      </c>
      <c r="E1019" s="4">
        <v>44575</v>
      </c>
      <c r="F1019" s="19">
        <v>10.354700000000037</v>
      </c>
      <c r="G1019" s="19">
        <v>19.245100000000001</v>
      </c>
    </row>
    <row r="1020" spans="1:7" x14ac:dyDescent="0.3">
      <c r="A1020" s="4">
        <v>44574</v>
      </c>
      <c r="B1020" s="19">
        <v>14.541600000000017</v>
      </c>
      <c r="C1020" s="19">
        <v>10.986500000000007</v>
      </c>
      <c r="E1020" s="4">
        <v>44574</v>
      </c>
      <c r="F1020" s="19">
        <v>-20.396199999999965</v>
      </c>
      <c r="G1020" s="19">
        <v>2.4024000000000001</v>
      </c>
    </row>
    <row r="1021" spans="1:7" x14ac:dyDescent="0.3">
      <c r="A1021" s="4">
        <v>44573</v>
      </c>
      <c r="B1021" s="19">
        <v>47.832500000000039</v>
      </c>
      <c r="C1021" s="19">
        <v>26.941000000000003</v>
      </c>
      <c r="E1021" s="4">
        <v>44573</v>
      </c>
      <c r="F1021" s="19">
        <v>22.345399999999984</v>
      </c>
      <c r="G1021" s="19">
        <v>25.959999999999994</v>
      </c>
    </row>
    <row r="1022" spans="1:7" x14ac:dyDescent="0.3">
      <c r="A1022" s="4">
        <v>44572</v>
      </c>
      <c r="B1022" s="19">
        <v>-9.3272000000000048</v>
      </c>
      <c r="C1022" s="19">
        <v>10.052599999999998</v>
      </c>
      <c r="E1022" s="4">
        <v>44572</v>
      </c>
      <c r="F1022" s="19">
        <v>-30.93689999999998</v>
      </c>
      <c r="G1022" s="19">
        <v>7.7282999999999902</v>
      </c>
    </row>
    <row r="1023" spans="1:7" x14ac:dyDescent="0.3">
      <c r="A1023" s="4">
        <v>44571</v>
      </c>
      <c r="B1023" s="19">
        <v>29.138100000000009</v>
      </c>
      <c r="C1023" s="19">
        <v>23.435400000000001</v>
      </c>
      <c r="E1023" s="4">
        <v>44571</v>
      </c>
      <c r="F1023" s="19">
        <v>18.4375</v>
      </c>
      <c r="G1023" s="19">
        <v>8.136099999999999</v>
      </c>
    </row>
    <row r="1024" spans="1:7" x14ac:dyDescent="0.3">
      <c r="A1024" s="4">
        <v>44568</v>
      </c>
      <c r="B1024" s="19">
        <v>70.911100000000005</v>
      </c>
      <c r="C1024" s="19">
        <v>13.348199999999991</v>
      </c>
      <c r="E1024" s="4">
        <v>44568</v>
      </c>
      <c r="F1024" s="19">
        <v>22.435200000000009</v>
      </c>
      <c r="G1024" s="19">
        <v>15.3279</v>
      </c>
    </row>
    <row r="1025" spans="1:7" x14ac:dyDescent="0.3">
      <c r="A1025" s="4">
        <v>44567</v>
      </c>
      <c r="B1025" s="19">
        <v>-22.172500000000014</v>
      </c>
      <c r="C1025" s="19">
        <v>9.9598000000000013</v>
      </c>
      <c r="E1025" s="4">
        <v>44567</v>
      </c>
      <c r="F1025" s="19">
        <v>-44.206999999999994</v>
      </c>
      <c r="G1025" s="19">
        <v>13.028499999999994</v>
      </c>
    </row>
    <row r="1026" spans="1:7" x14ac:dyDescent="0.3">
      <c r="A1026" s="4">
        <v>44566</v>
      </c>
      <c r="B1026" s="19">
        <v>29.199700000000007</v>
      </c>
      <c r="C1026" s="19">
        <v>18.718500000000006</v>
      </c>
      <c r="E1026" s="4">
        <v>44566</v>
      </c>
      <c r="F1026" s="19">
        <v>1.2633999999999901</v>
      </c>
      <c r="G1026" s="19">
        <v>5.3366999999999933</v>
      </c>
    </row>
    <row r="1027" spans="1:7" x14ac:dyDescent="0.3">
      <c r="A1027" s="4">
        <v>44565</v>
      </c>
      <c r="B1027" s="19">
        <v>-9.407100000000014</v>
      </c>
      <c r="C1027" s="19">
        <v>-1.5700000000009595E-2</v>
      </c>
      <c r="E1027" s="4">
        <v>44565</v>
      </c>
      <c r="F1027" s="19">
        <v>14.008700000000033</v>
      </c>
      <c r="G1027" s="19">
        <v>-15.730100000000007</v>
      </c>
    </row>
    <row r="1028" spans="1:7" x14ac:dyDescent="0.3">
      <c r="A1028" s="4">
        <v>44561</v>
      </c>
      <c r="B1028" s="19">
        <v>20.297499999999985</v>
      </c>
      <c r="C1028" s="19"/>
      <c r="E1028" s="4">
        <v>44561</v>
      </c>
      <c r="F1028" s="19">
        <v>25.43270000000004</v>
      </c>
      <c r="G1028" s="19"/>
    </row>
    <row r="1029" spans="1:7" x14ac:dyDescent="0.3">
      <c r="A1029" s="4">
        <v>44560</v>
      </c>
      <c r="B1029" s="19">
        <v>35.802099999999996</v>
      </c>
      <c r="C1029" s="19"/>
      <c r="E1029" s="4">
        <v>44560</v>
      </c>
      <c r="F1029" s="19">
        <v>45.611999999999995</v>
      </c>
      <c r="G1029" s="19"/>
    </row>
    <row r="1030" spans="1:7" x14ac:dyDescent="0.3">
      <c r="A1030" s="4">
        <v>44559</v>
      </c>
      <c r="B1030" s="19">
        <v>1.8633000000000095</v>
      </c>
      <c r="C1030" s="19"/>
      <c r="E1030" s="4">
        <v>44559</v>
      </c>
      <c r="F1030" s="19">
        <v>4.7556999999999903</v>
      </c>
      <c r="G1030" s="19"/>
    </row>
    <row r="1031" spans="1:7" x14ac:dyDescent="0.3">
      <c r="A1031" s="4">
        <v>44558</v>
      </c>
      <c r="B1031" s="19">
        <v>9.9953999999999894</v>
      </c>
      <c r="C1031" s="19">
        <v>-2.0811000000000064</v>
      </c>
      <c r="E1031" s="4">
        <v>44558</v>
      </c>
      <c r="F1031" s="19">
        <v>2.9300999999999817</v>
      </c>
      <c r="G1031" s="19">
        <v>-15.030699999999996</v>
      </c>
    </row>
    <row r="1032" spans="1:7" x14ac:dyDescent="0.3">
      <c r="A1032" s="4">
        <v>44554</v>
      </c>
      <c r="B1032" s="19"/>
      <c r="C1032" s="19">
        <v>-0.74249999999999972</v>
      </c>
      <c r="E1032" s="4">
        <v>44554</v>
      </c>
      <c r="F1032" s="19"/>
      <c r="G1032" s="19">
        <v>4.0122999999999998</v>
      </c>
    </row>
    <row r="1033" spans="1:7" x14ac:dyDescent="0.3">
      <c r="A1033" s="4">
        <v>44553</v>
      </c>
      <c r="B1033" s="19">
        <v>30.449900000000014</v>
      </c>
      <c r="C1033" s="19">
        <v>13.659300000000002</v>
      </c>
      <c r="E1033" s="4">
        <v>44553</v>
      </c>
      <c r="F1033" s="19">
        <v>-5.5312999999999874</v>
      </c>
      <c r="G1033" s="19">
        <v>14.990100000000005</v>
      </c>
    </row>
    <row r="1034" spans="1:7" x14ac:dyDescent="0.3">
      <c r="A1034" s="4">
        <v>44552</v>
      </c>
      <c r="B1034" s="19">
        <v>-17.063999999999993</v>
      </c>
      <c r="C1034" s="19">
        <v>21.293599999999998</v>
      </c>
      <c r="E1034" s="4">
        <v>44552</v>
      </c>
      <c r="F1034" s="19">
        <v>-0.3850999999999658</v>
      </c>
      <c r="G1034" s="19">
        <v>9.1683000000000021</v>
      </c>
    </row>
    <row r="1035" spans="1:7" x14ac:dyDescent="0.3">
      <c r="A1035" s="4">
        <v>44551</v>
      </c>
      <c r="B1035" s="19">
        <v>12.228100000000012</v>
      </c>
      <c r="C1035" s="19">
        <v>10.413900000000005</v>
      </c>
      <c r="E1035" s="4">
        <v>44551</v>
      </c>
      <c r="F1035" s="19">
        <v>-22.198199999999986</v>
      </c>
      <c r="G1035" s="19">
        <v>22.330100000000002</v>
      </c>
    </row>
    <row r="1036" spans="1:7" x14ac:dyDescent="0.3">
      <c r="A1036" s="4">
        <v>44550</v>
      </c>
      <c r="B1036" s="19">
        <v>-14.409299999999973</v>
      </c>
      <c r="C1036" s="19">
        <v>22.939399999999999</v>
      </c>
      <c r="E1036" s="4">
        <v>44550</v>
      </c>
      <c r="F1036" s="19">
        <v>4.7016999999999598</v>
      </c>
      <c r="G1036" s="19">
        <v>15.142500000000013</v>
      </c>
    </row>
    <row r="1037" spans="1:7" x14ac:dyDescent="0.3">
      <c r="A1037" s="4">
        <v>44547</v>
      </c>
      <c r="B1037" s="19">
        <v>-35.938799999999958</v>
      </c>
      <c r="C1037" s="19">
        <v>19.980400000000003</v>
      </c>
      <c r="E1037" s="4">
        <v>44547</v>
      </c>
      <c r="F1037" s="19">
        <v>-29.673200000000008</v>
      </c>
      <c r="G1037" s="19">
        <v>29.165999999999997</v>
      </c>
    </row>
    <row r="1038" spans="1:7" x14ac:dyDescent="0.3">
      <c r="A1038" s="4">
        <v>44546</v>
      </c>
      <c r="B1038" s="19">
        <v>20.509600000000006</v>
      </c>
      <c r="C1038" s="19">
        <v>7.9824000000000126</v>
      </c>
      <c r="E1038" s="4">
        <v>44546</v>
      </c>
      <c r="F1038" s="19">
        <v>38.335899999999981</v>
      </c>
      <c r="G1038" s="19">
        <v>32.762199999999993</v>
      </c>
    </row>
    <row r="1039" spans="1:7" x14ac:dyDescent="0.3">
      <c r="A1039" s="4">
        <v>44545</v>
      </c>
      <c r="B1039" s="19">
        <v>5.5947000000000173</v>
      </c>
      <c r="C1039" s="19">
        <v>17.033999999999992</v>
      </c>
      <c r="E1039" s="4">
        <v>44545</v>
      </c>
      <c r="F1039" s="19">
        <v>1.9222000000000321</v>
      </c>
      <c r="G1039" s="19">
        <v>17.7209</v>
      </c>
    </row>
    <row r="1040" spans="1:7" x14ac:dyDescent="0.3">
      <c r="A1040" s="4">
        <v>44544</v>
      </c>
      <c r="B1040" s="19">
        <v>39.761399999999981</v>
      </c>
      <c r="C1040" s="19">
        <v>13.96690000000001</v>
      </c>
      <c r="E1040" s="4">
        <v>44544</v>
      </c>
      <c r="F1040" s="19">
        <v>20.497900000000016</v>
      </c>
      <c r="G1040" s="19">
        <v>3.0267999999999944</v>
      </c>
    </row>
    <row r="1041" spans="1:7" x14ac:dyDescent="0.3">
      <c r="A1041" s="4">
        <v>44543</v>
      </c>
      <c r="B1041" s="19">
        <v>39.600500000000011</v>
      </c>
      <c r="C1041" s="19">
        <v>12.022800000000004</v>
      </c>
      <c r="E1041" s="4">
        <v>44543</v>
      </c>
      <c r="F1041" s="19">
        <v>14.055899999999951</v>
      </c>
      <c r="G1041" s="19">
        <v>21.260499999999993</v>
      </c>
    </row>
    <row r="1042" spans="1:7" x14ac:dyDescent="0.3">
      <c r="A1042" s="4">
        <v>44540</v>
      </c>
      <c r="B1042" s="19">
        <v>62.474300000000028</v>
      </c>
      <c r="C1042" s="19">
        <v>16.590899999999998</v>
      </c>
      <c r="E1042" s="4">
        <v>44540</v>
      </c>
      <c r="F1042" s="19">
        <v>29.009299999999996</v>
      </c>
      <c r="G1042" s="19">
        <v>12.289000000000001</v>
      </c>
    </row>
    <row r="1043" spans="1:7" x14ac:dyDescent="0.3">
      <c r="A1043" s="4">
        <v>44539</v>
      </c>
      <c r="B1043" s="19">
        <v>115.91479999999999</v>
      </c>
      <c r="C1043" s="19">
        <v>10.953600000000009</v>
      </c>
      <c r="E1043" s="4">
        <v>44539</v>
      </c>
      <c r="F1043" s="19">
        <v>100.64830000000001</v>
      </c>
      <c r="G1043" s="19">
        <v>10.874099999999999</v>
      </c>
    </row>
    <row r="1044" spans="1:7" x14ac:dyDescent="0.3">
      <c r="A1044" s="4">
        <v>44538</v>
      </c>
      <c r="B1044" s="19">
        <v>37.886499999999984</v>
      </c>
      <c r="C1044" s="19">
        <v>14.118500000000004</v>
      </c>
      <c r="E1044" s="4">
        <v>44538</v>
      </c>
      <c r="F1044" s="19">
        <v>58.961100000000044</v>
      </c>
      <c r="G1044" s="19">
        <v>10.473800000000004</v>
      </c>
    </row>
    <row r="1045" spans="1:7" x14ac:dyDescent="0.3">
      <c r="A1045" s="4">
        <v>44537</v>
      </c>
      <c r="B1045" s="19">
        <v>63.166400000000039</v>
      </c>
      <c r="C1045" s="19">
        <v>4.9979000000000013</v>
      </c>
      <c r="E1045" s="4">
        <v>44537</v>
      </c>
      <c r="F1045" s="19">
        <v>16.328199999999981</v>
      </c>
      <c r="G1045" s="19">
        <v>26.657799999999995</v>
      </c>
    </row>
    <row r="1046" spans="1:7" x14ac:dyDescent="0.3">
      <c r="A1046" s="4">
        <v>44536</v>
      </c>
      <c r="B1046" s="19">
        <v>21.232000000000028</v>
      </c>
      <c r="C1046" s="19">
        <v>15.113600000000005</v>
      </c>
      <c r="E1046" s="4">
        <v>44536</v>
      </c>
      <c r="F1046" s="19">
        <v>-17.280599999999993</v>
      </c>
      <c r="G1046" s="19">
        <v>22.043599999999998</v>
      </c>
    </row>
    <row r="1047" spans="1:7" x14ac:dyDescent="0.3">
      <c r="A1047" s="4">
        <v>44533</v>
      </c>
      <c r="B1047" s="19">
        <v>62.272299999999973</v>
      </c>
      <c r="C1047" s="19">
        <v>7.6343999999999994</v>
      </c>
      <c r="E1047" s="4">
        <v>44533</v>
      </c>
      <c r="F1047" s="19">
        <v>29.93810000000002</v>
      </c>
      <c r="G1047" s="19">
        <v>25.966200000000001</v>
      </c>
    </row>
    <row r="1048" spans="1:7" x14ac:dyDescent="0.3">
      <c r="A1048" s="4">
        <v>44532</v>
      </c>
      <c r="B1048" s="19">
        <v>39.477599999999995</v>
      </c>
      <c r="C1048" s="19">
        <v>-2.5394999999999897</v>
      </c>
      <c r="E1048" s="4">
        <v>44532</v>
      </c>
      <c r="F1048" s="19">
        <v>-9.2651000000000181</v>
      </c>
      <c r="G1048" s="19">
        <v>16.232500000000002</v>
      </c>
    </row>
    <row r="1049" spans="1:7" x14ac:dyDescent="0.3">
      <c r="A1049" s="4">
        <v>44531</v>
      </c>
      <c r="B1049" s="19">
        <v>30.00060000000002</v>
      </c>
      <c r="C1049" s="19">
        <v>-3.3717000000000041</v>
      </c>
      <c r="E1049" s="4">
        <v>44531</v>
      </c>
      <c r="F1049" s="19">
        <v>8.7000000000330147E-3</v>
      </c>
      <c r="G1049" s="19">
        <v>19.606999999999999</v>
      </c>
    </row>
    <row r="1050" spans="1:7" x14ac:dyDescent="0.3">
      <c r="A1050" s="4">
        <v>44530</v>
      </c>
      <c r="B1050" s="19">
        <v>-21.851800000000026</v>
      </c>
      <c r="C1050" s="19">
        <v>13.469700000000003</v>
      </c>
      <c r="E1050" s="4">
        <v>44530</v>
      </c>
      <c r="F1050" s="19">
        <v>-12.254599999999982</v>
      </c>
      <c r="G1050" s="19">
        <v>-1.7747000000000099</v>
      </c>
    </row>
    <row r="1051" spans="1:7" x14ac:dyDescent="0.3">
      <c r="A1051" s="4">
        <v>44529</v>
      </c>
      <c r="B1051" s="19">
        <v>5.8036999999999921</v>
      </c>
      <c r="C1051" s="19">
        <v>20.299999999999997</v>
      </c>
      <c r="E1051" s="4">
        <v>44529</v>
      </c>
      <c r="F1051" s="19">
        <v>27.038499999999999</v>
      </c>
      <c r="G1051" s="19">
        <v>-13.284700000000001</v>
      </c>
    </row>
    <row r="1052" spans="1:7" x14ac:dyDescent="0.3">
      <c r="A1052" s="4">
        <v>44526</v>
      </c>
      <c r="B1052" s="19">
        <v>-32.442499999999995</v>
      </c>
      <c r="C1052" s="19">
        <v>16.802300000000002</v>
      </c>
      <c r="E1052" s="4">
        <v>44526</v>
      </c>
      <c r="F1052" s="19">
        <v>-12.446399999999983</v>
      </c>
      <c r="G1052" s="19">
        <v>-7.1923999999999921</v>
      </c>
    </row>
    <row r="1053" spans="1:7" x14ac:dyDescent="0.3">
      <c r="A1053" s="4">
        <v>44525</v>
      </c>
      <c r="B1053" s="19">
        <v>-8.6565999999999974</v>
      </c>
      <c r="C1053" s="19">
        <v>-0.32760000000000389</v>
      </c>
      <c r="E1053" s="4">
        <v>44525</v>
      </c>
      <c r="F1053" s="19">
        <v>20.372100000000017</v>
      </c>
      <c r="G1053" s="19">
        <v>13.447800000000001</v>
      </c>
    </row>
    <row r="1054" spans="1:7" x14ac:dyDescent="0.3">
      <c r="A1054" s="4">
        <v>44524</v>
      </c>
      <c r="B1054" s="19">
        <v>0.50989999999998759</v>
      </c>
      <c r="C1054" s="19">
        <v>1.3579999999999899</v>
      </c>
      <c r="E1054" s="4">
        <v>44524</v>
      </c>
      <c r="F1054" s="19">
        <v>23.186800000000005</v>
      </c>
      <c r="G1054" s="19">
        <v>18.630499999999998</v>
      </c>
    </row>
    <row r="1055" spans="1:7" x14ac:dyDescent="0.3">
      <c r="A1055" s="4">
        <v>44523</v>
      </c>
      <c r="B1055" s="19">
        <v>25.965899999999976</v>
      </c>
      <c r="C1055" s="19">
        <v>-8.0356999999999985</v>
      </c>
      <c r="E1055" s="4">
        <v>44523</v>
      </c>
      <c r="F1055" s="19">
        <v>26.260899999999992</v>
      </c>
      <c r="G1055" s="19">
        <v>-7.6197999999999979</v>
      </c>
    </row>
    <row r="1056" spans="1:7" x14ac:dyDescent="0.3">
      <c r="A1056" s="4">
        <v>44522</v>
      </c>
      <c r="B1056" s="19">
        <v>-15.063400000000001</v>
      </c>
      <c r="C1056" s="19">
        <v>-14.319800000000001</v>
      </c>
      <c r="E1056" s="4">
        <v>44522</v>
      </c>
      <c r="F1056" s="19">
        <v>29.416099999999972</v>
      </c>
      <c r="G1056" s="19">
        <v>-9.8085000000000093</v>
      </c>
    </row>
    <row r="1057" spans="1:7" x14ac:dyDescent="0.3">
      <c r="A1057" s="4">
        <v>44519</v>
      </c>
      <c r="B1057" s="19">
        <v>39.254999999999995</v>
      </c>
      <c r="C1057" s="19">
        <v>6.8656999999999968</v>
      </c>
      <c r="E1057" s="4">
        <v>44519</v>
      </c>
      <c r="F1057" s="19">
        <v>43.670099999999991</v>
      </c>
      <c r="G1057" s="19">
        <v>6.0559999999999903</v>
      </c>
    </row>
    <row r="1058" spans="1:7" x14ac:dyDescent="0.3">
      <c r="A1058" s="4">
        <v>44518</v>
      </c>
      <c r="B1058" s="19">
        <v>-33.186499999999995</v>
      </c>
      <c r="C1058" s="19">
        <v>-2.8553999999999959</v>
      </c>
      <c r="E1058" s="4">
        <v>44518</v>
      </c>
      <c r="F1058" s="19">
        <v>-11.341400000000021</v>
      </c>
      <c r="G1058" s="19">
        <v>-1.8325000000000031</v>
      </c>
    </row>
    <row r="1059" spans="1:7" x14ac:dyDescent="0.3">
      <c r="A1059" s="4">
        <v>44517</v>
      </c>
      <c r="B1059" s="19">
        <v>-10.32759999999999</v>
      </c>
      <c r="C1059" s="19">
        <v>-4.3658999999999963</v>
      </c>
      <c r="E1059" s="4">
        <v>44517</v>
      </c>
      <c r="F1059" s="19">
        <v>7.9488999999999805</v>
      </c>
      <c r="G1059" s="19">
        <v>5.9244000000000057</v>
      </c>
    </row>
    <row r="1060" spans="1:7" x14ac:dyDescent="0.3">
      <c r="A1060" s="4">
        <v>44516</v>
      </c>
      <c r="B1060" s="19">
        <v>-0.63800000000000523</v>
      </c>
      <c r="C1060" s="19">
        <v>-24.310400000000008</v>
      </c>
      <c r="E1060" s="4">
        <v>44516</v>
      </c>
      <c r="F1060" s="19">
        <v>42.631100000000004</v>
      </c>
      <c r="G1060" s="19">
        <v>6.4271000000000029</v>
      </c>
    </row>
    <row r="1061" spans="1:7" x14ac:dyDescent="0.3">
      <c r="A1061" s="4">
        <v>44515</v>
      </c>
      <c r="B1061" s="19">
        <v>5.3614000000000033</v>
      </c>
      <c r="C1061" s="19">
        <v>-18.878300000000003</v>
      </c>
      <c r="E1061" s="4">
        <v>44515</v>
      </c>
      <c r="F1061" s="19">
        <v>28.462800000000016</v>
      </c>
      <c r="G1061" s="19">
        <v>3.5926000000000045</v>
      </c>
    </row>
    <row r="1062" spans="1:7" x14ac:dyDescent="0.3">
      <c r="A1062" s="4">
        <v>44512</v>
      </c>
      <c r="B1062" s="19">
        <v>-0.67310000000000514</v>
      </c>
      <c r="C1062" s="19">
        <v>-13.789700000000003</v>
      </c>
      <c r="E1062" s="4">
        <v>44512</v>
      </c>
      <c r="F1062" s="19">
        <v>36.943600000000004</v>
      </c>
      <c r="G1062" s="19">
        <v>-6.7139999999999986</v>
      </c>
    </row>
    <row r="1063" spans="1:7" x14ac:dyDescent="0.3">
      <c r="A1063" s="4">
        <v>44511</v>
      </c>
      <c r="B1063" s="19">
        <v>42.916399999999982</v>
      </c>
      <c r="C1063" s="19">
        <v>-10.782200000000003</v>
      </c>
      <c r="E1063" s="4">
        <v>44511</v>
      </c>
      <c r="F1063" s="19">
        <v>43.18100000000004</v>
      </c>
      <c r="G1063" s="19">
        <v>-17.243300000000005</v>
      </c>
    </row>
    <row r="1064" spans="1:7" x14ac:dyDescent="0.3">
      <c r="A1064" s="4">
        <v>44510</v>
      </c>
      <c r="B1064" s="19">
        <v>-50.615499999999997</v>
      </c>
      <c r="C1064" s="19">
        <v>-0.57949999999999591</v>
      </c>
      <c r="E1064" s="4">
        <v>44510</v>
      </c>
      <c r="F1064" s="19">
        <v>-67.482300000000009</v>
      </c>
      <c r="G1064" s="19">
        <v>16.131899999999995</v>
      </c>
    </row>
    <row r="1065" spans="1:7" x14ac:dyDescent="0.3">
      <c r="A1065" s="4">
        <v>44509</v>
      </c>
      <c r="B1065" s="19">
        <v>-19.535300000000007</v>
      </c>
      <c r="C1065" s="19">
        <v>-1.914200000000001</v>
      </c>
      <c r="E1065" s="4">
        <v>44509</v>
      </c>
      <c r="F1065" s="19">
        <v>-1.6210999999999842</v>
      </c>
      <c r="G1065" s="19">
        <v>-3.4849999999999994</v>
      </c>
    </row>
    <row r="1066" spans="1:7" x14ac:dyDescent="0.3">
      <c r="A1066" s="4">
        <v>44508</v>
      </c>
      <c r="B1066" s="19">
        <v>7.7017000000000166</v>
      </c>
      <c r="C1066" s="19">
        <v>-3.772199999999998</v>
      </c>
      <c r="E1066" s="4">
        <v>44508</v>
      </c>
      <c r="F1066" s="19">
        <v>-17.726900000000001</v>
      </c>
      <c r="G1066" s="19">
        <v>-11.530000000000001</v>
      </c>
    </row>
    <row r="1067" spans="1:7" x14ac:dyDescent="0.3">
      <c r="A1067" s="4">
        <v>44505</v>
      </c>
      <c r="B1067" s="19">
        <v>-19.936999999999983</v>
      </c>
      <c r="C1067" s="19">
        <v>8.0947999999999993</v>
      </c>
      <c r="E1067" s="4">
        <v>44505</v>
      </c>
      <c r="F1067" s="19">
        <v>13.947400000000016</v>
      </c>
      <c r="G1067" s="19">
        <v>0.71180000000001087</v>
      </c>
    </row>
    <row r="1068" spans="1:7" x14ac:dyDescent="0.3">
      <c r="A1068" s="4">
        <v>44504</v>
      </c>
      <c r="B1068" s="19">
        <v>-0.404200000000003</v>
      </c>
      <c r="C1068" s="19">
        <v>2.8447999999999993</v>
      </c>
      <c r="E1068" s="4">
        <v>44504</v>
      </c>
      <c r="F1068" s="19">
        <v>12.458100000000002</v>
      </c>
      <c r="G1068" s="19">
        <v>6.4269999999999996</v>
      </c>
    </row>
    <row r="1069" spans="1:7" x14ac:dyDescent="0.3">
      <c r="A1069" s="4">
        <v>44503</v>
      </c>
      <c r="B1069" s="19">
        <v>-6.1301000000000272</v>
      </c>
      <c r="C1069" s="19">
        <v>-13.4574</v>
      </c>
      <c r="E1069" s="4">
        <v>44503</v>
      </c>
      <c r="F1069" s="19">
        <v>13.444699999999955</v>
      </c>
      <c r="G1069" s="19">
        <v>5.7967000000000013</v>
      </c>
    </row>
    <row r="1070" spans="1:7" x14ac:dyDescent="0.3">
      <c r="A1070" s="4">
        <v>44502</v>
      </c>
      <c r="B1070" s="19">
        <v>13.483400000000017</v>
      </c>
      <c r="C1070" s="19">
        <v>0.78989999999998872</v>
      </c>
      <c r="E1070" s="4">
        <v>44502</v>
      </c>
      <c r="F1070" s="19">
        <v>10.166899999999998</v>
      </c>
      <c r="G1070" s="19">
        <v>10.013099999999994</v>
      </c>
    </row>
    <row r="1071" spans="1:7" x14ac:dyDescent="0.3">
      <c r="A1071" s="4">
        <v>44501</v>
      </c>
      <c r="B1071" s="19">
        <v>13.608799999999974</v>
      </c>
      <c r="C1071" s="19">
        <v>1.5401999999999987</v>
      </c>
      <c r="E1071" s="4">
        <v>44501</v>
      </c>
      <c r="F1071" s="19">
        <v>-6.4969000000000392</v>
      </c>
      <c r="G1071" s="19">
        <v>-14.951399999999992</v>
      </c>
    </row>
    <row r="1072" spans="1:7" x14ac:dyDescent="0.3">
      <c r="A1072" s="4">
        <v>44498</v>
      </c>
      <c r="B1072" s="19">
        <v>32.641999999999996</v>
      </c>
      <c r="C1072" s="19">
        <v>10.910600000000002</v>
      </c>
      <c r="E1072" s="4">
        <v>44498</v>
      </c>
      <c r="F1072" s="19">
        <v>14.737799999999993</v>
      </c>
      <c r="G1072" s="19">
        <v>-3.5645999999999987</v>
      </c>
    </row>
    <row r="1073" spans="1:7" x14ac:dyDescent="0.3">
      <c r="A1073" s="4">
        <v>44497</v>
      </c>
      <c r="B1073" s="19">
        <v>45.625699999999995</v>
      </c>
      <c r="C1073" s="19">
        <v>-2.0992999999999995</v>
      </c>
      <c r="E1073" s="4">
        <v>44497</v>
      </c>
      <c r="F1073" s="19">
        <v>26.092800000000011</v>
      </c>
      <c r="G1073" s="19">
        <v>-5.8175000000000026</v>
      </c>
    </row>
    <row r="1074" spans="1:7" x14ac:dyDescent="0.3">
      <c r="A1074" s="4">
        <v>44496</v>
      </c>
      <c r="B1074" s="19">
        <v>8.4642000000000053</v>
      </c>
      <c r="C1074" s="19">
        <v>-9.3806000000000012</v>
      </c>
      <c r="E1074" s="4">
        <v>44496</v>
      </c>
      <c r="F1074" s="19">
        <v>-38.887900000000002</v>
      </c>
      <c r="G1074" s="19">
        <v>-12.801300000000005</v>
      </c>
    </row>
    <row r="1075" spans="1:7" x14ac:dyDescent="0.3">
      <c r="A1075" s="4">
        <v>44495</v>
      </c>
      <c r="B1075" s="19">
        <v>-14.430500000000023</v>
      </c>
      <c r="C1075" s="19">
        <v>-19.3765</v>
      </c>
      <c r="E1075" s="4">
        <v>44495</v>
      </c>
      <c r="F1075" s="19">
        <v>22.883899999999983</v>
      </c>
      <c r="G1075" s="19">
        <v>-1.0174999999999983</v>
      </c>
    </row>
    <row r="1076" spans="1:7" x14ac:dyDescent="0.3">
      <c r="A1076" s="4">
        <v>44494</v>
      </c>
      <c r="B1076" s="19">
        <v>15.487800000000021</v>
      </c>
      <c r="C1076" s="19">
        <v>4.3599999999999994</v>
      </c>
      <c r="E1076" s="4">
        <v>44494</v>
      </c>
      <c r="F1076" s="19">
        <v>-6.5459000000000174</v>
      </c>
      <c r="G1076" s="19">
        <v>27.739999999999995</v>
      </c>
    </row>
    <row r="1077" spans="1:7" x14ac:dyDescent="0.3">
      <c r="A1077" s="4">
        <v>44491</v>
      </c>
      <c r="B1077" s="19">
        <v>72.117800000000017</v>
      </c>
      <c r="C1077" s="19">
        <v>-7.0361999999999938</v>
      </c>
      <c r="E1077" s="4">
        <v>44491</v>
      </c>
      <c r="F1077" s="19">
        <v>59.698000000000008</v>
      </c>
      <c r="G1077" s="19">
        <v>8.0685000000000002</v>
      </c>
    </row>
    <row r="1078" spans="1:7" x14ac:dyDescent="0.3">
      <c r="A1078" s="4">
        <v>44490</v>
      </c>
      <c r="B1078" s="19">
        <v>57.081000000000017</v>
      </c>
      <c r="C1078" s="19">
        <v>-0.42270000000000607</v>
      </c>
      <c r="E1078" s="4">
        <v>44490</v>
      </c>
      <c r="F1078" s="19">
        <v>44.4589</v>
      </c>
      <c r="G1078" s="19">
        <v>6.2597000000000023</v>
      </c>
    </row>
    <row r="1079" spans="1:7" x14ac:dyDescent="0.3">
      <c r="A1079" s="4">
        <v>44489</v>
      </c>
      <c r="B1079" s="19">
        <v>16.313400000000001</v>
      </c>
      <c r="C1079" s="19">
        <v>3.5023999999999944</v>
      </c>
      <c r="E1079" s="4">
        <v>44489</v>
      </c>
      <c r="F1079" s="19">
        <v>24.481099999999969</v>
      </c>
      <c r="G1079" s="19">
        <v>35.654499999999999</v>
      </c>
    </row>
    <row r="1080" spans="1:7" x14ac:dyDescent="0.3">
      <c r="A1080" s="4">
        <v>44488</v>
      </c>
      <c r="B1080" s="19">
        <v>17.546099999999996</v>
      </c>
      <c r="C1080" s="19">
        <v>-4.7635999999999967</v>
      </c>
      <c r="E1080" s="4">
        <v>44488</v>
      </c>
      <c r="F1080" s="19">
        <v>21.518700000000024</v>
      </c>
      <c r="G1080" s="19">
        <v>-1.0869</v>
      </c>
    </row>
    <row r="1081" spans="1:7" x14ac:dyDescent="0.3">
      <c r="A1081" s="4">
        <v>44487</v>
      </c>
      <c r="B1081" s="19">
        <v>-62.102700000000027</v>
      </c>
      <c r="C1081" s="19">
        <v>-7.1098999999999961</v>
      </c>
      <c r="E1081" s="4">
        <v>44487</v>
      </c>
      <c r="F1081" s="19">
        <v>-18.081800000000044</v>
      </c>
      <c r="G1081" s="19">
        <v>8.130199999999995</v>
      </c>
    </row>
    <row r="1082" spans="1:7" x14ac:dyDescent="0.3">
      <c r="A1082" s="4">
        <v>44484</v>
      </c>
      <c r="B1082" s="19">
        <v>21.976699999999994</v>
      </c>
      <c r="C1082" s="19">
        <v>-11.611200000000011</v>
      </c>
      <c r="E1082" s="4">
        <v>44484</v>
      </c>
      <c r="F1082" s="19">
        <v>4.9495999999999754</v>
      </c>
      <c r="G1082" s="19">
        <v>13.679500000000004</v>
      </c>
    </row>
    <row r="1083" spans="1:7" x14ac:dyDescent="0.3">
      <c r="A1083" s="4">
        <v>44481</v>
      </c>
      <c r="B1083" s="19">
        <v>-3.9884000000000128</v>
      </c>
      <c r="C1083" s="19">
        <v>15.427500000000002</v>
      </c>
      <c r="E1083" s="4">
        <v>44481</v>
      </c>
      <c r="F1083" s="19">
        <v>-9.7966999999999871</v>
      </c>
      <c r="G1083" s="19">
        <v>5.343199999999996</v>
      </c>
    </row>
    <row r="1084" spans="1:7" x14ac:dyDescent="0.3">
      <c r="A1084" s="4">
        <v>44480</v>
      </c>
      <c r="B1084" s="19">
        <v>19.56880000000001</v>
      </c>
      <c r="C1084" s="19">
        <v>1.3556000000000097</v>
      </c>
      <c r="E1084" s="4">
        <v>44480</v>
      </c>
      <c r="F1084" s="19">
        <v>-17.69640000000004</v>
      </c>
      <c r="G1084" s="19">
        <v>19.518799999999999</v>
      </c>
    </row>
    <row r="1085" spans="1:7" x14ac:dyDescent="0.3">
      <c r="A1085" s="4">
        <v>44477</v>
      </c>
      <c r="B1085" s="19">
        <v>-3.5654999999999859</v>
      </c>
      <c r="C1085" s="19">
        <v>10.727599999999995</v>
      </c>
      <c r="E1085" s="4">
        <v>44477</v>
      </c>
      <c r="F1085" s="19">
        <v>-22.152100000000019</v>
      </c>
      <c r="G1085" s="19">
        <v>13.234400000000008</v>
      </c>
    </row>
    <row r="1086" spans="1:7" x14ac:dyDescent="0.3">
      <c r="A1086" s="4">
        <v>44469</v>
      </c>
      <c r="B1086" s="19">
        <v>-6.4231000000000336</v>
      </c>
      <c r="C1086" s="19"/>
      <c r="E1086" s="4">
        <v>44469</v>
      </c>
      <c r="F1086" s="19">
        <v>16.127700000000004</v>
      </c>
      <c r="G1086" s="19"/>
    </row>
    <row r="1087" spans="1:7" x14ac:dyDescent="0.3">
      <c r="A1087" s="4">
        <v>44468</v>
      </c>
      <c r="B1087" s="19">
        <v>-10.443500000000029</v>
      </c>
      <c r="C1087" s="19"/>
      <c r="E1087" s="4">
        <v>44468</v>
      </c>
      <c r="F1087" s="19">
        <v>7.7753000000000156</v>
      </c>
      <c r="G1087" s="19"/>
    </row>
    <row r="1088" spans="1:7" x14ac:dyDescent="0.3">
      <c r="A1088" s="4">
        <v>44467</v>
      </c>
      <c r="B1088" s="19">
        <v>41.761799999999994</v>
      </c>
      <c r="C1088" s="19">
        <v>22.546700000000001</v>
      </c>
      <c r="E1088" s="4">
        <v>44467</v>
      </c>
      <c r="F1088" s="19">
        <v>6.0972999999999615</v>
      </c>
      <c r="G1088" s="19">
        <v>36.331000000000003</v>
      </c>
    </row>
    <row r="1089" spans="1:7" x14ac:dyDescent="0.3">
      <c r="A1089" s="4">
        <v>44466</v>
      </c>
      <c r="B1089" s="19">
        <v>1.9484999999999673</v>
      </c>
      <c r="C1089" s="19">
        <v>6.1250999999999891</v>
      </c>
      <c r="E1089" s="4">
        <v>44466</v>
      </c>
      <c r="F1089" s="19">
        <v>12.822000000000003</v>
      </c>
      <c r="G1089" s="19">
        <v>20.669300000000007</v>
      </c>
    </row>
    <row r="1090" spans="1:7" x14ac:dyDescent="0.3">
      <c r="A1090" s="4">
        <v>44463</v>
      </c>
      <c r="B1090" s="19">
        <v>9.6345999999999776</v>
      </c>
      <c r="C1090" s="19">
        <v>3.7831000000000046</v>
      </c>
      <c r="E1090" s="4">
        <v>44463</v>
      </c>
      <c r="F1090" s="19">
        <v>17.670299999999997</v>
      </c>
      <c r="G1090" s="19">
        <v>47.238900000000001</v>
      </c>
    </row>
    <row r="1091" spans="1:7" x14ac:dyDescent="0.3">
      <c r="A1091" s="4">
        <v>44462</v>
      </c>
      <c r="B1091" s="19">
        <v>-38.149200000000008</v>
      </c>
      <c r="C1091" s="19">
        <v>-18.382899999999992</v>
      </c>
      <c r="E1091" s="4">
        <v>44462</v>
      </c>
      <c r="F1091" s="19">
        <v>-4.9420000000000073</v>
      </c>
      <c r="G1091" s="19">
        <v>13.816299999999984</v>
      </c>
    </row>
    <row r="1092" spans="1:7" x14ac:dyDescent="0.3">
      <c r="A1092" s="4">
        <v>44455</v>
      </c>
      <c r="B1092" s="19">
        <v>1.4554999999999723</v>
      </c>
      <c r="C1092" s="19"/>
      <c r="E1092" s="4">
        <v>44455</v>
      </c>
      <c r="F1092" s="19">
        <v>-31.597100000000012</v>
      </c>
      <c r="G1092" s="19"/>
    </row>
    <row r="1093" spans="1:7" x14ac:dyDescent="0.3">
      <c r="A1093" s="4">
        <v>44454</v>
      </c>
      <c r="B1093" s="19">
        <v>25.249700000000018</v>
      </c>
      <c r="C1093" s="19">
        <v>-5.2982999999999976</v>
      </c>
      <c r="E1093" s="4">
        <v>44454</v>
      </c>
      <c r="F1093" s="19">
        <v>-3.8546000000000049</v>
      </c>
      <c r="G1093" s="19">
        <v>-2.3996999999999957</v>
      </c>
    </row>
    <row r="1094" spans="1:7" x14ac:dyDescent="0.3">
      <c r="A1094" s="4">
        <v>44453</v>
      </c>
      <c r="B1094" s="19">
        <v>-37.836399999999969</v>
      </c>
      <c r="C1094" s="19">
        <v>-5.1658000000000044</v>
      </c>
      <c r="E1094" s="4">
        <v>44453</v>
      </c>
      <c r="F1094" s="19">
        <v>-3.4463000000000079</v>
      </c>
      <c r="G1094" s="19">
        <v>5.2544999999999931</v>
      </c>
    </row>
    <row r="1095" spans="1:7" x14ac:dyDescent="0.3">
      <c r="A1095" s="4">
        <v>44452</v>
      </c>
      <c r="B1095" s="19">
        <v>-5.915300000000002</v>
      </c>
      <c r="C1095" s="19">
        <v>-5.8722000000000065</v>
      </c>
      <c r="E1095" s="4">
        <v>44452</v>
      </c>
      <c r="F1095" s="19">
        <v>-32.328300000000013</v>
      </c>
      <c r="G1095" s="19">
        <v>-10.7958</v>
      </c>
    </row>
    <row r="1096" spans="1:7" x14ac:dyDescent="0.3">
      <c r="A1096" s="4">
        <v>44449</v>
      </c>
      <c r="B1096" s="19">
        <v>6.2415999999999485</v>
      </c>
      <c r="C1096" s="19">
        <v>-19.755499999999998</v>
      </c>
      <c r="E1096" s="4">
        <v>44449</v>
      </c>
      <c r="F1096" s="19">
        <v>29.947699999999998</v>
      </c>
      <c r="G1096" s="19">
        <v>26.313200000000009</v>
      </c>
    </row>
    <row r="1097" spans="1:7" x14ac:dyDescent="0.3">
      <c r="A1097" s="4">
        <v>44448</v>
      </c>
      <c r="B1097" s="19">
        <v>24.228700000000003</v>
      </c>
      <c r="C1097" s="19">
        <v>2.3034999999999997</v>
      </c>
      <c r="E1097" s="4">
        <v>44448</v>
      </c>
      <c r="F1097" s="19">
        <v>1.9227999999999952</v>
      </c>
      <c r="G1097" s="19">
        <v>4.4253000000000071</v>
      </c>
    </row>
    <row r="1098" spans="1:7" x14ac:dyDescent="0.3">
      <c r="A1098" s="4">
        <v>44447</v>
      </c>
      <c r="B1098" s="19">
        <v>-28.836100000000044</v>
      </c>
      <c r="C1098" s="19">
        <v>-17.878999999999991</v>
      </c>
      <c r="E1098" s="4">
        <v>44447</v>
      </c>
      <c r="F1098" s="19">
        <v>12.656599999999969</v>
      </c>
      <c r="G1098" s="19">
        <v>25.275400000000005</v>
      </c>
    </row>
    <row r="1099" spans="1:7" x14ac:dyDescent="0.3">
      <c r="A1099" s="4">
        <v>44446</v>
      </c>
      <c r="B1099" s="19">
        <v>35.937200000000018</v>
      </c>
      <c r="C1099" s="19">
        <v>8.6762000000000086</v>
      </c>
      <c r="E1099" s="4">
        <v>44446</v>
      </c>
      <c r="F1099" s="19">
        <v>24.748899999999992</v>
      </c>
      <c r="G1099" s="19">
        <v>31.992699999999999</v>
      </c>
    </row>
    <row r="1100" spans="1:7" x14ac:dyDescent="0.3">
      <c r="A1100" s="4">
        <v>44445</v>
      </c>
      <c r="B1100" s="19">
        <v>6.6030999999999835</v>
      </c>
      <c r="C1100" s="19">
        <v>-6.6266000000000105</v>
      </c>
      <c r="E1100" s="4">
        <v>44445</v>
      </c>
      <c r="F1100" s="19">
        <v>27.203399999999988</v>
      </c>
      <c r="G1100" s="19">
        <v>27.593500000000006</v>
      </c>
    </row>
    <row r="1101" spans="1:7" x14ac:dyDescent="0.3">
      <c r="A1101" s="4">
        <v>44442</v>
      </c>
      <c r="B1101" s="19">
        <v>41.929100000000005</v>
      </c>
      <c r="C1101" s="19">
        <v>-11.494900000000001</v>
      </c>
      <c r="E1101" s="4">
        <v>44442</v>
      </c>
      <c r="F1101" s="19">
        <v>28.75139999999999</v>
      </c>
      <c r="G1101" s="19">
        <v>9.361699999999999</v>
      </c>
    </row>
    <row r="1102" spans="1:7" x14ac:dyDescent="0.3">
      <c r="A1102" s="4">
        <v>44441</v>
      </c>
      <c r="B1102" s="19">
        <v>44.661000000000001</v>
      </c>
      <c r="C1102" s="19">
        <v>-21.060000000000002</v>
      </c>
      <c r="E1102" s="4">
        <v>44441</v>
      </c>
      <c r="F1102" s="19">
        <v>6.70799999999997</v>
      </c>
      <c r="G1102" s="19">
        <v>14.802699999999987</v>
      </c>
    </row>
    <row r="1103" spans="1:7" x14ac:dyDescent="0.3">
      <c r="A1103" s="4">
        <v>44440</v>
      </c>
      <c r="B1103" s="19">
        <v>60.748500000000035</v>
      </c>
      <c r="C1103" s="19">
        <v>-21.252300000000005</v>
      </c>
      <c r="E1103" s="4">
        <v>44440</v>
      </c>
      <c r="F1103" s="19">
        <v>16.131500000000017</v>
      </c>
      <c r="G1103" s="19">
        <v>20.089300000000009</v>
      </c>
    </row>
    <row r="1104" spans="1:7" x14ac:dyDescent="0.3">
      <c r="A1104" s="4">
        <v>44439</v>
      </c>
      <c r="B1104" s="19">
        <v>29.210499999999968</v>
      </c>
      <c r="C1104" s="19">
        <v>-38.488200000000006</v>
      </c>
      <c r="E1104" s="4">
        <v>44439</v>
      </c>
      <c r="F1104" s="19">
        <v>32.259299999999996</v>
      </c>
      <c r="G1104" s="19">
        <v>-28.359899999999996</v>
      </c>
    </row>
    <row r="1105" spans="1:7" x14ac:dyDescent="0.3">
      <c r="A1105" s="4">
        <v>44438</v>
      </c>
      <c r="B1105" s="19">
        <v>-1.1334999999999695</v>
      </c>
      <c r="C1105" s="19">
        <v>-17.630200000000002</v>
      </c>
      <c r="E1105" s="4">
        <v>44438</v>
      </c>
      <c r="F1105" s="19">
        <v>20.000899999999945</v>
      </c>
      <c r="G1105" s="19">
        <v>-24.080299999999994</v>
      </c>
    </row>
    <row r="1106" spans="1:7" x14ac:dyDescent="0.3">
      <c r="A1106" s="4">
        <v>44435</v>
      </c>
      <c r="B1106" s="19">
        <v>36.790999999999997</v>
      </c>
      <c r="C1106" s="19">
        <v>-13.165599999999998</v>
      </c>
      <c r="E1106" s="4">
        <v>44435</v>
      </c>
      <c r="F1106" s="19">
        <v>25.239399999999989</v>
      </c>
      <c r="G1106" s="19">
        <v>-21.198399999999992</v>
      </c>
    </row>
    <row r="1107" spans="1:7" x14ac:dyDescent="0.3">
      <c r="A1107" s="4">
        <v>44434</v>
      </c>
      <c r="B1107" s="19">
        <v>18.082799999999963</v>
      </c>
      <c r="C1107" s="19">
        <v>-10.342500000000001</v>
      </c>
      <c r="E1107" s="4">
        <v>44434</v>
      </c>
      <c r="F1107" s="19">
        <v>-5.7921999999999798</v>
      </c>
      <c r="G1107" s="19">
        <v>-22.110399999999998</v>
      </c>
    </row>
    <row r="1108" spans="1:7" x14ac:dyDescent="0.3">
      <c r="A1108" s="4">
        <v>44433</v>
      </c>
      <c r="B1108" s="19">
        <v>24.857799999999997</v>
      </c>
      <c r="C1108" s="19">
        <v>-5.5981999999999914</v>
      </c>
      <c r="E1108" s="4">
        <v>44433</v>
      </c>
      <c r="F1108" s="19">
        <v>9.3287000000000262</v>
      </c>
      <c r="G1108" s="19">
        <v>-1.5383999999999958</v>
      </c>
    </row>
    <row r="1109" spans="1:7" x14ac:dyDescent="0.3">
      <c r="A1109" s="4">
        <v>44432</v>
      </c>
      <c r="B1109" s="19">
        <v>50.004599999999982</v>
      </c>
      <c r="C1109" s="19">
        <v>10.5441</v>
      </c>
      <c r="E1109" s="4">
        <v>44432</v>
      </c>
      <c r="F1109" s="19">
        <v>3.1458000000000084</v>
      </c>
      <c r="G1109" s="19">
        <v>11.229600000000005</v>
      </c>
    </row>
    <row r="1110" spans="1:7" x14ac:dyDescent="0.3">
      <c r="A1110" s="4">
        <v>44431</v>
      </c>
      <c r="B1110" s="19">
        <v>4.5731000000000108</v>
      </c>
      <c r="C1110" s="19">
        <v>-6.3922000000000025</v>
      </c>
      <c r="E1110" s="4">
        <v>44431</v>
      </c>
      <c r="F1110" s="19">
        <v>13.740000000000009</v>
      </c>
      <c r="G1110" s="19">
        <v>10.623900000000006</v>
      </c>
    </row>
    <row r="1111" spans="1:7" x14ac:dyDescent="0.3">
      <c r="A1111" s="4">
        <v>44428</v>
      </c>
      <c r="B1111" s="19">
        <v>-62.355700000000013</v>
      </c>
      <c r="C1111" s="19">
        <v>-12.310500000000005</v>
      </c>
      <c r="E1111" s="4">
        <v>44428</v>
      </c>
      <c r="F1111" s="19">
        <v>-45.804500000000019</v>
      </c>
      <c r="G1111" s="19">
        <v>-29.766699999999986</v>
      </c>
    </row>
    <row r="1112" spans="1:7" x14ac:dyDescent="0.3">
      <c r="A1112" s="4">
        <v>44427</v>
      </c>
      <c r="B1112" s="19">
        <v>-59.936800000000005</v>
      </c>
      <c r="C1112" s="19">
        <v>-43.2333</v>
      </c>
      <c r="E1112" s="4">
        <v>44427</v>
      </c>
      <c r="F1112" s="19">
        <v>-47.894499999999994</v>
      </c>
      <c r="G1112" s="19">
        <v>3.9118999999999886</v>
      </c>
    </row>
    <row r="1113" spans="1:7" x14ac:dyDescent="0.3">
      <c r="A1113" s="4">
        <v>44426</v>
      </c>
      <c r="B1113" s="19">
        <v>25.351200000000006</v>
      </c>
      <c r="C1113" s="19">
        <v>1.5416000000000025</v>
      </c>
      <c r="E1113" s="4">
        <v>44426</v>
      </c>
      <c r="F1113" s="19">
        <v>8.9737999999999829</v>
      </c>
      <c r="G1113" s="19">
        <v>2.816900000000004</v>
      </c>
    </row>
    <row r="1114" spans="1:7" x14ac:dyDescent="0.3">
      <c r="A1114" s="4">
        <v>44425</v>
      </c>
      <c r="B1114" s="19">
        <v>5.9006999999999721</v>
      </c>
      <c r="C1114" s="19">
        <v>-23.054099999999991</v>
      </c>
      <c r="E1114" s="4">
        <v>44425</v>
      </c>
      <c r="F1114" s="19">
        <v>8.8403999999999883</v>
      </c>
      <c r="G1114" s="19">
        <v>-24.253699999999995</v>
      </c>
    </row>
    <row r="1115" spans="1:7" x14ac:dyDescent="0.3">
      <c r="A1115" s="4">
        <v>44424</v>
      </c>
      <c r="B1115" s="19">
        <v>40.9923</v>
      </c>
      <c r="C1115" s="19">
        <v>-44.749099999999999</v>
      </c>
      <c r="E1115" s="4">
        <v>44424</v>
      </c>
      <c r="F1115" s="19">
        <v>21.023799999999994</v>
      </c>
      <c r="G1115" s="19">
        <v>-11.557699999999997</v>
      </c>
    </row>
    <row r="1116" spans="1:7" x14ac:dyDescent="0.3">
      <c r="A1116" s="4">
        <v>44421</v>
      </c>
      <c r="B1116" s="19">
        <v>-7.9439000000000135</v>
      </c>
      <c r="C1116" s="19">
        <v>-9.8020000000000067</v>
      </c>
      <c r="E1116" s="4">
        <v>44421</v>
      </c>
      <c r="F1116" s="19">
        <v>-4.436999999999955</v>
      </c>
      <c r="G1116" s="19">
        <v>-12.72760000000001</v>
      </c>
    </row>
    <row r="1117" spans="1:7" x14ac:dyDescent="0.3">
      <c r="A1117" s="4">
        <v>44420</v>
      </c>
      <c r="B1117" s="19">
        <v>-0.69669999999996435</v>
      </c>
      <c r="C1117" s="19">
        <v>-6.5666999999999973</v>
      </c>
      <c r="E1117" s="4">
        <v>44420</v>
      </c>
      <c r="F1117" s="19">
        <v>-1.0865000000000009</v>
      </c>
      <c r="G1117" s="19">
        <v>5.5600999999999914</v>
      </c>
    </row>
    <row r="1118" spans="1:7" x14ac:dyDescent="0.3">
      <c r="A1118" s="4">
        <v>44419</v>
      </c>
      <c r="B1118" s="19">
        <v>-10.27619999999996</v>
      </c>
      <c r="C1118" s="19">
        <v>18.813999999999993</v>
      </c>
      <c r="E1118" s="4">
        <v>44419</v>
      </c>
      <c r="F1118" s="19">
        <v>-17.87639999999999</v>
      </c>
      <c r="G1118" s="19">
        <v>37.506</v>
      </c>
    </row>
    <row r="1119" spans="1:7" x14ac:dyDescent="0.3">
      <c r="A1119" s="4">
        <v>44418</v>
      </c>
      <c r="B1119" s="19">
        <v>6.1694999999999709</v>
      </c>
      <c r="C1119" s="19">
        <v>23.997100000000003</v>
      </c>
      <c r="E1119" s="4">
        <v>44418</v>
      </c>
      <c r="F1119" s="19">
        <v>4.2475999999999772</v>
      </c>
      <c r="G1119" s="19">
        <v>30.847899999999996</v>
      </c>
    </row>
    <row r="1120" spans="1:7" x14ac:dyDescent="0.3">
      <c r="A1120" s="4">
        <v>44417</v>
      </c>
      <c r="B1120" s="19">
        <v>21.120299999999986</v>
      </c>
      <c r="C1120" s="19">
        <v>4.444199999999995</v>
      </c>
      <c r="E1120" s="4">
        <v>44417</v>
      </c>
      <c r="F1120" s="19">
        <v>23.540999999999997</v>
      </c>
      <c r="G1120" s="19">
        <v>30.0441</v>
      </c>
    </row>
    <row r="1121" spans="1:7" x14ac:dyDescent="0.3">
      <c r="A1121" s="4">
        <v>44414</v>
      </c>
      <c r="B1121" s="19">
        <v>-10.881100000000004</v>
      </c>
      <c r="C1121" s="19">
        <v>15.819600000000008</v>
      </c>
      <c r="E1121" s="4">
        <v>44414</v>
      </c>
      <c r="F1121" s="19">
        <v>6.1370999999999754</v>
      </c>
      <c r="G1121" s="19">
        <v>46.0441</v>
      </c>
    </row>
    <row r="1122" spans="1:7" x14ac:dyDescent="0.3">
      <c r="A1122" s="4">
        <v>44413</v>
      </c>
      <c r="B1122" s="19">
        <v>-25.554200000000037</v>
      </c>
      <c r="C1122" s="19">
        <v>-34.881299999999996</v>
      </c>
      <c r="E1122" s="4">
        <v>44413</v>
      </c>
      <c r="F1122" s="19">
        <v>5.9010000000000105</v>
      </c>
      <c r="G1122" s="19">
        <v>23.322299999999998</v>
      </c>
    </row>
    <row r="1123" spans="1:7" x14ac:dyDescent="0.3">
      <c r="A1123" s="4">
        <v>44412</v>
      </c>
      <c r="B1123" s="19">
        <v>17.444299999999998</v>
      </c>
      <c r="C1123" s="19">
        <v>13.327299999999994</v>
      </c>
      <c r="E1123" s="4">
        <v>44412</v>
      </c>
      <c r="F1123" s="19">
        <v>38.013100000000009</v>
      </c>
      <c r="G1123" s="19">
        <v>11.686800000000005</v>
      </c>
    </row>
    <row r="1124" spans="1:7" x14ac:dyDescent="0.3">
      <c r="A1124" s="4">
        <v>44411</v>
      </c>
      <c r="B1124" s="19">
        <v>11.86850000000004</v>
      </c>
      <c r="C1124" s="19">
        <v>-56.600200000000001</v>
      </c>
      <c r="E1124" s="4">
        <v>44411</v>
      </c>
      <c r="F1124" s="19">
        <v>6.1229999999999905</v>
      </c>
      <c r="G1124" s="19">
        <v>7.200099999999992</v>
      </c>
    </row>
    <row r="1125" spans="1:7" x14ac:dyDescent="0.3">
      <c r="A1125" s="4">
        <v>44410</v>
      </c>
      <c r="B1125" s="19">
        <v>30.931600000000003</v>
      </c>
      <c r="C1125" s="19">
        <v>-15.678899999999999</v>
      </c>
      <c r="E1125" s="4">
        <v>44410</v>
      </c>
      <c r="F1125" s="19">
        <v>20.906999999999982</v>
      </c>
      <c r="G1125" s="19">
        <v>6.988900000000001</v>
      </c>
    </row>
    <row r="1126" spans="1:7" x14ac:dyDescent="0.3">
      <c r="A1126" s="4">
        <v>44407</v>
      </c>
      <c r="B1126" s="19">
        <v>19.061800000000005</v>
      </c>
      <c r="C1126" s="19">
        <v>-7.1527999999999992</v>
      </c>
      <c r="E1126" s="4">
        <v>44407</v>
      </c>
      <c r="F1126" s="19">
        <v>3.4097999999999615</v>
      </c>
      <c r="G1126" s="19">
        <v>-8.7977999999999952</v>
      </c>
    </row>
    <row r="1127" spans="1:7" x14ac:dyDescent="0.3">
      <c r="A1127" s="4">
        <v>44406</v>
      </c>
      <c r="B1127" s="19">
        <v>-18.274099999999976</v>
      </c>
      <c r="C1127" s="19">
        <v>-32.0685</v>
      </c>
      <c r="E1127" s="4">
        <v>44406</v>
      </c>
      <c r="F1127" s="19">
        <v>60.553699999999992</v>
      </c>
      <c r="G1127" s="19">
        <v>-14.114199999999983</v>
      </c>
    </row>
    <row r="1128" spans="1:7" x14ac:dyDescent="0.3">
      <c r="A1128" s="4">
        <v>44405</v>
      </c>
      <c r="B1128" s="19">
        <v>24.281000000000006</v>
      </c>
      <c r="C1128" s="19">
        <v>-6.9927000000000135</v>
      </c>
      <c r="E1128" s="4">
        <v>44405</v>
      </c>
      <c r="F1128" s="19">
        <v>56.247200000000021</v>
      </c>
      <c r="G1128" s="19">
        <v>-126.43739999999997</v>
      </c>
    </row>
    <row r="1129" spans="1:7" x14ac:dyDescent="0.3">
      <c r="A1129" s="4">
        <v>44404</v>
      </c>
      <c r="B1129" s="19">
        <v>-34.642899999999997</v>
      </c>
      <c r="C1129" s="19">
        <v>25.803800000000024</v>
      </c>
      <c r="E1129" s="4">
        <v>44404</v>
      </c>
      <c r="F1129" s="19">
        <v>-7.075999999999965</v>
      </c>
      <c r="G1129" s="19">
        <v>-38.554999999999978</v>
      </c>
    </row>
    <row r="1130" spans="1:7" x14ac:dyDescent="0.3">
      <c r="A1130" s="4">
        <v>44403</v>
      </c>
      <c r="B1130" s="19">
        <v>-56.497800000000041</v>
      </c>
      <c r="C1130" s="19">
        <v>-21.424200000000013</v>
      </c>
      <c r="E1130" s="4">
        <v>44403</v>
      </c>
      <c r="F1130" s="19">
        <v>-71.519499999999994</v>
      </c>
      <c r="G1130" s="19">
        <v>-41.916200000000003</v>
      </c>
    </row>
    <row r="1131" spans="1:7" x14ac:dyDescent="0.3">
      <c r="A1131" s="4">
        <v>44400</v>
      </c>
      <c r="B1131" s="19">
        <v>4.9258000000000379</v>
      </c>
      <c r="C1131" s="19">
        <v>-28.261899999999997</v>
      </c>
      <c r="E1131" s="4">
        <v>44400</v>
      </c>
      <c r="F1131" s="19">
        <v>-51.520700000000033</v>
      </c>
      <c r="G1131" s="19">
        <v>-20.462599999999995</v>
      </c>
    </row>
    <row r="1132" spans="1:7" x14ac:dyDescent="0.3">
      <c r="A1132" s="4">
        <v>44399</v>
      </c>
      <c r="B1132" s="19">
        <v>15.974400000000003</v>
      </c>
      <c r="C1132" s="19">
        <v>-14.689300000000003</v>
      </c>
      <c r="E1132" s="4">
        <v>44399</v>
      </c>
      <c r="F1132" s="19">
        <v>43.29200000000003</v>
      </c>
      <c r="G1132" s="19">
        <v>-7.9947999999999979</v>
      </c>
    </row>
    <row r="1133" spans="1:7" x14ac:dyDescent="0.3">
      <c r="A1133" s="4">
        <v>44398</v>
      </c>
      <c r="B1133" s="19">
        <v>5.9916000000000054</v>
      </c>
      <c r="C1133" s="19">
        <v>-19.364400000000003</v>
      </c>
      <c r="E1133" s="4">
        <v>44398</v>
      </c>
      <c r="F1133" s="19">
        <v>25.180200000000013</v>
      </c>
      <c r="G1133" s="19">
        <v>-17.129200000000012</v>
      </c>
    </row>
    <row r="1134" spans="1:7" x14ac:dyDescent="0.3">
      <c r="A1134" s="4">
        <v>44397</v>
      </c>
      <c r="B1134" s="19">
        <v>16.041200000000003</v>
      </c>
      <c r="C1134" s="19">
        <v>-43.518299999999996</v>
      </c>
      <c r="E1134" s="4">
        <v>44397</v>
      </c>
      <c r="F1134" s="19">
        <v>14.597099999999955</v>
      </c>
      <c r="G1134" s="19">
        <v>-3.4248999999999938</v>
      </c>
    </row>
    <row r="1135" spans="1:7" x14ac:dyDescent="0.3">
      <c r="A1135" s="4">
        <v>44396</v>
      </c>
      <c r="B1135" s="19">
        <v>11.751499999999965</v>
      </c>
      <c r="C1135" s="19">
        <v>-6.7295000000000016</v>
      </c>
      <c r="E1135" s="4">
        <v>44396</v>
      </c>
      <c r="F1135" s="19">
        <v>31.989899999999977</v>
      </c>
      <c r="G1135" s="19">
        <v>-11.114799999999988</v>
      </c>
    </row>
    <row r="1136" spans="1:7" x14ac:dyDescent="0.3">
      <c r="A1136" s="4">
        <v>44393</v>
      </c>
      <c r="B1136" s="19">
        <v>-33.977999999999952</v>
      </c>
      <c r="C1136" s="19">
        <v>5.792500000000004</v>
      </c>
      <c r="E1136" s="4">
        <v>44393</v>
      </c>
      <c r="F1136" s="19">
        <v>-7.4664000000000215</v>
      </c>
      <c r="G1136" s="19">
        <v>-4.4999999999930651E-3</v>
      </c>
    </row>
    <row r="1137" spans="1:7" x14ac:dyDescent="0.3">
      <c r="A1137" s="4">
        <v>44392</v>
      </c>
      <c r="B1137" s="19">
        <v>86.003000000000043</v>
      </c>
      <c r="C1137" s="19">
        <v>-9.4725999999999999</v>
      </c>
      <c r="E1137" s="4">
        <v>44392</v>
      </c>
      <c r="F1137" s="19">
        <v>37.978700000000003</v>
      </c>
      <c r="G1137" s="19">
        <v>9.6880000000000024</v>
      </c>
    </row>
    <row r="1138" spans="1:7" x14ac:dyDescent="0.3">
      <c r="A1138" s="4">
        <v>44391</v>
      </c>
      <c r="B1138" s="19">
        <v>-51.895800000000008</v>
      </c>
      <c r="C1138" s="19">
        <v>-6.7201000000000022</v>
      </c>
      <c r="E1138" s="4">
        <v>44391</v>
      </c>
      <c r="F1138" s="19">
        <v>-56.162700000000029</v>
      </c>
      <c r="G1138" s="19">
        <v>4.5045000000000073</v>
      </c>
    </row>
    <row r="1139" spans="1:7" x14ac:dyDescent="0.3">
      <c r="A1139" s="4">
        <v>44390</v>
      </c>
      <c r="B1139" s="19">
        <v>16.653900000000021</v>
      </c>
      <c r="C1139" s="19">
        <v>28.881100000000004</v>
      </c>
      <c r="E1139" s="4">
        <v>44390</v>
      </c>
      <c r="F1139" s="19">
        <v>9.1340000000000146</v>
      </c>
      <c r="G1139" s="19">
        <v>-14.032199999999989</v>
      </c>
    </row>
    <row r="1140" spans="1:7" x14ac:dyDescent="0.3">
      <c r="A1140" s="4">
        <v>44389</v>
      </c>
      <c r="B1140" s="19">
        <v>-19.226499999999987</v>
      </c>
      <c r="C1140" s="19">
        <v>17.237499999999997</v>
      </c>
      <c r="E1140" s="4">
        <v>44389</v>
      </c>
      <c r="F1140" s="19">
        <v>35.646900000000016</v>
      </c>
      <c r="G1140" s="19">
        <v>-23.055899999999994</v>
      </c>
    </row>
    <row r="1141" spans="1:7" x14ac:dyDescent="0.3">
      <c r="A1141" s="4">
        <v>44386</v>
      </c>
      <c r="B1141" s="19">
        <v>1.100400000000036</v>
      </c>
      <c r="C1141" s="19">
        <v>18.158799999999999</v>
      </c>
      <c r="E1141" s="4">
        <v>44386</v>
      </c>
      <c r="F1141" s="19">
        <v>-3.2128000000000156</v>
      </c>
      <c r="G1141" s="19">
        <v>14.812600000000003</v>
      </c>
    </row>
    <row r="1142" spans="1:7" x14ac:dyDescent="0.3">
      <c r="A1142" s="4">
        <v>44385</v>
      </c>
      <c r="B1142" s="19">
        <v>-16.336399999999969</v>
      </c>
      <c r="C1142" s="19">
        <v>-18.983699999999999</v>
      </c>
      <c r="E1142" s="4">
        <v>44385</v>
      </c>
      <c r="F1142" s="19">
        <v>-0.67419999999998481</v>
      </c>
      <c r="G1142" s="19">
        <v>-40.479399999999998</v>
      </c>
    </row>
    <row r="1143" spans="1:7" x14ac:dyDescent="0.3">
      <c r="A1143" s="4">
        <v>44384</v>
      </c>
      <c r="B1143" s="19">
        <v>6.0443000000000211</v>
      </c>
      <c r="C1143" s="19">
        <v>-5.2990999999999957</v>
      </c>
      <c r="E1143" s="4">
        <v>44384</v>
      </c>
      <c r="F1143" s="19">
        <v>37.682399999999973</v>
      </c>
      <c r="G1143" s="19">
        <v>23.099599999999995</v>
      </c>
    </row>
    <row r="1144" spans="1:7" x14ac:dyDescent="0.3">
      <c r="A1144" s="4">
        <v>44383</v>
      </c>
      <c r="B1144" s="19">
        <v>7.5723999999999592</v>
      </c>
      <c r="C1144" s="19">
        <v>7.2356999999999942</v>
      </c>
      <c r="E1144" s="4">
        <v>44383</v>
      </c>
      <c r="F1144" s="19">
        <v>-8.1739999999999782</v>
      </c>
      <c r="G1144" s="19">
        <v>-22.915700000000001</v>
      </c>
    </row>
    <row r="1145" spans="1:7" x14ac:dyDescent="0.3">
      <c r="A1145" s="4">
        <v>44382</v>
      </c>
      <c r="B1145" s="19">
        <v>31.495399999999989</v>
      </c>
      <c r="C1145" s="19">
        <v>-58.19680000000001</v>
      </c>
      <c r="E1145" s="4">
        <v>44382</v>
      </c>
      <c r="F1145" s="19">
        <v>27.694099999999992</v>
      </c>
      <c r="G1145" s="19">
        <v>-50.478899999999996</v>
      </c>
    </row>
    <row r="1146" spans="1:7" x14ac:dyDescent="0.3">
      <c r="A1146" s="4">
        <v>44379</v>
      </c>
      <c r="B1146" s="19">
        <v>-60.512400000000014</v>
      </c>
      <c r="C1146" s="19">
        <v>-39.729900000000001</v>
      </c>
      <c r="E1146" s="4">
        <v>44379</v>
      </c>
      <c r="F1146" s="19">
        <v>-25.51279999999997</v>
      </c>
      <c r="G1146" s="19">
        <v>-30.71990000000001</v>
      </c>
    </row>
    <row r="1147" spans="1:7" x14ac:dyDescent="0.3">
      <c r="A1147" s="4">
        <v>44377</v>
      </c>
      <c r="B1147" s="19"/>
      <c r="C1147" s="19">
        <v>-16.425599999999996</v>
      </c>
      <c r="E1147" s="4">
        <v>44377</v>
      </c>
      <c r="F1147" s="19"/>
      <c r="G1147" s="19">
        <v>21.8095</v>
      </c>
    </row>
    <row r="1148" spans="1:7" x14ac:dyDescent="0.3">
      <c r="A1148" s="4">
        <v>44376</v>
      </c>
      <c r="B1148" s="19">
        <v>-27.252100000000013</v>
      </c>
      <c r="C1148" s="19">
        <v>-14.538799999999995</v>
      </c>
      <c r="E1148" s="4">
        <v>44376</v>
      </c>
      <c r="F1148" s="19">
        <v>-4.1401000000000181</v>
      </c>
      <c r="G1148" s="19">
        <v>4.5775000000000006</v>
      </c>
    </row>
    <row r="1149" spans="1:7" x14ac:dyDescent="0.3">
      <c r="A1149" s="4">
        <v>44375</v>
      </c>
      <c r="B1149" s="19">
        <v>-21.654300000000006</v>
      </c>
      <c r="C1149" s="19">
        <v>-20.257899999999992</v>
      </c>
      <c r="E1149" s="4">
        <v>44375</v>
      </c>
      <c r="F1149" s="19">
        <v>-18.898799999999994</v>
      </c>
      <c r="G1149" s="19">
        <v>14.333299999999994</v>
      </c>
    </row>
    <row r="1150" spans="1:7" x14ac:dyDescent="0.3">
      <c r="A1150" s="4">
        <v>44372</v>
      </c>
      <c r="B1150" s="19">
        <v>75.548899999999975</v>
      </c>
      <c r="C1150" s="19">
        <v>15.170099999999991</v>
      </c>
      <c r="E1150" s="4">
        <v>44372</v>
      </c>
      <c r="F1150" s="19">
        <v>65.481600000000014</v>
      </c>
      <c r="G1150" s="19">
        <v>20.56519999999999</v>
      </c>
    </row>
    <row r="1151" spans="1:7" x14ac:dyDescent="0.3">
      <c r="A1151" s="4">
        <v>44371</v>
      </c>
      <c r="B1151" s="19">
        <v>26.022299999999973</v>
      </c>
      <c r="C1151" s="19">
        <v>2.2232999999999947</v>
      </c>
      <c r="E1151" s="4">
        <v>44371</v>
      </c>
      <c r="F1151" s="19">
        <v>4.9495000000000005</v>
      </c>
      <c r="G1151" s="19">
        <v>11.285600000000002</v>
      </c>
    </row>
    <row r="1152" spans="1:7" x14ac:dyDescent="0.3">
      <c r="A1152" s="4">
        <v>44370</v>
      </c>
      <c r="B1152" s="19">
        <v>50.096700000000027</v>
      </c>
      <c r="C1152" s="19">
        <v>-3.3503999999999934</v>
      </c>
      <c r="E1152" s="4">
        <v>44370</v>
      </c>
      <c r="F1152" s="19">
        <v>31.888100000000009</v>
      </c>
      <c r="G1152" s="19">
        <v>0.18300000000000693</v>
      </c>
    </row>
    <row r="1153" spans="1:7" x14ac:dyDescent="0.3">
      <c r="A1153" s="4">
        <v>44369</v>
      </c>
      <c r="B1153" s="19">
        <v>-14.596199999999982</v>
      </c>
      <c r="C1153" s="19">
        <v>-2.7955000000000041</v>
      </c>
      <c r="E1153" s="4">
        <v>44369</v>
      </c>
      <c r="F1153" s="19">
        <v>-9.533299999999997</v>
      </c>
      <c r="G1153" s="19">
        <v>12.054299999999998</v>
      </c>
    </row>
    <row r="1154" spans="1:7" x14ac:dyDescent="0.3">
      <c r="A1154" s="4">
        <v>44368</v>
      </c>
      <c r="B1154" s="19">
        <v>-17.556299999999993</v>
      </c>
      <c r="C1154" s="19">
        <v>-28.761400000000009</v>
      </c>
      <c r="E1154" s="4">
        <v>44368</v>
      </c>
      <c r="F1154" s="19">
        <v>-2.535000000000025</v>
      </c>
      <c r="G1154" s="19">
        <v>23.952100000000002</v>
      </c>
    </row>
    <row r="1155" spans="1:7" x14ac:dyDescent="0.3">
      <c r="A1155" s="4">
        <v>44365</v>
      </c>
      <c r="B1155" s="19">
        <v>-18.18199999999996</v>
      </c>
      <c r="C1155" s="19">
        <v>4.904900000000012</v>
      </c>
      <c r="E1155" s="4">
        <v>44365</v>
      </c>
      <c r="F1155" s="19">
        <v>7.7838999999999601</v>
      </c>
      <c r="G1155" s="19">
        <v>6.7614999999999981</v>
      </c>
    </row>
    <row r="1156" spans="1:7" x14ac:dyDescent="0.3">
      <c r="A1156" s="4">
        <v>44364</v>
      </c>
      <c r="B1156" s="19">
        <v>-13.537000000000006</v>
      </c>
      <c r="C1156" s="19">
        <v>-17.528499999999994</v>
      </c>
      <c r="E1156" s="4">
        <v>44364</v>
      </c>
      <c r="F1156" s="19">
        <v>29.474099999999964</v>
      </c>
      <c r="G1156" s="19">
        <v>12.0441</v>
      </c>
    </row>
    <row r="1157" spans="1:7" x14ac:dyDescent="0.3">
      <c r="A1157" s="4">
        <v>44363</v>
      </c>
      <c r="B1157" s="19">
        <v>-1.9918999999999869</v>
      </c>
      <c r="C1157" s="19">
        <v>-14.176999999999992</v>
      </c>
      <c r="E1157" s="4">
        <v>44363</v>
      </c>
      <c r="F1157" s="19">
        <v>-2.0597999999999956</v>
      </c>
      <c r="G1157" s="19">
        <v>-12.184299999999993</v>
      </c>
    </row>
    <row r="1158" spans="1:7" x14ac:dyDescent="0.3">
      <c r="A1158" s="4">
        <v>44362</v>
      </c>
      <c r="B1158" s="19">
        <v>-56.080900000000014</v>
      </c>
      <c r="C1158" s="19">
        <v>-9.5219000000000023</v>
      </c>
      <c r="E1158" s="4">
        <v>44362</v>
      </c>
      <c r="F1158" s="19">
        <v>4.5439999999999827</v>
      </c>
      <c r="G1158" s="19">
        <v>5.537700000000001</v>
      </c>
    </row>
    <row r="1159" spans="1:7" x14ac:dyDescent="0.3">
      <c r="A1159" s="4">
        <v>44358</v>
      </c>
      <c r="B1159" s="19">
        <v>-30.151399999999967</v>
      </c>
      <c r="C1159" s="19">
        <v>6.8424999999999869</v>
      </c>
      <c r="E1159" s="4">
        <v>44358</v>
      </c>
      <c r="F1159" s="19">
        <v>-0.1693000000000211</v>
      </c>
      <c r="G1159" s="19">
        <v>12.147300000000001</v>
      </c>
    </row>
    <row r="1160" spans="1:7" x14ac:dyDescent="0.3">
      <c r="A1160" s="4">
        <v>44357</v>
      </c>
      <c r="B1160" s="19">
        <v>40.914800000000014</v>
      </c>
      <c r="C1160" s="19">
        <v>-12.830300000000008</v>
      </c>
      <c r="E1160" s="4">
        <v>44357</v>
      </c>
      <c r="F1160" s="19">
        <v>27.288200000000018</v>
      </c>
      <c r="G1160" s="19">
        <v>-3.4679000000000002</v>
      </c>
    </row>
    <row r="1161" spans="1:7" x14ac:dyDescent="0.3">
      <c r="A1161" s="4">
        <v>44356</v>
      </c>
      <c r="B1161" s="19">
        <v>28.490800000000007</v>
      </c>
      <c r="C1161" s="19">
        <v>4.5003000000000029</v>
      </c>
      <c r="E1161" s="4">
        <v>44356</v>
      </c>
      <c r="F1161" s="19">
        <v>-0.35349999999999682</v>
      </c>
      <c r="G1161" s="19">
        <v>6.2126999999999981</v>
      </c>
    </row>
    <row r="1162" spans="1:7" x14ac:dyDescent="0.3">
      <c r="A1162" s="4">
        <v>44355</v>
      </c>
      <c r="B1162" s="19">
        <v>-3.9742999999999995</v>
      </c>
      <c r="C1162" s="19">
        <v>-11.539400000000001</v>
      </c>
      <c r="E1162" s="4">
        <v>44355</v>
      </c>
      <c r="F1162" s="19">
        <v>6.9825000000000159</v>
      </c>
      <c r="G1162" s="19">
        <v>-6.1387</v>
      </c>
    </row>
    <row r="1163" spans="1:7" x14ac:dyDescent="0.3">
      <c r="A1163" s="4">
        <v>44354</v>
      </c>
      <c r="B1163" s="19">
        <v>-11.242099999999994</v>
      </c>
      <c r="C1163" s="19">
        <v>-3.5144000000000091</v>
      </c>
      <c r="E1163" s="4">
        <v>44354</v>
      </c>
      <c r="F1163" s="19">
        <v>-28.475599999999986</v>
      </c>
      <c r="G1163" s="19">
        <v>-10.957899999999995</v>
      </c>
    </row>
    <row r="1164" spans="1:7" x14ac:dyDescent="0.3">
      <c r="A1164" s="4">
        <v>44351</v>
      </c>
      <c r="B1164" s="19">
        <v>16.537500000000023</v>
      </c>
      <c r="C1164" s="19">
        <v>1.2009000000000043</v>
      </c>
      <c r="E1164" s="4">
        <v>44351</v>
      </c>
      <c r="F1164" s="19">
        <v>14.132200000000012</v>
      </c>
      <c r="G1164" s="19">
        <v>-12.073999999999998</v>
      </c>
    </row>
    <row r="1165" spans="1:7" x14ac:dyDescent="0.3">
      <c r="A1165" s="4">
        <v>44350</v>
      </c>
      <c r="B1165" s="19">
        <v>-0.26699999999999591</v>
      </c>
      <c r="C1165" s="19">
        <v>-6.2650000000000006</v>
      </c>
      <c r="E1165" s="4">
        <v>44350</v>
      </c>
      <c r="F1165" s="19">
        <v>15.478400000000022</v>
      </c>
      <c r="G1165" s="19">
        <v>10.655899999999988</v>
      </c>
    </row>
    <row r="1166" spans="1:7" x14ac:dyDescent="0.3">
      <c r="A1166" s="4">
        <v>44349</v>
      </c>
      <c r="B1166" s="19">
        <v>11.637999999999977</v>
      </c>
      <c r="C1166" s="19">
        <v>0.57840000000000202</v>
      </c>
      <c r="E1166" s="4">
        <v>44349</v>
      </c>
      <c r="F1166" s="19">
        <v>-31.776399999999967</v>
      </c>
      <c r="G1166" s="19">
        <v>6.2072000000000003</v>
      </c>
    </row>
    <row r="1167" spans="1:7" x14ac:dyDescent="0.3">
      <c r="A1167" s="4">
        <v>44348</v>
      </c>
      <c r="B1167" s="19">
        <v>4.3920999999999992</v>
      </c>
      <c r="C1167" s="19">
        <v>15.219099999999997</v>
      </c>
      <c r="E1167" s="4">
        <v>44348</v>
      </c>
      <c r="F1167" s="19">
        <v>6.6345999999999776</v>
      </c>
      <c r="G1167" s="19">
        <v>37.728899999999996</v>
      </c>
    </row>
    <row r="1168" spans="1:7" x14ac:dyDescent="0.3">
      <c r="A1168" s="4">
        <v>44347</v>
      </c>
      <c r="B1168" s="19">
        <v>13.161900000000003</v>
      </c>
      <c r="C1168" s="19">
        <v>-8.0561000000000007</v>
      </c>
      <c r="E1168" s="4">
        <v>44347</v>
      </c>
      <c r="F1168" s="19">
        <v>38.946100000000001</v>
      </c>
      <c r="G1168" s="19">
        <v>-1.4195999999999884</v>
      </c>
    </row>
    <row r="1169" spans="1:7" x14ac:dyDescent="0.3">
      <c r="A1169" s="4">
        <v>44344</v>
      </c>
      <c r="B1169" s="19">
        <v>-6.1041999999999916</v>
      </c>
      <c r="C1169" s="19">
        <v>-11.116700000000009</v>
      </c>
      <c r="E1169" s="4">
        <v>44344</v>
      </c>
      <c r="F1169" s="19">
        <v>0.841700000000003</v>
      </c>
      <c r="G1169" s="19">
        <v>-7.3066000000000031</v>
      </c>
    </row>
    <row r="1170" spans="1:7" x14ac:dyDescent="0.3">
      <c r="A1170" s="4">
        <v>44343</v>
      </c>
      <c r="B1170" s="19">
        <v>63.378800000000012</v>
      </c>
      <c r="C1170" s="19">
        <v>-19.224699999999999</v>
      </c>
      <c r="E1170" s="4">
        <v>44343</v>
      </c>
      <c r="F1170" s="19">
        <v>82.8947</v>
      </c>
      <c r="G1170" s="19">
        <v>11.119699999999995</v>
      </c>
    </row>
    <row r="1171" spans="1:7" x14ac:dyDescent="0.3">
      <c r="A1171" s="4">
        <v>44342</v>
      </c>
      <c r="B1171" s="19">
        <v>69.787899999999979</v>
      </c>
      <c r="C1171" s="19">
        <v>-0.4643999999999977</v>
      </c>
      <c r="E1171" s="4">
        <v>44342</v>
      </c>
      <c r="F1171" s="19">
        <v>21.244500000000016</v>
      </c>
      <c r="G1171" s="19">
        <v>8.6128999999999962</v>
      </c>
    </row>
    <row r="1172" spans="1:7" x14ac:dyDescent="0.3">
      <c r="A1172" s="4">
        <v>44341</v>
      </c>
      <c r="B1172" s="19">
        <v>168.11770000000001</v>
      </c>
      <c r="C1172" s="19">
        <v>29.764499999999998</v>
      </c>
      <c r="E1172" s="4">
        <v>44341</v>
      </c>
      <c r="F1172" s="19">
        <v>49.115600000000029</v>
      </c>
      <c r="G1172" s="19">
        <v>48.829700000000003</v>
      </c>
    </row>
    <row r="1173" spans="1:7" x14ac:dyDescent="0.3">
      <c r="A1173" s="4">
        <v>44340</v>
      </c>
      <c r="B1173" s="19">
        <v>5.7213000000000136</v>
      </c>
      <c r="C1173" s="19">
        <v>-2.4408999999999992</v>
      </c>
      <c r="E1173" s="4">
        <v>44340</v>
      </c>
      <c r="F1173" s="19">
        <v>13.140999999999991</v>
      </c>
      <c r="G1173" s="19">
        <v>19.096100000000007</v>
      </c>
    </row>
    <row r="1174" spans="1:7" x14ac:dyDescent="0.3">
      <c r="A1174" s="4">
        <v>44337</v>
      </c>
      <c r="B1174" s="19">
        <v>-20.7226</v>
      </c>
      <c r="C1174" s="19">
        <v>13.431400000000011</v>
      </c>
      <c r="E1174" s="4">
        <v>44337</v>
      </c>
      <c r="F1174" s="19">
        <v>14.939499999999981</v>
      </c>
      <c r="G1174" s="19">
        <v>7.0292999999999921</v>
      </c>
    </row>
    <row r="1175" spans="1:7" x14ac:dyDescent="0.3">
      <c r="A1175" s="4">
        <v>44336</v>
      </c>
      <c r="B1175" s="19">
        <v>-14.851400000000012</v>
      </c>
      <c r="C1175" s="19">
        <v>9.470499999999987</v>
      </c>
      <c r="E1175" s="4">
        <v>44336</v>
      </c>
      <c r="F1175" s="19">
        <v>-0.39430000000004384</v>
      </c>
      <c r="G1175" s="19">
        <v>44.345799999999997</v>
      </c>
    </row>
    <row r="1176" spans="1:7" x14ac:dyDescent="0.3">
      <c r="A1176" s="4">
        <v>44334</v>
      </c>
      <c r="B1176" s="19"/>
      <c r="C1176" s="19">
        <v>9.6356000000000037</v>
      </c>
      <c r="E1176" s="4">
        <v>44334</v>
      </c>
      <c r="F1176" s="19"/>
      <c r="G1176" s="19">
        <v>34.1327</v>
      </c>
    </row>
    <row r="1177" spans="1:7" x14ac:dyDescent="0.3">
      <c r="A1177" s="4">
        <v>44333</v>
      </c>
      <c r="B1177" s="19">
        <v>23.316000000000003</v>
      </c>
      <c r="C1177" s="19">
        <v>31.408600000000007</v>
      </c>
      <c r="E1177" s="4">
        <v>44333</v>
      </c>
      <c r="F1177" s="19">
        <v>2.464300000000037</v>
      </c>
      <c r="G1177" s="19">
        <v>53.150700000000001</v>
      </c>
    </row>
    <row r="1178" spans="1:7" x14ac:dyDescent="0.3">
      <c r="A1178" s="4">
        <v>44330</v>
      </c>
      <c r="B1178" s="19">
        <v>55.695899999999995</v>
      </c>
      <c r="C1178" s="19">
        <v>19.531400000000005</v>
      </c>
      <c r="E1178" s="4">
        <v>44330</v>
      </c>
      <c r="F1178" s="19">
        <v>34.639499999999998</v>
      </c>
      <c r="G1178" s="19">
        <v>27.421599999999998</v>
      </c>
    </row>
    <row r="1179" spans="1:7" x14ac:dyDescent="0.3">
      <c r="A1179" s="4">
        <v>44329</v>
      </c>
      <c r="B1179" s="19">
        <v>-30.613</v>
      </c>
      <c r="C1179" s="19">
        <v>27.07500000000001</v>
      </c>
      <c r="E1179" s="4">
        <v>44329</v>
      </c>
      <c r="F1179" s="19">
        <v>-25.782200000000017</v>
      </c>
      <c r="G1179" s="19">
        <v>15.825200000000002</v>
      </c>
    </row>
    <row r="1180" spans="1:7" x14ac:dyDescent="0.3">
      <c r="A1180" s="4">
        <v>44328</v>
      </c>
      <c r="B1180" s="19">
        <v>5.0302000000000078</v>
      </c>
      <c r="C1180" s="19">
        <v>55.050299999999993</v>
      </c>
      <c r="E1180" s="4">
        <v>44328</v>
      </c>
      <c r="F1180" s="19">
        <v>-9.3114000000000203</v>
      </c>
      <c r="G1180" s="19">
        <v>43.050800000000002</v>
      </c>
    </row>
    <row r="1181" spans="1:7" x14ac:dyDescent="0.3">
      <c r="A1181" s="4">
        <v>44327</v>
      </c>
      <c r="B1181" s="19">
        <v>-29.303200000000004</v>
      </c>
      <c r="C1181" s="19">
        <v>18.291299999999993</v>
      </c>
      <c r="E1181" s="4">
        <v>44327</v>
      </c>
      <c r="F1181" s="19">
        <v>-18.504300000000001</v>
      </c>
      <c r="G1181" s="19">
        <v>31.038100000000014</v>
      </c>
    </row>
    <row r="1182" spans="1:7" x14ac:dyDescent="0.3">
      <c r="A1182" s="4">
        <v>44326</v>
      </c>
      <c r="B1182" s="19">
        <v>6.4356999999999971</v>
      </c>
      <c r="C1182" s="19">
        <v>-19.251099999999994</v>
      </c>
      <c r="E1182" s="4">
        <v>44326</v>
      </c>
      <c r="F1182" s="19">
        <v>38.831099999999992</v>
      </c>
      <c r="G1182" s="19">
        <v>-45.428699999999992</v>
      </c>
    </row>
    <row r="1183" spans="1:7" x14ac:dyDescent="0.3">
      <c r="A1183" s="4">
        <v>44323</v>
      </c>
      <c r="B1183" s="19">
        <v>-12.822900000000004</v>
      </c>
      <c r="C1183" s="19">
        <v>-3.1802999999999884</v>
      </c>
      <c r="E1183" s="4">
        <v>44323</v>
      </c>
      <c r="F1183" s="19">
        <v>16.627300000000048</v>
      </c>
      <c r="G1183" s="19">
        <v>-0.2172999999999945</v>
      </c>
    </row>
    <row r="1184" spans="1:7" x14ac:dyDescent="0.3">
      <c r="A1184" s="4">
        <v>44322</v>
      </c>
      <c r="B1184" s="19">
        <v>5.830600000000004</v>
      </c>
      <c r="C1184" s="19">
        <v>-14.125900000000001</v>
      </c>
      <c r="E1184" s="4">
        <v>44322</v>
      </c>
      <c r="F1184" s="19">
        <v>-3.987700000000018</v>
      </c>
      <c r="G1184" s="19">
        <v>10.371299999999991</v>
      </c>
    </row>
    <row r="1185" spans="1:7" x14ac:dyDescent="0.3">
      <c r="A1185" s="4">
        <v>44316</v>
      </c>
      <c r="B1185" s="19">
        <v>-14.922500000000014</v>
      </c>
      <c r="C1185" s="19"/>
      <c r="E1185" s="4">
        <v>44316</v>
      </c>
      <c r="F1185" s="19">
        <v>-1.1995000000000005</v>
      </c>
      <c r="G1185" s="19"/>
    </row>
    <row r="1186" spans="1:7" x14ac:dyDescent="0.3">
      <c r="A1186" s="4">
        <v>44315</v>
      </c>
      <c r="B1186" s="19">
        <v>47.036200000000008</v>
      </c>
      <c r="C1186" s="19"/>
      <c r="E1186" s="4">
        <v>44315</v>
      </c>
      <c r="F1186" s="19">
        <v>3.8402000000000385</v>
      </c>
      <c r="G1186" s="19"/>
    </row>
    <row r="1187" spans="1:7" x14ac:dyDescent="0.3">
      <c r="A1187" s="4">
        <v>44314</v>
      </c>
      <c r="B1187" s="19">
        <v>14.16749999999999</v>
      </c>
      <c r="C1187" s="19">
        <v>-2.8322999999999894</v>
      </c>
      <c r="E1187" s="4">
        <v>44314</v>
      </c>
      <c r="F1187" s="19">
        <v>5.9116999999999962</v>
      </c>
      <c r="G1187" s="19">
        <v>11.48790000000001</v>
      </c>
    </row>
    <row r="1188" spans="1:7" x14ac:dyDescent="0.3">
      <c r="A1188" s="4">
        <v>44313</v>
      </c>
      <c r="B1188" s="19">
        <v>7.9253999999999962</v>
      </c>
      <c r="C1188" s="19">
        <v>-9.0015999999999963</v>
      </c>
      <c r="E1188" s="4">
        <v>44313</v>
      </c>
      <c r="F1188" s="19">
        <v>27.198099999999982</v>
      </c>
      <c r="G1188" s="19">
        <v>17.346500000000006</v>
      </c>
    </row>
    <row r="1189" spans="1:7" x14ac:dyDescent="0.3">
      <c r="A1189" s="4">
        <v>44312</v>
      </c>
      <c r="B1189" s="19">
        <v>-1.0157000000000096</v>
      </c>
      <c r="C1189" s="19">
        <v>11.992199999999997</v>
      </c>
      <c r="E1189" s="4">
        <v>44312</v>
      </c>
      <c r="F1189" s="19">
        <v>33.056700000000035</v>
      </c>
      <c r="G1189" s="19">
        <v>7.815100000000001</v>
      </c>
    </row>
    <row r="1190" spans="1:7" x14ac:dyDescent="0.3">
      <c r="A1190" s="4">
        <v>44309</v>
      </c>
      <c r="B1190" s="19">
        <v>38.096800000000002</v>
      </c>
      <c r="C1190" s="19">
        <v>2.7484999999999928</v>
      </c>
      <c r="E1190" s="4">
        <v>44309</v>
      </c>
      <c r="F1190" s="19">
        <v>40.497800000000012</v>
      </c>
      <c r="G1190" s="19">
        <v>31.425799999999995</v>
      </c>
    </row>
    <row r="1191" spans="1:7" x14ac:dyDescent="0.3">
      <c r="A1191" s="4">
        <v>44308</v>
      </c>
      <c r="B1191" s="19">
        <v>-21.836700000000008</v>
      </c>
      <c r="C1191" s="19">
        <v>32.473799999999997</v>
      </c>
      <c r="E1191" s="4">
        <v>44308</v>
      </c>
      <c r="F1191" s="19">
        <v>5.8699000000000012</v>
      </c>
      <c r="G1191" s="19">
        <v>26.457699999999996</v>
      </c>
    </row>
    <row r="1192" spans="1:7" x14ac:dyDescent="0.3">
      <c r="A1192" s="4">
        <v>44307</v>
      </c>
      <c r="B1192" s="19">
        <v>-20.74199999999999</v>
      </c>
      <c r="C1192" s="19">
        <v>22.102999999999994</v>
      </c>
      <c r="E1192" s="4">
        <v>44307</v>
      </c>
      <c r="F1192" s="19">
        <v>10.174900000000008</v>
      </c>
      <c r="G1192" s="19">
        <v>19.998500000000007</v>
      </c>
    </row>
    <row r="1193" spans="1:7" x14ac:dyDescent="0.3">
      <c r="A1193" s="4">
        <v>44306</v>
      </c>
      <c r="B1193" s="19">
        <v>6.805800000000005</v>
      </c>
      <c r="C1193" s="19">
        <v>14.429500000000004</v>
      </c>
      <c r="E1193" s="4">
        <v>44306</v>
      </c>
      <c r="F1193" s="19">
        <v>-11.780599999999964</v>
      </c>
      <c r="G1193" s="19">
        <v>39.484200000000001</v>
      </c>
    </row>
    <row r="1194" spans="1:7" x14ac:dyDescent="0.3">
      <c r="A1194" s="4">
        <v>44305</v>
      </c>
      <c r="B1194" s="19">
        <v>65.593500000000006</v>
      </c>
      <c r="C1194" s="19">
        <v>24.249600000000001</v>
      </c>
      <c r="E1194" s="4">
        <v>44305</v>
      </c>
      <c r="F1194" s="19">
        <v>97.56329999999997</v>
      </c>
      <c r="G1194" s="19">
        <v>26.875500000000002</v>
      </c>
    </row>
    <row r="1195" spans="1:7" x14ac:dyDescent="0.3">
      <c r="A1195" s="4">
        <v>44302</v>
      </c>
      <c r="B1195" s="19">
        <v>33.137</v>
      </c>
      <c r="C1195" s="19">
        <v>5.3554999999999922</v>
      </c>
      <c r="E1195" s="4">
        <v>44302</v>
      </c>
      <c r="F1195" s="19">
        <v>38.388599999999997</v>
      </c>
      <c r="G1195" s="19">
        <v>45.029799999999994</v>
      </c>
    </row>
    <row r="1196" spans="1:7" x14ac:dyDescent="0.3">
      <c r="A1196" s="4">
        <v>44301</v>
      </c>
      <c r="B1196" s="19">
        <v>5.0405000000000086</v>
      </c>
      <c r="C1196" s="19">
        <v>-11.9694</v>
      </c>
      <c r="E1196" s="4">
        <v>44301</v>
      </c>
      <c r="F1196" s="19">
        <v>-14.541600000000017</v>
      </c>
      <c r="G1196" s="19">
        <v>6.4296999999999969</v>
      </c>
    </row>
    <row r="1197" spans="1:7" x14ac:dyDescent="0.3">
      <c r="A1197" s="4">
        <v>44300</v>
      </c>
      <c r="B1197" s="19">
        <v>15.406599999999997</v>
      </c>
      <c r="C1197" s="19">
        <v>-5.2500999999999962</v>
      </c>
      <c r="E1197" s="4">
        <v>44300</v>
      </c>
      <c r="F1197" s="19">
        <v>41.907199999999989</v>
      </c>
      <c r="G1197" s="19">
        <v>18.259200000000007</v>
      </c>
    </row>
    <row r="1198" spans="1:7" x14ac:dyDescent="0.3">
      <c r="A1198" s="4">
        <v>44299</v>
      </c>
      <c r="B1198" s="19">
        <v>26.060500000000019</v>
      </c>
      <c r="C1198" s="19">
        <v>-9.8746000000000009</v>
      </c>
      <c r="E1198" s="4">
        <v>44299</v>
      </c>
      <c r="F1198" s="19">
        <v>58.649999999999977</v>
      </c>
      <c r="G1198" s="19">
        <v>22.253700000000002</v>
      </c>
    </row>
    <row r="1199" spans="1:7" x14ac:dyDescent="0.3">
      <c r="A1199" s="4">
        <v>44298</v>
      </c>
      <c r="B1199" s="19">
        <v>42.299299999999988</v>
      </c>
      <c r="C1199" s="19">
        <v>-26.589500000000001</v>
      </c>
      <c r="E1199" s="4">
        <v>44298</v>
      </c>
      <c r="F1199" s="19">
        <v>0.74289999999999168</v>
      </c>
      <c r="G1199" s="19">
        <v>1.2777999999999992</v>
      </c>
    </row>
    <row r="1200" spans="1:7" x14ac:dyDescent="0.3">
      <c r="A1200" s="4">
        <v>44295</v>
      </c>
      <c r="B1200" s="19">
        <v>-17.6798</v>
      </c>
      <c r="C1200" s="19">
        <v>-7.5966999999999985</v>
      </c>
      <c r="E1200" s="4">
        <v>44295</v>
      </c>
      <c r="F1200" s="19">
        <v>9.6083000000000141</v>
      </c>
      <c r="G1200" s="19">
        <v>22.2012</v>
      </c>
    </row>
    <row r="1201" spans="1:7" x14ac:dyDescent="0.3">
      <c r="A1201" s="4">
        <v>44294</v>
      </c>
      <c r="B1201" s="19">
        <v>-13.150300000000016</v>
      </c>
      <c r="C1201" s="19">
        <v>22.415700000000001</v>
      </c>
      <c r="E1201" s="4">
        <v>44294</v>
      </c>
      <c r="F1201" s="19">
        <v>-3.8788999999999874</v>
      </c>
      <c r="G1201" s="19">
        <v>24.873699999999999</v>
      </c>
    </row>
    <row r="1202" spans="1:7" x14ac:dyDescent="0.3">
      <c r="A1202" s="4">
        <v>44293</v>
      </c>
      <c r="B1202" s="19">
        <v>-26.744699999999966</v>
      </c>
      <c r="C1202" s="19">
        <v>-1.3466000000000093</v>
      </c>
      <c r="E1202" s="4">
        <v>44293</v>
      </c>
      <c r="F1202" s="19">
        <v>-1.413599999999974</v>
      </c>
      <c r="G1202" s="19">
        <v>9.8378999999999905</v>
      </c>
    </row>
    <row r="1203" spans="1:7" x14ac:dyDescent="0.3">
      <c r="A1203" s="4">
        <v>44287</v>
      </c>
      <c r="B1203" s="19"/>
      <c r="C1203" s="19">
        <v>4.8682999999999907</v>
      </c>
      <c r="E1203" s="4">
        <v>44287</v>
      </c>
      <c r="F1203" s="19"/>
      <c r="G1203" s="19">
        <v>35.615399999999994</v>
      </c>
    </row>
    <row r="1204" spans="1:7" x14ac:dyDescent="0.3">
      <c r="A1204" s="4">
        <v>44286</v>
      </c>
      <c r="B1204" s="19">
        <v>-20.086999999999989</v>
      </c>
      <c r="C1204" s="19">
        <v>1.7858000000000089</v>
      </c>
      <c r="E1204" s="4">
        <v>44286</v>
      </c>
      <c r="F1204" s="19">
        <v>-58.944600000000008</v>
      </c>
      <c r="G1204" s="19">
        <v>11.282599999999988</v>
      </c>
    </row>
    <row r="1205" spans="1:7" x14ac:dyDescent="0.3">
      <c r="A1205" s="4">
        <v>44285</v>
      </c>
      <c r="B1205" s="19">
        <v>43.325500000000005</v>
      </c>
      <c r="C1205" s="19">
        <v>10.4816</v>
      </c>
      <c r="E1205" s="4">
        <v>44285</v>
      </c>
      <c r="F1205" s="19">
        <v>-5.2532999999999959</v>
      </c>
      <c r="G1205" s="19">
        <v>22.085999999999999</v>
      </c>
    </row>
    <row r="1206" spans="1:7" x14ac:dyDescent="0.3">
      <c r="A1206" s="4">
        <v>44284</v>
      </c>
      <c r="B1206" s="19">
        <v>-26.395900000000012</v>
      </c>
      <c r="C1206" s="19">
        <v>-8.9232999999999976</v>
      </c>
      <c r="E1206" s="4">
        <v>44284</v>
      </c>
      <c r="F1206" s="19">
        <v>-32.028700000000015</v>
      </c>
      <c r="G1206" s="19">
        <v>18.267700000000005</v>
      </c>
    </row>
    <row r="1207" spans="1:7" x14ac:dyDescent="0.3">
      <c r="A1207" s="4">
        <v>44281</v>
      </c>
      <c r="B1207" s="19">
        <v>16.52830000000003</v>
      </c>
      <c r="C1207" s="19">
        <v>27.148700000000005</v>
      </c>
      <c r="E1207" s="4">
        <v>44281</v>
      </c>
      <c r="F1207" s="19">
        <v>47.773099999999999</v>
      </c>
      <c r="G1207" s="19">
        <v>33.156099999999995</v>
      </c>
    </row>
    <row r="1208" spans="1:7" x14ac:dyDescent="0.3">
      <c r="A1208" s="4">
        <v>44280</v>
      </c>
      <c r="B1208" s="19">
        <v>19.965799999999973</v>
      </c>
      <c r="C1208" s="19">
        <v>-14.754099999999994</v>
      </c>
      <c r="E1208" s="4">
        <v>44280</v>
      </c>
      <c r="F1208" s="19">
        <v>7.519299999999987</v>
      </c>
      <c r="G1208" s="19">
        <v>-0.92080000000001405</v>
      </c>
    </row>
    <row r="1209" spans="1:7" x14ac:dyDescent="0.3">
      <c r="A1209" s="4">
        <v>44279</v>
      </c>
      <c r="B1209" s="19">
        <v>54.99799999999999</v>
      </c>
      <c r="C1209" s="19">
        <v>-48.492800000000003</v>
      </c>
      <c r="E1209" s="4">
        <v>44279</v>
      </c>
      <c r="F1209" s="19">
        <v>-4.9404999999999859</v>
      </c>
      <c r="G1209" s="19">
        <v>-20.936199999999999</v>
      </c>
    </row>
    <row r="1210" spans="1:7" x14ac:dyDescent="0.3">
      <c r="A1210" s="4">
        <v>44278</v>
      </c>
      <c r="B1210" s="19">
        <v>-30.959300000000013</v>
      </c>
      <c r="C1210" s="19">
        <v>-14.769899999999993</v>
      </c>
      <c r="E1210" s="4">
        <v>44278</v>
      </c>
      <c r="F1210" s="19">
        <v>-40.879800000000017</v>
      </c>
      <c r="G1210" s="19">
        <v>-29.227699999999999</v>
      </c>
    </row>
    <row r="1211" spans="1:7" x14ac:dyDescent="0.3">
      <c r="A1211" s="4">
        <v>44277</v>
      </c>
      <c r="B1211" s="19">
        <v>24.06359999999998</v>
      </c>
      <c r="C1211" s="19">
        <v>0.29310000000000969</v>
      </c>
      <c r="E1211" s="4">
        <v>44277</v>
      </c>
      <c r="F1211" s="19">
        <v>47.56759999999997</v>
      </c>
      <c r="G1211" s="19">
        <v>4.1196000000000055</v>
      </c>
    </row>
    <row r="1212" spans="1:7" x14ac:dyDescent="0.3">
      <c r="A1212" s="4">
        <v>44274</v>
      </c>
      <c r="B1212" s="19">
        <v>-23.974800000000016</v>
      </c>
      <c r="C1212" s="19">
        <v>-19.496200000000002</v>
      </c>
      <c r="E1212" s="4">
        <v>44274</v>
      </c>
      <c r="F1212" s="19">
        <v>-16.340900000000033</v>
      </c>
      <c r="G1212" s="19">
        <v>-13.068899999999999</v>
      </c>
    </row>
    <row r="1213" spans="1:7" x14ac:dyDescent="0.3">
      <c r="A1213" s="4">
        <v>44273</v>
      </c>
      <c r="B1213" s="19">
        <v>19.590800000000002</v>
      </c>
      <c r="C1213" s="19">
        <v>14.243300000000005</v>
      </c>
      <c r="E1213" s="4">
        <v>44273</v>
      </c>
      <c r="F1213" s="19">
        <v>13.563300000000027</v>
      </c>
      <c r="G1213" s="19">
        <v>31.44850000000001</v>
      </c>
    </row>
    <row r="1214" spans="1:7" x14ac:dyDescent="0.3">
      <c r="A1214" s="4">
        <v>44272</v>
      </c>
      <c r="B1214" s="19">
        <v>-24.559799999999996</v>
      </c>
      <c r="C1214" s="19">
        <v>7.2469999999999999</v>
      </c>
      <c r="E1214" s="4">
        <v>44272</v>
      </c>
      <c r="F1214" s="19">
        <v>26.207100000000025</v>
      </c>
      <c r="G1214" s="19">
        <v>22.244600000000005</v>
      </c>
    </row>
    <row r="1215" spans="1:7" x14ac:dyDescent="0.3">
      <c r="A1215" s="4">
        <v>44271</v>
      </c>
      <c r="B1215" s="19">
        <v>21.789400000000001</v>
      </c>
      <c r="C1215" s="19">
        <v>20.2286</v>
      </c>
      <c r="E1215" s="4">
        <v>44271</v>
      </c>
      <c r="F1215" s="19">
        <v>33.934299999999979</v>
      </c>
      <c r="G1215" s="19">
        <v>32.440600000000003</v>
      </c>
    </row>
    <row r="1216" spans="1:7" x14ac:dyDescent="0.3">
      <c r="A1216" s="4">
        <v>44270</v>
      </c>
      <c r="B1216" s="19">
        <v>13.9178</v>
      </c>
      <c r="C1216" s="19">
        <v>-9.1320999999999941</v>
      </c>
      <c r="E1216" s="4">
        <v>44270</v>
      </c>
      <c r="F1216" s="19">
        <v>22.951999999999998</v>
      </c>
      <c r="G1216" s="19">
        <v>-37.6464</v>
      </c>
    </row>
    <row r="1217" spans="1:7" x14ac:dyDescent="0.3">
      <c r="A1217" s="4">
        <v>44267</v>
      </c>
      <c r="B1217" s="19">
        <v>15.135700000000043</v>
      </c>
      <c r="C1217" s="19">
        <v>-2.2904999999999944</v>
      </c>
      <c r="E1217" s="4">
        <v>44267</v>
      </c>
      <c r="F1217" s="19">
        <v>-6.8641999999999825</v>
      </c>
      <c r="G1217" s="19">
        <v>34.343100000000007</v>
      </c>
    </row>
    <row r="1218" spans="1:7" x14ac:dyDescent="0.3">
      <c r="A1218" s="4">
        <v>44266</v>
      </c>
      <c r="B1218" s="19">
        <v>37.809900000000027</v>
      </c>
      <c r="C1218" s="19">
        <v>14.807900000000004</v>
      </c>
      <c r="E1218" s="4">
        <v>44266</v>
      </c>
      <c r="F1218" s="19">
        <v>29.384099999999989</v>
      </c>
      <c r="G1218" s="19">
        <v>30.443899999999999</v>
      </c>
    </row>
    <row r="1219" spans="1:7" x14ac:dyDescent="0.3">
      <c r="A1219" s="4">
        <v>44265</v>
      </c>
      <c r="B1219" s="19">
        <v>39.894100000000009</v>
      </c>
      <c r="C1219" s="19">
        <v>-18.859400000000008</v>
      </c>
      <c r="E1219" s="4">
        <v>44265</v>
      </c>
      <c r="F1219" s="19">
        <v>12.356099999999969</v>
      </c>
      <c r="G1219" s="19">
        <v>-24.493800000000007</v>
      </c>
    </row>
    <row r="1220" spans="1:7" x14ac:dyDescent="0.3">
      <c r="A1220" s="4">
        <v>44264</v>
      </c>
      <c r="B1220" s="19">
        <v>15.846600000000024</v>
      </c>
      <c r="C1220" s="19">
        <v>-67.898500000000013</v>
      </c>
      <c r="E1220" s="4">
        <v>44264</v>
      </c>
      <c r="F1220" s="19">
        <v>8.463799999999992</v>
      </c>
      <c r="G1220" s="19">
        <v>-20.762899999999973</v>
      </c>
    </row>
    <row r="1221" spans="1:7" x14ac:dyDescent="0.3">
      <c r="A1221" s="4">
        <v>44263</v>
      </c>
      <c r="B1221" s="19">
        <v>-46.948799999999949</v>
      </c>
      <c r="C1221" s="19">
        <v>-64.063500000000005</v>
      </c>
      <c r="E1221" s="4">
        <v>44263</v>
      </c>
      <c r="F1221" s="19">
        <v>-38.939700000000016</v>
      </c>
      <c r="G1221" s="19">
        <v>-67.748899999999992</v>
      </c>
    </row>
    <row r="1222" spans="1:7" x14ac:dyDescent="0.3">
      <c r="A1222" s="4">
        <v>44260</v>
      </c>
      <c r="B1222" s="19">
        <v>13.232199999999978</v>
      </c>
      <c r="C1222" s="19">
        <v>9.9068999999999932</v>
      </c>
      <c r="E1222" s="4">
        <v>44260</v>
      </c>
      <c r="F1222" s="19">
        <v>-7.9652000000000385</v>
      </c>
      <c r="G1222" s="19">
        <v>13.7697</v>
      </c>
    </row>
    <row r="1223" spans="1:7" x14ac:dyDescent="0.3">
      <c r="A1223" s="4">
        <v>44259</v>
      </c>
      <c r="B1223" s="19">
        <v>-22.180499999999995</v>
      </c>
      <c r="C1223" s="19">
        <v>-14.572200000000009</v>
      </c>
      <c r="E1223" s="4">
        <v>44259</v>
      </c>
      <c r="F1223" s="19">
        <v>-51.510899999999992</v>
      </c>
      <c r="G1223" s="19">
        <v>-28.743500000000012</v>
      </c>
    </row>
    <row r="1224" spans="1:7" x14ac:dyDescent="0.3">
      <c r="A1224" s="4">
        <v>44258</v>
      </c>
      <c r="B1224" s="19">
        <v>64.190799999999996</v>
      </c>
      <c r="C1224" s="19">
        <v>47.147200000000012</v>
      </c>
      <c r="E1224" s="4">
        <v>44258</v>
      </c>
      <c r="F1224" s="19">
        <v>25.912199999999984</v>
      </c>
      <c r="G1224" s="19">
        <v>10.3245</v>
      </c>
    </row>
    <row r="1225" spans="1:7" x14ac:dyDescent="0.3">
      <c r="A1225" s="4">
        <v>44257</v>
      </c>
      <c r="B1225" s="19">
        <v>-33.134900000000016</v>
      </c>
      <c r="C1225" s="19">
        <v>-8.8199000000000183</v>
      </c>
      <c r="E1225" s="4">
        <v>44257</v>
      </c>
      <c r="F1225" s="19">
        <v>-34.771299999999997</v>
      </c>
      <c r="G1225" s="19">
        <v>-9.3385000000000105</v>
      </c>
    </row>
    <row r="1226" spans="1:7" x14ac:dyDescent="0.3">
      <c r="A1226" s="4">
        <v>44256</v>
      </c>
      <c r="B1226" s="19">
        <v>9.1752999999999929</v>
      </c>
      <c r="C1226" s="19">
        <v>-4.9591999999999956</v>
      </c>
      <c r="E1226" s="4">
        <v>44256</v>
      </c>
      <c r="F1226" s="19">
        <v>28.689300000000003</v>
      </c>
      <c r="G1226" s="19">
        <v>5.7997000000000014</v>
      </c>
    </row>
    <row r="1227" spans="1:7" x14ac:dyDescent="0.3">
      <c r="A1227" s="4">
        <v>44253</v>
      </c>
      <c r="B1227" s="19">
        <v>-45.75830000000002</v>
      </c>
      <c r="C1227" s="19">
        <v>-37.605999999999995</v>
      </c>
      <c r="E1227" s="4">
        <v>44253</v>
      </c>
      <c r="F1227" s="19">
        <v>-10.562299999999993</v>
      </c>
      <c r="G1227" s="19">
        <v>-38.348399999999998</v>
      </c>
    </row>
    <row r="1228" spans="1:7" x14ac:dyDescent="0.3">
      <c r="A1228" s="4">
        <v>44252</v>
      </c>
      <c r="B1228" s="19">
        <v>8.4089000000000169</v>
      </c>
      <c r="C1228" s="19">
        <v>-6.0486999999999966</v>
      </c>
      <c r="E1228" s="4">
        <v>44252</v>
      </c>
      <c r="F1228" s="19">
        <v>-15.733400000000017</v>
      </c>
      <c r="G1228" s="19">
        <v>23.050600000000003</v>
      </c>
    </row>
    <row r="1229" spans="1:7" x14ac:dyDescent="0.3">
      <c r="A1229" s="4">
        <v>44251</v>
      </c>
      <c r="B1229" s="19">
        <v>-1.4427000000000021</v>
      </c>
      <c r="C1229" s="19">
        <v>-118.4281</v>
      </c>
      <c r="E1229" s="4">
        <v>44251</v>
      </c>
      <c r="F1229" s="19">
        <v>-5.2896999999999821</v>
      </c>
      <c r="G1229" s="19">
        <v>-81.174799999999976</v>
      </c>
    </row>
    <row r="1230" spans="1:7" x14ac:dyDescent="0.3">
      <c r="A1230" s="4">
        <v>44250</v>
      </c>
      <c r="B1230" s="19">
        <v>21.956700000000012</v>
      </c>
      <c r="C1230" s="19">
        <v>25.3596</v>
      </c>
      <c r="E1230" s="4">
        <v>44250</v>
      </c>
      <c r="F1230" s="19">
        <v>-15.449000000000012</v>
      </c>
      <c r="G1230" s="19">
        <v>52.266499999999979</v>
      </c>
    </row>
    <row r="1231" spans="1:7" x14ac:dyDescent="0.3">
      <c r="A1231" s="4">
        <v>44249</v>
      </c>
      <c r="B1231" s="19">
        <v>-4.9187000000000012</v>
      </c>
      <c r="C1231" s="19">
        <v>3.092899999999986</v>
      </c>
      <c r="E1231" s="4">
        <v>44249</v>
      </c>
      <c r="F1231" s="19">
        <v>-6.2208000000000538</v>
      </c>
      <c r="G1231" s="19">
        <v>50.929200000000009</v>
      </c>
    </row>
    <row r="1232" spans="1:7" x14ac:dyDescent="0.3">
      <c r="A1232" s="4">
        <v>44246</v>
      </c>
      <c r="B1232" s="19">
        <v>18.007399999999961</v>
      </c>
      <c r="C1232" s="19">
        <v>9.5075999999999965</v>
      </c>
      <c r="E1232" s="4">
        <v>44246</v>
      </c>
      <c r="F1232" s="19">
        <v>77.518799999999999</v>
      </c>
      <c r="G1232" s="19">
        <v>27.283599999999979</v>
      </c>
    </row>
    <row r="1233" spans="1:7" x14ac:dyDescent="0.3">
      <c r="A1233" s="4">
        <v>44245</v>
      </c>
      <c r="B1233" s="19">
        <v>26.716200000000015</v>
      </c>
      <c r="C1233" s="19">
        <v>26.689400000000006</v>
      </c>
      <c r="E1233" s="4">
        <v>44245</v>
      </c>
      <c r="F1233" s="19">
        <v>24.018599999999992</v>
      </c>
      <c r="G1233" s="19">
        <v>115.36420000000001</v>
      </c>
    </row>
    <row r="1234" spans="1:7" x14ac:dyDescent="0.3">
      <c r="A1234" s="4">
        <v>44237</v>
      </c>
      <c r="B1234" s="19">
        <v>-20.326200000000028</v>
      </c>
      <c r="C1234" s="19"/>
      <c r="E1234" s="4">
        <v>44237</v>
      </c>
      <c r="F1234" s="19">
        <v>2.5244000000000142</v>
      </c>
      <c r="G1234" s="19"/>
    </row>
    <row r="1235" spans="1:7" x14ac:dyDescent="0.3">
      <c r="A1235" s="4">
        <v>44236</v>
      </c>
      <c r="B1235" s="19">
        <v>12.518699999999967</v>
      </c>
      <c r="C1235" s="19"/>
      <c r="E1235" s="4">
        <v>44236</v>
      </c>
      <c r="F1235" s="19">
        <v>13.717399999999998</v>
      </c>
      <c r="G1235" s="19"/>
    </row>
    <row r="1236" spans="1:7" x14ac:dyDescent="0.3">
      <c r="A1236" s="4">
        <v>44235</v>
      </c>
      <c r="B1236" s="19">
        <v>24.646100000000018</v>
      </c>
      <c r="C1236" s="19">
        <v>47.169899999999998</v>
      </c>
      <c r="E1236" s="4">
        <v>44235</v>
      </c>
      <c r="F1236" s="19">
        <v>54.650900000000036</v>
      </c>
      <c r="G1236" s="19">
        <v>68.689800000000005</v>
      </c>
    </row>
    <row r="1237" spans="1:7" x14ac:dyDescent="0.3">
      <c r="A1237" s="4">
        <v>44232</v>
      </c>
      <c r="B1237" s="19">
        <v>27.157099999999986</v>
      </c>
      <c r="C1237" s="19">
        <v>28.819400000000002</v>
      </c>
      <c r="E1237" s="4">
        <v>44232</v>
      </c>
      <c r="F1237" s="19">
        <v>56.768199999999979</v>
      </c>
      <c r="G1237" s="19">
        <v>52.858900000000006</v>
      </c>
    </row>
    <row r="1238" spans="1:7" x14ac:dyDescent="0.3">
      <c r="A1238" s="4">
        <v>44231</v>
      </c>
      <c r="B1238" s="19">
        <v>10.699800000000039</v>
      </c>
      <c r="C1238" s="19">
        <v>-0.56469999999998777</v>
      </c>
      <c r="E1238" s="4">
        <v>44231</v>
      </c>
      <c r="F1238" s="19">
        <v>57.005899999999997</v>
      </c>
      <c r="G1238" s="19">
        <v>39.280900000000003</v>
      </c>
    </row>
    <row r="1239" spans="1:7" x14ac:dyDescent="0.3">
      <c r="A1239" s="4">
        <v>44230</v>
      </c>
      <c r="B1239" s="19">
        <v>5.6630000000000109</v>
      </c>
      <c r="C1239" s="19">
        <v>47.711399999999983</v>
      </c>
      <c r="E1239" s="4">
        <v>44230</v>
      </c>
      <c r="F1239" s="19">
        <v>28.566900000000032</v>
      </c>
      <c r="G1239" s="19">
        <v>75.864699999999999</v>
      </c>
    </row>
    <row r="1240" spans="1:7" x14ac:dyDescent="0.3">
      <c r="A1240" s="4">
        <v>44229</v>
      </c>
      <c r="B1240" s="19">
        <v>2.9884000000000128</v>
      </c>
      <c r="C1240" s="19">
        <v>64.084000000000003</v>
      </c>
      <c r="E1240" s="4">
        <v>44229</v>
      </c>
      <c r="F1240" s="19">
        <v>29.820300000000032</v>
      </c>
      <c r="G1240" s="19">
        <v>109.105</v>
      </c>
    </row>
    <row r="1241" spans="1:7" x14ac:dyDescent="0.3">
      <c r="A1241" s="4">
        <v>44228</v>
      </c>
      <c r="B1241" s="19">
        <v>28.466200000000015</v>
      </c>
      <c r="C1241" s="19">
        <v>78.446899999999999</v>
      </c>
      <c r="E1241" s="4">
        <v>44228</v>
      </c>
      <c r="F1241" s="19">
        <v>6.1258000000000266</v>
      </c>
      <c r="G1241" s="19">
        <v>85.899200000000008</v>
      </c>
    </row>
    <row r="1242" spans="1:7" x14ac:dyDescent="0.3">
      <c r="A1242" s="4">
        <v>44225</v>
      </c>
      <c r="B1242" s="19">
        <v>4.8542999999999665</v>
      </c>
      <c r="C1242" s="19">
        <v>60.591200000000001</v>
      </c>
      <c r="E1242" s="4">
        <v>44225</v>
      </c>
      <c r="F1242" s="19">
        <v>20.47399999999999</v>
      </c>
      <c r="G1242" s="19">
        <v>64.023099999999999</v>
      </c>
    </row>
    <row r="1243" spans="1:7" x14ac:dyDescent="0.3">
      <c r="A1243" s="4">
        <v>44224</v>
      </c>
      <c r="B1243" s="19">
        <v>-36.603999999999985</v>
      </c>
      <c r="C1243" s="19">
        <v>33.850899999999996</v>
      </c>
      <c r="E1243" s="4">
        <v>44224</v>
      </c>
      <c r="F1243" s="19">
        <v>-27.441700000000026</v>
      </c>
      <c r="G1243" s="19">
        <v>68.334699999999998</v>
      </c>
    </row>
    <row r="1244" spans="1:7" x14ac:dyDescent="0.3">
      <c r="A1244" s="4">
        <v>44223</v>
      </c>
      <c r="B1244" s="19">
        <v>-12.312600000000032</v>
      </c>
      <c r="C1244" s="19">
        <v>84.85390000000001</v>
      </c>
      <c r="E1244" s="4">
        <v>44223</v>
      </c>
      <c r="F1244" s="19">
        <v>-0.23469999999997526</v>
      </c>
      <c r="G1244" s="19">
        <v>150.44589999999999</v>
      </c>
    </row>
    <row r="1245" spans="1:7" x14ac:dyDescent="0.3">
      <c r="A1245" s="4">
        <v>44222</v>
      </c>
      <c r="B1245" s="19">
        <v>-29.161399999999958</v>
      </c>
      <c r="C1245" s="19">
        <v>57.646299999999997</v>
      </c>
      <c r="E1245" s="4">
        <v>44222</v>
      </c>
      <c r="F1245" s="19">
        <v>-6.2506000000000199</v>
      </c>
      <c r="G1245" s="19">
        <v>81.827199999999976</v>
      </c>
    </row>
    <row r="1246" spans="1:7" x14ac:dyDescent="0.3">
      <c r="A1246" s="4">
        <v>44221</v>
      </c>
      <c r="B1246" s="19">
        <v>16.269299999999987</v>
      </c>
      <c r="C1246" s="19">
        <v>73.3262</v>
      </c>
      <c r="E1246" s="4">
        <v>44221</v>
      </c>
      <c r="F1246" s="19">
        <v>3.0406999999999584</v>
      </c>
      <c r="G1246" s="19">
        <v>119.22719999999998</v>
      </c>
    </row>
    <row r="1247" spans="1:7" x14ac:dyDescent="0.3">
      <c r="A1247" s="4">
        <v>44218</v>
      </c>
      <c r="B1247" s="19">
        <v>-7.974899999999991</v>
      </c>
      <c r="C1247" s="19">
        <v>33.918399999999991</v>
      </c>
      <c r="E1247" s="4">
        <v>44218</v>
      </c>
      <c r="F1247" s="19">
        <v>-12.222899999999981</v>
      </c>
      <c r="G1247" s="19">
        <v>59.744900000000001</v>
      </c>
    </row>
    <row r="1248" spans="1:7" x14ac:dyDescent="0.3">
      <c r="A1248" s="4">
        <v>44217</v>
      </c>
      <c r="B1248" s="19">
        <v>28.265699999999981</v>
      </c>
      <c r="C1248" s="19">
        <v>73.278700000000015</v>
      </c>
      <c r="E1248" s="4">
        <v>44217</v>
      </c>
      <c r="F1248" s="19">
        <v>28.51339999999999</v>
      </c>
      <c r="G1248" s="19">
        <v>89.355800000000016</v>
      </c>
    </row>
    <row r="1249" spans="1:7" x14ac:dyDescent="0.3">
      <c r="A1249" s="4">
        <v>44216</v>
      </c>
      <c r="B1249" s="19">
        <v>-13.573599999999999</v>
      </c>
      <c r="C1249" s="19">
        <v>67.872299999999996</v>
      </c>
      <c r="E1249" s="4">
        <v>44216</v>
      </c>
      <c r="F1249" s="19">
        <v>47.516099999999994</v>
      </c>
      <c r="G1249" s="19">
        <v>135.00599999999997</v>
      </c>
    </row>
    <row r="1250" spans="1:7" x14ac:dyDescent="0.3">
      <c r="A1250" s="4">
        <v>44215</v>
      </c>
      <c r="B1250" s="19">
        <v>11.390600000000006</v>
      </c>
      <c r="C1250" s="19">
        <v>131.21370000000002</v>
      </c>
      <c r="E1250" s="4">
        <v>44215</v>
      </c>
      <c r="F1250" s="19">
        <v>-2.2060000000000173</v>
      </c>
      <c r="G1250" s="19">
        <v>134.71380000000002</v>
      </c>
    </row>
    <row r="1251" spans="1:7" x14ac:dyDescent="0.3">
      <c r="A1251" s="4">
        <v>44214</v>
      </c>
      <c r="B1251" s="19">
        <v>-6.6549999999999727</v>
      </c>
      <c r="C1251" s="19">
        <v>94.526700000000005</v>
      </c>
      <c r="E1251" s="4">
        <v>44214</v>
      </c>
      <c r="F1251" s="19">
        <v>23.020899999999983</v>
      </c>
      <c r="G1251" s="19">
        <v>135.17969999999997</v>
      </c>
    </row>
    <row r="1252" spans="1:7" x14ac:dyDescent="0.3">
      <c r="A1252" s="4">
        <v>44211</v>
      </c>
      <c r="B1252" s="19">
        <v>-3.393600000000049</v>
      </c>
      <c r="C1252" s="19">
        <v>66.947900000000004</v>
      </c>
      <c r="E1252" s="4">
        <v>44211</v>
      </c>
      <c r="F1252" s="19">
        <v>11.407000000000039</v>
      </c>
      <c r="G1252" s="19">
        <v>67.384399999999999</v>
      </c>
    </row>
    <row r="1253" spans="1:7" x14ac:dyDescent="0.3">
      <c r="A1253" s="4">
        <v>44210</v>
      </c>
      <c r="B1253" s="19">
        <v>21.46550000000002</v>
      </c>
      <c r="C1253" s="19">
        <v>94.710700000000017</v>
      </c>
      <c r="E1253" s="4">
        <v>44210</v>
      </c>
      <c r="F1253" s="19">
        <v>29.604899999999986</v>
      </c>
      <c r="G1253" s="19">
        <v>51.637100000000004</v>
      </c>
    </row>
    <row r="1254" spans="1:7" x14ac:dyDescent="0.3">
      <c r="A1254" s="4">
        <v>44209</v>
      </c>
      <c r="B1254" s="19">
        <v>-3.5761999999999716</v>
      </c>
      <c r="C1254" s="19">
        <v>61.300399999999996</v>
      </c>
      <c r="E1254" s="4">
        <v>44209</v>
      </c>
      <c r="F1254" s="19">
        <v>30.697699999999998</v>
      </c>
      <c r="G1254" s="19">
        <v>57.7727</v>
      </c>
    </row>
    <row r="1255" spans="1:7" x14ac:dyDescent="0.3">
      <c r="A1255" s="4">
        <v>44208</v>
      </c>
      <c r="B1255" s="19">
        <v>39.866999999999962</v>
      </c>
      <c r="C1255" s="19">
        <v>37.048000000000002</v>
      </c>
      <c r="E1255" s="4">
        <v>44208</v>
      </c>
      <c r="F1255" s="19">
        <v>44.581400000000031</v>
      </c>
      <c r="G1255" s="19">
        <v>70.466699999999989</v>
      </c>
    </row>
    <row r="1256" spans="1:7" x14ac:dyDescent="0.3">
      <c r="A1256" s="4">
        <v>44207</v>
      </c>
      <c r="B1256" s="19">
        <v>-9.4961999999999875</v>
      </c>
      <c r="C1256" s="19">
        <v>105.6891</v>
      </c>
      <c r="E1256" s="4">
        <v>44207</v>
      </c>
      <c r="F1256" s="19">
        <v>18.432000000000016</v>
      </c>
      <c r="G1256" s="19">
        <v>89.170299999999983</v>
      </c>
    </row>
    <row r="1257" spans="1:7" x14ac:dyDescent="0.3">
      <c r="A1257" s="4">
        <v>44204</v>
      </c>
      <c r="B1257" s="19">
        <v>105.85180000000003</v>
      </c>
      <c r="C1257" s="19">
        <v>70.949700000000007</v>
      </c>
      <c r="E1257" s="4">
        <v>44204</v>
      </c>
      <c r="F1257" s="19">
        <v>100.2944</v>
      </c>
      <c r="G1257" s="19">
        <v>63.665899999999979</v>
      </c>
    </row>
    <row r="1258" spans="1:7" x14ac:dyDescent="0.3">
      <c r="A1258" s="4">
        <v>44203</v>
      </c>
      <c r="B1258" s="19">
        <v>16.466400000000021</v>
      </c>
      <c r="C1258" s="19">
        <v>71.8172</v>
      </c>
      <c r="E1258" s="4">
        <v>44203</v>
      </c>
      <c r="F1258" s="19">
        <v>16.164299999999969</v>
      </c>
      <c r="G1258" s="19">
        <v>82.396699999999996</v>
      </c>
    </row>
    <row r="1259" spans="1:7" x14ac:dyDescent="0.3">
      <c r="A1259" s="4">
        <v>44202</v>
      </c>
      <c r="B1259" s="19">
        <v>18.689999999999998</v>
      </c>
      <c r="C1259" s="19">
        <v>58.168499999999995</v>
      </c>
      <c r="E1259" s="4">
        <v>44202</v>
      </c>
      <c r="F1259" s="19">
        <v>-16.330799999999954</v>
      </c>
      <c r="G1259" s="19">
        <v>65.789999999999992</v>
      </c>
    </row>
    <row r="1260" spans="1:7" x14ac:dyDescent="0.3">
      <c r="A1260" s="4">
        <v>44201</v>
      </c>
      <c r="B1260" s="19">
        <v>-21.69380000000001</v>
      </c>
      <c r="C1260" s="19">
        <v>64.186300000000003</v>
      </c>
      <c r="E1260" s="4">
        <v>44201</v>
      </c>
      <c r="F1260" s="19">
        <v>-22.749900000000025</v>
      </c>
      <c r="G1260" s="19">
        <v>43.247500000000002</v>
      </c>
    </row>
    <row r="1261" spans="1:7" x14ac:dyDescent="0.3">
      <c r="A1261" s="4">
        <v>44200</v>
      </c>
      <c r="B1261" s="19">
        <v>-13.946799999999996</v>
      </c>
      <c r="C1261" s="19">
        <v>69.791600000000003</v>
      </c>
      <c r="E1261" s="4">
        <v>44200</v>
      </c>
      <c r="F1261" s="19">
        <v>8.5276999999999816</v>
      </c>
      <c r="G1261" s="19">
        <v>65.159900000000007</v>
      </c>
    </row>
    <row r="1262" spans="1:7" x14ac:dyDescent="0.3">
      <c r="A1262" s="4">
        <v>44196</v>
      </c>
      <c r="B1262" s="19">
        <v>15.6541</v>
      </c>
      <c r="C1262" s="19">
        <v>19.954499999999996</v>
      </c>
      <c r="E1262" s="4">
        <v>44196</v>
      </c>
      <c r="F1262" s="19">
        <v>15.130200000000002</v>
      </c>
      <c r="G1262" s="19">
        <v>37.0381</v>
      </c>
    </row>
    <row r="1263" spans="1:7" x14ac:dyDescent="0.3">
      <c r="A1263" s="4">
        <v>44195</v>
      </c>
      <c r="B1263" s="19">
        <v>7.8500999999999976</v>
      </c>
      <c r="C1263" s="19">
        <v>10.626099999999994</v>
      </c>
      <c r="E1263" s="4">
        <v>44195</v>
      </c>
      <c r="F1263" s="19">
        <v>56.550700000000006</v>
      </c>
      <c r="G1263" s="19">
        <v>48.155100000000004</v>
      </c>
    </row>
    <row r="1264" spans="1:7" x14ac:dyDescent="0.3">
      <c r="A1264" s="4">
        <v>44194</v>
      </c>
      <c r="B1264" s="19">
        <v>13.826699999999988</v>
      </c>
      <c r="C1264" s="19">
        <v>10.579999999999998</v>
      </c>
      <c r="E1264" s="4">
        <v>44194</v>
      </c>
      <c r="F1264" s="19">
        <v>30.885299999999972</v>
      </c>
      <c r="G1264" s="19">
        <v>62.208500000000001</v>
      </c>
    </row>
    <row r="1265" spans="1:7" x14ac:dyDescent="0.3">
      <c r="A1265" s="4">
        <v>44193</v>
      </c>
      <c r="B1265" s="19">
        <v>-10.071100000000001</v>
      </c>
      <c r="C1265" s="19">
        <v>34.069800000000001</v>
      </c>
      <c r="E1265" s="4">
        <v>44193</v>
      </c>
      <c r="F1265" s="19">
        <v>5.9896999999999707</v>
      </c>
      <c r="G1265" s="19">
        <v>50.045100000000005</v>
      </c>
    </row>
    <row r="1266" spans="1:7" x14ac:dyDescent="0.3">
      <c r="A1266" s="4">
        <v>44189</v>
      </c>
      <c r="B1266" s="19"/>
      <c r="C1266" s="19">
        <v>2.6437000000000026</v>
      </c>
      <c r="E1266" s="4">
        <v>44189</v>
      </c>
      <c r="F1266" s="19"/>
      <c r="G1266" s="19">
        <v>16.497799999999998</v>
      </c>
    </row>
    <row r="1267" spans="1:7" x14ac:dyDescent="0.3">
      <c r="A1267" s="4">
        <v>44188</v>
      </c>
      <c r="B1267" s="19">
        <v>24.556399999999996</v>
      </c>
      <c r="C1267" s="19">
        <v>-1.4655000000000058</v>
      </c>
      <c r="E1267" s="4">
        <v>44188</v>
      </c>
      <c r="F1267" s="19">
        <v>18.829700000000003</v>
      </c>
      <c r="G1267" s="19">
        <v>35.404600000000009</v>
      </c>
    </row>
    <row r="1268" spans="1:7" x14ac:dyDescent="0.3">
      <c r="A1268" s="4">
        <v>44187</v>
      </c>
      <c r="B1268" s="19">
        <v>-3.209699999999998</v>
      </c>
      <c r="C1268" s="19">
        <v>0.94739999999999469</v>
      </c>
      <c r="E1268" s="4">
        <v>44187</v>
      </c>
      <c r="F1268" s="19">
        <v>-32.647199999999998</v>
      </c>
      <c r="G1268" s="19">
        <v>5.9077000000000055</v>
      </c>
    </row>
    <row r="1269" spans="1:7" x14ac:dyDescent="0.3">
      <c r="A1269" s="4">
        <v>44186</v>
      </c>
      <c r="B1269" s="19">
        <v>27.092700000000008</v>
      </c>
      <c r="C1269" s="19">
        <v>-15.489699999999999</v>
      </c>
      <c r="E1269" s="4">
        <v>44186</v>
      </c>
      <c r="F1269" s="19">
        <v>51.514699999999976</v>
      </c>
      <c r="G1269" s="19">
        <v>29.182500000000005</v>
      </c>
    </row>
    <row r="1270" spans="1:7" x14ac:dyDescent="0.3">
      <c r="A1270" s="4">
        <v>44183</v>
      </c>
      <c r="B1270" s="19">
        <v>19.064999999999998</v>
      </c>
      <c r="C1270" s="19">
        <v>-17.136899999999997</v>
      </c>
      <c r="E1270" s="4">
        <v>44183</v>
      </c>
      <c r="F1270" s="19">
        <v>-32.689099999999996</v>
      </c>
      <c r="G1270" s="19">
        <v>8.5792999999999964</v>
      </c>
    </row>
    <row r="1271" spans="1:7" x14ac:dyDescent="0.3">
      <c r="A1271" s="4">
        <v>44182</v>
      </c>
      <c r="B1271" s="19">
        <v>44.016899999999993</v>
      </c>
      <c r="C1271" s="19">
        <v>-3.1621000000000024</v>
      </c>
      <c r="E1271" s="4">
        <v>44182</v>
      </c>
      <c r="F1271" s="19">
        <v>36.56110000000001</v>
      </c>
      <c r="G1271" s="19">
        <v>7.3130000000000024</v>
      </c>
    </row>
    <row r="1272" spans="1:7" x14ac:dyDescent="0.3">
      <c r="A1272" s="4">
        <v>44181</v>
      </c>
      <c r="B1272" s="19">
        <v>28.731300000000005</v>
      </c>
      <c r="C1272" s="19">
        <v>-7.6009999999999991</v>
      </c>
      <c r="E1272" s="4">
        <v>44181</v>
      </c>
      <c r="F1272" s="19">
        <v>-9.5771000000000015</v>
      </c>
      <c r="G1272" s="19">
        <v>8.3578000000000046</v>
      </c>
    </row>
    <row r="1273" spans="1:7" x14ac:dyDescent="0.3">
      <c r="A1273" s="4">
        <v>44180</v>
      </c>
      <c r="B1273" s="19">
        <v>2.5160999999999945</v>
      </c>
      <c r="C1273" s="19">
        <v>1.5880999999999972</v>
      </c>
      <c r="E1273" s="4">
        <v>44180</v>
      </c>
      <c r="F1273" s="19">
        <v>-6.0172000000000025</v>
      </c>
      <c r="G1273" s="19">
        <v>3.5944000000000003</v>
      </c>
    </row>
    <row r="1274" spans="1:7" x14ac:dyDescent="0.3">
      <c r="A1274" s="4">
        <v>44179</v>
      </c>
      <c r="B1274" s="19">
        <v>-15.203900000000004</v>
      </c>
      <c r="C1274" s="19">
        <v>-10.465499999999992</v>
      </c>
      <c r="E1274" s="4">
        <v>44179</v>
      </c>
      <c r="F1274" s="19">
        <v>17.432099999999991</v>
      </c>
      <c r="G1274" s="19">
        <v>11.445</v>
      </c>
    </row>
    <row r="1275" spans="1:7" x14ac:dyDescent="0.3">
      <c r="A1275" s="4">
        <v>44176</v>
      </c>
      <c r="B1275" s="19">
        <v>-10.086000000000013</v>
      </c>
      <c r="C1275" s="19">
        <v>-6.9266000000000005</v>
      </c>
      <c r="E1275" s="4">
        <v>44176</v>
      </c>
      <c r="F1275" s="19">
        <v>-29.592200000000048</v>
      </c>
      <c r="G1275" s="19">
        <v>7.6238000000000028</v>
      </c>
    </row>
    <row r="1276" spans="1:7" x14ac:dyDescent="0.3">
      <c r="A1276" s="4">
        <v>44175</v>
      </c>
      <c r="B1276" s="19">
        <v>14.983800000000002</v>
      </c>
      <c r="C1276" s="19">
        <v>5.5655999999999963</v>
      </c>
      <c r="E1276" s="4">
        <v>44175</v>
      </c>
      <c r="F1276" s="19">
        <v>0.23229999999998086</v>
      </c>
      <c r="G1276" s="19">
        <v>12.612099999999998</v>
      </c>
    </row>
    <row r="1277" spans="1:7" x14ac:dyDescent="0.3">
      <c r="A1277" s="4">
        <v>44174</v>
      </c>
      <c r="B1277" s="19">
        <v>19.47399999999999</v>
      </c>
      <c r="C1277" s="19">
        <v>-3.0140000000000029</v>
      </c>
      <c r="E1277" s="4">
        <v>44174</v>
      </c>
      <c r="F1277" s="19">
        <v>19.424999999999983</v>
      </c>
      <c r="G1277" s="19">
        <v>7.3742000000000019</v>
      </c>
    </row>
    <row r="1278" spans="1:7" x14ac:dyDescent="0.3">
      <c r="A1278" s="4">
        <v>44173</v>
      </c>
      <c r="B1278" s="19">
        <v>40.243899999999996</v>
      </c>
      <c r="C1278" s="19">
        <v>10.483099999999993</v>
      </c>
      <c r="E1278" s="4">
        <v>44173</v>
      </c>
      <c r="F1278" s="19">
        <v>26.512599999999992</v>
      </c>
      <c r="G1278" s="19">
        <v>20.335599999999992</v>
      </c>
    </row>
    <row r="1279" spans="1:7" x14ac:dyDescent="0.3">
      <c r="A1279" s="4">
        <v>44172</v>
      </c>
      <c r="B1279" s="19">
        <v>8.6503999999999905</v>
      </c>
      <c r="C1279" s="19">
        <v>12.525100000000002</v>
      </c>
      <c r="E1279" s="4">
        <v>44172</v>
      </c>
      <c r="F1279" s="19">
        <v>-20.251600000000025</v>
      </c>
      <c r="G1279" s="19">
        <v>8.2203000000000017</v>
      </c>
    </row>
    <row r="1280" spans="1:7" x14ac:dyDescent="0.3">
      <c r="A1280" s="4">
        <v>44169</v>
      </c>
      <c r="B1280" s="19">
        <v>27.56450000000001</v>
      </c>
      <c r="C1280" s="19">
        <v>23.221700000000006</v>
      </c>
      <c r="E1280" s="4">
        <v>44169</v>
      </c>
      <c r="F1280" s="19">
        <v>9.8206000000000131</v>
      </c>
      <c r="G1280" s="19">
        <v>31.696600000000004</v>
      </c>
    </row>
    <row r="1281" spans="1:7" x14ac:dyDescent="0.3">
      <c r="A1281" s="4">
        <v>44168</v>
      </c>
      <c r="B1281" s="19">
        <v>33.31049999999999</v>
      </c>
      <c r="C1281" s="19">
        <v>11.372</v>
      </c>
      <c r="E1281" s="4">
        <v>44168</v>
      </c>
      <c r="F1281" s="19">
        <v>2.633700000000033</v>
      </c>
      <c r="G1281" s="19">
        <v>19.052700000000002</v>
      </c>
    </row>
    <row r="1282" spans="1:7" x14ac:dyDescent="0.3">
      <c r="A1282" s="4">
        <v>44167</v>
      </c>
      <c r="B1282" s="19">
        <v>-8.4806000000000097</v>
      </c>
      <c r="C1282" s="19">
        <v>28.137500000000003</v>
      </c>
      <c r="E1282" s="4">
        <v>44167</v>
      </c>
      <c r="F1282" s="19">
        <v>-31.767800000000022</v>
      </c>
      <c r="G1282" s="19">
        <v>15.782600000000002</v>
      </c>
    </row>
    <row r="1283" spans="1:7" x14ac:dyDescent="0.3">
      <c r="A1283" s="4">
        <v>44166</v>
      </c>
      <c r="B1283" s="19">
        <v>100.49439999999998</v>
      </c>
      <c r="C1283" s="19">
        <v>26.533199999999994</v>
      </c>
      <c r="E1283" s="4">
        <v>44166</v>
      </c>
      <c r="F1283" s="19">
        <v>62.433700000000044</v>
      </c>
      <c r="G1283" s="19">
        <v>22.591999999999999</v>
      </c>
    </row>
    <row r="1284" spans="1:7" x14ac:dyDescent="0.3">
      <c r="A1284" s="4">
        <v>44165</v>
      </c>
      <c r="B1284" s="19">
        <v>11.59129999999999</v>
      </c>
      <c r="C1284" s="19">
        <v>23.516599999999997</v>
      </c>
      <c r="E1284" s="4">
        <v>44165</v>
      </c>
      <c r="F1284" s="19">
        <v>37.803200000000004</v>
      </c>
      <c r="G1284" s="19">
        <v>26.4499</v>
      </c>
    </row>
    <row r="1285" spans="1:7" x14ac:dyDescent="0.3">
      <c r="A1285" s="4">
        <v>44162</v>
      </c>
      <c r="B1285" s="19">
        <v>17.257800000000003</v>
      </c>
      <c r="C1285" s="19">
        <v>37.374499999999998</v>
      </c>
      <c r="E1285" s="4">
        <v>44162</v>
      </c>
      <c r="F1285" s="19">
        <v>7.507000000000005</v>
      </c>
      <c r="G1285" s="19">
        <v>15.726100000000002</v>
      </c>
    </row>
    <row r="1286" spans="1:7" x14ac:dyDescent="0.3">
      <c r="A1286" s="4">
        <v>44161</v>
      </c>
      <c r="B1286" s="19">
        <v>31.590900000000005</v>
      </c>
      <c r="C1286" s="19">
        <v>20.288500000000006</v>
      </c>
      <c r="E1286" s="4">
        <v>44161</v>
      </c>
      <c r="F1286" s="19">
        <v>28.698499999999996</v>
      </c>
      <c r="G1286" s="19">
        <v>-6.6143000000000001</v>
      </c>
    </row>
    <row r="1287" spans="1:7" x14ac:dyDescent="0.3">
      <c r="A1287" s="4">
        <v>44160</v>
      </c>
      <c r="B1287" s="19">
        <v>8.6639999999999873</v>
      </c>
      <c r="C1287" s="19">
        <v>13.623000000000005</v>
      </c>
      <c r="E1287" s="4">
        <v>44160</v>
      </c>
      <c r="F1287" s="19">
        <v>-24.352300000000014</v>
      </c>
      <c r="G1287" s="19">
        <v>-6.6552999999999969</v>
      </c>
    </row>
    <row r="1288" spans="1:7" x14ac:dyDescent="0.3">
      <c r="A1288" s="4">
        <v>44159</v>
      </c>
      <c r="B1288" s="19">
        <v>-9.2416000000000054</v>
      </c>
      <c r="C1288" s="19">
        <v>13.363199999999992</v>
      </c>
      <c r="E1288" s="4">
        <v>44159</v>
      </c>
      <c r="F1288" s="19">
        <v>7.8666000000000054</v>
      </c>
      <c r="G1288" s="19">
        <v>9.5986999999999938</v>
      </c>
    </row>
    <row r="1289" spans="1:7" x14ac:dyDescent="0.3">
      <c r="A1289" s="4">
        <v>44158</v>
      </c>
      <c r="B1289" s="19">
        <v>66.822800000000029</v>
      </c>
      <c r="C1289" s="19">
        <v>21.536799999999999</v>
      </c>
      <c r="E1289" s="4">
        <v>44158</v>
      </c>
      <c r="F1289" s="19">
        <v>33.688999999999965</v>
      </c>
      <c r="G1289" s="19">
        <v>30.609499999999997</v>
      </c>
    </row>
    <row r="1290" spans="1:7" x14ac:dyDescent="0.3">
      <c r="A1290" s="4">
        <v>44155</v>
      </c>
      <c r="B1290" s="19">
        <v>11.945600000000013</v>
      </c>
      <c r="C1290" s="19">
        <v>20.101100000000002</v>
      </c>
      <c r="E1290" s="4">
        <v>44155</v>
      </c>
      <c r="F1290" s="19">
        <v>12.487600000000015</v>
      </c>
      <c r="G1290" s="19">
        <v>30.225000000000001</v>
      </c>
    </row>
    <row r="1291" spans="1:7" x14ac:dyDescent="0.3">
      <c r="A1291" s="4">
        <v>44154</v>
      </c>
      <c r="B1291" s="19">
        <v>13.348799999999983</v>
      </c>
      <c r="C1291" s="19">
        <v>23.949399999999997</v>
      </c>
      <c r="E1291" s="4">
        <v>44154</v>
      </c>
      <c r="F1291" s="19">
        <v>-8.9639999999999986</v>
      </c>
      <c r="G1291" s="19">
        <v>4.1791999999999945</v>
      </c>
    </row>
    <row r="1292" spans="1:7" x14ac:dyDescent="0.3">
      <c r="A1292" s="4">
        <v>44153</v>
      </c>
      <c r="B1292" s="19">
        <v>6.1326000000000249</v>
      </c>
      <c r="C1292" s="19">
        <v>7.9192999999999998</v>
      </c>
      <c r="E1292" s="4">
        <v>44153</v>
      </c>
      <c r="F1292" s="19">
        <v>-6.2744000000000142</v>
      </c>
      <c r="G1292" s="19">
        <v>10.094899999999996</v>
      </c>
    </row>
    <row r="1293" spans="1:7" x14ac:dyDescent="0.3">
      <c r="A1293" s="4">
        <v>44152</v>
      </c>
      <c r="B1293" s="19">
        <v>15.312600000000003</v>
      </c>
      <c r="C1293" s="19">
        <v>-5.6752000000000038</v>
      </c>
      <c r="E1293" s="4">
        <v>44152</v>
      </c>
      <c r="F1293" s="19">
        <v>-14.779299999999978</v>
      </c>
      <c r="G1293" s="19">
        <v>0.7885999999999953</v>
      </c>
    </row>
    <row r="1294" spans="1:7" x14ac:dyDescent="0.3">
      <c r="A1294" s="4">
        <v>44151</v>
      </c>
      <c r="B1294" s="19">
        <v>37.659400000000005</v>
      </c>
      <c r="C1294" s="19">
        <v>8.2753000000000014</v>
      </c>
      <c r="E1294" s="4">
        <v>44151</v>
      </c>
      <c r="F1294" s="19">
        <v>-11.764499999999998</v>
      </c>
      <c r="G1294" s="19">
        <v>13.371299999999998</v>
      </c>
    </row>
    <row r="1295" spans="1:7" x14ac:dyDescent="0.3">
      <c r="A1295" s="4">
        <v>44148</v>
      </c>
      <c r="B1295" s="19">
        <v>-36.357900000000001</v>
      </c>
      <c r="C1295" s="19">
        <v>12.735600000000005</v>
      </c>
      <c r="E1295" s="4">
        <v>44148</v>
      </c>
      <c r="F1295" s="19">
        <v>-13.039400000000001</v>
      </c>
      <c r="G1295" s="19">
        <v>19.2014</v>
      </c>
    </row>
    <row r="1296" spans="1:7" x14ac:dyDescent="0.3">
      <c r="A1296" s="4">
        <v>44147</v>
      </c>
      <c r="B1296" s="19">
        <v>-17.066900000000004</v>
      </c>
      <c r="C1296" s="19">
        <v>2.4481999999999999</v>
      </c>
      <c r="E1296" s="4">
        <v>44147</v>
      </c>
      <c r="F1296" s="19">
        <v>11.998899999999992</v>
      </c>
      <c r="G1296" s="19">
        <v>13.531700000000001</v>
      </c>
    </row>
    <row r="1297" spans="1:7" x14ac:dyDescent="0.3">
      <c r="A1297" s="4">
        <v>44146</v>
      </c>
      <c r="B1297" s="19">
        <v>24.902199999999993</v>
      </c>
      <c r="C1297" s="19">
        <v>33.745499999999993</v>
      </c>
      <c r="E1297" s="4">
        <v>44146</v>
      </c>
      <c r="F1297" s="19">
        <v>-34.200300000000027</v>
      </c>
      <c r="G1297" s="19">
        <v>58.95</v>
      </c>
    </row>
    <row r="1298" spans="1:7" x14ac:dyDescent="0.3">
      <c r="A1298" s="4">
        <v>44145</v>
      </c>
      <c r="B1298" s="19">
        <v>21.434400000000011</v>
      </c>
      <c r="C1298" s="19">
        <v>-13.236400000000003</v>
      </c>
      <c r="E1298" s="4">
        <v>44145</v>
      </c>
      <c r="F1298" s="19">
        <v>-62.532300000000021</v>
      </c>
      <c r="G1298" s="19">
        <v>1.5666999999999973</v>
      </c>
    </row>
    <row r="1299" spans="1:7" x14ac:dyDescent="0.3">
      <c r="A1299" s="4">
        <v>44144</v>
      </c>
      <c r="B1299" s="19">
        <v>80.835300000000018</v>
      </c>
      <c r="C1299" s="19">
        <v>9.1692000000000036</v>
      </c>
      <c r="E1299" s="4">
        <v>44144</v>
      </c>
      <c r="F1299" s="19">
        <v>116.15649999999999</v>
      </c>
      <c r="G1299" s="19">
        <v>17.897300000000001</v>
      </c>
    </row>
    <row r="1300" spans="1:7" x14ac:dyDescent="0.3">
      <c r="A1300" s="4">
        <v>44141</v>
      </c>
      <c r="B1300" s="19">
        <v>36.569299999999998</v>
      </c>
      <c r="C1300" s="19">
        <v>-1.1899999999997135E-2</v>
      </c>
      <c r="E1300" s="4">
        <v>44141</v>
      </c>
      <c r="F1300" s="19">
        <v>3.2404999999999973</v>
      </c>
      <c r="G1300" s="19">
        <v>-3.3646999999999991</v>
      </c>
    </row>
    <row r="1301" spans="1:7" x14ac:dyDescent="0.3">
      <c r="A1301" s="4">
        <v>44140</v>
      </c>
      <c r="B1301" s="19">
        <v>50.587500000000006</v>
      </c>
      <c r="C1301" s="19">
        <v>13.051999999999992</v>
      </c>
      <c r="E1301" s="4">
        <v>44140</v>
      </c>
      <c r="F1301" s="19">
        <v>59.383899999999983</v>
      </c>
      <c r="G1301" s="19">
        <v>3.4625999999999948</v>
      </c>
    </row>
    <row r="1302" spans="1:7" x14ac:dyDescent="0.3">
      <c r="A1302" s="4">
        <v>44139</v>
      </c>
      <c r="B1302" s="19">
        <v>2.3817999999999984</v>
      </c>
      <c r="C1302" s="19">
        <v>52.467800000000004</v>
      </c>
      <c r="E1302" s="4">
        <v>44139</v>
      </c>
      <c r="F1302" s="19">
        <v>-2.2099999999994679E-2</v>
      </c>
      <c r="G1302" s="19">
        <v>25.419999999999995</v>
      </c>
    </row>
    <row r="1303" spans="1:7" x14ac:dyDescent="0.3">
      <c r="A1303" s="4">
        <v>44138</v>
      </c>
      <c r="B1303" s="19">
        <v>31.027899999999988</v>
      </c>
      <c r="C1303" s="19">
        <v>55.670600000000007</v>
      </c>
      <c r="E1303" s="4">
        <v>44138</v>
      </c>
      <c r="F1303" s="19">
        <v>0.18590000000000373</v>
      </c>
      <c r="G1303" s="19">
        <v>17.914199999999994</v>
      </c>
    </row>
    <row r="1304" spans="1:7" x14ac:dyDescent="0.3">
      <c r="A1304" s="4">
        <v>44137</v>
      </c>
      <c r="B1304" s="19">
        <v>6.3076000000000079</v>
      </c>
      <c r="C1304" s="19">
        <v>51.931800000000003</v>
      </c>
      <c r="E1304" s="4">
        <v>44137</v>
      </c>
      <c r="F1304" s="19">
        <v>24.497099999999989</v>
      </c>
      <c r="G1304" s="19">
        <v>18.412599999999998</v>
      </c>
    </row>
    <row r="1305" spans="1:7" x14ac:dyDescent="0.3">
      <c r="A1305" s="4">
        <v>44134</v>
      </c>
      <c r="B1305" s="19">
        <v>-39.371200000000016</v>
      </c>
      <c r="C1305" s="19">
        <v>40.356100000000005</v>
      </c>
      <c r="E1305" s="4">
        <v>44134</v>
      </c>
      <c r="F1305" s="19">
        <v>-17.363200000000006</v>
      </c>
      <c r="G1305" s="19">
        <v>18.9071</v>
      </c>
    </row>
    <row r="1306" spans="1:7" x14ac:dyDescent="0.3">
      <c r="A1306" s="4">
        <v>44133</v>
      </c>
      <c r="B1306" s="19">
        <v>9.5461999999999989</v>
      </c>
      <c r="C1306" s="19">
        <v>70.768000000000001</v>
      </c>
      <c r="E1306" s="4">
        <v>44133</v>
      </c>
      <c r="F1306" s="19">
        <v>8.3177000000000021</v>
      </c>
      <c r="G1306" s="19">
        <v>42.371999999999993</v>
      </c>
    </row>
    <row r="1307" spans="1:7" x14ac:dyDescent="0.3">
      <c r="A1307" s="4">
        <v>44132</v>
      </c>
      <c r="B1307" s="19">
        <v>3.0655999999999892</v>
      </c>
      <c r="C1307" s="19">
        <v>73.089799999999997</v>
      </c>
      <c r="E1307" s="4">
        <v>44132</v>
      </c>
      <c r="F1307" s="19">
        <v>-1.2018999999999949</v>
      </c>
      <c r="G1307" s="19">
        <v>21.654300000000006</v>
      </c>
    </row>
    <row r="1308" spans="1:7" x14ac:dyDescent="0.3">
      <c r="A1308" s="4">
        <v>44131</v>
      </c>
      <c r="B1308" s="19">
        <v>-31.584400000000016</v>
      </c>
      <c r="C1308" s="19">
        <v>41.246800000000007</v>
      </c>
      <c r="E1308" s="4">
        <v>44131</v>
      </c>
      <c r="F1308" s="19">
        <v>-14.784699999999987</v>
      </c>
      <c r="G1308" s="19">
        <v>25.470500000000001</v>
      </c>
    </row>
    <row r="1309" spans="1:7" x14ac:dyDescent="0.3">
      <c r="A1309" s="4">
        <v>44127</v>
      </c>
      <c r="B1309" s="19"/>
      <c r="C1309" s="19">
        <v>25.453399999999995</v>
      </c>
      <c r="E1309" s="4">
        <v>44127</v>
      </c>
      <c r="F1309" s="19"/>
      <c r="G1309" s="19">
        <v>10.607699999999994</v>
      </c>
    </row>
    <row r="1310" spans="1:7" x14ac:dyDescent="0.3">
      <c r="A1310" s="4">
        <v>44126</v>
      </c>
      <c r="B1310" s="19">
        <v>-7.716700000000003</v>
      </c>
      <c r="C1310" s="19">
        <v>7.424199999999999</v>
      </c>
      <c r="E1310" s="4">
        <v>44126</v>
      </c>
      <c r="F1310" s="19">
        <v>-19.761400000000009</v>
      </c>
      <c r="G1310" s="19">
        <v>13.9206</v>
      </c>
    </row>
    <row r="1311" spans="1:7" x14ac:dyDescent="0.3">
      <c r="A1311" s="4">
        <v>44125</v>
      </c>
      <c r="B1311" s="19">
        <v>-20.201700000000017</v>
      </c>
      <c r="C1311" s="19">
        <v>11.204799999999999</v>
      </c>
      <c r="E1311" s="4">
        <v>44125</v>
      </c>
      <c r="F1311" s="19">
        <v>-49.022300000000001</v>
      </c>
      <c r="G1311" s="19">
        <v>16.217399999999998</v>
      </c>
    </row>
    <row r="1312" spans="1:7" x14ac:dyDescent="0.3">
      <c r="A1312" s="4">
        <v>44124</v>
      </c>
      <c r="B1312" s="19">
        <v>-20.999099999999999</v>
      </c>
      <c r="C1312" s="19">
        <v>4.0929000000000002</v>
      </c>
      <c r="E1312" s="4">
        <v>44124</v>
      </c>
      <c r="F1312" s="19">
        <v>9.8739000000000203</v>
      </c>
      <c r="G1312" s="19">
        <v>7.3239000000000019</v>
      </c>
    </row>
    <row r="1313" spans="1:7" x14ac:dyDescent="0.3">
      <c r="A1313" s="4">
        <v>44123</v>
      </c>
      <c r="B1313" s="19">
        <v>-2.755299999999977</v>
      </c>
      <c r="C1313" s="19">
        <v>16.405099999999997</v>
      </c>
      <c r="E1313" s="4">
        <v>44123</v>
      </c>
      <c r="F1313" s="19">
        <v>-29.675099999999986</v>
      </c>
      <c r="G1313" s="19">
        <v>9.5496999999999943</v>
      </c>
    </row>
    <row r="1314" spans="1:7" x14ac:dyDescent="0.3">
      <c r="A1314" s="4">
        <v>44120</v>
      </c>
      <c r="B1314" s="19">
        <v>-2.3196999999999832</v>
      </c>
      <c r="C1314" s="19">
        <v>25.701699999999995</v>
      </c>
      <c r="E1314" s="4">
        <v>44120</v>
      </c>
      <c r="F1314" s="19">
        <v>-2.7092000000000098</v>
      </c>
      <c r="G1314" s="19">
        <v>17.850999999999999</v>
      </c>
    </row>
    <row r="1315" spans="1:7" x14ac:dyDescent="0.3">
      <c r="A1315" s="4">
        <v>44119</v>
      </c>
      <c r="B1315" s="19">
        <v>2.8172999999999888</v>
      </c>
      <c r="C1315" s="19">
        <v>25.419900000000005</v>
      </c>
      <c r="E1315" s="4">
        <v>44119</v>
      </c>
      <c r="F1315" s="19">
        <v>-6.1487000000000194</v>
      </c>
      <c r="G1315" s="19">
        <v>12.417299999999997</v>
      </c>
    </row>
    <row r="1316" spans="1:7" x14ac:dyDescent="0.3">
      <c r="A1316" s="4">
        <v>44118</v>
      </c>
      <c r="B1316" s="19">
        <v>2.0541999999999803</v>
      </c>
      <c r="C1316" s="19">
        <v>32.982499999999995</v>
      </c>
      <c r="E1316" s="4">
        <v>44118</v>
      </c>
      <c r="F1316" s="19">
        <v>-17.600999999999999</v>
      </c>
      <c r="G1316" s="19">
        <v>36.398200000000003</v>
      </c>
    </row>
    <row r="1317" spans="1:7" x14ac:dyDescent="0.3">
      <c r="A1317" s="4">
        <v>44116</v>
      </c>
      <c r="B1317" s="19">
        <v>69.834499999999991</v>
      </c>
      <c r="C1317" s="19">
        <v>38.091099999999997</v>
      </c>
      <c r="E1317" s="4">
        <v>44116</v>
      </c>
      <c r="F1317" s="19">
        <v>65.2654</v>
      </c>
      <c r="G1317" s="19">
        <v>36.505400000000002</v>
      </c>
    </row>
    <row r="1318" spans="1:7" x14ac:dyDescent="0.3">
      <c r="A1318" s="4">
        <v>44113</v>
      </c>
      <c r="B1318" s="19">
        <v>21.536400000000015</v>
      </c>
      <c r="C1318" s="19">
        <v>13.684299999999993</v>
      </c>
      <c r="E1318" s="4">
        <v>44113</v>
      </c>
      <c r="F1318" s="19">
        <v>91.132000000000005</v>
      </c>
      <c r="G1318" s="19">
        <v>14.518999999999998</v>
      </c>
    </row>
    <row r="1319" spans="1:7" x14ac:dyDescent="0.3">
      <c r="A1319" s="4">
        <v>44104</v>
      </c>
      <c r="B1319" s="19">
        <v>-12.744400000000013</v>
      </c>
      <c r="C1319" s="19"/>
      <c r="E1319" s="4">
        <v>44104</v>
      </c>
      <c r="F1319" s="19">
        <v>-16.294700000000006</v>
      </c>
      <c r="G1319" s="19"/>
    </row>
    <row r="1320" spans="1:7" x14ac:dyDescent="0.3">
      <c r="A1320" s="4">
        <v>44103</v>
      </c>
      <c r="B1320" s="19">
        <v>-27.836800000000011</v>
      </c>
      <c r="C1320" s="19"/>
      <c r="E1320" s="4">
        <v>44103</v>
      </c>
      <c r="F1320" s="19">
        <v>26.897399999999976</v>
      </c>
      <c r="G1320" s="19"/>
    </row>
    <row r="1321" spans="1:7" x14ac:dyDescent="0.3">
      <c r="A1321" s="4">
        <v>44102</v>
      </c>
      <c r="B1321" s="19">
        <v>-11.167300000000012</v>
      </c>
      <c r="C1321" s="19">
        <v>13.9788</v>
      </c>
      <c r="E1321" s="4">
        <v>44102</v>
      </c>
      <c r="F1321" s="19">
        <v>0.377900000000011</v>
      </c>
      <c r="G1321" s="19">
        <v>22.5503</v>
      </c>
    </row>
    <row r="1322" spans="1:7" x14ac:dyDescent="0.3">
      <c r="A1322" s="4">
        <v>44099</v>
      </c>
      <c r="B1322" s="19">
        <v>-10.696499999999986</v>
      </c>
      <c r="C1322" s="19">
        <v>2.0593000000000004</v>
      </c>
      <c r="E1322" s="4">
        <v>44099</v>
      </c>
      <c r="F1322" s="19">
        <v>-2.2236000000000047</v>
      </c>
      <c r="G1322" s="19">
        <v>6.7591999999999999</v>
      </c>
    </row>
    <row r="1323" spans="1:7" x14ac:dyDescent="0.3">
      <c r="A1323" s="4">
        <v>44098</v>
      </c>
      <c r="B1323" s="19">
        <v>-58.886899999999997</v>
      </c>
      <c r="C1323" s="19">
        <v>-6.1288999999999945</v>
      </c>
      <c r="E1323" s="4">
        <v>44098</v>
      </c>
      <c r="F1323" s="19">
        <v>-62.79170000000002</v>
      </c>
      <c r="G1323" s="19">
        <v>4.803600000000003</v>
      </c>
    </row>
    <row r="1324" spans="1:7" x14ac:dyDescent="0.3">
      <c r="A1324" s="4">
        <v>44097</v>
      </c>
      <c r="B1324" s="19">
        <v>-8.344600000000014</v>
      </c>
      <c r="C1324" s="19">
        <v>5.3070000000000022</v>
      </c>
      <c r="E1324" s="4">
        <v>44097</v>
      </c>
      <c r="F1324" s="19">
        <v>-19.183599999999984</v>
      </c>
      <c r="G1324" s="19">
        <v>11.280799999999996</v>
      </c>
    </row>
    <row r="1325" spans="1:7" x14ac:dyDescent="0.3">
      <c r="A1325" s="4">
        <v>44096</v>
      </c>
      <c r="B1325" s="19">
        <v>-18.555000000000007</v>
      </c>
      <c r="C1325" s="19">
        <v>-12.596200000000003</v>
      </c>
      <c r="E1325" s="4">
        <v>44096</v>
      </c>
      <c r="F1325" s="19">
        <v>-1.4628999999999905</v>
      </c>
      <c r="G1325" s="19">
        <v>6.5814999999999984</v>
      </c>
    </row>
    <row r="1326" spans="1:7" x14ac:dyDescent="0.3">
      <c r="A1326" s="4">
        <v>44095</v>
      </c>
      <c r="B1326" s="19">
        <v>-32.418199999999985</v>
      </c>
      <c r="C1326" s="19">
        <v>9.6993000000000009</v>
      </c>
      <c r="E1326" s="4">
        <v>44095</v>
      </c>
      <c r="F1326" s="19">
        <v>-32.539500000000032</v>
      </c>
      <c r="G1326" s="19">
        <v>8.9628999999999976</v>
      </c>
    </row>
    <row r="1327" spans="1:7" x14ac:dyDescent="0.3">
      <c r="A1327" s="4">
        <v>44092</v>
      </c>
      <c r="B1327" s="19">
        <v>59.939299999999974</v>
      </c>
      <c r="C1327" s="19">
        <v>5.6082999999999998</v>
      </c>
      <c r="E1327" s="4">
        <v>44092</v>
      </c>
      <c r="F1327" s="19">
        <v>34.796299999999974</v>
      </c>
      <c r="G1327" s="19">
        <v>15.821599999999997</v>
      </c>
    </row>
    <row r="1328" spans="1:7" x14ac:dyDescent="0.3">
      <c r="A1328" s="4">
        <v>44091</v>
      </c>
      <c r="B1328" s="19">
        <v>-23.229700000000008</v>
      </c>
      <c r="C1328" s="19">
        <v>8.6237999999999957</v>
      </c>
      <c r="E1328" s="4">
        <v>44091</v>
      </c>
      <c r="F1328" s="19">
        <v>27.619799999999969</v>
      </c>
      <c r="G1328" s="19">
        <v>7.9283999999999963</v>
      </c>
    </row>
    <row r="1329" spans="1:7" x14ac:dyDescent="0.3">
      <c r="A1329" s="4">
        <v>44090</v>
      </c>
      <c r="B1329" s="19">
        <v>22.278999999999996</v>
      </c>
      <c r="C1329" s="19">
        <v>6.7364999999999995</v>
      </c>
      <c r="E1329" s="4">
        <v>44090</v>
      </c>
      <c r="F1329" s="19">
        <v>-14.858899999999949</v>
      </c>
      <c r="G1329" s="19">
        <v>11.764299999999999</v>
      </c>
    </row>
    <row r="1330" spans="1:7" x14ac:dyDescent="0.3">
      <c r="A1330" s="4">
        <v>44089</v>
      </c>
      <c r="B1330" s="19">
        <v>1.7778000000000134</v>
      </c>
      <c r="C1330" s="19">
        <v>10.910399999999996</v>
      </c>
      <c r="E1330" s="4">
        <v>44089</v>
      </c>
      <c r="F1330" s="19">
        <v>31.433900000000023</v>
      </c>
      <c r="G1330" s="19">
        <v>15.766300000000001</v>
      </c>
    </row>
    <row r="1331" spans="1:7" x14ac:dyDescent="0.3">
      <c r="A1331" s="4">
        <v>44088</v>
      </c>
      <c r="B1331" s="19">
        <v>-26.836299999999994</v>
      </c>
      <c r="C1331" s="19">
        <v>33.012899999999995</v>
      </c>
      <c r="E1331" s="4">
        <v>44088</v>
      </c>
      <c r="F1331" s="19">
        <v>-4.59699999999998</v>
      </c>
      <c r="G1331" s="19">
        <v>19.422499999999999</v>
      </c>
    </row>
    <row r="1332" spans="1:7" x14ac:dyDescent="0.3">
      <c r="A1332" s="4">
        <v>44085</v>
      </c>
      <c r="B1332" s="19">
        <v>-10.820599999999985</v>
      </c>
      <c r="C1332" s="19">
        <v>5.6009999999999991</v>
      </c>
      <c r="E1332" s="4">
        <v>44085</v>
      </c>
      <c r="F1332" s="19">
        <v>23.729900000000015</v>
      </c>
      <c r="G1332" s="19">
        <v>18.054300000000005</v>
      </c>
    </row>
    <row r="1333" spans="1:7" x14ac:dyDescent="0.3">
      <c r="A1333" s="4">
        <v>44084</v>
      </c>
      <c r="B1333" s="19">
        <v>-9.5493000000000166</v>
      </c>
      <c r="C1333" s="19">
        <v>4.5023000000000053</v>
      </c>
      <c r="E1333" s="4">
        <v>44084</v>
      </c>
      <c r="F1333" s="19">
        <v>19.538000000000011</v>
      </c>
      <c r="G1333" s="19">
        <v>8.2070000000000007</v>
      </c>
    </row>
    <row r="1334" spans="1:7" x14ac:dyDescent="0.3">
      <c r="A1334" s="4">
        <v>44083</v>
      </c>
      <c r="B1334" s="19">
        <v>-16.401699999999977</v>
      </c>
      <c r="C1334" s="19">
        <v>8.1346999999999952</v>
      </c>
      <c r="E1334" s="4">
        <v>44083</v>
      </c>
      <c r="F1334" s="19">
        <v>-21.179899999999975</v>
      </c>
      <c r="G1334" s="19">
        <v>9.2053999999999974</v>
      </c>
    </row>
    <row r="1335" spans="1:7" x14ac:dyDescent="0.3">
      <c r="A1335" s="4">
        <v>44082</v>
      </c>
      <c r="B1335" s="19">
        <v>23.633199999999988</v>
      </c>
      <c r="C1335" s="19">
        <v>-27.834799999999994</v>
      </c>
      <c r="E1335" s="4">
        <v>44082</v>
      </c>
      <c r="F1335" s="19">
        <v>39.873400000000004</v>
      </c>
      <c r="G1335" s="19">
        <v>9.3680000000000021</v>
      </c>
    </row>
    <row r="1336" spans="1:7" x14ac:dyDescent="0.3">
      <c r="A1336" s="4">
        <v>44081</v>
      </c>
      <c r="B1336" s="19">
        <v>-22.024000000000001</v>
      </c>
      <c r="C1336" s="19">
        <v>4.212600000000009</v>
      </c>
      <c r="E1336" s="4">
        <v>44081</v>
      </c>
      <c r="F1336" s="19">
        <v>-32.629899999999964</v>
      </c>
      <c r="G1336" s="19">
        <v>35.476300000000002</v>
      </c>
    </row>
    <row r="1337" spans="1:7" x14ac:dyDescent="0.3">
      <c r="A1337" s="4">
        <v>44078</v>
      </c>
      <c r="B1337" s="19">
        <v>-31.061900000000009</v>
      </c>
      <c r="C1337" s="19">
        <v>19.778099999999995</v>
      </c>
      <c r="E1337" s="4">
        <v>44078</v>
      </c>
      <c r="F1337" s="19">
        <v>-32.114199999999983</v>
      </c>
      <c r="G1337" s="19">
        <v>28.2744</v>
      </c>
    </row>
    <row r="1338" spans="1:7" x14ac:dyDescent="0.3">
      <c r="A1338" s="4">
        <v>44077</v>
      </c>
      <c r="B1338" s="19">
        <v>9.1730000000000018</v>
      </c>
      <c r="C1338" s="19">
        <v>0.80460000000000065</v>
      </c>
      <c r="E1338" s="4">
        <v>44077</v>
      </c>
      <c r="F1338" s="19">
        <v>-19.211199999999963</v>
      </c>
      <c r="G1338" s="19">
        <v>14.706600000000009</v>
      </c>
    </row>
    <row r="1339" spans="1:7" x14ac:dyDescent="0.3">
      <c r="A1339" s="4">
        <v>44076</v>
      </c>
      <c r="B1339" s="19">
        <v>-60.075699999999983</v>
      </c>
      <c r="C1339" s="19">
        <v>11.130999999999993</v>
      </c>
      <c r="E1339" s="4">
        <v>44076</v>
      </c>
      <c r="F1339" s="19">
        <v>-6.0668999999999755</v>
      </c>
      <c r="G1339" s="19">
        <v>29.152400000000007</v>
      </c>
    </row>
    <row r="1340" spans="1:7" x14ac:dyDescent="0.3">
      <c r="A1340" s="4">
        <v>44075</v>
      </c>
      <c r="B1340" s="19">
        <v>-18.050299999999993</v>
      </c>
      <c r="C1340" s="19">
        <v>6.1758999999999986</v>
      </c>
      <c r="E1340" s="4">
        <v>44075</v>
      </c>
      <c r="F1340" s="19">
        <v>15.051000000000045</v>
      </c>
      <c r="G1340" s="19">
        <v>23.366700000000009</v>
      </c>
    </row>
    <row r="1341" spans="1:7" x14ac:dyDescent="0.3">
      <c r="A1341" s="4">
        <v>44074</v>
      </c>
      <c r="B1341" s="19">
        <v>-34.144299999999987</v>
      </c>
      <c r="C1341" s="19">
        <v>22.319299999999998</v>
      </c>
      <c r="E1341" s="4">
        <v>44074</v>
      </c>
      <c r="F1341" s="19">
        <v>-46.115900000000011</v>
      </c>
      <c r="G1341" s="19">
        <v>26.604000000000006</v>
      </c>
    </row>
    <row r="1342" spans="1:7" x14ac:dyDescent="0.3">
      <c r="A1342" s="4">
        <v>44071</v>
      </c>
      <c r="B1342" s="19">
        <v>14.867999999999995</v>
      </c>
      <c r="C1342" s="19">
        <v>17.263300000000008</v>
      </c>
      <c r="E1342" s="4">
        <v>44071</v>
      </c>
      <c r="F1342" s="19">
        <v>49.559799999999996</v>
      </c>
      <c r="G1342" s="19">
        <v>25.391300000000001</v>
      </c>
    </row>
    <row r="1343" spans="1:7" x14ac:dyDescent="0.3">
      <c r="A1343" s="4">
        <v>44070</v>
      </c>
      <c r="B1343" s="19">
        <v>-21.206699999999984</v>
      </c>
      <c r="C1343" s="19">
        <v>18.691499999999998</v>
      </c>
      <c r="E1343" s="4">
        <v>44070</v>
      </c>
      <c r="F1343" s="19">
        <v>11.156899999999951</v>
      </c>
      <c r="G1343" s="19">
        <v>23.865299999999998</v>
      </c>
    </row>
    <row r="1344" spans="1:7" x14ac:dyDescent="0.3">
      <c r="A1344" s="4">
        <v>44069</v>
      </c>
      <c r="B1344" s="19">
        <v>2.2738999999999976</v>
      </c>
      <c r="C1344" s="19">
        <v>8.0827000000000098</v>
      </c>
      <c r="E1344" s="4">
        <v>44069</v>
      </c>
      <c r="F1344" s="19">
        <v>-14.046699999999987</v>
      </c>
      <c r="G1344" s="19">
        <v>4.9054000000000002</v>
      </c>
    </row>
    <row r="1345" spans="1:7" x14ac:dyDescent="0.3">
      <c r="A1345" s="4">
        <v>44068</v>
      </c>
      <c r="B1345" s="19">
        <v>24.564999999999998</v>
      </c>
      <c r="C1345" s="19">
        <v>-1.0893000000000015</v>
      </c>
      <c r="E1345" s="4">
        <v>44068</v>
      </c>
      <c r="F1345" s="19">
        <v>-7.1847999999999956</v>
      </c>
      <c r="G1345" s="19">
        <v>11.401100000000007</v>
      </c>
    </row>
    <row r="1346" spans="1:7" x14ac:dyDescent="0.3">
      <c r="A1346" s="4">
        <v>44067</v>
      </c>
      <c r="B1346" s="19">
        <v>-2.734800000000007</v>
      </c>
      <c r="C1346" s="19">
        <v>16.744599999999998</v>
      </c>
      <c r="E1346" s="4">
        <v>44067</v>
      </c>
      <c r="F1346" s="19">
        <v>22.20799999999997</v>
      </c>
      <c r="G1346" s="19">
        <v>12.966300000000004</v>
      </c>
    </row>
    <row r="1347" spans="1:7" x14ac:dyDescent="0.3">
      <c r="A1347" s="4">
        <v>44064</v>
      </c>
      <c r="B1347" s="19">
        <v>-7.6425000000000125</v>
      </c>
      <c r="C1347" s="19">
        <v>1.8898999999999972</v>
      </c>
      <c r="E1347" s="4">
        <v>44064</v>
      </c>
      <c r="F1347" s="19">
        <v>18.910399999999981</v>
      </c>
      <c r="G1347" s="19">
        <v>14.607599999999998</v>
      </c>
    </row>
    <row r="1348" spans="1:7" x14ac:dyDescent="0.3">
      <c r="A1348" s="4">
        <v>44063</v>
      </c>
      <c r="B1348" s="19">
        <v>-43.81049999999999</v>
      </c>
      <c r="C1348" s="19">
        <v>-0.86649999999999494</v>
      </c>
      <c r="E1348" s="4">
        <v>44063</v>
      </c>
      <c r="F1348" s="19">
        <v>15.485700000000008</v>
      </c>
      <c r="G1348" s="19">
        <v>4.6884000000000015</v>
      </c>
    </row>
    <row r="1349" spans="1:7" x14ac:dyDescent="0.3">
      <c r="A1349" s="4">
        <v>44062</v>
      </c>
      <c r="B1349" s="19">
        <v>-22.136299999999977</v>
      </c>
      <c r="C1349" s="19">
        <v>-9.0660000000000025</v>
      </c>
      <c r="E1349" s="4">
        <v>44062</v>
      </c>
      <c r="F1349" s="19">
        <v>-39.200000000000017</v>
      </c>
      <c r="G1349" s="19">
        <v>-0.38409999999999656</v>
      </c>
    </row>
    <row r="1350" spans="1:7" x14ac:dyDescent="0.3">
      <c r="A1350" s="4">
        <v>44061</v>
      </c>
      <c r="B1350" s="19">
        <v>-9.5467000000000439</v>
      </c>
      <c r="C1350" s="19">
        <v>8.0163000000000011</v>
      </c>
      <c r="E1350" s="4">
        <v>44061</v>
      </c>
      <c r="F1350" s="19">
        <v>-10.830500000000029</v>
      </c>
      <c r="G1350" s="19">
        <v>2.7353000000000023</v>
      </c>
    </row>
    <row r="1351" spans="1:7" x14ac:dyDescent="0.3">
      <c r="A1351" s="4">
        <v>44060</v>
      </c>
      <c r="B1351" s="19">
        <v>41.329700000000003</v>
      </c>
      <c r="C1351" s="19">
        <v>9.8289000000000044</v>
      </c>
      <c r="E1351" s="4">
        <v>44060</v>
      </c>
      <c r="F1351" s="19">
        <v>15.804599999999994</v>
      </c>
      <c r="G1351" s="19">
        <v>16.6297</v>
      </c>
    </row>
    <row r="1352" spans="1:7" x14ac:dyDescent="0.3">
      <c r="A1352" s="4">
        <v>44057</v>
      </c>
      <c r="B1352" s="19">
        <v>34.33850000000001</v>
      </c>
      <c r="C1352" s="19">
        <v>6.145700000000005</v>
      </c>
      <c r="E1352" s="4">
        <v>44057</v>
      </c>
      <c r="F1352" s="19">
        <v>29.952199999999976</v>
      </c>
      <c r="G1352" s="19">
        <v>20.436599999999999</v>
      </c>
    </row>
    <row r="1353" spans="1:7" x14ac:dyDescent="0.3">
      <c r="A1353" s="4">
        <v>44056</v>
      </c>
      <c r="B1353" s="19">
        <v>-10.225500000000011</v>
      </c>
      <c r="C1353" s="19">
        <v>-2.0187000000000026</v>
      </c>
      <c r="E1353" s="4">
        <v>44056</v>
      </c>
      <c r="F1353" s="19">
        <v>-10.59620000000001</v>
      </c>
      <c r="G1353" s="19">
        <v>2.6364000000000019</v>
      </c>
    </row>
    <row r="1354" spans="1:7" x14ac:dyDescent="0.3">
      <c r="A1354" s="4">
        <v>44055</v>
      </c>
      <c r="B1354" s="19">
        <v>9.4804000000000315</v>
      </c>
      <c r="C1354" s="19">
        <v>2.6520000000000081</v>
      </c>
      <c r="E1354" s="4">
        <v>44055</v>
      </c>
      <c r="F1354" s="19">
        <v>-25.857799999999997</v>
      </c>
      <c r="G1354" s="19">
        <v>-1.5799999999998704E-2</v>
      </c>
    </row>
    <row r="1355" spans="1:7" x14ac:dyDescent="0.3">
      <c r="A1355" s="4">
        <v>44054</v>
      </c>
      <c r="B1355" s="19">
        <v>21.244699999999995</v>
      </c>
      <c r="C1355" s="19">
        <v>-1.8900000000002137E-2</v>
      </c>
      <c r="E1355" s="4">
        <v>44054</v>
      </c>
      <c r="F1355" s="19">
        <v>18.237500000000011</v>
      </c>
      <c r="G1355" s="19">
        <v>5.3340999999999994</v>
      </c>
    </row>
    <row r="1356" spans="1:7" x14ac:dyDescent="0.3">
      <c r="A1356" s="4">
        <v>44053</v>
      </c>
      <c r="B1356" s="19">
        <v>13.993899999999996</v>
      </c>
      <c r="C1356" s="19">
        <v>-2.6932000000000045</v>
      </c>
      <c r="E1356" s="4">
        <v>44053</v>
      </c>
      <c r="F1356" s="19">
        <v>-13.920200000000023</v>
      </c>
      <c r="G1356" s="19">
        <v>29.694100000000006</v>
      </c>
    </row>
    <row r="1357" spans="1:7" x14ac:dyDescent="0.3">
      <c r="A1357" s="4">
        <v>44050</v>
      </c>
      <c r="B1357" s="19">
        <v>-25.282100000000014</v>
      </c>
      <c r="C1357" s="19">
        <v>-33.347999999999999</v>
      </c>
      <c r="E1357" s="4">
        <v>44050</v>
      </c>
      <c r="F1357" s="19">
        <v>6.6594000000000051</v>
      </c>
      <c r="G1357" s="19">
        <v>17.053799999999995</v>
      </c>
    </row>
    <row r="1358" spans="1:7" x14ac:dyDescent="0.3">
      <c r="A1358" s="4">
        <v>44049</v>
      </c>
      <c r="B1358" s="19">
        <v>-5.3741999999999734</v>
      </c>
      <c r="C1358" s="19">
        <v>-9.4723000000000042</v>
      </c>
      <c r="E1358" s="4">
        <v>44049</v>
      </c>
      <c r="F1358" s="19">
        <v>-20.100899999999967</v>
      </c>
      <c r="G1358" s="19">
        <v>17.235700000000001</v>
      </c>
    </row>
    <row r="1359" spans="1:7" x14ac:dyDescent="0.3">
      <c r="A1359" s="4">
        <v>44048</v>
      </c>
      <c r="B1359" s="19">
        <v>-32.468399999999974</v>
      </c>
      <c r="C1359" s="19">
        <v>0.71900000000000119</v>
      </c>
      <c r="E1359" s="4">
        <v>44048</v>
      </c>
      <c r="F1359" s="19">
        <v>12.657700000000034</v>
      </c>
      <c r="G1359" s="19">
        <v>8.6676999999999964</v>
      </c>
    </row>
    <row r="1360" spans="1:7" x14ac:dyDescent="0.3">
      <c r="A1360" s="4">
        <v>44047</v>
      </c>
      <c r="B1360" s="19">
        <v>40.07080000000002</v>
      </c>
      <c r="C1360" s="19">
        <v>5.7065000000000055</v>
      </c>
      <c r="E1360" s="4">
        <v>44047</v>
      </c>
      <c r="F1360" s="19">
        <v>-18.704300000000046</v>
      </c>
      <c r="G1360" s="19">
        <v>28.580499999999994</v>
      </c>
    </row>
    <row r="1361" spans="1:7" x14ac:dyDescent="0.3">
      <c r="A1361" s="4">
        <v>44046</v>
      </c>
      <c r="B1361" s="19">
        <v>-21.705800000000011</v>
      </c>
      <c r="C1361" s="19">
        <v>28.580200000000005</v>
      </c>
      <c r="E1361" s="4">
        <v>44046</v>
      </c>
      <c r="F1361" s="19">
        <v>19.752999999999986</v>
      </c>
      <c r="G1361" s="19">
        <v>18.533999999999992</v>
      </c>
    </row>
    <row r="1362" spans="1:7" x14ac:dyDescent="0.3">
      <c r="A1362" s="4">
        <v>44043</v>
      </c>
      <c r="B1362" s="19">
        <v>-28.145800000000008</v>
      </c>
      <c r="C1362" s="19">
        <v>9.8903000000000034</v>
      </c>
      <c r="E1362" s="4">
        <v>44043</v>
      </c>
      <c r="F1362" s="19">
        <v>9.1141999999999825</v>
      </c>
      <c r="G1362" s="19">
        <v>18.041099999999993</v>
      </c>
    </row>
    <row r="1363" spans="1:7" x14ac:dyDescent="0.3">
      <c r="A1363" s="4">
        <v>44042</v>
      </c>
      <c r="B1363" s="19">
        <v>-15.751300000000015</v>
      </c>
      <c r="C1363" s="19">
        <v>26.031399999999998</v>
      </c>
      <c r="E1363" s="4">
        <v>44042</v>
      </c>
      <c r="F1363" s="19">
        <v>-47.62949999999995</v>
      </c>
      <c r="G1363" s="19">
        <v>29.750999999999998</v>
      </c>
    </row>
    <row r="1364" spans="1:7" x14ac:dyDescent="0.3">
      <c r="A1364" s="4">
        <v>44041</v>
      </c>
      <c r="B1364" s="19">
        <v>4.1499000000000024</v>
      </c>
      <c r="C1364" s="19">
        <v>19.648399999999995</v>
      </c>
      <c r="E1364" s="4">
        <v>44041</v>
      </c>
      <c r="F1364" s="19">
        <v>73.163599999999974</v>
      </c>
      <c r="G1364" s="19">
        <v>16.963100000000004</v>
      </c>
    </row>
    <row r="1365" spans="1:7" x14ac:dyDescent="0.3">
      <c r="A1365" s="4">
        <v>44040</v>
      </c>
      <c r="B1365" s="19">
        <v>-37.328699999999998</v>
      </c>
      <c r="C1365" s="19">
        <v>22.103100000000005</v>
      </c>
      <c r="E1365" s="4">
        <v>44040</v>
      </c>
      <c r="F1365" s="19">
        <v>15.000699999999995</v>
      </c>
      <c r="G1365" s="19">
        <v>16.522399999999998</v>
      </c>
    </row>
    <row r="1366" spans="1:7" x14ac:dyDescent="0.3">
      <c r="A1366" s="4">
        <v>44039</v>
      </c>
      <c r="B1366" s="19">
        <v>-38.16149999999999</v>
      </c>
      <c r="C1366" s="19">
        <v>-5.5296000000000021</v>
      </c>
      <c r="E1366" s="4">
        <v>44039</v>
      </c>
      <c r="F1366" s="19">
        <v>23.018300000000011</v>
      </c>
      <c r="G1366" s="19">
        <v>24.024900000000002</v>
      </c>
    </row>
    <row r="1367" spans="1:7" x14ac:dyDescent="0.3">
      <c r="A1367" s="4">
        <v>44036</v>
      </c>
      <c r="B1367" s="19">
        <v>-92.987400000000036</v>
      </c>
      <c r="C1367" s="19">
        <v>-40.767600000000002</v>
      </c>
      <c r="E1367" s="4">
        <v>44036</v>
      </c>
      <c r="F1367" s="19">
        <v>-70.586500000000001</v>
      </c>
      <c r="G1367" s="19">
        <v>28.443300000000008</v>
      </c>
    </row>
    <row r="1368" spans="1:7" x14ac:dyDescent="0.3">
      <c r="A1368" s="4">
        <v>44035</v>
      </c>
      <c r="B1368" s="19">
        <v>-30.96429999999998</v>
      </c>
      <c r="C1368" s="19">
        <v>16.621099999999998</v>
      </c>
      <c r="E1368" s="4">
        <v>44035</v>
      </c>
      <c r="F1368" s="19">
        <v>-5.5717999999999961</v>
      </c>
      <c r="G1368" s="19">
        <v>19.5886</v>
      </c>
    </row>
    <row r="1369" spans="1:7" x14ac:dyDescent="0.3">
      <c r="A1369" s="4">
        <v>44034</v>
      </c>
      <c r="B1369" s="19">
        <v>-18.578199999999981</v>
      </c>
      <c r="C1369" s="19">
        <v>6.573599999999999</v>
      </c>
      <c r="E1369" s="4">
        <v>44034</v>
      </c>
      <c r="F1369" s="19">
        <v>60.280799999999999</v>
      </c>
      <c r="G1369" s="19">
        <v>27.247</v>
      </c>
    </row>
    <row r="1370" spans="1:7" x14ac:dyDescent="0.3">
      <c r="A1370" s="4">
        <v>44033</v>
      </c>
      <c r="B1370" s="19">
        <v>-36.990700000000004</v>
      </c>
      <c r="C1370" s="19">
        <v>24.375800000000005</v>
      </c>
      <c r="E1370" s="4">
        <v>44033</v>
      </c>
      <c r="F1370" s="19">
        <v>6.8782999999999674</v>
      </c>
      <c r="G1370" s="19">
        <v>26.793199999999999</v>
      </c>
    </row>
    <row r="1371" spans="1:7" x14ac:dyDescent="0.3">
      <c r="A1371" s="4">
        <v>44032</v>
      </c>
      <c r="B1371" s="19">
        <v>23.441699999999969</v>
      </c>
      <c r="C1371" s="19">
        <v>27.6661</v>
      </c>
      <c r="E1371" s="4">
        <v>44032</v>
      </c>
      <c r="F1371" s="19">
        <v>-82.431299999999965</v>
      </c>
      <c r="G1371" s="19">
        <v>17.604299999999995</v>
      </c>
    </row>
    <row r="1372" spans="1:7" x14ac:dyDescent="0.3">
      <c r="A1372" s="4">
        <v>44029</v>
      </c>
      <c r="B1372" s="19">
        <v>3.9744000000000028</v>
      </c>
      <c r="C1372" s="19">
        <v>5.0849999999999937</v>
      </c>
      <c r="E1372" s="4">
        <v>44029</v>
      </c>
      <c r="F1372" s="19">
        <v>6.4598000000000297</v>
      </c>
      <c r="G1372" s="19">
        <v>13.566799999999994</v>
      </c>
    </row>
    <row r="1373" spans="1:7" x14ac:dyDescent="0.3">
      <c r="A1373" s="4">
        <v>44028</v>
      </c>
      <c r="B1373" s="19">
        <v>-23.716800000000035</v>
      </c>
      <c r="C1373" s="19">
        <v>-14.953800000000001</v>
      </c>
      <c r="E1373" s="4">
        <v>44028</v>
      </c>
      <c r="F1373" s="19">
        <v>-45.48679999999996</v>
      </c>
      <c r="G1373" s="19">
        <v>19.021000000000001</v>
      </c>
    </row>
    <row r="1374" spans="1:7" x14ac:dyDescent="0.3">
      <c r="A1374" s="4">
        <v>44027</v>
      </c>
      <c r="B1374" s="19">
        <v>-14.742199999999968</v>
      </c>
      <c r="C1374" s="19">
        <v>6.0605999999999938</v>
      </c>
      <c r="E1374" s="4">
        <v>44027</v>
      </c>
      <c r="F1374" s="19">
        <v>-12.314000000000021</v>
      </c>
      <c r="G1374" s="19">
        <v>14.465000000000003</v>
      </c>
    </row>
    <row r="1375" spans="1:7" x14ac:dyDescent="0.3">
      <c r="A1375" s="4">
        <v>44026</v>
      </c>
      <c r="B1375" s="19">
        <v>-49.950600000000009</v>
      </c>
      <c r="C1375" s="19">
        <v>36.520300000000006</v>
      </c>
      <c r="E1375" s="4">
        <v>44026</v>
      </c>
      <c r="F1375" s="19">
        <v>-123.89089999999999</v>
      </c>
      <c r="G1375" s="19">
        <v>29.165199999999999</v>
      </c>
    </row>
    <row r="1376" spans="1:7" x14ac:dyDescent="0.3">
      <c r="A1376" s="4">
        <v>44025</v>
      </c>
      <c r="B1376" s="19">
        <v>33.422199999999975</v>
      </c>
      <c r="C1376" s="19">
        <v>21.313400000000001</v>
      </c>
      <c r="E1376" s="4">
        <v>44025</v>
      </c>
      <c r="F1376" s="19">
        <v>35.081299999999999</v>
      </c>
      <c r="G1376" s="19">
        <v>40.597800000000007</v>
      </c>
    </row>
    <row r="1377" spans="1:7" x14ac:dyDescent="0.3">
      <c r="A1377" s="4">
        <v>44022</v>
      </c>
      <c r="B1377" s="19">
        <v>-17.039600000000007</v>
      </c>
      <c r="C1377" s="19">
        <v>12.388599999999997</v>
      </c>
      <c r="E1377" s="4">
        <v>44022</v>
      </c>
      <c r="F1377" s="19">
        <v>-26.891599999999983</v>
      </c>
      <c r="G1377" s="19">
        <v>15.911000000000001</v>
      </c>
    </row>
    <row r="1378" spans="1:7" x14ac:dyDescent="0.3">
      <c r="A1378" s="4">
        <v>44021</v>
      </c>
      <c r="B1378" s="19">
        <v>33.279899999999998</v>
      </c>
      <c r="C1378" s="19">
        <v>40.180800000000005</v>
      </c>
      <c r="E1378" s="4">
        <v>44021</v>
      </c>
      <c r="F1378" s="19">
        <v>46.234199999999987</v>
      </c>
      <c r="G1378" s="19">
        <v>34.320099999999996</v>
      </c>
    </row>
    <row r="1379" spans="1:7" x14ac:dyDescent="0.3">
      <c r="A1379" s="4">
        <v>44020</v>
      </c>
      <c r="B1379" s="19">
        <v>3.4660000000000082</v>
      </c>
      <c r="C1379" s="19">
        <v>56.904600000000002</v>
      </c>
      <c r="E1379" s="4">
        <v>44020</v>
      </c>
      <c r="F1379" s="19">
        <v>8.0669000000000324</v>
      </c>
      <c r="G1379" s="19">
        <v>31.062300000000008</v>
      </c>
    </row>
    <row r="1380" spans="1:7" x14ac:dyDescent="0.3">
      <c r="A1380" s="4">
        <v>44019</v>
      </c>
      <c r="B1380" s="19">
        <v>66.611400000000003</v>
      </c>
      <c r="C1380" s="19">
        <v>22.631200000000007</v>
      </c>
      <c r="E1380" s="4">
        <v>44019</v>
      </c>
      <c r="F1380" s="19">
        <v>31.827099999999973</v>
      </c>
      <c r="G1380" s="19">
        <v>18.562299999999993</v>
      </c>
    </row>
    <row r="1381" spans="1:7" x14ac:dyDescent="0.3">
      <c r="A1381" s="4">
        <v>44018</v>
      </c>
      <c r="B1381" s="19">
        <v>51.003600000000006</v>
      </c>
      <c r="C1381" s="19">
        <v>57.468999999999994</v>
      </c>
      <c r="E1381" s="4">
        <v>44018</v>
      </c>
      <c r="F1381" s="19">
        <v>85.518599999999992</v>
      </c>
      <c r="G1381" s="19">
        <v>32.787700000000001</v>
      </c>
    </row>
    <row r="1382" spans="1:7" x14ac:dyDescent="0.3">
      <c r="A1382" s="4">
        <v>44015</v>
      </c>
      <c r="B1382" s="19">
        <v>80.408900000000017</v>
      </c>
      <c r="C1382" s="19">
        <v>21.452699999999993</v>
      </c>
      <c r="E1382" s="4">
        <v>44015</v>
      </c>
      <c r="F1382" s="19">
        <v>51.529899999999998</v>
      </c>
      <c r="G1382" s="19">
        <v>12.718199999999996</v>
      </c>
    </row>
    <row r="1383" spans="1:7" x14ac:dyDescent="0.3">
      <c r="A1383" s="4">
        <v>44014</v>
      </c>
      <c r="B1383" s="19">
        <v>111.60669999999999</v>
      </c>
      <c r="C1383" s="19">
        <v>16.368400000000008</v>
      </c>
      <c r="E1383" s="4">
        <v>44014</v>
      </c>
      <c r="F1383" s="19">
        <v>59.544199999999989</v>
      </c>
      <c r="G1383" s="19">
        <v>34.474399999999989</v>
      </c>
    </row>
    <row r="1384" spans="1:7" x14ac:dyDescent="0.3">
      <c r="A1384" s="4">
        <v>44012</v>
      </c>
      <c r="B1384" s="19"/>
      <c r="C1384" s="19">
        <v>15.23429999999999</v>
      </c>
      <c r="E1384" s="4">
        <v>44012</v>
      </c>
      <c r="F1384" s="19"/>
      <c r="G1384" s="19">
        <v>36.956399999999995</v>
      </c>
    </row>
    <row r="1385" spans="1:7" x14ac:dyDescent="0.3">
      <c r="A1385" s="4">
        <v>44011</v>
      </c>
      <c r="B1385" s="19">
        <v>-14.634399999999999</v>
      </c>
      <c r="C1385" s="19">
        <v>-2.8205999999999989</v>
      </c>
      <c r="E1385" s="4">
        <v>44011</v>
      </c>
      <c r="F1385" s="19">
        <v>0.16540000000000532</v>
      </c>
      <c r="G1385" s="19">
        <v>8.5057000000000045</v>
      </c>
    </row>
    <row r="1386" spans="1:7" x14ac:dyDescent="0.3">
      <c r="A1386" s="4">
        <v>44006</v>
      </c>
      <c r="B1386" s="19">
        <v>16.978399999999993</v>
      </c>
      <c r="C1386" s="19"/>
      <c r="E1386" s="4">
        <v>44006</v>
      </c>
      <c r="F1386" s="19">
        <v>1.5798000000000059</v>
      </c>
      <c r="G1386" s="19"/>
    </row>
    <row r="1387" spans="1:7" x14ac:dyDescent="0.3">
      <c r="A1387" s="4">
        <v>44005</v>
      </c>
      <c r="B1387" s="19">
        <v>17.480000000000018</v>
      </c>
      <c r="C1387" s="19"/>
      <c r="E1387" s="4">
        <v>44005</v>
      </c>
      <c r="F1387" s="19">
        <v>-9.9552000000000191</v>
      </c>
      <c r="G1387" s="19"/>
    </row>
    <row r="1388" spans="1:7" x14ac:dyDescent="0.3">
      <c r="A1388" s="4">
        <v>44004</v>
      </c>
      <c r="B1388" s="19">
        <v>12.755200000000002</v>
      </c>
      <c r="C1388" s="19">
        <v>-0.87369999999999948</v>
      </c>
      <c r="E1388" s="4">
        <v>44004</v>
      </c>
      <c r="F1388" s="19">
        <v>9.0684999999999718</v>
      </c>
      <c r="G1388" s="19">
        <v>8.6469999999999985</v>
      </c>
    </row>
    <row r="1389" spans="1:7" x14ac:dyDescent="0.3">
      <c r="A1389" s="4">
        <v>44001</v>
      </c>
      <c r="B1389" s="19">
        <v>98.873800000000017</v>
      </c>
      <c r="C1389" s="19">
        <v>6.5795999999999992</v>
      </c>
      <c r="E1389" s="4">
        <v>44001</v>
      </c>
      <c r="F1389" s="19">
        <v>83.45980000000003</v>
      </c>
      <c r="G1389" s="19">
        <v>14.652799999999999</v>
      </c>
    </row>
    <row r="1390" spans="1:7" x14ac:dyDescent="0.3">
      <c r="A1390" s="4">
        <v>44000</v>
      </c>
      <c r="B1390" s="19">
        <v>30.115399999999994</v>
      </c>
      <c r="C1390" s="19">
        <v>13.438200000000002</v>
      </c>
      <c r="E1390" s="4">
        <v>44000</v>
      </c>
      <c r="F1390" s="19">
        <v>19.450299999999999</v>
      </c>
      <c r="G1390" s="19">
        <v>10.373799999999996</v>
      </c>
    </row>
    <row r="1391" spans="1:7" x14ac:dyDescent="0.3">
      <c r="A1391" s="4">
        <v>43999</v>
      </c>
      <c r="B1391" s="19">
        <v>-7.4472000000000094</v>
      </c>
      <c r="C1391" s="19">
        <v>12.659300000000002</v>
      </c>
      <c r="E1391" s="4">
        <v>43999</v>
      </c>
      <c r="F1391" s="19">
        <v>-19.766999999999996</v>
      </c>
      <c r="G1391" s="19">
        <v>11.555099999999996</v>
      </c>
    </row>
    <row r="1392" spans="1:7" x14ac:dyDescent="0.3">
      <c r="A1392" s="4">
        <v>43998</v>
      </c>
      <c r="B1392" s="19">
        <v>21.006600000000006</v>
      </c>
      <c r="C1392" s="19">
        <v>12.202199999999998</v>
      </c>
      <c r="E1392" s="4">
        <v>43998</v>
      </c>
      <c r="F1392" s="19">
        <v>18.697300000000013</v>
      </c>
      <c r="G1392" s="19">
        <v>8.0527000000000015</v>
      </c>
    </row>
    <row r="1393" spans="1:7" x14ac:dyDescent="0.3">
      <c r="A1393" s="4">
        <v>43997</v>
      </c>
      <c r="B1393" s="19">
        <v>-51.245299999999986</v>
      </c>
      <c r="C1393" s="19">
        <v>5.2922000000000011</v>
      </c>
      <c r="E1393" s="4">
        <v>43997</v>
      </c>
      <c r="F1393" s="19">
        <v>10.543499999999995</v>
      </c>
      <c r="G1393" s="19">
        <v>17.194500000000005</v>
      </c>
    </row>
    <row r="1394" spans="1:7" x14ac:dyDescent="0.3">
      <c r="A1394" s="4">
        <v>43994</v>
      </c>
      <c r="B1394" s="19">
        <v>-7.3161999999999807</v>
      </c>
      <c r="C1394" s="19">
        <v>7.551400000000001</v>
      </c>
      <c r="E1394" s="4">
        <v>43994</v>
      </c>
      <c r="F1394" s="19">
        <v>-1.6339000000000112</v>
      </c>
      <c r="G1394" s="19">
        <v>10.210000000000001</v>
      </c>
    </row>
    <row r="1395" spans="1:7" x14ac:dyDescent="0.3">
      <c r="A1395" s="4">
        <v>43993</v>
      </c>
      <c r="B1395" s="19">
        <v>-18.848399999999998</v>
      </c>
      <c r="C1395" s="19">
        <v>-2.1390999999999991</v>
      </c>
      <c r="E1395" s="4">
        <v>43993</v>
      </c>
      <c r="F1395" s="19">
        <v>20.30019999999999</v>
      </c>
      <c r="G1395" s="19">
        <v>6.5746000000000038</v>
      </c>
    </row>
    <row r="1396" spans="1:7" x14ac:dyDescent="0.3">
      <c r="A1396" s="4">
        <v>43992</v>
      </c>
      <c r="B1396" s="19">
        <v>-12.328599999999994</v>
      </c>
      <c r="C1396" s="19">
        <v>-2.7978999999999985</v>
      </c>
      <c r="E1396" s="4">
        <v>43992</v>
      </c>
      <c r="F1396" s="19">
        <v>16.552699999999987</v>
      </c>
      <c r="G1396" s="19">
        <v>12.705400000000004</v>
      </c>
    </row>
    <row r="1397" spans="1:7" x14ac:dyDescent="0.3">
      <c r="A1397" s="4">
        <v>43991</v>
      </c>
      <c r="B1397" s="19">
        <v>24.926400000000015</v>
      </c>
      <c r="C1397" s="19">
        <v>-1.2353999999999985</v>
      </c>
      <c r="E1397" s="4">
        <v>43991</v>
      </c>
      <c r="F1397" s="19">
        <v>21.358599999999996</v>
      </c>
      <c r="G1397" s="19">
        <v>8.4123999999999981</v>
      </c>
    </row>
    <row r="1398" spans="1:7" x14ac:dyDescent="0.3">
      <c r="A1398" s="4">
        <v>43990</v>
      </c>
      <c r="B1398" s="19">
        <v>15.344899999999996</v>
      </c>
      <c r="C1398" s="19">
        <v>-3.8967999999999989</v>
      </c>
      <c r="E1398" s="4">
        <v>43990</v>
      </c>
      <c r="F1398" s="19">
        <v>-9.2025000000000148</v>
      </c>
      <c r="G1398" s="19">
        <v>8.7689000000000021</v>
      </c>
    </row>
    <row r="1399" spans="1:7" x14ac:dyDescent="0.3">
      <c r="A1399" s="4">
        <v>43987</v>
      </c>
      <c r="B1399" s="19">
        <v>29.838099999999983</v>
      </c>
      <c r="C1399" s="19">
        <v>-9.6437000000000026</v>
      </c>
      <c r="E1399" s="4">
        <v>43987</v>
      </c>
      <c r="F1399" s="19">
        <v>13.5565</v>
      </c>
      <c r="G1399" s="19">
        <v>4.7805999999999997</v>
      </c>
    </row>
    <row r="1400" spans="1:7" x14ac:dyDescent="0.3">
      <c r="A1400" s="4">
        <v>43986</v>
      </c>
      <c r="B1400" s="19">
        <v>4.8616999999999848</v>
      </c>
      <c r="C1400" s="19">
        <v>-3.1001000000000047</v>
      </c>
      <c r="E1400" s="4">
        <v>43986</v>
      </c>
      <c r="F1400" s="19">
        <v>23.973000000000013</v>
      </c>
      <c r="G1400" s="19">
        <v>9.4960000000000022</v>
      </c>
    </row>
    <row r="1401" spans="1:7" x14ac:dyDescent="0.3">
      <c r="A1401" s="4">
        <v>43985</v>
      </c>
      <c r="B1401" s="19">
        <v>6.6206999999999994</v>
      </c>
      <c r="C1401" s="19">
        <v>-2.1844000000000037</v>
      </c>
      <c r="E1401" s="4">
        <v>43985</v>
      </c>
      <c r="F1401" s="19">
        <v>37.521299999999997</v>
      </c>
      <c r="G1401" s="19">
        <v>13.501400000000004</v>
      </c>
    </row>
    <row r="1402" spans="1:7" x14ac:dyDescent="0.3">
      <c r="A1402" s="4">
        <v>43984</v>
      </c>
      <c r="B1402" s="19">
        <v>37.352699999999999</v>
      </c>
      <c r="C1402" s="19">
        <v>1.6185999999999936</v>
      </c>
      <c r="E1402" s="4">
        <v>43984</v>
      </c>
      <c r="F1402" s="19">
        <v>-18.065899999999971</v>
      </c>
      <c r="G1402" s="19">
        <v>2.8441999999999936</v>
      </c>
    </row>
    <row r="1403" spans="1:7" x14ac:dyDescent="0.3">
      <c r="A1403" s="4">
        <v>43983</v>
      </c>
      <c r="B1403" s="19">
        <v>39.901900000000012</v>
      </c>
      <c r="C1403" s="19">
        <v>-0.45230000000000103</v>
      </c>
      <c r="E1403" s="4">
        <v>43983</v>
      </c>
      <c r="F1403" s="19">
        <v>64.954499999999996</v>
      </c>
      <c r="G1403" s="19">
        <v>17.957299999999996</v>
      </c>
    </row>
    <row r="1404" spans="1:7" x14ac:dyDescent="0.3">
      <c r="A1404" s="4">
        <v>43980</v>
      </c>
      <c r="B1404" s="19">
        <v>10.815900000000028</v>
      </c>
      <c r="C1404" s="19">
        <v>1.0324000000000026</v>
      </c>
      <c r="E1404" s="4">
        <v>43980</v>
      </c>
      <c r="F1404" s="19">
        <v>40.255799999999994</v>
      </c>
      <c r="G1404" s="19">
        <v>10.383199999999999</v>
      </c>
    </row>
    <row r="1405" spans="1:7" x14ac:dyDescent="0.3">
      <c r="A1405" s="4">
        <v>43979</v>
      </c>
      <c r="B1405" s="19">
        <v>25.70059999999998</v>
      </c>
      <c r="C1405" s="19">
        <v>-12.932600000000001</v>
      </c>
      <c r="E1405" s="4">
        <v>43979</v>
      </c>
      <c r="F1405" s="19">
        <v>2.4822999999999809</v>
      </c>
      <c r="G1405" s="19">
        <v>-2.5643000000000029</v>
      </c>
    </row>
    <row r="1406" spans="1:7" x14ac:dyDescent="0.3">
      <c r="A1406" s="4">
        <v>43978</v>
      </c>
      <c r="B1406" s="19">
        <v>19.075599999999994</v>
      </c>
      <c r="C1406" s="19">
        <v>-2.8570999999999955</v>
      </c>
      <c r="E1406" s="4">
        <v>43978</v>
      </c>
      <c r="F1406" s="19">
        <v>-6.1908999999999992</v>
      </c>
      <c r="G1406" s="19">
        <v>8.4446000000000012</v>
      </c>
    </row>
    <row r="1407" spans="1:7" x14ac:dyDescent="0.3">
      <c r="A1407" s="4">
        <v>43977</v>
      </c>
      <c r="B1407" s="19">
        <v>9.9330000000000069</v>
      </c>
      <c r="C1407" s="19">
        <v>19.143000000000001</v>
      </c>
      <c r="E1407" s="4">
        <v>43977</v>
      </c>
      <c r="F1407" s="19">
        <v>28.921800000000019</v>
      </c>
      <c r="G1407" s="19">
        <v>22.963699999999996</v>
      </c>
    </row>
    <row r="1408" spans="1:7" x14ac:dyDescent="0.3">
      <c r="A1408" s="4">
        <v>43976</v>
      </c>
      <c r="B1408" s="19">
        <v>12.338499999999996</v>
      </c>
      <c r="C1408" s="19">
        <v>15.151199999999996</v>
      </c>
      <c r="E1408" s="4">
        <v>43976</v>
      </c>
      <c r="F1408" s="19">
        <v>9.1145999999999958</v>
      </c>
      <c r="G1408" s="19">
        <v>12.062100000000001</v>
      </c>
    </row>
    <row r="1409" spans="1:7" x14ac:dyDescent="0.3">
      <c r="A1409" s="4">
        <v>43973</v>
      </c>
      <c r="B1409" s="19">
        <v>-32.91640000000001</v>
      </c>
      <c r="C1409" s="19">
        <v>32.887600000000006</v>
      </c>
      <c r="E1409" s="4">
        <v>43973</v>
      </c>
      <c r="F1409" s="19">
        <v>-0.33869999999998868</v>
      </c>
      <c r="G1409" s="19">
        <v>11.248799999999996</v>
      </c>
    </row>
    <row r="1410" spans="1:7" x14ac:dyDescent="0.3">
      <c r="A1410" s="4">
        <v>43972</v>
      </c>
      <c r="B1410" s="19">
        <v>21.581699999999998</v>
      </c>
      <c r="C1410" s="19">
        <v>11.7485</v>
      </c>
      <c r="E1410" s="4">
        <v>43972</v>
      </c>
      <c r="F1410" s="19">
        <v>-0.27139999999999986</v>
      </c>
      <c r="G1410" s="19">
        <v>-10.633000000000003</v>
      </c>
    </row>
    <row r="1411" spans="1:7" x14ac:dyDescent="0.3">
      <c r="A1411" s="4">
        <v>43971</v>
      </c>
      <c r="B1411" s="19">
        <v>7.6478000000000037</v>
      </c>
      <c r="C1411" s="19">
        <v>1.5910000000000011</v>
      </c>
      <c r="E1411" s="4">
        <v>43971</v>
      </c>
      <c r="F1411" s="19">
        <v>12.737799999999993</v>
      </c>
      <c r="G1411" s="19">
        <v>6.5814000000000021</v>
      </c>
    </row>
    <row r="1412" spans="1:7" x14ac:dyDescent="0.3">
      <c r="A1412" s="4">
        <v>43970</v>
      </c>
      <c r="B1412" s="19">
        <v>8.8529999999999944</v>
      </c>
      <c r="C1412" s="19">
        <v>4.1674999999999969</v>
      </c>
      <c r="E1412" s="4">
        <v>43970</v>
      </c>
      <c r="F1412" s="19">
        <v>28.137499999999989</v>
      </c>
      <c r="G1412" s="19">
        <v>8.0733999999999995</v>
      </c>
    </row>
    <row r="1413" spans="1:7" x14ac:dyDescent="0.3">
      <c r="A1413" s="4">
        <v>43969</v>
      </c>
      <c r="B1413" s="19">
        <v>24.361100000000022</v>
      </c>
      <c r="C1413" s="19">
        <v>5.7446999999999946</v>
      </c>
      <c r="E1413" s="4">
        <v>43969</v>
      </c>
      <c r="F1413" s="19">
        <v>9.6776000000000124</v>
      </c>
      <c r="G1413" s="19">
        <v>7.7894999999999968</v>
      </c>
    </row>
    <row r="1414" spans="1:7" x14ac:dyDescent="0.3">
      <c r="A1414" s="4">
        <v>43966</v>
      </c>
      <c r="B1414" s="19">
        <v>-1.1152999999999906</v>
      </c>
      <c r="C1414" s="19">
        <v>8.7152999999999992</v>
      </c>
      <c r="E1414" s="4">
        <v>43966</v>
      </c>
      <c r="F1414" s="19">
        <v>13.059100000000001</v>
      </c>
      <c r="G1414" s="19">
        <v>12.061700000000002</v>
      </c>
    </row>
    <row r="1415" spans="1:7" x14ac:dyDescent="0.3">
      <c r="A1415" s="4">
        <v>43965</v>
      </c>
      <c r="B1415" s="19">
        <v>-16.501899999999992</v>
      </c>
      <c r="C1415" s="19">
        <v>24.715599999999995</v>
      </c>
      <c r="E1415" s="4">
        <v>43965</v>
      </c>
      <c r="F1415" s="19">
        <v>3.253799999999984</v>
      </c>
      <c r="G1415" s="19">
        <v>16.047900000000006</v>
      </c>
    </row>
    <row r="1416" spans="1:7" x14ac:dyDescent="0.3">
      <c r="A1416" s="4">
        <v>43964</v>
      </c>
      <c r="B1416" s="19">
        <v>0.26089999999999236</v>
      </c>
      <c r="C1416" s="19">
        <v>14.784599999999998</v>
      </c>
      <c r="E1416" s="4">
        <v>43964</v>
      </c>
      <c r="F1416" s="19">
        <v>-2.3072999999999979</v>
      </c>
      <c r="G1416" s="19">
        <v>19.158100000000001</v>
      </c>
    </row>
    <row r="1417" spans="1:7" x14ac:dyDescent="0.3">
      <c r="A1417" s="4">
        <v>43963</v>
      </c>
      <c r="B1417" s="19">
        <v>5.6186999999999898</v>
      </c>
      <c r="C1417" s="19">
        <v>7.5275999999999996</v>
      </c>
      <c r="E1417" s="4">
        <v>43963</v>
      </c>
      <c r="F1417" s="19">
        <v>11.88069999999999</v>
      </c>
      <c r="G1417" s="19">
        <v>10.751400000000004</v>
      </c>
    </row>
    <row r="1418" spans="1:7" x14ac:dyDescent="0.3">
      <c r="A1418" s="4">
        <v>43962</v>
      </c>
      <c r="B1418" s="19">
        <v>10.718900000000019</v>
      </c>
      <c r="C1418" s="19">
        <v>-22.965800000000002</v>
      </c>
      <c r="E1418" s="4">
        <v>43962</v>
      </c>
      <c r="F1418" s="19">
        <v>15.756699999999995</v>
      </c>
      <c r="G1418" s="19">
        <v>6.5959999999999965</v>
      </c>
    </row>
    <row r="1419" spans="1:7" x14ac:dyDescent="0.3">
      <c r="A1419" s="4">
        <v>43959</v>
      </c>
      <c r="B1419" s="19">
        <v>13.174800000000005</v>
      </c>
      <c r="C1419" s="19">
        <v>-14.158100000000005</v>
      </c>
      <c r="E1419" s="4">
        <v>43959</v>
      </c>
      <c r="F1419" s="19">
        <v>35.475700000000018</v>
      </c>
      <c r="G1419" s="19">
        <v>18.372300000000003</v>
      </c>
    </row>
    <row r="1420" spans="1:7" x14ac:dyDescent="0.3">
      <c r="A1420" s="4">
        <v>43958</v>
      </c>
      <c r="B1420" s="19">
        <v>-13.103199999999987</v>
      </c>
      <c r="C1420" s="19">
        <v>-2.9806999999999988</v>
      </c>
      <c r="E1420" s="4">
        <v>43958</v>
      </c>
      <c r="F1420" s="19">
        <v>-18.381</v>
      </c>
      <c r="G1420" s="19">
        <v>14.6066</v>
      </c>
    </row>
    <row r="1421" spans="1:7" x14ac:dyDescent="0.3">
      <c r="A1421" s="4">
        <v>43957</v>
      </c>
      <c r="B1421" s="19">
        <v>-23.207400000000007</v>
      </c>
      <c r="C1421" s="19">
        <v>-16.152699999999996</v>
      </c>
      <c r="E1421" s="4">
        <v>43957</v>
      </c>
      <c r="F1421" s="19">
        <v>34.610900000000015</v>
      </c>
      <c r="G1421" s="19">
        <v>18.524799999999992</v>
      </c>
    </row>
    <row r="1422" spans="1:7" x14ac:dyDescent="0.3">
      <c r="A1422" s="4">
        <v>43949</v>
      </c>
      <c r="B1422" s="19">
        <v>3.2600000000002183E-2</v>
      </c>
      <c r="C1422" s="19"/>
      <c r="E1422" s="4">
        <v>43949</v>
      </c>
      <c r="F1422" s="19">
        <v>10.334300000000013</v>
      </c>
      <c r="G1422" s="19"/>
    </row>
    <row r="1423" spans="1:7" x14ac:dyDescent="0.3">
      <c r="A1423" s="4">
        <v>43948</v>
      </c>
      <c r="B1423" s="19">
        <v>18.798100000000005</v>
      </c>
      <c r="C1423" s="19">
        <v>0.52349999999999852</v>
      </c>
      <c r="E1423" s="4">
        <v>43948</v>
      </c>
      <c r="F1423" s="19">
        <v>20.587800000000016</v>
      </c>
      <c r="G1423" s="19">
        <v>7.8096999999999994</v>
      </c>
    </row>
    <row r="1424" spans="1:7" x14ac:dyDescent="0.3">
      <c r="A1424" s="4">
        <v>43945</v>
      </c>
      <c r="B1424" s="19">
        <v>15.624399999999994</v>
      </c>
      <c r="C1424" s="19">
        <v>2.829500000000003</v>
      </c>
      <c r="E1424" s="4">
        <v>43945</v>
      </c>
      <c r="F1424" s="19">
        <v>16.873099999999994</v>
      </c>
      <c r="G1424" s="19">
        <v>2.002600000000001</v>
      </c>
    </row>
    <row r="1425" spans="1:7" x14ac:dyDescent="0.3">
      <c r="A1425" s="4">
        <v>43944</v>
      </c>
      <c r="B1425" s="19">
        <v>16.19980000000001</v>
      </c>
      <c r="C1425" s="19">
        <v>1.3476999999999961</v>
      </c>
      <c r="E1425" s="4">
        <v>43944</v>
      </c>
      <c r="F1425" s="19">
        <v>-9.2892999999999972</v>
      </c>
      <c r="G1425" s="19">
        <v>10.0442</v>
      </c>
    </row>
    <row r="1426" spans="1:7" x14ac:dyDescent="0.3">
      <c r="A1426" s="4">
        <v>43943</v>
      </c>
      <c r="B1426" s="19">
        <v>6.9318000000000097</v>
      </c>
      <c r="C1426" s="19">
        <v>-4.5317999999999969</v>
      </c>
      <c r="E1426" s="4">
        <v>43943</v>
      </c>
      <c r="F1426" s="19">
        <v>4.8487999999999829</v>
      </c>
      <c r="G1426" s="19">
        <v>14.214399999999998</v>
      </c>
    </row>
    <row r="1427" spans="1:7" x14ac:dyDescent="0.3">
      <c r="A1427" s="4">
        <v>43942</v>
      </c>
      <c r="B1427" s="19">
        <v>-12.455200000000019</v>
      </c>
      <c r="C1427" s="19">
        <v>23.405500000000004</v>
      </c>
      <c r="E1427" s="4">
        <v>43942</v>
      </c>
      <c r="F1427" s="19">
        <v>-15.069999999999993</v>
      </c>
      <c r="G1427" s="19">
        <v>7.2496000000000009</v>
      </c>
    </row>
    <row r="1428" spans="1:7" x14ac:dyDescent="0.3">
      <c r="A1428" s="4">
        <v>43941</v>
      </c>
      <c r="B1428" s="19">
        <v>-7.6689999999999827</v>
      </c>
      <c r="C1428" s="19">
        <v>15.6998</v>
      </c>
      <c r="E1428" s="4">
        <v>43941</v>
      </c>
      <c r="F1428" s="19">
        <v>8.1682999999999879</v>
      </c>
      <c r="G1428" s="19">
        <v>10.683300000000003</v>
      </c>
    </row>
    <row r="1429" spans="1:7" x14ac:dyDescent="0.3">
      <c r="A1429" s="4">
        <v>43938</v>
      </c>
      <c r="B1429" s="19">
        <v>49.366099999999989</v>
      </c>
      <c r="C1429" s="19">
        <v>28.051300000000005</v>
      </c>
      <c r="E1429" s="4">
        <v>43938</v>
      </c>
      <c r="F1429" s="19">
        <v>36.870200000000011</v>
      </c>
      <c r="G1429" s="19">
        <v>12.137500000000003</v>
      </c>
    </row>
    <row r="1430" spans="1:7" x14ac:dyDescent="0.3">
      <c r="A1430" s="4">
        <v>43937</v>
      </c>
      <c r="B1430" s="19">
        <v>19.504100000000008</v>
      </c>
      <c r="C1430" s="19">
        <v>-2.8915999999999968</v>
      </c>
      <c r="E1430" s="4">
        <v>43937</v>
      </c>
      <c r="F1430" s="19">
        <v>18.640999999999991</v>
      </c>
      <c r="G1430" s="19">
        <v>2.3226000000000013</v>
      </c>
    </row>
    <row r="1431" spans="1:7" x14ac:dyDescent="0.3">
      <c r="A1431" s="4">
        <v>43936</v>
      </c>
      <c r="B1431" s="19">
        <v>8.9011999999999887</v>
      </c>
      <c r="C1431" s="19">
        <v>16.213799999999999</v>
      </c>
      <c r="E1431" s="4">
        <v>43936</v>
      </c>
      <c r="F1431" s="19">
        <v>24.642700000000019</v>
      </c>
      <c r="G1431" s="19">
        <v>-0.58979999999999677</v>
      </c>
    </row>
    <row r="1432" spans="1:7" x14ac:dyDescent="0.3">
      <c r="A1432" s="4">
        <v>43935</v>
      </c>
      <c r="B1432" s="19">
        <v>47.219899999999996</v>
      </c>
      <c r="C1432" s="19">
        <v>-0.37059999999999604</v>
      </c>
      <c r="E1432" s="4">
        <v>43935</v>
      </c>
      <c r="F1432" s="19">
        <v>95.069900000000018</v>
      </c>
      <c r="G1432" s="19">
        <v>5.5444000000000031</v>
      </c>
    </row>
    <row r="1433" spans="1:7" x14ac:dyDescent="0.3">
      <c r="A1433" s="4">
        <v>43930</v>
      </c>
      <c r="B1433" s="19"/>
      <c r="C1433" s="19">
        <v>-9.0010999999999939</v>
      </c>
      <c r="E1433" s="4">
        <v>43930</v>
      </c>
      <c r="F1433" s="19"/>
      <c r="G1433" s="19">
        <v>3.3502999999999972</v>
      </c>
    </row>
    <row r="1434" spans="1:7" x14ac:dyDescent="0.3">
      <c r="A1434" s="4">
        <v>43929</v>
      </c>
      <c r="B1434" s="19">
        <v>-18.582399999999993</v>
      </c>
      <c r="C1434" s="19">
        <v>17.004300000000001</v>
      </c>
      <c r="E1434" s="4">
        <v>43929</v>
      </c>
      <c r="F1434" s="19">
        <v>-15.94459999999998</v>
      </c>
      <c r="G1434" s="19">
        <v>6.4889999999999972</v>
      </c>
    </row>
    <row r="1435" spans="1:7" x14ac:dyDescent="0.3">
      <c r="A1435" s="4">
        <v>43928</v>
      </c>
      <c r="B1435" s="19">
        <v>62.140599999999978</v>
      </c>
      <c r="C1435" s="19">
        <v>-4.4557000000000073</v>
      </c>
      <c r="E1435" s="4">
        <v>43928</v>
      </c>
      <c r="F1435" s="19">
        <v>64.597000000000008</v>
      </c>
      <c r="G1435" s="19">
        <v>-0.21000000000000085</v>
      </c>
    </row>
    <row r="1436" spans="1:7" x14ac:dyDescent="0.3">
      <c r="A1436" s="4">
        <v>43924</v>
      </c>
      <c r="B1436" s="19">
        <v>5.2289000000000101</v>
      </c>
      <c r="C1436" s="19"/>
      <c r="E1436" s="4">
        <v>43924</v>
      </c>
      <c r="F1436" s="19">
        <v>-24.66070000000002</v>
      </c>
      <c r="G1436" s="19"/>
    </row>
    <row r="1437" spans="1:7" x14ac:dyDescent="0.3">
      <c r="A1437" s="4">
        <v>43923</v>
      </c>
      <c r="B1437" s="19">
        <v>21.597000000000008</v>
      </c>
      <c r="C1437" s="19"/>
      <c r="E1437" s="4">
        <v>43923</v>
      </c>
      <c r="F1437" s="19">
        <v>21.720600000000019</v>
      </c>
      <c r="G1437" s="19"/>
    </row>
    <row r="1438" spans="1:7" x14ac:dyDescent="0.3">
      <c r="A1438" s="4">
        <v>43922</v>
      </c>
      <c r="B1438" s="19">
        <v>4.1266999999999854</v>
      </c>
      <c r="C1438" s="19">
        <v>23.768300000000004</v>
      </c>
      <c r="E1438" s="4">
        <v>43922</v>
      </c>
      <c r="F1438" s="19">
        <v>38.223299999999995</v>
      </c>
      <c r="G1438" s="19">
        <v>6.1637000000000057</v>
      </c>
    </row>
    <row r="1439" spans="1:7" x14ac:dyDescent="0.3">
      <c r="A1439" s="4">
        <v>43921</v>
      </c>
      <c r="B1439" s="19">
        <v>4.1899999999999977</v>
      </c>
      <c r="C1439" s="19">
        <v>7.2856999999999985</v>
      </c>
      <c r="E1439" s="4">
        <v>43921</v>
      </c>
      <c r="F1439" s="19">
        <v>12.308500000000009</v>
      </c>
      <c r="G1439" s="19">
        <v>10.990299999999998</v>
      </c>
    </row>
    <row r="1440" spans="1:7" x14ac:dyDescent="0.3">
      <c r="A1440" s="4">
        <v>43920</v>
      </c>
      <c r="B1440" s="19">
        <v>-1.226300000000009</v>
      </c>
      <c r="C1440" s="19">
        <v>29.663500000000006</v>
      </c>
      <c r="E1440" s="4">
        <v>43920</v>
      </c>
      <c r="F1440" s="19">
        <v>-3.0600000000021055E-2</v>
      </c>
      <c r="G1440" s="19">
        <v>8.8913999999999973</v>
      </c>
    </row>
    <row r="1441" spans="1:7" x14ac:dyDescent="0.3">
      <c r="A1441" s="4">
        <v>43917</v>
      </c>
      <c r="B1441" s="19">
        <v>22.715800000000002</v>
      </c>
      <c r="C1441" s="19">
        <v>0.65899999999999892</v>
      </c>
      <c r="E1441" s="4">
        <v>43917</v>
      </c>
      <c r="F1441" s="19">
        <v>11.421500000000009</v>
      </c>
      <c r="G1441" s="19">
        <v>4.2903999999999982</v>
      </c>
    </row>
    <row r="1442" spans="1:7" x14ac:dyDescent="0.3">
      <c r="A1442" s="4">
        <v>43916</v>
      </c>
      <c r="B1442" s="19">
        <v>-5.6929999999999836</v>
      </c>
      <c r="C1442" s="19">
        <v>13.604000000000006</v>
      </c>
      <c r="E1442" s="4">
        <v>43916</v>
      </c>
      <c r="F1442" s="19">
        <v>-7.8821000000000083</v>
      </c>
      <c r="G1442" s="19">
        <v>4.6176999999999992</v>
      </c>
    </row>
    <row r="1443" spans="1:7" x14ac:dyDescent="0.3">
      <c r="A1443" s="4">
        <v>43915</v>
      </c>
      <c r="B1443" s="19">
        <v>12.453299999999984</v>
      </c>
      <c r="C1443" s="19">
        <v>43.8279</v>
      </c>
      <c r="E1443" s="4">
        <v>43915</v>
      </c>
      <c r="F1443" s="19">
        <v>12.585300000000018</v>
      </c>
      <c r="G1443" s="19">
        <v>13.583100000000002</v>
      </c>
    </row>
    <row r="1444" spans="1:7" x14ac:dyDescent="0.3">
      <c r="A1444" s="4">
        <v>43914</v>
      </c>
      <c r="B1444" s="19">
        <v>30.631799999999998</v>
      </c>
      <c r="C1444" s="19">
        <v>25.627099999999999</v>
      </c>
      <c r="E1444" s="4">
        <v>43914</v>
      </c>
      <c r="F1444" s="19">
        <v>9.2396000000000242</v>
      </c>
      <c r="G1444" s="19">
        <v>17.026600000000002</v>
      </c>
    </row>
    <row r="1445" spans="1:7" x14ac:dyDescent="0.3">
      <c r="A1445" s="4">
        <v>43913</v>
      </c>
      <c r="B1445" s="19">
        <v>-62.942100000000011</v>
      </c>
      <c r="C1445" s="19">
        <v>76.796599999999984</v>
      </c>
      <c r="E1445" s="4">
        <v>43913</v>
      </c>
      <c r="F1445" s="19">
        <v>-17.0505</v>
      </c>
      <c r="G1445" s="19">
        <v>18.305799999999998</v>
      </c>
    </row>
    <row r="1446" spans="1:7" x14ac:dyDescent="0.3">
      <c r="A1446" s="4">
        <v>43910</v>
      </c>
      <c r="B1446" s="19">
        <v>35.948999999999984</v>
      </c>
      <c r="C1446" s="19">
        <v>36.086800000000004</v>
      </c>
      <c r="E1446" s="4">
        <v>43910</v>
      </c>
      <c r="F1446" s="19">
        <v>-19.082699999999988</v>
      </c>
      <c r="G1446" s="19">
        <v>17.005599999999994</v>
      </c>
    </row>
    <row r="1447" spans="1:7" x14ac:dyDescent="0.3">
      <c r="A1447" s="4">
        <v>43909</v>
      </c>
      <c r="B1447" s="19">
        <v>-56.350799999999992</v>
      </c>
      <c r="C1447" s="19">
        <v>108.2628</v>
      </c>
      <c r="E1447" s="4">
        <v>43909</v>
      </c>
      <c r="F1447" s="19">
        <v>-45.852699999999999</v>
      </c>
      <c r="G1447" s="19">
        <v>50.797699999999992</v>
      </c>
    </row>
    <row r="1448" spans="1:7" x14ac:dyDescent="0.3">
      <c r="A1448" s="4">
        <v>43908</v>
      </c>
      <c r="B1448" s="19">
        <v>-41.115700000000004</v>
      </c>
      <c r="C1448" s="19">
        <v>40.412999999999997</v>
      </c>
      <c r="E1448" s="4">
        <v>43908</v>
      </c>
      <c r="F1448" s="19">
        <v>-30.796599999999984</v>
      </c>
      <c r="G1448" s="19">
        <v>17.514699999999998</v>
      </c>
    </row>
    <row r="1449" spans="1:7" x14ac:dyDescent="0.3">
      <c r="A1449" s="4">
        <v>43907</v>
      </c>
      <c r="B1449" s="19">
        <v>-56.018099999999976</v>
      </c>
      <c r="C1449" s="19">
        <v>73.791500000000013</v>
      </c>
      <c r="E1449" s="4">
        <v>43907</v>
      </c>
      <c r="F1449" s="19">
        <v>-26.36220000000003</v>
      </c>
      <c r="G1449" s="19">
        <v>24.9206</v>
      </c>
    </row>
    <row r="1450" spans="1:7" x14ac:dyDescent="0.3">
      <c r="A1450" s="4">
        <v>43906</v>
      </c>
      <c r="B1450" s="19">
        <v>-53.167399999999986</v>
      </c>
      <c r="C1450" s="19">
        <v>52.587400000000002</v>
      </c>
      <c r="E1450" s="4">
        <v>43906</v>
      </c>
      <c r="F1450" s="19">
        <v>-44.907399999999967</v>
      </c>
      <c r="G1450" s="19">
        <v>15.350899999999996</v>
      </c>
    </row>
    <row r="1451" spans="1:7" x14ac:dyDescent="0.3">
      <c r="A1451" s="4">
        <v>43903</v>
      </c>
      <c r="B1451" s="19">
        <v>-105.53879999999998</v>
      </c>
      <c r="C1451" s="19">
        <v>103.35379999999999</v>
      </c>
      <c r="E1451" s="4">
        <v>43903</v>
      </c>
      <c r="F1451" s="19">
        <v>-41.724199999999996</v>
      </c>
      <c r="G1451" s="19">
        <v>58.353299999999997</v>
      </c>
    </row>
    <row r="1452" spans="1:7" x14ac:dyDescent="0.3">
      <c r="A1452" s="4">
        <v>43902</v>
      </c>
      <c r="B1452" s="19">
        <v>-66.401399999999995</v>
      </c>
      <c r="C1452" s="19">
        <v>91.315300000000008</v>
      </c>
      <c r="E1452" s="4">
        <v>43902</v>
      </c>
      <c r="F1452" s="19">
        <v>-17.4024</v>
      </c>
      <c r="G1452" s="19">
        <v>35.667900000000003</v>
      </c>
    </row>
    <row r="1453" spans="1:7" x14ac:dyDescent="0.3">
      <c r="A1453" s="4">
        <v>43901</v>
      </c>
      <c r="B1453" s="19">
        <v>-1.1296000000000106</v>
      </c>
      <c r="C1453" s="19">
        <v>43.797699999999999</v>
      </c>
      <c r="E1453" s="4">
        <v>43901</v>
      </c>
      <c r="F1453" s="19">
        <v>-73.520700000000005</v>
      </c>
      <c r="G1453" s="19">
        <v>16.401900000000001</v>
      </c>
    </row>
    <row r="1454" spans="1:7" x14ac:dyDescent="0.3">
      <c r="A1454" s="4">
        <v>43900</v>
      </c>
      <c r="B1454" s="19">
        <v>6.2632000000000119</v>
      </c>
      <c r="C1454" s="19">
        <v>48.984599999999993</v>
      </c>
      <c r="E1454" s="4">
        <v>43900</v>
      </c>
      <c r="F1454" s="19">
        <v>24.695500000000038</v>
      </c>
      <c r="G1454" s="19">
        <v>34.636600000000001</v>
      </c>
    </row>
    <row r="1455" spans="1:7" x14ac:dyDescent="0.3">
      <c r="A1455" s="4">
        <v>43899</v>
      </c>
      <c r="B1455" s="19">
        <v>-96.711699999999979</v>
      </c>
      <c r="C1455" s="19">
        <v>58.2453</v>
      </c>
      <c r="E1455" s="4">
        <v>43899</v>
      </c>
      <c r="F1455" s="19">
        <v>-46.477199999999982</v>
      </c>
      <c r="G1455" s="19">
        <v>19.903800000000004</v>
      </c>
    </row>
    <row r="1456" spans="1:7" x14ac:dyDescent="0.3">
      <c r="A1456" s="4">
        <v>43896</v>
      </c>
      <c r="B1456" s="19">
        <v>-26.748500000000007</v>
      </c>
      <c r="C1456" s="19">
        <v>25.752199999999995</v>
      </c>
      <c r="E1456" s="4">
        <v>43896</v>
      </c>
      <c r="F1456" s="19">
        <v>-3.672600000000017</v>
      </c>
      <c r="G1456" s="19">
        <v>6.8152000000000008</v>
      </c>
    </row>
    <row r="1457" spans="1:7" x14ac:dyDescent="0.3">
      <c r="A1457" s="4">
        <v>43895</v>
      </c>
      <c r="B1457" s="19">
        <v>32.197299999999984</v>
      </c>
      <c r="C1457" s="19">
        <v>36.431400000000004</v>
      </c>
      <c r="E1457" s="4">
        <v>43895</v>
      </c>
      <c r="F1457" s="19">
        <v>15.90889999999996</v>
      </c>
      <c r="G1457" s="19">
        <v>25.860799999999998</v>
      </c>
    </row>
    <row r="1458" spans="1:7" x14ac:dyDescent="0.3">
      <c r="A1458" s="4">
        <v>43894</v>
      </c>
      <c r="B1458" s="19">
        <v>13.337899999999991</v>
      </c>
      <c r="C1458" s="19">
        <v>10.694099999999999</v>
      </c>
      <c r="E1458" s="4">
        <v>43894</v>
      </c>
      <c r="F1458" s="19">
        <v>-21.142200000000003</v>
      </c>
      <c r="G1458" s="19">
        <v>0.56929999999999836</v>
      </c>
    </row>
    <row r="1459" spans="1:7" x14ac:dyDescent="0.3">
      <c r="A1459" s="4">
        <v>43893</v>
      </c>
      <c r="B1459" s="19">
        <v>11.4529</v>
      </c>
      <c r="C1459" s="19">
        <v>25.918700000000008</v>
      </c>
      <c r="E1459" s="4">
        <v>43893</v>
      </c>
      <c r="F1459" s="19">
        <v>-6.6499999999999773</v>
      </c>
      <c r="G1459" s="19">
        <v>4.7282999999999973</v>
      </c>
    </row>
    <row r="1460" spans="1:7" x14ac:dyDescent="0.3">
      <c r="A1460" s="4">
        <v>43892</v>
      </c>
      <c r="B1460" s="19">
        <v>26.495399999999989</v>
      </c>
      <c r="C1460" s="19">
        <v>18.138199999999998</v>
      </c>
      <c r="E1460" s="4">
        <v>43892</v>
      </c>
      <c r="F1460" s="19">
        <v>15.024699999999996</v>
      </c>
      <c r="G1460" s="19">
        <v>19.925599999999996</v>
      </c>
    </row>
    <row r="1461" spans="1:7" x14ac:dyDescent="0.3">
      <c r="A1461" s="4">
        <v>43889</v>
      </c>
      <c r="B1461" s="19">
        <v>-36.055799999999977</v>
      </c>
      <c r="C1461" s="19">
        <v>27.344900000000003</v>
      </c>
      <c r="E1461" s="4">
        <v>43889</v>
      </c>
      <c r="F1461" s="19">
        <v>-15.312200000000018</v>
      </c>
      <c r="G1461" s="19">
        <v>10.457799999999999</v>
      </c>
    </row>
    <row r="1462" spans="1:7" x14ac:dyDescent="0.3">
      <c r="A1462" s="4">
        <v>43888</v>
      </c>
      <c r="B1462" s="19">
        <v>-20.933199999999999</v>
      </c>
      <c r="C1462" s="19">
        <v>35.439699999999995</v>
      </c>
      <c r="E1462" s="4">
        <v>43888</v>
      </c>
      <c r="F1462" s="19">
        <v>-18.47180000000003</v>
      </c>
      <c r="G1462" s="19">
        <v>8.266099999999998</v>
      </c>
    </row>
    <row r="1463" spans="1:7" x14ac:dyDescent="0.3">
      <c r="A1463" s="4">
        <v>43887</v>
      </c>
      <c r="B1463" s="19">
        <v>-16.468099999999993</v>
      </c>
      <c r="C1463" s="19">
        <v>33.194500000000005</v>
      </c>
      <c r="E1463" s="4">
        <v>43887</v>
      </c>
      <c r="F1463" s="19">
        <v>-50.800799999999981</v>
      </c>
      <c r="G1463" s="19">
        <v>4.2734999999999985</v>
      </c>
    </row>
    <row r="1464" spans="1:7" x14ac:dyDescent="0.3">
      <c r="A1464" s="4">
        <v>43886</v>
      </c>
      <c r="B1464" s="19">
        <v>-32.685100000000006</v>
      </c>
      <c r="C1464" s="19">
        <v>33.046400000000006</v>
      </c>
      <c r="E1464" s="4">
        <v>43886</v>
      </c>
      <c r="F1464" s="19">
        <v>-15.628299999999967</v>
      </c>
      <c r="G1464" s="19">
        <v>6.3731999999999971</v>
      </c>
    </row>
    <row r="1465" spans="1:7" x14ac:dyDescent="0.3">
      <c r="A1465" s="4">
        <v>43885</v>
      </c>
      <c r="B1465" s="19">
        <v>-48.301700000000011</v>
      </c>
      <c r="C1465" s="19">
        <v>11.345100000000002</v>
      </c>
      <c r="E1465" s="4">
        <v>43885</v>
      </c>
      <c r="F1465" s="19">
        <v>-38.749700000000018</v>
      </c>
      <c r="G1465" s="19">
        <v>5.3033000000000001</v>
      </c>
    </row>
    <row r="1466" spans="1:7" x14ac:dyDescent="0.3">
      <c r="A1466" s="4">
        <v>43882</v>
      </c>
      <c r="B1466" s="19">
        <v>-20.368400000000008</v>
      </c>
      <c r="C1466" s="19">
        <v>2.6108000000000047</v>
      </c>
      <c r="E1466" s="4">
        <v>43882</v>
      </c>
      <c r="F1466" s="19">
        <v>9.1675999999999931</v>
      </c>
      <c r="G1466" s="19">
        <v>-3.0090000000000003</v>
      </c>
    </row>
    <row r="1467" spans="1:7" x14ac:dyDescent="0.3">
      <c r="A1467" s="4">
        <v>43881</v>
      </c>
      <c r="B1467" s="19">
        <v>10.641700000000014</v>
      </c>
      <c r="C1467" s="19">
        <v>11.107599999999998</v>
      </c>
      <c r="E1467" s="4">
        <v>43881</v>
      </c>
      <c r="F1467" s="19">
        <v>28.337500000000034</v>
      </c>
      <c r="G1467" s="19">
        <v>0.69419999999999504</v>
      </c>
    </row>
    <row r="1468" spans="1:7" x14ac:dyDescent="0.3">
      <c r="A1468" s="4">
        <v>43880</v>
      </c>
      <c r="B1468" s="19">
        <v>24.02600000000001</v>
      </c>
      <c r="C1468" s="19">
        <v>4.1127000000000038</v>
      </c>
      <c r="E1468" s="4">
        <v>43880</v>
      </c>
      <c r="F1468" s="19">
        <v>13.420400000000001</v>
      </c>
      <c r="G1468" s="19">
        <v>-1.0686999999999998</v>
      </c>
    </row>
    <row r="1469" spans="1:7" x14ac:dyDescent="0.3">
      <c r="A1469" s="4">
        <v>43879</v>
      </c>
      <c r="B1469" s="19">
        <v>-34.018000000000015</v>
      </c>
      <c r="C1469" s="19">
        <v>17.894799999999996</v>
      </c>
      <c r="E1469" s="4">
        <v>43879</v>
      </c>
      <c r="F1469" s="19">
        <v>-19.886700000000019</v>
      </c>
      <c r="G1469" s="19">
        <v>7.8631999999999991</v>
      </c>
    </row>
    <row r="1470" spans="1:7" x14ac:dyDescent="0.3">
      <c r="A1470" s="4">
        <v>43878</v>
      </c>
      <c r="B1470" s="19">
        <v>32.020700000000005</v>
      </c>
      <c r="C1470" s="19">
        <v>21.436499999999995</v>
      </c>
      <c r="E1470" s="4">
        <v>43878</v>
      </c>
      <c r="F1470" s="19">
        <v>21.603199999999987</v>
      </c>
      <c r="G1470" s="19">
        <v>9.8787999999999982</v>
      </c>
    </row>
    <row r="1471" spans="1:7" x14ac:dyDescent="0.3">
      <c r="A1471" s="4">
        <v>43875</v>
      </c>
      <c r="B1471" s="19">
        <v>25.165600000000012</v>
      </c>
      <c r="C1471" s="19">
        <v>19.7378</v>
      </c>
      <c r="E1471" s="4">
        <v>43875</v>
      </c>
      <c r="F1471" s="19">
        <v>18.061900000000009</v>
      </c>
      <c r="G1471" s="19">
        <v>9.4739999999999966</v>
      </c>
    </row>
    <row r="1472" spans="1:7" x14ac:dyDescent="0.3">
      <c r="A1472" s="4">
        <v>43874</v>
      </c>
      <c r="B1472" s="19">
        <v>8.0729999999999791</v>
      </c>
      <c r="C1472" s="19">
        <v>21.654300000000006</v>
      </c>
      <c r="E1472" s="4">
        <v>43874</v>
      </c>
      <c r="F1472" s="19">
        <v>-0.16100000000000136</v>
      </c>
      <c r="G1472" s="19">
        <v>7.027000000000001</v>
      </c>
    </row>
    <row r="1473" spans="1:7" x14ac:dyDescent="0.3">
      <c r="A1473" s="4">
        <v>43873</v>
      </c>
      <c r="B1473" s="19">
        <v>13.712800000000016</v>
      </c>
      <c r="C1473" s="19">
        <v>38.050800000000002</v>
      </c>
      <c r="E1473" s="4">
        <v>43873</v>
      </c>
      <c r="F1473" s="19">
        <v>1.1383000000000152</v>
      </c>
      <c r="G1473" s="19">
        <v>20.4998</v>
      </c>
    </row>
    <row r="1474" spans="1:7" x14ac:dyDescent="0.3">
      <c r="A1474" s="4">
        <v>43872</v>
      </c>
      <c r="B1474" s="19">
        <v>13.966499999999996</v>
      </c>
      <c r="C1474" s="19">
        <v>30.424399999999999</v>
      </c>
      <c r="E1474" s="4">
        <v>43872</v>
      </c>
      <c r="F1474" s="19">
        <v>-3.5312999999999874</v>
      </c>
      <c r="G1474" s="19">
        <v>12.2011</v>
      </c>
    </row>
    <row r="1475" spans="1:7" x14ac:dyDescent="0.3">
      <c r="A1475" s="4">
        <v>43871</v>
      </c>
      <c r="B1475" s="19">
        <v>-11.72829999999999</v>
      </c>
      <c r="C1475" s="19">
        <v>31.897599999999997</v>
      </c>
      <c r="E1475" s="4">
        <v>43871</v>
      </c>
      <c r="F1475" s="19">
        <v>-20.995100000000008</v>
      </c>
      <c r="G1475" s="19">
        <v>18.293300000000002</v>
      </c>
    </row>
    <row r="1476" spans="1:7" x14ac:dyDescent="0.3">
      <c r="A1476" s="4">
        <v>43868</v>
      </c>
      <c r="B1476" s="19">
        <v>-8.2682999999999822</v>
      </c>
      <c r="C1476" s="19">
        <v>15.040399999999998</v>
      </c>
      <c r="E1476" s="4">
        <v>43868</v>
      </c>
      <c r="F1476" s="19">
        <v>-24.724500000000006</v>
      </c>
      <c r="G1476" s="19">
        <v>8.14</v>
      </c>
    </row>
    <row r="1477" spans="1:7" x14ac:dyDescent="0.3">
      <c r="A1477" s="4">
        <v>43867</v>
      </c>
      <c r="B1477" s="19">
        <v>60.831199999999995</v>
      </c>
      <c r="C1477" s="19">
        <v>11.815100000000001</v>
      </c>
      <c r="E1477" s="4">
        <v>43867</v>
      </c>
      <c r="F1477" s="19">
        <v>44.748400000000004</v>
      </c>
      <c r="G1477" s="19">
        <v>12.345400000000005</v>
      </c>
    </row>
    <row r="1478" spans="1:7" x14ac:dyDescent="0.3">
      <c r="A1478" s="4">
        <v>43866</v>
      </c>
      <c r="B1478" s="19">
        <v>-7.8613</v>
      </c>
      <c r="C1478" s="19">
        <v>48.936899999999994</v>
      </c>
      <c r="E1478" s="4">
        <v>43866</v>
      </c>
      <c r="F1478" s="19">
        <v>4.7798999999999978</v>
      </c>
      <c r="G1478" s="19">
        <v>19.219499999999996</v>
      </c>
    </row>
    <row r="1479" spans="1:7" x14ac:dyDescent="0.3">
      <c r="A1479" s="4">
        <v>43865</v>
      </c>
      <c r="B1479" s="19">
        <v>0.32089999999999463</v>
      </c>
      <c r="C1479" s="19">
        <v>39.369699999999995</v>
      </c>
      <c r="E1479" s="4">
        <v>43865</v>
      </c>
      <c r="F1479" s="19">
        <v>48.880799999999994</v>
      </c>
      <c r="G1479" s="19">
        <v>-8.8860000000000028</v>
      </c>
    </row>
    <row r="1480" spans="1:7" x14ac:dyDescent="0.3">
      <c r="A1480" s="4">
        <v>43864</v>
      </c>
      <c r="B1480" s="19">
        <v>135.9117</v>
      </c>
      <c r="C1480" s="19">
        <v>5.9388000000000005</v>
      </c>
      <c r="E1480" s="4">
        <v>43864</v>
      </c>
      <c r="F1480" s="19">
        <v>45.98220000000002</v>
      </c>
      <c r="G1480" s="19">
        <v>-0.76099999999999568</v>
      </c>
    </row>
  </sheetData>
  <phoneticPr fontId="7" type="noConversion"/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547"/>
  <sheetViews>
    <sheetView topLeftCell="D1" workbookViewId="0">
      <pane ySplit="9" topLeftCell="A1525" activePane="bottomLeft" state="frozen"/>
      <selection pane="bottomLeft" activeCell="F1543" sqref="F1543"/>
    </sheetView>
  </sheetViews>
  <sheetFormatPr defaultColWidth="9" defaultRowHeight="13.5" x14ac:dyDescent="0.3"/>
  <cols>
    <col min="2" max="2" width="11.1328125" bestFit="1" customWidth="1"/>
    <col min="3" max="3" width="36.59765625" style="7" customWidth="1"/>
    <col min="5" max="5" width="11.1328125" bestFit="1" customWidth="1"/>
    <col min="6" max="6" width="23.59765625" style="7" customWidth="1"/>
    <col min="7" max="7" width="24.59765625" customWidth="1"/>
    <col min="8" max="8" width="19.59765625" style="20" customWidth="1"/>
    <col min="9" max="9" width="17.59765625" style="20" customWidth="1"/>
    <col min="10" max="10" width="17.59765625" customWidth="1"/>
    <col min="11" max="11" width="26.59765625" customWidth="1"/>
    <col min="12" max="12" width="17.59765625" style="7" customWidth="1"/>
    <col min="13" max="13" width="16.59765625" customWidth="1"/>
  </cols>
  <sheetData>
    <row r="2" spans="2:13" x14ac:dyDescent="0.3">
      <c r="K2" s="8"/>
    </row>
    <row r="3" spans="2:13" x14ac:dyDescent="0.3">
      <c r="B3" t="s">
        <v>28</v>
      </c>
      <c r="C3" s="50" t="s">
        <v>29</v>
      </c>
      <c r="E3" t="s">
        <v>28</v>
      </c>
      <c r="F3" s="28" t="s">
        <v>30</v>
      </c>
      <c r="K3" s="8"/>
    </row>
    <row r="4" spans="2:13" x14ac:dyDescent="0.3">
      <c r="B4" t="s">
        <v>31</v>
      </c>
      <c r="C4" s="29" t="s">
        <v>32</v>
      </c>
      <c r="E4" t="s">
        <v>0</v>
      </c>
      <c r="F4" s="29" t="s">
        <v>33</v>
      </c>
    </row>
    <row r="5" spans="2:13" x14ac:dyDescent="0.3">
      <c r="B5" t="s">
        <v>0</v>
      </c>
      <c r="C5" s="29" t="s">
        <v>33</v>
      </c>
      <c r="E5" t="s">
        <v>34</v>
      </c>
      <c r="F5" s="29"/>
    </row>
    <row r="6" spans="2:13" x14ac:dyDescent="0.3">
      <c r="B6" t="s">
        <v>34</v>
      </c>
      <c r="C6" s="29"/>
      <c r="E6" t="s">
        <v>35</v>
      </c>
      <c r="F6" s="29" t="s">
        <v>36</v>
      </c>
    </row>
    <row r="7" spans="2:13" x14ac:dyDescent="0.3">
      <c r="B7" t="s">
        <v>35</v>
      </c>
      <c r="C7" s="29" t="s">
        <v>36</v>
      </c>
      <c r="E7" t="s">
        <v>37</v>
      </c>
      <c r="F7" s="29" t="s">
        <v>38</v>
      </c>
    </row>
    <row r="8" spans="2:13" x14ac:dyDescent="0.3">
      <c r="B8" t="s">
        <v>37</v>
      </c>
      <c r="C8" s="29" t="s">
        <v>38</v>
      </c>
      <c r="E8" t="s">
        <v>39</v>
      </c>
      <c r="F8" s="29" t="s">
        <v>40</v>
      </c>
      <c r="G8" t="s">
        <v>41</v>
      </c>
      <c r="H8" s="20" t="s">
        <v>42</v>
      </c>
      <c r="I8" s="20" t="s">
        <v>43</v>
      </c>
      <c r="J8" t="s">
        <v>44</v>
      </c>
      <c r="K8" t="s">
        <v>45</v>
      </c>
      <c r="L8" s="7" t="s">
        <v>46</v>
      </c>
      <c r="M8" t="s">
        <v>47</v>
      </c>
    </row>
    <row r="9" spans="2:13" x14ac:dyDescent="0.3">
      <c r="B9" t="s">
        <v>39</v>
      </c>
      <c r="C9" s="29" t="s">
        <v>48</v>
      </c>
      <c r="E9" t="s">
        <v>49</v>
      </c>
      <c r="F9" s="51" t="s">
        <v>125</v>
      </c>
      <c r="G9" s="52" t="s">
        <v>126</v>
      </c>
      <c r="H9" s="30" t="s">
        <v>123</v>
      </c>
      <c r="I9" s="30" t="s">
        <v>124</v>
      </c>
      <c r="J9" t="s">
        <v>50</v>
      </c>
      <c r="K9" t="s">
        <v>51</v>
      </c>
      <c r="L9" s="7" t="s">
        <v>52</v>
      </c>
      <c r="M9" t="s">
        <v>53</v>
      </c>
    </row>
    <row r="10" spans="2:13" x14ac:dyDescent="0.3">
      <c r="B10" t="s">
        <v>49</v>
      </c>
      <c r="C10" s="7" t="s">
        <v>54</v>
      </c>
      <c r="E10" s="4">
        <f>[1]!wset("marginshortsizeanalysis(value)","startdate="&amp;F4,"enddate="&amp;F5,"frequency="&amp;F6,"sort="&amp;F7,"field=end_date,total_balance,total_balance_ratio_A-Share_NegMktCap,margin_balance,short_balance,total_trade_amount,total_balance_ratio_A-Share_amount,margin_purchase_amount,margin_sell_amount","cols=9;rows=1537")</f>
        <v>43832</v>
      </c>
      <c r="F10" s="23">
        <v>1025075271931</v>
      </c>
      <c r="G10" s="19">
        <v>2.0975176720569317</v>
      </c>
      <c r="H10" s="31">
        <v>1010665789249</v>
      </c>
      <c r="I10" s="31">
        <v>14409482682</v>
      </c>
      <c r="J10" s="21">
        <v>84349429600</v>
      </c>
      <c r="K10" s="19">
        <v>11.227646263831817</v>
      </c>
      <c r="L10" s="23">
        <v>82539012929</v>
      </c>
      <c r="M10" s="21">
        <v>1810416671</v>
      </c>
    </row>
    <row r="11" spans="2:13" x14ac:dyDescent="0.3">
      <c r="B11" s="4">
        <f>[1]!wset("margintradingsizeanalysisvalue","exchange="&amp;C4,"startdate="&amp;C5,"enddate="&amp;C6,"frequency="&amp;C7,"sort="&amp;C8,"field=end_date,total_amount_ratio_A-Share_amount","cols=2;rows=1537")</f>
        <v>43832</v>
      </c>
      <c r="C11" s="24">
        <v>10.986663982522684</v>
      </c>
      <c r="E11" s="4">
        <v>43833</v>
      </c>
      <c r="F11" s="23">
        <v>1026166440289</v>
      </c>
      <c r="G11" s="19">
        <v>2.0965109917373943</v>
      </c>
      <c r="H11" s="31">
        <v>1012222333537</v>
      </c>
      <c r="I11" s="31">
        <v>13944106752</v>
      </c>
      <c r="J11" s="21">
        <v>73043113397</v>
      </c>
      <c r="K11" s="19">
        <v>10.506546729850225</v>
      </c>
      <c r="L11" s="23">
        <v>71729444421</v>
      </c>
      <c r="M11" s="21">
        <v>1313668976</v>
      </c>
    </row>
    <row r="12" spans="2:13" x14ac:dyDescent="0.3">
      <c r="B12" s="4">
        <v>43833</v>
      </c>
      <c r="C12" s="24">
        <v>10.317588129346959</v>
      </c>
      <c r="E12" s="4">
        <v>43836</v>
      </c>
      <c r="F12" s="23">
        <v>1037177082633</v>
      </c>
      <c r="G12" s="19">
        <v>2.1131267513473944</v>
      </c>
      <c r="H12" s="31">
        <v>1022732880448</v>
      </c>
      <c r="I12" s="31">
        <v>14444202185</v>
      </c>
      <c r="J12" s="21">
        <v>90542632281</v>
      </c>
      <c r="K12" s="19">
        <v>11.263236083760377</v>
      </c>
      <c r="L12" s="23">
        <v>88568896379</v>
      </c>
      <c r="M12" s="21">
        <v>1973735902</v>
      </c>
    </row>
    <row r="13" spans="2:13" x14ac:dyDescent="0.3">
      <c r="B13" s="4">
        <v>43836</v>
      </c>
      <c r="C13" s="24">
        <v>11.017709165985041</v>
      </c>
      <c r="E13" s="4">
        <v>43837</v>
      </c>
      <c r="F13" s="23">
        <v>1041614863990</v>
      </c>
      <c r="G13" s="19">
        <v>2.1022240892526973</v>
      </c>
      <c r="H13" s="31">
        <v>1027099183389</v>
      </c>
      <c r="I13" s="31">
        <v>14515680601</v>
      </c>
      <c r="J13" s="21">
        <v>77716201389</v>
      </c>
      <c r="K13" s="19">
        <v>10.61532136046738</v>
      </c>
      <c r="L13" s="23">
        <v>75945697969</v>
      </c>
      <c r="M13" s="21">
        <v>1770503420</v>
      </c>
    </row>
    <row r="14" spans="2:13" x14ac:dyDescent="0.3">
      <c r="B14" s="4">
        <v>43837</v>
      </c>
      <c r="C14" s="24">
        <v>10.373486808119242</v>
      </c>
      <c r="E14" s="4">
        <v>43838</v>
      </c>
      <c r="F14" s="23">
        <v>1043963966933</v>
      </c>
      <c r="G14" s="19">
        <v>2.1321360087285162</v>
      </c>
      <c r="H14" s="31">
        <v>1030168660483</v>
      </c>
      <c r="I14" s="31">
        <v>13795306450</v>
      </c>
      <c r="J14" s="21">
        <v>83920873047</v>
      </c>
      <c r="K14" s="19">
        <v>10.772475084612539</v>
      </c>
      <c r="L14" s="23">
        <v>82298012604</v>
      </c>
      <c r="M14" s="21">
        <v>1622860443</v>
      </c>
    </row>
    <row r="15" spans="2:13" x14ac:dyDescent="0.3">
      <c r="B15" s="4">
        <v>43838</v>
      </c>
      <c r="C15" s="24">
        <v>10.564157141134642</v>
      </c>
      <c r="E15" s="4">
        <v>43839</v>
      </c>
      <c r="F15" s="23">
        <v>1047249313186</v>
      </c>
      <c r="G15" s="19">
        <v>2.113701912317318</v>
      </c>
      <c r="H15" s="31">
        <v>1033283032135</v>
      </c>
      <c r="I15" s="31">
        <v>13966281051</v>
      </c>
      <c r="J15" s="21">
        <v>74855692908</v>
      </c>
      <c r="K15" s="19">
        <v>10.596541972856075</v>
      </c>
      <c r="L15" s="23">
        <v>73195507838</v>
      </c>
      <c r="M15" s="21">
        <v>1660185070</v>
      </c>
    </row>
    <row r="16" spans="2:13" x14ac:dyDescent="0.3">
      <c r="B16" s="4">
        <v>43839</v>
      </c>
      <c r="C16" s="24">
        <v>10.361526837820382</v>
      </c>
      <c r="E16" s="4">
        <v>43840</v>
      </c>
      <c r="F16" s="23">
        <v>1045662986506</v>
      </c>
      <c r="G16" s="19">
        <v>2.1125368981073716</v>
      </c>
      <c r="H16" s="31">
        <v>1032060549679</v>
      </c>
      <c r="I16" s="31">
        <v>13602436827</v>
      </c>
      <c r="J16" s="21">
        <v>65304686806</v>
      </c>
      <c r="K16" s="19">
        <v>10.204023651969383</v>
      </c>
      <c r="L16" s="23">
        <v>63954916473</v>
      </c>
      <c r="M16" s="21">
        <v>1349770333</v>
      </c>
    </row>
    <row r="17" spans="2:13" x14ac:dyDescent="0.3">
      <c r="B17" s="4">
        <v>43840</v>
      </c>
      <c r="C17" s="24">
        <v>9.9931185994181906</v>
      </c>
      <c r="E17" s="4">
        <v>43843</v>
      </c>
      <c r="F17" s="23">
        <v>1051517156667</v>
      </c>
      <c r="G17" s="19">
        <v>2.1030094475782581</v>
      </c>
      <c r="H17" s="31">
        <v>1037670807811</v>
      </c>
      <c r="I17" s="31">
        <v>13846348856</v>
      </c>
      <c r="J17" s="21">
        <v>73409686024</v>
      </c>
      <c r="K17" s="19">
        <v>10.99337136041143</v>
      </c>
      <c r="L17" s="23">
        <v>71818440807</v>
      </c>
      <c r="M17" s="21">
        <v>1591245217</v>
      </c>
    </row>
    <row r="18" spans="2:13" x14ac:dyDescent="0.3">
      <c r="B18" s="4">
        <v>43843</v>
      </c>
      <c r="C18" s="24">
        <v>10.755076517545049</v>
      </c>
      <c r="E18" s="4">
        <v>43844</v>
      </c>
      <c r="F18" s="23">
        <v>1054075816615</v>
      </c>
      <c r="G18" s="19">
        <v>2.1134313338085011</v>
      </c>
      <c r="H18" s="31">
        <v>1040240085162</v>
      </c>
      <c r="I18" s="31">
        <v>13835731453</v>
      </c>
      <c r="J18" s="21">
        <v>75501537171</v>
      </c>
      <c r="K18" s="19">
        <v>10.759538242583876</v>
      </c>
      <c r="L18" s="23">
        <v>73918729298</v>
      </c>
      <c r="M18" s="21">
        <v>1582807873</v>
      </c>
    </row>
    <row r="19" spans="2:13" x14ac:dyDescent="0.3">
      <c r="B19" s="4">
        <v>43844</v>
      </c>
      <c r="C19" s="24">
        <v>10.533976188110266</v>
      </c>
      <c r="E19" s="4">
        <v>43845</v>
      </c>
      <c r="F19" s="23">
        <v>1056352929950</v>
      </c>
      <c r="G19" s="19">
        <v>2.127554919673714</v>
      </c>
      <c r="H19" s="31">
        <v>1043096025303</v>
      </c>
      <c r="I19" s="31">
        <v>13256904647</v>
      </c>
      <c r="J19" s="21">
        <v>64922725751</v>
      </c>
      <c r="K19" s="19">
        <v>10.62746541081248</v>
      </c>
      <c r="L19" s="23">
        <v>63562555676</v>
      </c>
      <c r="M19" s="21">
        <v>1360170075</v>
      </c>
    </row>
    <row r="20" spans="2:13" x14ac:dyDescent="0.3">
      <c r="B20" s="4">
        <v>43845</v>
      </c>
      <c r="C20" s="24">
        <v>10.404813631213377</v>
      </c>
      <c r="E20" s="4">
        <v>43846</v>
      </c>
      <c r="F20" s="23">
        <v>1056695613819</v>
      </c>
      <c r="G20" s="19">
        <v>2.1347007917451046</v>
      </c>
      <c r="H20" s="31">
        <v>1043928065371</v>
      </c>
      <c r="I20" s="31">
        <v>12767548448</v>
      </c>
      <c r="J20" s="21">
        <v>62656132367</v>
      </c>
      <c r="K20" s="19">
        <v>10.22798398675857</v>
      </c>
      <c r="L20" s="23">
        <v>61447484270</v>
      </c>
      <c r="M20" s="21">
        <v>1208648097</v>
      </c>
    </row>
    <row r="21" spans="2:13" x14ac:dyDescent="0.3">
      <c r="B21" s="4">
        <v>43846</v>
      </c>
      <c r="C21" s="24">
        <v>10.030684330448263</v>
      </c>
      <c r="E21" s="4">
        <v>43847</v>
      </c>
      <c r="F21" s="23">
        <v>1053827517001</v>
      </c>
      <c r="G21" s="19">
        <v>2.1299698179604105</v>
      </c>
      <c r="H21" s="31">
        <v>1041152296268</v>
      </c>
      <c r="I21" s="31">
        <v>12675220733</v>
      </c>
      <c r="J21" s="21">
        <v>60901334044</v>
      </c>
      <c r="K21" s="19">
        <v>10.028983776124512</v>
      </c>
      <c r="L21" s="23">
        <v>59656001326</v>
      </c>
      <c r="M21" s="21">
        <v>1245332718</v>
      </c>
    </row>
    <row r="22" spans="2:13" x14ac:dyDescent="0.3">
      <c r="B22" s="4">
        <v>43847</v>
      </c>
      <c r="C22" s="24">
        <v>9.8239074535652122</v>
      </c>
      <c r="E22" s="4">
        <v>43850</v>
      </c>
      <c r="F22" s="23">
        <v>1057849392815</v>
      </c>
      <c r="G22" s="19">
        <v>2.1162013027649458</v>
      </c>
      <c r="H22" s="31">
        <v>1045036238885</v>
      </c>
      <c r="I22" s="31">
        <v>12813153930</v>
      </c>
      <c r="J22" s="21">
        <v>75515563266</v>
      </c>
      <c r="K22" s="19">
        <v>11.122099218710655</v>
      </c>
      <c r="L22" s="23">
        <v>74095579248</v>
      </c>
      <c r="M22" s="21">
        <v>1419984018</v>
      </c>
    </row>
    <row r="23" spans="2:13" x14ac:dyDescent="0.3">
      <c r="B23" s="4">
        <v>43850</v>
      </c>
      <c r="C23" s="24">
        <v>10.912960831150087</v>
      </c>
      <c r="E23" s="4">
        <v>43851</v>
      </c>
      <c r="F23" s="23">
        <v>1056511829513</v>
      </c>
      <c r="G23" s="19">
        <v>2.1420137506859893</v>
      </c>
      <c r="H23" s="31">
        <v>1044438784065</v>
      </c>
      <c r="I23" s="31">
        <v>12073045448</v>
      </c>
      <c r="J23" s="21">
        <v>73659345886</v>
      </c>
      <c r="K23" s="19">
        <v>10.670661278967351</v>
      </c>
      <c r="L23" s="23">
        <v>72504037520</v>
      </c>
      <c r="M23" s="21">
        <v>1155308366</v>
      </c>
    </row>
    <row r="24" spans="2:13" x14ac:dyDescent="0.3">
      <c r="B24" s="4">
        <v>43851</v>
      </c>
      <c r="C24" s="24">
        <v>10.503297530374978</v>
      </c>
      <c r="E24" s="4">
        <v>43852</v>
      </c>
      <c r="F24" s="23">
        <v>1055843902699</v>
      </c>
      <c r="G24" s="19">
        <v>2.1325965935836151</v>
      </c>
      <c r="H24" s="31">
        <v>1044283349246</v>
      </c>
      <c r="I24" s="31">
        <v>11560553453</v>
      </c>
      <c r="J24" s="21">
        <v>75886859473</v>
      </c>
      <c r="K24" s="19">
        <v>10.722234281059562</v>
      </c>
      <c r="L24" s="23">
        <v>74651072431</v>
      </c>
      <c r="M24" s="21">
        <v>1235787042</v>
      </c>
    </row>
    <row r="25" spans="2:13" x14ac:dyDescent="0.3">
      <c r="B25" s="4">
        <v>43852</v>
      </c>
      <c r="C25" s="24">
        <v>10.547627000196451</v>
      </c>
      <c r="E25" s="4">
        <v>43853</v>
      </c>
      <c r="F25" s="23">
        <v>1037024489050</v>
      </c>
      <c r="G25" s="19">
        <v>2.1518223144826654</v>
      </c>
      <c r="H25" s="31">
        <v>1026936707884</v>
      </c>
      <c r="I25" s="31">
        <v>10087781166</v>
      </c>
      <c r="J25" s="21">
        <v>79752991681</v>
      </c>
      <c r="K25" s="19">
        <v>9.8628933488897577</v>
      </c>
      <c r="L25" s="23">
        <v>78719130086</v>
      </c>
      <c r="M25" s="21">
        <v>1033861595</v>
      </c>
    </row>
    <row r="26" spans="2:13" x14ac:dyDescent="0.3">
      <c r="B26" s="4">
        <v>43853</v>
      </c>
      <c r="C26" s="24">
        <v>9.7350377483151238</v>
      </c>
      <c r="E26" s="4">
        <v>43864</v>
      </c>
      <c r="F26" s="23">
        <v>1023827302159</v>
      </c>
      <c r="G26" s="19">
        <v>2.3054132722503806</v>
      </c>
      <c r="H26" s="31">
        <v>1015555421658</v>
      </c>
      <c r="I26" s="31">
        <v>8271880501</v>
      </c>
      <c r="J26" s="21">
        <v>48852678735</v>
      </c>
      <c r="K26" s="19">
        <v>9.4146660312774006</v>
      </c>
      <c r="L26" s="23">
        <v>48672354309</v>
      </c>
      <c r="M26" s="21">
        <v>180324426</v>
      </c>
    </row>
    <row r="27" spans="2:13" x14ac:dyDescent="0.3">
      <c r="B27" s="4">
        <v>43864</v>
      </c>
      <c r="C27" s="24">
        <v>9.3799147281343132</v>
      </c>
      <c r="E27" s="4">
        <v>43865</v>
      </c>
      <c r="F27" s="23">
        <v>1022282162880</v>
      </c>
      <c r="G27" s="19">
        <v>2.264679366549748</v>
      </c>
      <c r="H27" s="31">
        <v>1014065922580</v>
      </c>
      <c r="I27" s="31">
        <v>8216240300</v>
      </c>
      <c r="J27" s="21">
        <v>83253352865</v>
      </c>
      <c r="K27" s="19">
        <v>9.1525213912566947</v>
      </c>
      <c r="L27" s="23">
        <v>83083956030</v>
      </c>
      <c r="M27" s="21">
        <v>169396835</v>
      </c>
    </row>
    <row r="28" spans="2:13" x14ac:dyDescent="0.3">
      <c r="B28" s="4">
        <v>43865</v>
      </c>
      <c r="C28" s="24">
        <v>9.1338986198896031</v>
      </c>
      <c r="E28" s="4">
        <v>43866</v>
      </c>
      <c r="F28" s="23">
        <v>1023428291865</v>
      </c>
      <c r="G28" s="19">
        <v>2.2299399938844493</v>
      </c>
      <c r="H28" s="31">
        <v>1014970893249</v>
      </c>
      <c r="I28" s="31">
        <v>8457398616</v>
      </c>
      <c r="J28" s="21">
        <v>83482279446</v>
      </c>
      <c r="K28" s="19">
        <v>9.5746018943962738</v>
      </c>
      <c r="L28" s="23">
        <v>83119932163</v>
      </c>
      <c r="M28" s="21">
        <v>362347283</v>
      </c>
    </row>
    <row r="29" spans="2:13" x14ac:dyDescent="0.3">
      <c r="B29" s="4">
        <v>43866</v>
      </c>
      <c r="C29" s="24">
        <v>9.5330442008921654</v>
      </c>
      <c r="E29" s="4">
        <v>43867</v>
      </c>
      <c r="F29" s="23">
        <v>1032436126399</v>
      </c>
      <c r="G29" s="19">
        <v>2.2024765240699451</v>
      </c>
      <c r="H29" s="31">
        <v>1023876230030</v>
      </c>
      <c r="I29" s="31">
        <v>8559896369</v>
      </c>
      <c r="J29" s="21">
        <v>94322977166</v>
      </c>
      <c r="K29" s="19">
        <v>10.330252814816042</v>
      </c>
      <c r="L29" s="23">
        <v>93986906996</v>
      </c>
      <c r="M29" s="21">
        <v>336070170</v>
      </c>
    </row>
    <row r="30" spans="2:13" x14ac:dyDescent="0.3">
      <c r="B30" s="4">
        <v>43867</v>
      </c>
      <c r="C30" s="24">
        <v>10.293446408530665</v>
      </c>
      <c r="E30" s="4">
        <v>43868</v>
      </c>
      <c r="F30" s="23">
        <v>1035857088387</v>
      </c>
      <c r="G30" s="19">
        <v>2.2015165694624201</v>
      </c>
      <c r="H30" s="31">
        <v>1027339353085</v>
      </c>
      <c r="I30" s="31">
        <v>8517735302</v>
      </c>
      <c r="J30" s="21">
        <v>93393248274</v>
      </c>
      <c r="K30" s="19">
        <v>10.049941992185868</v>
      </c>
      <c r="L30" s="23">
        <v>93076358061</v>
      </c>
      <c r="M30" s="21">
        <v>316890213</v>
      </c>
    </row>
    <row r="31" spans="2:13" x14ac:dyDescent="0.3">
      <c r="B31" s="4">
        <v>43868</v>
      </c>
      <c r="C31" s="24">
        <v>10.01584179418014</v>
      </c>
      <c r="E31" s="4">
        <v>43871</v>
      </c>
      <c r="F31" s="23">
        <v>1041831761858</v>
      </c>
      <c r="G31" s="19">
        <v>2.196431030667517</v>
      </c>
      <c r="H31" s="31">
        <v>1032522798847</v>
      </c>
      <c r="I31" s="31">
        <v>9308963011</v>
      </c>
      <c r="J31" s="21">
        <v>90518721974</v>
      </c>
      <c r="K31" s="19">
        <v>10.222694297074236</v>
      </c>
      <c r="L31" s="23">
        <v>89087346038</v>
      </c>
      <c r="M31" s="21">
        <v>1431375936</v>
      </c>
    </row>
    <row r="32" spans="2:13" x14ac:dyDescent="0.3">
      <c r="B32" s="4">
        <v>43871</v>
      </c>
      <c r="C32" s="24">
        <v>10.061042449823018</v>
      </c>
      <c r="E32" s="4">
        <v>43872</v>
      </c>
      <c r="F32" s="23">
        <v>1040828040822</v>
      </c>
      <c r="G32" s="19">
        <v>2.1872666850899023</v>
      </c>
      <c r="H32" s="31">
        <v>1030624246075</v>
      </c>
      <c r="I32" s="31">
        <v>10203794747</v>
      </c>
      <c r="J32" s="21">
        <v>77282828280</v>
      </c>
      <c r="K32" s="19">
        <v>9.8346418095382706</v>
      </c>
      <c r="L32" s="23">
        <v>75408228214</v>
      </c>
      <c r="M32" s="21">
        <v>1874600066</v>
      </c>
    </row>
    <row r="33" spans="2:13" x14ac:dyDescent="0.3">
      <c r="B33" s="4">
        <v>43872</v>
      </c>
      <c r="C33" s="24">
        <v>9.5960892022442916</v>
      </c>
      <c r="E33" s="4">
        <v>43873</v>
      </c>
      <c r="F33" s="23">
        <v>1048629372485</v>
      </c>
      <c r="G33" s="19">
        <v>2.1785517729829791</v>
      </c>
      <c r="H33" s="31">
        <v>1037257591474</v>
      </c>
      <c r="I33" s="31">
        <v>11371781011</v>
      </c>
      <c r="J33" s="21">
        <v>86850950821</v>
      </c>
      <c r="K33" s="19">
        <v>10.995575546470134</v>
      </c>
      <c r="L33" s="23">
        <v>84812002298</v>
      </c>
      <c r="M33" s="21">
        <v>2038948523</v>
      </c>
    </row>
    <row r="34" spans="2:13" x14ac:dyDescent="0.3">
      <c r="B34" s="4">
        <v>43873</v>
      </c>
      <c r="C34" s="24">
        <v>10.737438907687483</v>
      </c>
      <c r="E34" s="4">
        <v>43874</v>
      </c>
      <c r="F34" s="23">
        <v>1051484987893</v>
      </c>
      <c r="G34" s="19">
        <v>2.1998044831174464</v>
      </c>
      <c r="H34" s="31">
        <v>1039765327247</v>
      </c>
      <c r="I34" s="31">
        <v>11719660646</v>
      </c>
      <c r="J34" s="21">
        <v>93847906539</v>
      </c>
      <c r="K34" s="19">
        <v>10.776196560050559</v>
      </c>
      <c r="L34" s="23">
        <v>91939611102</v>
      </c>
      <c r="M34" s="21">
        <v>1908295437</v>
      </c>
    </row>
    <row r="35" spans="2:13" x14ac:dyDescent="0.3">
      <c r="B35" s="4">
        <v>43874</v>
      </c>
      <c r="C35" s="24">
        <v>10.557074285701118</v>
      </c>
      <c r="E35" s="4">
        <v>43875</v>
      </c>
      <c r="F35" s="23">
        <v>1051041131243</v>
      </c>
      <c r="G35" s="19">
        <v>2.1890668167721761</v>
      </c>
      <c r="H35" s="31">
        <v>1038950282865</v>
      </c>
      <c r="I35" s="31">
        <v>12090848378</v>
      </c>
      <c r="J35" s="21">
        <v>89224621263</v>
      </c>
      <c r="K35" s="19">
        <v>10.977365813718777</v>
      </c>
      <c r="L35" s="23">
        <v>87274382778</v>
      </c>
      <c r="M35" s="21">
        <v>1950238485</v>
      </c>
    </row>
    <row r="36" spans="2:13" x14ac:dyDescent="0.3">
      <c r="B36" s="4">
        <v>43875</v>
      </c>
      <c r="C36" s="24">
        <v>10.737426647031436</v>
      </c>
      <c r="E36" s="4">
        <v>43878</v>
      </c>
      <c r="F36" s="23">
        <v>1063673250618</v>
      </c>
      <c r="G36" s="19">
        <v>2.1582787369330174</v>
      </c>
      <c r="H36" s="31">
        <v>1050819725744</v>
      </c>
      <c r="I36" s="31">
        <v>12853524874</v>
      </c>
      <c r="J36" s="21">
        <v>107484988875</v>
      </c>
      <c r="K36" s="19">
        <v>11.472071001343696</v>
      </c>
      <c r="L36" s="23">
        <v>105486300086</v>
      </c>
      <c r="M36" s="21">
        <v>1998688789</v>
      </c>
    </row>
    <row r="37" spans="2:13" x14ac:dyDescent="0.3">
      <c r="B37" s="4">
        <v>43878</v>
      </c>
      <c r="C37" s="24">
        <v>11.258747262494328</v>
      </c>
      <c r="E37" s="4">
        <v>43879</v>
      </c>
      <c r="F37" s="23">
        <v>1075138930179</v>
      </c>
      <c r="G37" s="19">
        <v>2.1731421385611291</v>
      </c>
      <c r="H37" s="31">
        <v>1062065261175</v>
      </c>
      <c r="I37" s="31">
        <v>13073669004</v>
      </c>
      <c r="J37" s="21">
        <v>112364053413</v>
      </c>
      <c r="K37" s="19">
        <v>11.23960324351032</v>
      </c>
      <c r="L37" s="23">
        <v>110379208052</v>
      </c>
      <c r="M37" s="21">
        <v>1984845361</v>
      </c>
    </row>
    <row r="38" spans="2:13" x14ac:dyDescent="0.3">
      <c r="B38" s="4">
        <v>43879</v>
      </c>
      <c r="C38" s="24">
        <v>11.041062218335973</v>
      </c>
      <c r="E38" s="4">
        <v>43880</v>
      </c>
      <c r="F38" s="23">
        <v>1078116241681</v>
      </c>
      <c r="G38" s="19">
        <v>2.1867326991471532</v>
      </c>
      <c r="H38" s="31">
        <v>1064603786814</v>
      </c>
      <c r="I38" s="31">
        <v>13512454867</v>
      </c>
      <c r="J38" s="21">
        <v>115180912273</v>
      </c>
      <c r="K38" s="19">
        <v>11.090555588842742</v>
      </c>
      <c r="L38" s="23">
        <v>113039442694</v>
      </c>
      <c r="M38" s="21">
        <v>2141469579</v>
      </c>
    </row>
    <row r="39" spans="2:13" x14ac:dyDescent="0.3">
      <c r="B39" s="4">
        <v>43880</v>
      </c>
      <c r="C39" s="24">
        <v>10.884357470256711</v>
      </c>
      <c r="E39" s="4">
        <v>43881</v>
      </c>
      <c r="F39" s="23">
        <v>1089801164440</v>
      </c>
      <c r="G39" s="19">
        <v>2.1682743993681153</v>
      </c>
      <c r="H39" s="31">
        <v>1075598221413</v>
      </c>
      <c r="I39" s="31">
        <v>14202943027</v>
      </c>
      <c r="J39" s="21">
        <v>124115941019</v>
      </c>
      <c r="K39" s="19">
        <v>11.620201350031547</v>
      </c>
      <c r="L39" s="23">
        <v>121775872694</v>
      </c>
      <c r="M39" s="21">
        <v>2340068325</v>
      </c>
    </row>
    <row r="40" spans="2:13" x14ac:dyDescent="0.3">
      <c r="B40" s="4">
        <v>43881</v>
      </c>
      <c r="C40" s="24">
        <v>11.40111534958646</v>
      </c>
      <c r="E40" s="4">
        <v>43882</v>
      </c>
      <c r="F40" s="23">
        <v>1097453972820</v>
      </c>
      <c r="G40" s="19">
        <v>2.1702781743058721</v>
      </c>
      <c r="H40" s="31">
        <v>1082837530934</v>
      </c>
      <c r="I40" s="31">
        <v>14616441886</v>
      </c>
      <c r="J40" s="21">
        <v>136663261205</v>
      </c>
      <c r="K40" s="19">
        <v>11.673223833301446</v>
      </c>
      <c r="L40" s="23">
        <v>134245098068</v>
      </c>
      <c r="M40" s="21">
        <v>2418163137</v>
      </c>
    </row>
    <row r="41" spans="2:13" x14ac:dyDescent="0.3">
      <c r="B41" s="4">
        <v>43882</v>
      </c>
      <c r="C41" s="24">
        <v>11.466674104319809</v>
      </c>
      <c r="E41" s="4">
        <v>43885</v>
      </c>
      <c r="F41" s="23">
        <v>1111496091433</v>
      </c>
      <c r="G41" s="19">
        <v>2.1919384131006256</v>
      </c>
      <c r="H41" s="31">
        <v>1096366919209</v>
      </c>
      <c r="I41" s="31">
        <v>15129172224</v>
      </c>
      <c r="J41" s="21">
        <v>142053906162</v>
      </c>
      <c r="K41" s="19">
        <v>11.62729715838312</v>
      </c>
      <c r="L41" s="23">
        <v>139560884682</v>
      </c>
      <c r="M41" s="21">
        <v>2493021480</v>
      </c>
    </row>
    <row r="42" spans="2:13" x14ac:dyDescent="0.3">
      <c r="B42" s="4">
        <v>43885</v>
      </c>
      <c r="C42" s="24">
        <v>11.423240104597252</v>
      </c>
      <c r="E42" s="4">
        <v>43886</v>
      </c>
      <c r="F42" s="23">
        <v>1123163170229</v>
      </c>
      <c r="G42" s="19">
        <v>2.2182245278522479</v>
      </c>
      <c r="H42" s="31">
        <v>1107772802724</v>
      </c>
      <c r="I42" s="31">
        <v>15390367505</v>
      </c>
      <c r="J42" s="21">
        <v>163179481889</v>
      </c>
      <c r="K42" s="19">
        <v>11.533155349459049</v>
      </c>
      <c r="L42" s="23">
        <v>160434892732</v>
      </c>
      <c r="M42" s="21">
        <v>2744589157</v>
      </c>
    </row>
    <row r="43" spans="2:13" x14ac:dyDescent="0.3">
      <c r="B43" s="4">
        <v>43886</v>
      </c>
      <c r="C43" s="24">
        <v>11.339174018278859</v>
      </c>
      <c r="E43" s="4">
        <v>43887</v>
      </c>
      <c r="F43" s="23">
        <v>1126305179596</v>
      </c>
      <c r="G43" s="19">
        <v>2.2553604826403295</v>
      </c>
      <c r="H43" s="31">
        <v>1110936888508</v>
      </c>
      <c r="I43" s="31">
        <v>15368291088</v>
      </c>
      <c r="J43" s="21">
        <v>149144656445</v>
      </c>
      <c r="K43" s="19">
        <v>11.364622072108753</v>
      </c>
      <c r="L43" s="23">
        <v>146146370743</v>
      </c>
      <c r="M43" s="21">
        <v>2998285702</v>
      </c>
    </row>
    <row r="44" spans="2:13" x14ac:dyDescent="0.3">
      <c r="B44" s="4">
        <v>43887</v>
      </c>
      <c r="C44" s="24">
        <v>11.136156737314792</v>
      </c>
      <c r="E44" s="4">
        <v>43888</v>
      </c>
      <c r="F44" s="23">
        <v>1124797581719</v>
      </c>
      <c r="G44" s="19">
        <v>2.2467100505460906</v>
      </c>
      <c r="H44" s="31">
        <v>1109273824948</v>
      </c>
      <c r="I44" s="31">
        <v>15523756771</v>
      </c>
      <c r="J44" s="21">
        <v>110051597502</v>
      </c>
      <c r="K44" s="19">
        <v>10.477553436015677</v>
      </c>
      <c r="L44" s="23">
        <v>107455613486</v>
      </c>
      <c r="M44" s="21">
        <v>2595984016</v>
      </c>
    </row>
    <row r="45" spans="2:13" x14ac:dyDescent="0.3">
      <c r="B45" s="4">
        <v>43888</v>
      </c>
      <c r="C45" s="24">
        <v>10.230400628931816</v>
      </c>
      <c r="E45" s="4">
        <v>43889</v>
      </c>
      <c r="F45" s="23">
        <v>1102329799567</v>
      </c>
      <c r="G45" s="19">
        <v>2.2953212571756669</v>
      </c>
      <c r="H45" s="31">
        <v>1087902678536</v>
      </c>
      <c r="I45" s="31">
        <v>14427121031</v>
      </c>
      <c r="J45" s="21">
        <v>106255270143</v>
      </c>
      <c r="K45" s="19">
        <v>9.4107531867607186</v>
      </c>
      <c r="L45" s="23">
        <v>103566411826</v>
      </c>
      <c r="M45" s="21">
        <v>2688858317</v>
      </c>
    </row>
    <row r="46" spans="2:13" x14ac:dyDescent="0.3">
      <c r="B46" s="4">
        <v>43889</v>
      </c>
      <c r="C46" s="24">
        <v>9.1726079922550614</v>
      </c>
      <c r="E46" s="4">
        <v>43892</v>
      </c>
      <c r="F46" s="23">
        <v>1111546541976</v>
      </c>
      <c r="G46" s="19">
        <v>2.2373040926613421</v>
      </c>
      <c r="H46" s="31">
        <v>1096284541207</v>
      </c>
      <c r="I46" s="31">
        <v>15262000769</v>
      </c>
      <c r="J46" s="21">
        <v>113612631446</v>
      </c>
      <c r="K46" s="19">
        <v>11.04100340132681</v>
      </c>
      <c r="L46" s="23">
        <v>110764070677</v>
      </c>
      <c r="M46" s="21">
        <v>2848560769</v>
      </c>
    </row>
    <row r="47" spans="2:13" x14ac:dyDescent="0.3">
      <c r="B47" s="4">
        <v>43892</v>
      </c>
      <c r="C47" s="24">
        <v>10.764177059580085</v>
      </c>
      <c r="E47" s="4">
        <v>43893</v>
      </c>
      <c r="F47" s="23">
        <v>1118058319016</v>
      </c>
      <c r="G47" s="19">
        <v>2.231648670265888</v>
      </c>
      <c r="H47" s="31">
        <v>1102039691397</v>
      </c>
      <c r="I47" s="31">
        <v>16018627619</v>
      </c>
      <c r="J47" s="21">
        <v>130675773798</v>
      </c>
      <c r="K47" s="19">
        <v>11.114755162258788</v>
      </c>
      <c r="L47" s="23">
        <v>127727484943</v>
      </c>
      <c r="M47" s="21">
        <v>2948288855</v>
      </c>
    </row>
    <row r="48" spans="2:13" x14ac:dyDescent="0.3">
      <c r="B48" s="4">
        <v>43893</v>
      </c>
      <c r="C48" s="24">
        <v>10.863985583334413</v>
      </c>
      <c r="E48" s="4">
        <v>43894</v>
      </c>
      <c r="F48" s="23">
        <v>1121239977031</v>
      </c>
      <c r="G48" s="19">
        <v>2.22622072793627</v>
      </c>
      <c r="H48" s="31">
        <v>1105147979124</v>
      </c>
      <c r="I48" s="31">
        <v>16091997907</v>
      </c>
      <c r="J48" s="21">
        <v>102928964297</v>
      </c>
      <c r="K48" s="19">
        <v>10.377697440637206</v>
      </c>
      <c r="L48" s="23">
        <v>100327175234</v>
      </c>
      <c r="M48" s="21">
        <v>2601789063</v>
      </c>
    </row>
    <row r="49" spans="2:13" x14ac:dyDescent="0.3">
      <c r="B49" s="4">
        <v>43894</v>
      </c>
      <c r="C49" s="24">
        <v>10.115374974997085</v>
      </c>
      <c r="E49" s="4">
        <v>43895</v>
      </c>
      <c r="F49" s="23">
        <v>1132125301830</v>
      </c>
      <c r="G49" s="19">
        <v>2.2063690355586183</v>
      </c>
      <c r="H49" s="31">
        <v>1115063044237</v>
      </c>
      <c r="I49" s="31">
        <v>17062257593</v>
      </c>
      <c r="J49" s="21">
        <v>131730193050</v>
      </c>
      <c r="K49" s="19">
        <v>11.243252104036131</v>
      </c>
      <c r="L49" s="23">
        <v>128768592538</v>
      </c>
      <c r="M49" s="21">
        <v>2961600512</v>
      </c>
    </row>
    <row r="50" spans="2:13" x14ac:dyDescent="0.3">
      <c r="B50" s="4">
        <v>43895</v>
      </c>
      <c r="C50" s="24">
        <v>10.990477698891064</v>
      </c>
      <c r="E50" s="4">
        <v>43896</v>
      </c>
      <c r="F50" s="23">
        <v>1127053629855</v>
      </c>
      <c r="G50" s="19">
        <v>2.2187814522927334</v>
      </c>
      <c r="H50" s="31">
        <v>1110817723597</v>
      </c>
      <c r="I50" s="31">
        <v>16235906258</v>
      </c>
      <c r="J50" s="21">
        <v>97248009967</v>
      </c>
      <c r="K50" s="19">
        <v>10.158633380600635</v>
      </c>
      <c r="L50" s="23">
        <v>95230814384</v>
      </c>
      <c r="M50" s="21">
        <v>2017195583</v>
      </c>
    </row>
    <row r="51" spans="2:13" x14ac:dyDescent="0.3">
      <c r="B51" s="4">
        <v>43896</v>
      </c>
      <c r="C51" s="24">
        <v>9.9479149258824595</v>
      </c>
      <c r="E51" s="4">
        <v>43899</v>
      </c>
      <c r="F51" s="23">
        <v>1123647358141</v>
      </c>
      <c r="G51" s="19">
        <v>2.2870025368141693</v>
      </c>
      <c r="H51" s="31">
        <v>1107888626765</v>
      </c>
      <c r="I51" s="31">
        <v>15758731376</v>
      </c>
      <c r="J51" s="21">
        <v>107716407412</v>
      </c>
      <c r="K51" s="19">
        <v>9.9192610090348712</v>
      </c>
      <c r="L51" s="23">
        <v>105083674292</v>
      </c>
      <c r="M51" s="21">
        <v>2632733120</v>
      </c>
    </row>
    <row r="52" spans="2:13" x14ac:dyDescent="0.3">
      <c r="B52" s="4">
        <v>43899</v>
      </c>
      <c r="C52" s="24">
        <v>9.676820998159597</v>
      </c>
      <c r="E52" s="4">
        <v>43900</v>
      </c>
      <c r="F52" s="23">
        <v>1129251655400</v>
      </c>
      <c r="G52" s="19">
        <v>2.2514200645074429</v>
      </c>
      <c r="H52" s="31">
        <v>1113263606042</v>
      </c>
      <c r="I52" s="31">
        <v>15988049358</v>
      </c>
      <c r="J52" s="21">
        <v>112320449017</v>
      </c>
      <c r="K52" s="19">
        <v>10.388224654301851</v>
      </c>
      <c r="L52" s="23">
        <v>109611343113</v>
      </c>
      <c r="M52" s="21">
        <v>2709105904</v>
      </c>
    </row>
    <row r="53" spans="2:13" x14ac:dyDescent="0.3">
      <c r="B53" s="4">
        <v>43900</v>
      </c>
      <c r="C53" s="24">
        <v>10.137666532523081</v>
      </c>
      <c r="E53" s="4">
        <v>43901</v>
      </c>
      <c r="F53" s="23">
        <v>1127659884901</v>
      </c>
      <c r="G53" s="19">
        <v>2.2740361673648963</v>
      </c>
      <c r="H53" s="31">
        <v>1111335613787</v>
      </c>
      <c r="I53" s="31">
        <v>16324271114</v>
      </c>
      <c r="J53" s="21">
        <v>97943176271</v>
      </c>
      <c r="K53" s="19">
        <v>10.069705044962266</v>
      </c>
      <c r="L53" s="23">
        <v>95173288848</v>
      </c>
      <c r="M53" s="21">
        <v>2769887423</v>
      </c>
    </row>
    <row r="54" spans="2:13" x14ac:dyDescent="0.3">
      <c r="B54" s="4">
        <v>43901</v>
      </c>
      <c r="C54" s="24">
        <v>9.78492819353378</v>
      </c>
      <c r="E54" s="4">
        <v>43902</v>
      </c>
      <c r="F54" s="23">
        <v>1124017628251</v>
      </c>
      <c r="G54" s="19">
        <v>2.307895847424791</v>
      </c>
      <c r="H54" s="31">
        <v>1107926926923</v>
      </c>
      <c r="I54" s="31">
        <v>16090701328</v>
      </c>
      <c r="J54" s="21">
        <v>80568341830</v>
      </c>
      <c r="K54" s="19">
        <v>9.6215595503064897</v>
      </c>
      <c r="L54" s="23">
        <v>78170796096</v>
      </c>
      <c r="M54" s="21">
        <v>2397545734</v>
      </c>
    </row>
    <row r="55" spans="2:13" x14ac:dyDescent="0.3">
      <c r="B55" s="4">
        <v>43902</v>
      </c>
      <c r="C55" s="24">
        <v>9.3352420150277045</v>
      </c>
      <c r="E55" s="4">
        <v>43903</v>
      </c>
      <c r="F55" s="23">
        <v>1115184582974</v>
      </c>
      <c r="G55" s="19">
        <v>2.317339435131927</v>
      </c>
      <c r="H55" s="31">
        <v>1099455883608</v>
      </c>
      <c r="I55" s="31">
        <v>15728699366</v>
      </c>
      <c r="J55" s="21">
        <v>91064230122</v>
      </c>
      <c r="K55" s="19">
        <v>9.4231461039054771</v>
      </c>
      <c r="L55" s="23">
        <v>88383509810</v>
      </c>
      <c r="M55" s="21">
        <v>2680720312</v>
      </c>
    </row>
    <row r="56" spans="2:13" x14ac:dyDescent="0.3">
      <c r="B56" s="4">
        <v>43903</v>
      </c>
      <c r="C56" s="24">
        <v>9.1457504774356675</v>
      </c>
      <c r="E56" s="4">
        <v>43906</v>
      </c>
      <c r="F56" s="23">
        <v>1097554812399</v>
      </c>
      <c r="G56" s="19">
        <v>2.3719750193818809</v>
      </c>
      <c r="H56" s="31">
        <v>1082144469701</v>
      </c>
      <c r="I56" s="31">
        <v>15410342698</v>
      </c>
      <c r="J56" s="21">
        <v>85992809155</v>
      </c>
      <c r="K56" s="19">
        <v>8.9293815843457143</v>
      </c>
      <c r="L56" s="23">
        <v>83041275254</v>
      </c>
      <c r="M56" s="21">
        <v>2951533901</v>
      </c>
    </row>
    <row r="57" spans="2:13" x14ac:dyDescent="0.3">
      <c r="B57" s="4">
        <v>43906</v>
      </c>
      <c r="C57" s="24">
        <v>8.6228981385769341</v>
      </c>
      <c r="E57" s="4">
        <v>43907</v>
      </c>
      <c r="F57" s="23">
        <v>1098685080152</v>
      </c>
      <c r="G57" s="19">
        <v>2.381794164416811</v>
      </c>
      <c r="H57" s="31">
        <v>1083754983908</v>
      </c>
      <c r="I57" s="31">
        <v>14930096244</v>
      </c>
      <c r="J57" s="21">
        <v>76823457772</v>
      </c>
      <c r="K57" s="19">
        <v>9.3936866093280891</v>
      </c>
      <c r="L57" s="23">
        <v>74330079157</v>
      </c>
      <c r="M57" s="21">
        <v>2493378615</v>
      </c>
    </row>
    <row r="58" spans="2:13" x14ac:dyDescent="0.3">
      <c r="B58" s="4">
        <v>43907</v>
      </c>
      <c r="C58" s="24">
        <v>9.0888055484257873</v>
      </c>
      <c r="E58" s="4">
        <v>43908</v>
      </c>
      <c r="F58" s="23">
        <v>1090429740485</v>
      </c>
      <c r="G58" s="19">
        <v>2.4052730466846777</v>
      </c>
      <c r="H58" s="31">
        <v>1074613146339</v>
      </c>
      <c r="I58" s="31">
        <v>15816594146</v>
      </c>
      <c r="J58" s="21">
        <v>78518396574</v>
      </c>
      <c r="K58" s="19">
        <v>9.3837264764613391</v>
      </c>
      <c r="L58" s="23">
        <v>75211242349</v>
      </c>
      <c r="M58" s="21">
        <v>3307154225</v>
      </c>
    </row>
    <row r="59" spans="2:13" x14ac:dyDescent="0.3">
      <c r="B59" s="4">
        <v>43908</v>
      </c>
      <c r="C59" s="24">
        <v>8.9884887739997783</v>
      </c>
      <c r="E59" s="4">
        <v>43909</v>
      </c>
      <c r="F59" s="23">
        <v>1094388946705</v>
      </c>
      <c r="G59" s="19">
        <v>2.4286672975923205</v>
      </c>
      <c r="H59" s="31">
        <v>1078919566384</v>
      </c>
      <c r="I59" s="31">
        <v>15469380321</v>
      </c>
      <c r="J59" s="21">
        <v>77885189051</v>
      </c>
      <c r="K59" s="19">
        <v>9.4730455284203376</v>
      </c>
      <c r="L59" s="23">
        <v>75162068706</v>
      </c>
      <c r="M59" s="21">
        <v>2723120345</v>
      </c>
    </row>
    <row r="60" spans="2:13" x14ac:dyDescent="0.3">
      <c r="B60" s="4">
        <v>43909</v>
      </c>
      <c r="C60" s="24">
        <v>9.1418369466364364</v>
      </c>
      <c r="E60" s="4">
        <v>43910</v>
      </c>
      <c r="F60" s="23">
        <v>1088919388944</v>
      </c>
      <c r="G60" s="19">
        <v>2.379306743687104</v>
      </c>
      <c r="H60" s="31">
        <v>1073104286038</v>
      </c>
      <c r="I60" s="31">
        <v>15815102906</v>
      </c>
      <c r="J60" s="21">
        <v>64002059138</v>
      </c>
      <c r="K60" s="19">
        <v>8.9289235488819436</v>
      </c>
      <c r="L60" s="23">
        <v>61521898194</v>
      </c>
      <c r="M60" s="21">
        <v>2480160944</v>
      </c>
    </row>
    <row r="61" spans="2:13" x14ac:dyDescent="0.3">
      <c r="B61" s="4">
        <v>43910</v>
      </c>
      <c r="C61" s="24">
        <v>8.5829164397958131</v>
      </c>
      <c r="E61" s="4">
        <v>43913</v>
      </c>
      <c r="F61" s="23">
        <v>1078719473959</v>
      </c>
      <c r="G61" s="19">
        <v>2.4420888709353221</v>
      </c>
      <c r="H61" s="31">
        <v>1063227306364</v>
      </c>
      <c r="I61" s="31">
        <v>15492167595</v>
      </c>
      <c r="J61" s="21">
        <v>57692634088</v>
      </c>
      <c r="K61" s="19">
        <v>8.3953994636692268</v>
      </c>
      <c r="L61" s="23">
        <v>55065092231</v>
      </c>
      <c r="M61" s="21">
        <v>2627541857</v>
      </c>
    </row>
    <row r="62" spans="2:13" x14ac:dyDescent="0.3">
      <c r="B62" s="4">
        <v>43913</v>
      </c>
      <c r="C62" s="24">
        <v>8.0130410595897956</v>
      </c>
      <c r="E62" s="4">
        <v>43914</v>
      </c>
      <c r="F62" s="23">
        <v>1078220502924</v>
      </c>
      <c r="G62" s="19">
        <v>2.3852377651810688</v>
      </c>
      <c r="H62" s="31">
        <v>1062300087304</v>
      </c>
      <c r="I62" s="31">
        <v>15920415620</v>
      </c>
      <c r="J62" s="21">
        <v>63065489863</v>
      </c>
      <c r="K62" s="19">
        <v>8.8535599726111229</v>
      </c>
      <c r="L62" s="23">
        <v>60616927949</v>
      </c>
      <c r="M62" s="21">
        <v>2448561914</v>
      </c>
    </row>
    <row r="63" spans="2:13" x14ac:dyDescent="0.3">
      <c r="B63" s="4">
        <v>43914</v>
      </c>
      <c r="C63" s="24">
        <v>8.5098142917428117</v>
      </c>
      <c r="E63" s="4">
        <v>43915</v>
      </c>
      <c r="F63" s="23">
        <v>1080769772928</v>
      </c>
      <c r="G63" s="19">
        <v>2.3337037164338263</v>
      </c>
      <c r="H63" s="31">
        <v>1063685395567</v>
      </c>
      <c r="I63" s="31">
        <v>17084377361</v>
      </c>
      <c r="J63" s="21">
        <v>72763333953</v>
      </c>
      <c r="K63" s="19">
        <v>9.6870911330049267</v>
      </c>
      <c r="L63" s="23">
        <v>70011925701</v>
      </c>
      <c r="M63" s="21">
        <v>2751408252</v>
      </c>
    </row>
    <row r="64" spans="2:13" x14ac:dyDescent="0.3">
      <c r="B64" s="4">
        <v>43915</v>
      </c>
      <c r="C64" s="24">
        <v>9.3207920503042647</v>
      </c>
      <c r="E64" s="4">
        <v>43916</v>
      </c>
      <c r="F64" s="23">
        <v>1076986032344</v>
      </c>
      <c r="G64" s="19">
        <v>2.3409015861760909</v>
      </c>
      <c r="H64" s="31">
        <v>1059500536803</v>
      </c>
      <c r="I64" s="31">
        <v>17485495541</v>
      </c>
      <c r="J64" s="21">
        <v>56824320883</v>
      </c>
      <c r="K64" s="19">
        <v>8.8466056201709407</v>
      </c>
      <c r="L64" s="23">
        <v>54364932871</v>
      </c>
      <c r="M64" s="21">
        <v>2459388012</v>
      </c>
    </row>
    <row r="65" spans="2:13" x14ac:dyDescent="0.3">
      <c r="B65" s="4">
        <v>43916</v>
      </c>
      <c r="C65" s="24">
        <v>8.4637196398186578</v>
      </c>
      <c r="E65" s="4">
        <v>43917</v>
      </c>
      <c r="F65" s="23">
        <v>1071310361955</v>
      </c>
      <c r="G65" s="19">
        <v>2.3275841881592068</v>
      </c>
      <c r="H65" s="31">
        <v>1053740434736</v>
      </c>
      <c r="I65" s="31">
        <v>17569927219</v>
      </c>
      <c r="J65" s="21">
        <v>56924337456</v>
      </c>
      <c r="K65" s="19">
        <v>8.9820068097108798</v>
      </c>
      <c r="L65" s="23">
        <v>54436920766</v>
      </c>
      <c r="M65" s="21">
        <v>2487416690</v>
      </c>
    </row>
    <row r="66" spans="2:13" x14ac:dyDescent="0.3">
      <c r="B66" s="4">
        <v>43917</v>
      </c>
      <c r="C66" s="24">
        <v>8.5895210181030652</v>
      </c>
      <c r="E66" s="4">
        <v>43920</v>
      </c>
      <c r="F66" s="23">
        <v>1067251295848</v>
      </c>
      <c r="G66" s="19">
        <v>2.3467425598734364</v>
      </c>
      <c r="H66" s="31">
        <v>1050085127628</v>
      </c>
      <c r="I66" s="31">
        <v>17166168220</v>
      </c>
      <c r="J66" s="21">
        <v>54422211436</v>
      </c>
      <c r="K66" s="19">
        <v>8.5979868667059609</v>
      </c>
      <c r="L66" s="23">
        <v>52151936633</v>
      </c>
      <c r="M66" s="21">
        <v>2270274803</v>
      </c>
    </row>
    <row r="67" spans="2:13" x14ac:dyDescent="0.3">
      <c r="B67" s="4">
        <v>43920</v>
      </c>
      <c r="C67" s="24">
        <v>8.2393135892893952</v>
      </c>
      <c r="E67" s="4">
        <v>43921</v>
      </c>
      <c r="F67" s="23">
        <v>1065119532546</v>
      </c>
      <c r="G67" s="19">
        <v>2.3352650756931381</v>
      </c>
      <c r="H67" s="31">
        <v>1047444346031</v>
      </c>
      <c r="I67" s="31">
        <v>17675186515</v>
      </c>
      <c r="J67" s="21">
        <v>48716744998</v>
      </c>
      <c r="K67" s="19">
        <v>8.6743473898904515</v>
      </c>
      <c r="L67" s="23">
        <v>46432894002</v>
      </c>
      <c r="M67" s="21">
        <v>2283850996</v>
      </c>
    </row>
    <row r="68" spans="2:13" x14ac:dyDescent="0.3">
      <c r="B68" s="4">
        <v>43921</v>
      </c>
      <c r="C68" s="24">
        <v>8.2676922053771058</v>
      </c>
      <c r="E68" s="4">
        <v>43922</v>
      </c>
      <c r="F68" s="23">
        <v>1061138733488</v>
      </c>
      <c r="G68" s="19">
        <v>2.3375377923107377</v>
      </c>
      <c r="H68" s="31">
        <v>1042995475437</v>
      </c>
      <c r="I68" s="31">
        <v>18143258051</v>
      </c>
      <c r="J68" s="21">
        <v>50982903795</v>
      </c>
      <c r="K68" s="19">
        <v>8.7190038338478981</v>
      </c>
      <c r="L68" s="23">
        <v>48710962200</v>
      </c>
      <c r="M68" s="21">
        <v>2271941595</v>
      </c>
    </row>
    <row r="69" spans="2:13" x14ac:dyDescent="0.3">
      <c r="B69" s="4">
        <v>43922</v>
      </c>
      <c r="C69" s="24">
        <v>8.3304604986794093</v>
      </c>
      <c r="E69" s="4">
        <v>43923</v>
      </c>
      <c r="F69" s="23">
        <v>1062902872882</v>
      </c>
      <c r="G69" s="19">
        <v>2.296799991010031</v>
      </c>
      <c r="H69" s="31">
        <v>1044333677318</v>
      </c>
      <c r="I69" s="31">
        <v>18569195564</v>
      </c>
      <c r="J69" s="21">
        <v>55155190990</v>
      </c>
      <c r="K69" s="19">
        <v>9.2292941664337267</v>
      </c>
      <c r="L69" s="23">
        <v>52971914519</v>
      </c>
      <c r="M69" s="21">
        <v>2183276471</v>
      </c>
    </row>
    <row r="70" spans="2:13" x14ac:dyDescent="0.3">
      <c r="B70" s="4">
        <v>43923</v>
      </c>
      <c r="C70" s="24">
        <v>8.8639595454156321</v>
      </c>
      <c r="E70" s="4">
        <v>43924</v>
      </c>
      <c r="F70" s="23">
        <v>1055661046786</v>
      </c>
      <c r="G70" s="19">
        <v>2.2933795776888717</v>
      </c>
      <c r="H70" s="31">
        <v>1037488321064</v>
      </c>
      <c r="I70" s="31">
        <v>18172725722</v>
      </c>
      <c r="J70" s="21">
        <v>48584016468</v>
      </c>
      <c r="K70" s="19">
        <v>8.4904412525497879</v>
      </c>
      <c r="L70" s="23">
        <v>46648849222</v>
      </c>
      <c r="M70" s="21">
        <v>1935167246</v>
      </c>
    </row>
    <row r="71" spans="2:13" x14ac:dyDescent="0.3">
      <c r="B71" s="4">
        <v>43924</v>
      </c>
      <c r="C71" s="24">
        <v>8.1522554661431936</v>
      </c>
      <c r="E71" s="4">
        <v>43928</v>
      </c>
      <c r="F71" s="23">
        <v>1062077450898</v>
      </c>
      <c r="G71" s="19">
        <v>2.2507568222046861</v>
      </c>
      <c r="H71" s="31">
        <v>1042971135376</v>
      </c>
      <c r="I71" s="31">
        <v>19106315522</v>
      </c>
      <c r="J71" s="21">
        <v>72043037569</v>
      </c>
      <c r="K71" s="19">
        <v>9.8439794850112836</v>
      </c>
      <c r="L71" s="23">
        <v>69694644226</v>
      </c>
      <c r="M71" s="21">
        <v>2348393343</v>
      </c>
    </row>
    <row r="72" spans="2:13" x14ac:dyDescent="0.3">
      <c r="B72" s="4">
        <v>43928</v>
      </c>
      <c r="C72" s="24">
        <v>9.5230944047689636</v>
      </c>
      <c r="E72" s="4">
        <v>43929</v>
      </c>
      <c r="F72" s="23">
        <v>1062066778284</v>
      </c>
      <c r="G72" s="19">
        <v>2.2554004969299482</v>
      </c>
      <c r="H72" s="31">
        <v>1042641019065</v>
      </c>
      <c r="I72" s="31">
        <v>19425759219</v>
      </c>
      <c r="J72" s="21">
        <v>60921346763</v>
      </c>
      <c r="K72" s="19">
        <v>9.0403589429507996</v>
      </c>
      <c r="L72" s="23">
        <v>58597505923</v>
      </c>
      <c r="M72" s="21">
        <v>2323840840</v>
      </c>
    </row>
    <row r="73" spans="2:13" x14ac:dyDescent="0.3">
      <c r="B73" s="4">
        <v>43929</v>
      </c>
      <c r="C73" s="24">
        <v>8.695515034597685</v>
      </c>
      <c r="E73" s="4">
        <v>43930</v>
      </c>
      <c r="F73" s="23">
        <v>1064831590282</v>
      </c>
      <c r="G73" s="19">
        <v>2.2493441660759426</v>
      </c>
      <c r="H73" s="31">
        <v>1044472619863</v>
      </c>
      <c r="I73" s="31">
        <v>20358970419</v>
      </c>
      <c r="J73" s="21">
        <v>64768311058</v>
      </c>
      <c r="K73" s="19">
        <v>9.917683344399677</v>
      </c>
      <c r="L73" s="23">
        <v>62315173055</v>
      </c>
      <c r="M73" s="21">
        <v>2453138003</v>
      </c>
    </row>
    <row r="74" spans="2:13" x14ac:dyDescent="0.3">
      <c r="B74" s="4">
        <v>43930</v>
      </c>
      <c r="C74" s="24">
        <v>9.5420452350149816</v>
      </c>
      <c r="E74" s="4">
        <v>43931</v>
      </c>
      <c r="F74" s="23">
        <v>1057925581895</v>
      </c>
      <c r="G74" s="19">
        <v>2.2629353220413346</v>
      </c>
      <c r="H74" s="31">
        <v>1037907526970</v>
      </c>
      <c r="I74" s="31">
        <v>20018054925</v>
      </c>
      <c r="J74" s="21">
        <v>60015292817</v>
      </c>
      <c r="K74" s="19">
        <v>8.9316532133596525</v>
      </c>
      <c r="L74" s="23">
        <v>57865362436</v>
      </c>
      <c r="M74" s="21">
        <v>2149930381</v>
      </c>
    </row>
    <row r="75" spans="2:13" x14ac:dyDescent="0.3">
      <c r="B75" s="4">
        <v>43931</v>
      </c>
      <c r="C75" s="24">
        <v>8.6116942213322254</v>
      </c>
      <c r="E75" s="4">
        <v>43934</v>
      </c>
      <c r="F75" s="23">
        <v>1057414609794</v>
      </c>
      <c r="G75" s="19">
        <v>2.2737741224168588</v>
      </c>
      <c r="H75" s="31">
        <v>1037417496803</v>
      </c>
      <c r="I75" s="31">
        <v>19997112991</v>
      </c>
      <c r="J75" s="21">
        <v>44877658611</v>
      </c>
      <c r="K75" s="19">
        <v>8.9949597384616471</v>
      </c>
      <c r="L75" s="23">
        <v>43009064895</v>
      </c>
      <c r="M75" s="21">
        <v>1868593716</v>
      </c>
    </row>
    <row r="76" spans="2:13" x14ac:dyDescent="0.3">
      <c r="B76" s="4">
        <v>43934</v>
      </c>
      <c r="C76" s="24">
        <v>8.6204320611455518</v>
      </c>
      <c r="E76" s="4">
        <v>43935</v>
      </c>
      <c r="F76" s="23">
        <v>1058289985759</v>
      </c>
      <c r="G76" s="19">
        <v>2.2352039910858355</v>
      </c>
      <c r="H76" s="31">
        <v>1037779232940</v>
      </c>
      <c r="I76" s="31">
        <v>20510752819</v>
      </c>
      <c r="J76" s="21">
        <v>52684366183</v>
      </c>
      <c r="K76" s="19">
        <v>8.9416797041872744</v>
      </c>
      <c r="L76" s="23">
        <v>50488984731</v>
      </c>
      <c r="M76" s="21">
        <v>2195381452</v>
      </c>
    </row>
    <row r="77" spans="2:13" x14ac:dyDescent="0.3">
      <c r="B77" s="4">
        <v>43935</v>
      </c>
      <c r="C77" s="24">
        <v>8.5690758523327961</v>
      </c>
      <c r="E77" s="4">
        <v>43936</v>
      </c>
      <c r="F77" s="23">
        <v>1058194653955</v>
      </c>
      <c r="G77" s="19">
        <v>2.2481635033026288</v>
      </c>
      <c r="H77" s="31">
        <v>1037854699021</v>
      </c>
      <c r="I77" s="31">
        <v>20339954934</v>
      </c>
      <c r="J77" s="21">
        <v>57743798149</v>
      </c>
      <c r="K77" s="19">
        <v>9.0093329063055325</v>
      </c>
      <c r="L77" s="23">
        <v>55784485353</v>
      </c>
      <c r="M77" s="21">
        <v>1959312796</v>
      </c>
    </row>
    <row r="78" spans="2:13" x14ac:dyDescent="0.3">
      <c r="B78" s="4">
        <v>43936</v>
      </c>
      <c r="C78" s="24">
        <v>8.7036359862449668</v>
      </c>
      <c r="E78" s="4">
        <v>43937</v>
      </c>
      <c r="F78" s="23">
        <v>1060310223839</v>
      </c>
      <c r="G78" s="19">
        <v>2.2452059258205348</v>
      </c>
      <c r="H78" s="31">
        <v>1039985112337</v>
      </c>
      <c r="I78" s="31">
        <v>20325111502</v>
      </c>
      <c r="J78" s="21">
        <v>54044903214</v>
      </c>
      <c r="K78" s="19">
        <v>9.0851690126223108</v>
      </c>
      <c r="L78" s="23">
        <v>51931635465</v>
      </c>
      <c r="M78" s="21">
        <v>2113267749</v>
      </c>
    </row>
    <row r="79" spans="2:13" x14ac:dyDescent="0.3">
      <c r="B79" s="4">
        <v>43937</v>
      </c>
      <c r="C79" s="24">
        <v>8.7299200709678946</v>
      </c>
      <c r="E79" s="4">
        <v>43938</v>
      </c>
      <c r="F79" s="23">
        <v>1058227281091</v>
      </c>
      <c r="G79" s="19">
        <v>2.2268583833159985</v>
      </c>
      <c r="H79" s="31">
        <v>1037703724159</v>
      </c>
      <c r="I79" s="31">
        <v>20523556932</v>
      </c>
      <c r="J79" s="21">
        <v>69573579152</v>
      </c>
      <c r="K79" s="19">
        <v>9.3999531812510657</v>
      </c>
      <c r="L79" s="23">
        <v>67320212861</v>
      </c>
      <c r="M79" s="21">
        <v>2253366291</v>
      </c>
    </row>
    <row r="80" spans="2:13" x14ac:dyDescent="0.3">
      <c r="B80" s="4">
        <v>43938</v>
      </c>
      <c r="C80" s="24">
        <v>9.0955051724842129</v>
      </c>
      <c r="E80" s="4">
        <v>43941</v>
      </c>
      <c r="F80" s="23">
        <v>1062517675624</v>
      </c>
      <c r="G80" s="19">
        <v>2.2202827922467381</v>
      </c>
      <c r="H80" s="31">
        <v>1041463360044</v>
      </c>
      <c r="I80" s="31">
        <v>21054315580</v>
      </c>
      <c r="J80" s="21">
        <v>57282268643</v>
      </c>
      <c r="K80" s="19">
        <v>9.2815691314896736</v>
      </c>
      <c r="L80" s="23">
        <v>55214582593</v>
      </c>
      <c r="M80" s="21">
        <v>2067686050</v>
      </c>
    </row>
    <row r="81" spans="2:13" x14ac:dyDescent="0.3">
      <c r="B81" s="4">
        <v>43941</v>
      </c>
      <c r="C81" s="24">
        <v>8.946537515774553</v>
      </c>
      <c r="E81" s="4">
        <v>43942</v>
      </c>
      <c r="F81" s="23">
        <v>1063569028826</v>
      </c>
      <c r="G81" s="19">
        <v>2.2416880636228971</v>
      </c>
      <c r="H81" s="31">
        <v>1042487466934</v>
      </c>
      <c r="I81" s="31">
        <v>21081561892</v>
      </c>
      <c r="J81" s="21">
        <v>59894906441</v>
      </c>
      <c r="K81" s="19">
        <v>9.2262510622686182</v>
      </c>
      <c r="L81" s="23">
        <v>57826192806</v>
      </c>
      <c r="M81" s="21">
        <v>2068713635</v>
      </c>
    </row>
    <row r="82" spans="2:13" x14ac:dyDescent="0.3">
      <c r="B82" s="4">
        <v>43942</v>
      </c>
      <c r="C82" s="24">
        <v>8.9075850436272912</v>
      </c>
      <c r="E82" s="4">
        <v>43943</v>
      </c>
      <c r="F82" s="23">
        <v>1067232690367</v>
      </c>
      <c r="G82" s="19">
        <v>2.2312583771931576</v>
      </c>
      <c r="H82" s="31">
        <v>1045499353406</v>
      </c>
      <c r="I82" s="31">
        <v>21733336961</v>
      </c>
      <c r="J82" s="21">
        <v>55711807392</v>
      </c>
      <c r="K82" s="19">
        <v>9.1961075871484255</v>
      </c>
      <c r="L82" s="23">
        <v>53533970197</v>
      </c>
      <c r="M82" s="21">
        <v>2177837195</v>
      </c>
    </row>
    <row r="83" spans="2:13" x14ac:dyDescent="0.3">
      <c r="B83" s="4">
        <v>43943</v>
      </c>
      <c r="C83" s="24">
        <v>8.8366214011843809</v>
      </c>
      <c r="E83" s="4">
        <v>43944</v>
      </c>
      <c r="F83" s="23">
        <v>1067270942713</v>
      </c>
      <c r="G83" s="19">
        <v>2.2372972347089437</v>
      </c>
      <c r="H83" s="31">
        <v>1045356755404</v>
      </c>
      <c r="I83" s="31">
        <v>21914187309</v>
      </c>
      <c r="J83" s="21">
        <v>59939420864</v>
      </c>
      <c r="K83" s="19">
        <v>8.9408092200706601</v>
      </c>
      <c r="L83" s="23">
        <v>57848964347</v>
      </c>
      <c r="M83" s="21">
        <v>2090456517</v>
      </c>
    </row>
    <row r="84" spans="2:13" x14ac:dyDescent="0.3">
      <c r="B84" s="4">
        <v>43944</v>
      </c>
      <c r="C84" s="24">
        <v>8.6289881742224193</v>
      </c>
      <c r="E84" s="4">
        <v>43945</v>
      </c>
      <c r="F84" s="23">
        <v>1060281536630</v>
      </c>
      <c r="G84" s="19">
        <v>2.2472591589590487</v>
      </c>
      <c r="H84" s="31">
        <v>1038835970981</v>
      </c>
      <c r="I84" s="31">
        <v>21445565649</v>
      </c>
      <c r="J84" s="21">
        <v>51483332990</v>
      </c>
      <c r="K84" s="19">
        <v>8.2364283653805952</v>
      </c>
      <c r="L84" s="23">
        <v>49677866244</v>
      </c>
      <c r="M84" s="21">
        <v>1805466746</v>
      </c>
    </row>
    <row r="85" spans="2:13" x14ac:dyDescent="0.3">
      <c r="B85" s="4">
        <v>43945</v>
      </c>
      <c r="C85" s="24">
        <v>7.9475854203755736</v>
      </c>
      <c r="E85" s="4">
        <v>43948</v>
      </c>
      <c r="F85" s="23">
        <v>1058668344091</v>
      </c>
      <c r="G85" s="19">
        <v>2.23754809769527</v>
      </c>
      <c r="H85" s="31">
        <v>1036912756111</v>
      </c>
      <c r="I85" s="31">
        <v>21755587980</v>
      </c>
      <c r="J85" s="21">
        <v>47620805466</v>
      </c>
      <c r="K85" s="19">
        <v>8.5565609725619964</v>
      </c>
      <c r="L85" s="23">
        <v>45625224022</v>
      </c>
      <c r="M85" s="21">
        <v>1995581444</v>
      </c>
    </row>
    <row r="86" spans="2:13" x14ac:dyDescent="0.3">
      <c r="B86" s="4">
        <v>43948</v>
      </c>
      <c r="C86" s="24">
        <v>8.1979926087091286</v>
      </c>
      <c r="E86" s="4">
        <v>43949</v>
      </c>
      <c r="F86" s="23">
        <v>1054486211235</v>
      </c>
      <c r="G86" s="19">
        <v>2.2338729599006371</v>
      </c>
      <c r="H86" s="31">
        <v>1032644191201</v>
      </c>
      <c r="I86" s="31">
        <v>21842020034</v>
      </c>
      <c r="J86" s="21">
        <v>59431692580</v>
      </c>
      <c r="K86" s="19">
        <v>8.8214289988960157</v>
      </c>
      <c r="L86" s="23">
        <v>56968371863</v>
      </c>
      <c r="M86" s="21">
        <v>2463320717</v>
      </c>
    </row>
    <row r="87" spans="2:13" x14ac:dyDescent="0.3">
      <c r="B87" s="4">
        <v>43949</v>
      </c>
      <c r="C87" s="24">
        <v>8.4557990149059972</v>
      </c>
      <c r="E87" s="4">
        <v>43950</v>
      </c>
      <c r="F87" s="23">
        <v>1050361577141</v>
      </c>
      <c r="G87" s="19">
        <v>2.2201669681426193</v>
      </c>
      <c r="H87" s="31">
        <v>1028542583038</v>
      </c>
      <c r="I87" s="31">
        <v>21818994103</v>
      </c>
      <c r="J87" s="21">
        <v>48944609353</v>
      </c>
      <c r="K87" s="19">
        <v>9.1891046442762807</v>
      </c>
      <c r="L87" s="23">
        <v>47067207502</v>
      </c>
      <c r="M87" s="21">
        <v>1877401851</v>
      </c>
    </row>
    <row r="88" spans="2:13" x14ac:dyDescent="0.3">
      <c r="B88" s="4">
        <v>43950</v>
      </c>
      <c r="C88" s="24">
        <v>8.8366318736025153</v>
      </c>
      <c r="E88" s="4">
        <v>43951</v>
      </c>
      <c r="F88" s="23">
        <v>1043052909200</v>
      </c>
      <c r="G88" s="19">
        <v>2.1728885428508091</v>
      </c>
      <c r="H88" s="31">
        <v>1021627792735</v>
      </c>
      <c r="I88" s="31">
        <v>21425116465</v>
      </c>
      <c r="J88" s="21">
        <v>64864064788</v>
      </c>
      <c r="K88" s="19">
        <v>9.5549292633692691</v>
      </c>
      <c r="L88" s="23">
        <v>63063062676</v>
      </c>
      <c r="M88" s="21">
        <v>1801002112</v>
      </c>
    </row>
    <row r="89" spans="2:13" x14ac:dyDescent="0.3">
      <c r="B89" s="4">
        <v>43951</v>
      </c>
      <c r="C89" s="24">
        <v>9.2896290876929175</v>
      </c>
      <c r="E89" s="4">
        <v>43957</v>
      </c>
      <c r="F89" s="23">
        <v>1055869290755</v>
      </c>
      <c r="G89" s="19">
        <v>2.177742409541874</v>
      </c>
      <c r="H89" s="31">
        <v>1033507000487</v>
      </c>
      <c r="I89" s="31">
        <v>22362290268</v>
      </c>
      <c r="J89" s="21">
        <v>71581372347</v>
      </c>
      <c r="K89" s="19">
        <v>9.9291343939850485</v>
      </c>
      <c r="L89" s="23">
        <v>69252060623</v>
      </c>
      <c r="M89" s="21">
        <v>2329311724</v>
      </c>
    </row>
    <row r="90" spans="2:13" x14ac:dyDescent="0.3">
      <c r="B90" s="4">
        <v>43957</v>
      </c>
      <c r="C90" s="24">
        <v>9.6060328887363831</v>
      </c>
      <c r="E90" s="4">
        <v>43958</v>
      </c>
      <c r="F90" s="23">
        <v>1062468435000</v>
      </c>
      <c r="G90" s="19">
        <v>2.1997866765031513</v>
      </c>
      <c r="H90" s="31">
        <v>1039457831455</v>
      </c>
      <c r="I90" s="31">
        <v>23010603545</v>
      </c>
      <c r="J90" s="21">
        <v>64340918561</v>
      </c>
      <c r="K90" s="19">
        <v>9.645181760804876</v>
      </c>
      <c r="L90" s="23">
        <v>61957974250</v>
      </c>
      <c r="M90" s="21">
        <v>2382944311</v>
      </c>
    </row>
    <row r="91" spans="2:13" x14ac:dyDescent="0.3">
      <c r="B91" s="4">
        <v>43958</v>
      </c>
      <c r="C91" s="24">
        <v>9.2879607027361999</v>
      </c>
      <c r="E91" s="4">
        <v>43959</v>
      </c>
      <c r="F91" s="23">
        <v>1064384681061</v>
      </c>
      <c r="G91" s="19">
        <v>2.1796449038353964</v>
      </c>
      <c r="H91" s="31">
        <v>1040954798915</v>
      </c>
      <c r="I91" s="31">
        <v>23429882146</v>
      </c>
      <c r="J91" s="21">
        <v>67544548222</v>
      </c>
      <c r="K91" s="19">
        <v>9.827550623457066</v>
      </c>
      <c r="L91" s="23">
        <v>65304018514</v>
      </c>
      <c r="M91" s="21">
        <v>2240529708</v>
      </c>
    </row>
    <row r="92" spans="2:13" x14ac:dyDescent="0.3">
      <c r="B92" s="4">
        <v>43959</v>
      </c>
      <c r="C92" s="24">
        <v>9.5015595596578173</v>
      </c>
      <c r="E92" s="4">
        <v>43962</v>
      </c>
      <c r="F92" s="23">
        <v>1071149738038</v>
      </c>
      <c r="G92" s="19">
        <v>2.1934061585464422</v>
      </c>
      <c r="H92" s="31">
        <v>1047120603496</v>
      </c>
      <c r="I92" s="31">
        <v>24029134542</v>
      </c>
      <c r="J92" s="21">
        <v>66989505050</v>
      </c>
      <c r="K92" s="19">
        <v>9.7857554017611932</v>
      </c>
      <c r="L92" s="23">
        <v>64397022871</v>
      </c>
      <c r="M92" s="21">
        <v>2592482179</v>
      </c>
    </row>
    <row r="93" spans="2:13" x14ac:dyDescent="0.3">
      <c r="B93" s="4">
        <v>43962</v>
      </c>
      <c r="C93" s="24">
        <v>9.4070483719334099</v>
      </c>
      <c r="E93" s="4">
        <v>43963</v>
      </c>
      <c r="F93" s="23">
        <v>1074190725654</v>
      </c>
      <c r="G93" s="19">
        <v>2.1984406498288371</v>
      </c>
      <c r="H93" s="31">
        <v>1050066980102</v>
      </c>
      <c r="I93" s="31">
        <v>24123745552</v>
      </c>
      <c r="J93" s="21">
        <v>55618338217</v>
      </c>
      <c r="K93" s="19">
        <v>9.2863504740357641</v>
      </c>
      <c r="L93" s="23">
        <v>53448114418</v>
      </c>
      <c r="M93" s="21">
        <v>2170223799</v>
      </c>
    </row>
    <row r="94" spans="2:13" x14ac:dyDescent="0.3">
      <c r="B94" s="4">
        <v>43963</v>
      </c>
      <c r="C94" s="24">
        <v>8.9239977060336564</v>
      </c>
      <c r="E94" s="4">
        <v>43964</v>
      </c>
      <c r="F94" s="23">
        <v>1077957086491</v>
      </c>
      <c r="G94" s="19">
        <v>2.1980324733270411</v>
      </c>
      <c r="H94" s="31">
        <v>1053149662390</v>
      </c>
      <c r="I94" s="31">
        <v>24807424101</v>
      </c>
      <c r="J94" s="21">
        <v>53889374560</v>
      </c>
      <c r="K94" s="19">
        <v>9.274751393979523</v>
      </c>
      <c r="L94" s="23">
        <v>51730885863</v>
      </c>
      <c r="M94" s="21">
        <v>2158488697</v>
      </c>
    </row>
    <row r="95" spans="2:13" x14ac:dyDescent="0.3">
      <c r="B95" s="4">
        <v>43964</v>
      </c>
      <c r="C95" s="24">
        <v>8.9032598668492486</v>
      </c>
      <c r="E95" s="4">
        <v>43965</v>
      </c>
      <c r="F95" s="23">
        <v>1079815635828</v>
      </c>
      <c r="G95" s="19">
        <v>2.2230617142505125</v>
      </c>
      <c r="H95" s="31">
        <v>1054873888829</v>
      </c>
      <c r="I95" s="31">
        <v>24941746999</v>
      </c>
      <c r="J95" s="21">
        <v>55962613370</v>
      </c>
      <c r="K95" s="19">
        <v>9.176408661925862</v>
      </c>
      <c r="L95" s="23">
        <v>54007581868</v>
      </c>
      <c r="M95" s="21">
        <v>1955031502</v>
      </c>
    </row>
    <row r="96" spans="2:13" x14ac:dyDescent="0.3">
      <c r="B96" s="4">
        <v>43965</v>
      </c>
      <c r="C96" s="24">
        <v>8.8558344976944969</v>
      </c>
      <c r="E96" s="4">
        <v>43966</v>
      </c>
      <c r="F96" s="23">
        <v>1079243262147</v>
      </c>
      <c r="G96" s="19">
        <v>2.220586092387947</v>
      </c>
      <c r="H96" s="31">
        <v>1054312006932</v>
      </c>
      <c r="I96" s="31">
        <v>24931255215</v>
      </c>
      <c r="J96" s="21">
        <v>58340700749</v>
      </c>
      <c r="K96" s="19">
        <v>9.3095664303141294</v>
      </c>
      <c r="L96" s="23">
        <v>56176405538</v>
      </c>
      <c r="M96" s="21">
        <v>2164295211</v>
      </c>
    </row>
    <row r="97" spans="2:13" x14ac:dyDescent="0.3">
      <c r="B97" s="4">
        <v>43966</v>
      </c>
      <c r="C97" s="24">
        <v>8.9642046197266811</v>
      </c>
      <c r="E97" s="4">
        <v>43969</v>
      </c>
      <c r="F97" s="23">
        <v>1080582325821</v>
      </c>
      <c r="G97" s="19">
        <v>2.2220187560783606</v>
      </c>
      <c r="H97" s="31">
        <v>1055300170689</v>
      </c>
      <c r="I97" s="31">
        <v>25282155132</v>
      </c>
      <c r="J97" s="21">
        <v>67789994556</v>
      </c>
      <c r="K97" s="19">
        <v>9.2679272237178978</v>
      </c>
      <c r="L97" s="23">
        <v>65309733660</v>
      </c>
      <c r="M97" s="21">
        <v>2480260896</v>
      </c>
    </row>
    <row r="98" spans="2:13" x14ac:dyDescent="0.3">
      <c r="B98" s="4">
        <v>43969</v>
      </c>
      <c r="C98" s="24">
        <v>8.9288376924306174</v>
      </c>
      <c r="E98" s="4">
        <v>43970</v>
      </c>
      <c r="F98" s="23">
        <v>1084704222490</v>
      </c>
      <c r="G98" s="19">
        <v>2.2101050221910574</v>
      </c>
      <c r="H98" s="31">
        <v>1058899878260</v>
      </c>
      <c r="I98" s="31">
        <v>25804344230</v>
      </c>
      <c r="J98" s="21">
        <v>62826220857</v>
      </c>
      <c r="K98" s="19">
        <v>9.7966568256237618</v>
      </c>
      <c r="L98" s="23">
        <v>60432993470</v>
      </c>
      <c r="M98" s="21">
        <v>2393227387</v>
      </c>
    </row>
    <row r="99" spans="2:13" x14ac:dyDescent="0.3">
      <c r="B99" s="4">
        <v>43970</v>
      </c>
      <c r="C99" s="24">
        <v>9.4234746240476337</v>
      </c>
      <c r="E99" s="4">
        <v>43971</v>
      </c>
      <c r="F99" s="23">
        <v>1084449934832</v>
      </c>
      <c r="G99" s="19">
        <v>2.2225899841428807</v>
      </c>
      <c r="H99" s="31">
        <v>1058857146528</v>
      </c>
      <c r="I99" s="31">
        <v>25592788304</v>
      </c>
      <c r="J99" s="21">
        <v>62477866165</v>
      </c>
      <c r="K99" s="19">
        <v>9.1004780586005172</v>
      </c>
      <c r="L99" s="23">
        <v>60369883033</v>
      </c>
      <c r="M99" s="21">
        <v>2107983132</v>
      </c>
    </row>
    <row r="100" spans="2:13" x14ac:dyDescent="0.3">
      <c r="B100" s="4">
        <v>43971</v>
      </c>
      <c r="C100" s="24">
        <v>8.7934308526347564</v>
      </c>
      <c r="E100" s="4">
        <v>43972</v>
      </c>
      <c r="F100" s="23">
        <v>1083534419017</v>
      </c>
      <c r="G100" s="19">
        <v>2.2355305355645001</v>
      </c>
      <c r="H100" s="31">
        <v>1058212290796</v>
      </c>
      <c r="I100" s="31">
        <v>25322128221</v>
      </c>
      <c r="J100" s="21">
        <v>55108559831</v>
      </c>
      <c r="K100" s="19">
        <v>8.8037163194345531</v>
      </c>
      <c r="L100" s="23">
        <v>53041224163</v>
      </c>
      <c r="M100" s="21">
        <v>2067335668</v>
      </c>
    </row>
    <row r="101" spans="2:13" x14ac:dyDescent="0.3">
      <c r="B101" s="4">
        <v>43972</v>
      </c>
      <c r="C101" s="24">
        <v>8.4734547990113214</v>
      </c>
      <c r="E101" s="4">
        <v>43973</v>
      </c>
      <c r="F101" s="23">
        <v>1077949478589</v>
      </c>
      <c r="G101" s="19">
        <v>2.2698338323671567</v>
      </c>
      <c r="H101" s="31">
        <v>1053285356999</v>
      </c>
      <c r="I101" s="31">
        <v>24664121590</v>
      </c>
      <c r="J101" s="21">
        <v>49974817076</v>
      </c>
      <c r="K101" s="19">
        <v>8.4342861268875104</v>
      </c>
      <c r="L101" s="23">
        <v>47916429512</v>
      </c>
      <c r="M101" s="21">
        <v>2058387564</v>
      </c>
    </row>
    <row r="102" spans="2:13" x14ac:dyDescent="0.3">
      <c r="B102" s="4">
        <v>43973</v>
      </c>
      <c r="C102" s="24">
        <v>8.0868905646706271</v>
      </c>
      <c r="E102" s="4">
        <v>43976</v>
      </c>
      <c r="F102" s="23">
        <v>1078015730192</v>
      </c>
      <c r="G102" s="19">
        <v>2.2711885754377619</v>
      </c>
      <c r="H102" s="31">
        <v>1053506259468</v>
      </c>
      <c r="I102" s="31">
        <v>24509470724</v>
      </c>
      <c r="J102" s="21">
        <v>39848920771</v>
      </c>
      <c r="K102" s="19">
        <v>8.1257038566554805</v>
      </c>
      <c r="L102" s="23">
        <v>38115176700</v>
      </c>
      <c r="M102" s="21">
        <v>1733744071</v>
      </c>
    </row>
    <row r="103" spans="2:13" x14ac:dyDescent="0.3">
      <c r="B103" s="4">
        <v>43976</v>
      </c>
      <c r="C103" s="24">
        <v>7.7721712988947012</v>
      </c>
      <c r="E103" s="4">
        <v>43977</v>
      </c>
      <c r="F103" s="23">
        <v>1081108621135</v>
      </c>
      <c r="G103" s="19">
        <v>2.2433449869214006</v>
      </c>
      <c r="H103" s="31">
        <v>1055951797807</v>
      </c>
      <c r="I103" s="31">
        <v>25156823328</v>
      </c>
      <c r="J103" s="21">
        <v>45178471508</v>
      </c>
      <c r="K103" s="19">
        <v>8.5284451214348245</v>
      </c>
      <c r="L103" s="23">
        <v>43012556791</v>
      </c>
      <c r="M103" s="21">
        <v>2165914717</v>
      </c>
    </row>
    <row r="104" spans="2:13" x14ac:dyDescent="0.3">
      <c r="B104" s="4">
        <v>43977</v>
      </c>
      <c r="C104" s="24">
        <v>8.1195803638395709</v>
      </c>
      <c r="E104" s="4">
        <v>43978</v>
      </c>
      <c r="F104" s="23">
        <v>1080954987669</v>
      </c>
      <c r="G104" s="19">
        <v>2.2543584823629628</v>
      </c>
      <c r="H104" s="31">
        <v>1055487965079</v>
      </c>
      <c r="I104" s="31">
        <v>25467022590</v>
      </c>
      <c r="J104" s="21">
        <v>48158010567</v>
      </c>
      <c r="K104" s="19">
        <v>8.4048162837191001</v>
      </c>
      <c r="L104" s="23">
        <v>45756894221</v>
      </c>
      <c r="M104" s="21">
        <v>2401116346</v>
      </c>
    </row>
    <row r="105" spans="2:13" x14ac:dyDescent="0.3">
      <c r="B105" s="4">
        <v>43978</v>
      </c>
      <c r="C105" s="24">
        <v>7.9857594845208011</v>
      </c>
      <c r="E105" s="4">
        <v>43979</v>
      </c>
      <c r="F105" s="23">
        <v>1080536813762</v>
      </c>
      <c r="G105" s="19">
        <v>2.2510929329451748</v>
      </c>
      <c r="H105" s="31">
        <v>1054648865960</v>
      </c>
      <c r="I105" s="31">
        <v>25887947802</v>
      </c>
      <c r="J105" s="21">
        <v>49009506293</v>
      </c>
      <c r="K105" s="19">
        <v>8.4779886916914382</v>
      </c>
      <c r="L105" s="23">
        <v>46913264582</v>
      </c>
      <c r="M105" s="21">
        <v>2096241711</v>
      </c>
    </row>
    <row r="106" spans="2:13" x14ac:dyDescent="0.3">
      <c r="B106" s="4">
        <v>43979</v>
      </c>
      <c r="C106" s="24">
        <v>8.1153669298099427</v>
      </c>
      <c r="E106" s="4">
        <v>43980</v>
      </c>
      <c r="F106" s="23">
        <v>1078051720181</v>
      </c>
      <c r="G106" s="19">
        <v>2.236376002363476</v>
      </c>
      <c r="H106" s="31">
        <v>1051912869004</v>
      </c>
      <c r="I106" s="31">
        <v>26138851177</v>
      </c>
      <c r="J106" s="21">
        <v>46429151382</v>
      </c>
      <c r="K106" s="19">
        <v>8.1234479277916893</v>
      </c>
      <c r="L106" s="23">
        <v>44547081107</v>
      </c>
      <c r="M106" s="21">
        <v>1882070275</v>
      </c>
    </row>
    <row r="107" spans="2:13" x14ac:dyDescent="0.3">
      <c r="B107" s="4">
        <v>43980</v>
      </c>
      <c r="C107" s="24">
        <v>7.7941526591873531</v>
      </c>
      <c r="E107" s="4">
        <v>43983</v>
      </c>
      <c r="F107" s="23">
        <v>1089009191494</v>
      </c>
      <c r="G107" s="33">
        <v>2.2023350481301351</v>
      </c>
      <c r="H107" s="31">
        <v>1062010969668</v>
      </c>
      <c r="I107" s="31">
        <v>26998221826</v>
      </c>
      <c r="J107" s="21">
        <v>74573434732</v>
      </c>
      <c r="K107" s="19">
        <v>9.7948580946892161</v>
      </c>
      <c r="L107" s="23">
        <v>72397430034</v>
      </c>
      <c r="M107" s="21">
        <v>2176004698</v>
      </c>
    </row>
    <row r="108" spans="2:13" x14ac:dyDescent="0.3">
      <c r="B108" s="32">
        <v>43983</v>
      </c>
      <c r="C108" s="33">
        <v>9.5090504567966665</v>
      </c>
      <c r="E108" s="4">
        <v>43984</v>
      </c>
      <c r="F108" s="23">
        <v>1093147842756</v>
      </c>
      <c r="G108" s="33">
        <v>2.2049490467906554</v>
      </c>
      <c r="H108" s="31">
        <v>1066143453098</v>
      </c>
      <c r="I108" s="31">
        <v>27004389658</v>
      </c>
      <c r="J108" s="21">
        <v>70895436607</v>
      </c>
      <c r="K108" s="19">
        <v>9.1845532881460166</v>
      </c>
      <c r="L108" s="23">
        <v>68719084731</v>
      </c>
      <c r="M108" s="21">
        <v>2176351876</v>
      </c>
    </row>
    <row r="109" spans="2:13" x14ac:dyDescent="0.3">
      <c r="B109" s="32">
        <v>43984</v>
      </c>
      <c r="C109" s="33">
        <v>8.9026053838022694</v>
      </c>
      <c r="E109" s="4">
        <v>43985</v>
      </c>
      <c r="F109" s="23">
        <v>1095857637059</v>
      </c>
      <c r="G109" s="33">
        <v>2.2086227592088488</v>
      </c>
      <c r="H109" s="31">
        <v>1068908763320</v>
      </c>
      <c r="I109" s="31">
        <v>26948873739</v>
      </c>
      <c r="J109" s="21">
        <v>72463041923</v>
      </c>
      <c r="K109" s="19">
        <v>9.3218590143523485</v>
      </c>
      <c r="L109" s="23">
        <v>70365341550</v>
      </c>
      <c r="M109" s="21">
        <v>2097700373</v>
      </c>
    </row>
    <row r="110" spans="2:13" x14ac:dyDescent="0.3">
      <c r="B110" s="32">
        <v>43985</v>
      </c>
      <c r="C110" s="33">
        <v>9.0520046636029132</v>
      </c>
      <c r="E110" s="4">
        <v>43986</v>
      </c>
      <c r="F110" s="23">
        <v>1097818981646</v>
      </c>
      <c r="G110" s="33">
        <v>2.2141542755800017</v>
      </c>
      <c r="H110" s="31">
        <v>1070844014485</v>
      </c>
      <c r="I110" s="31">
        <v>26974967161</v>
      </c>
      <c r="J110" s="21">
        <v>59203035217</v>
      </c>
      <c r="K110" s="19">
        <v>9.1019658852108627</v>
      </c>
      <c r="L110" s="23">
        <v>57344727099</v>
      </c>
      <c r="M110" s="21">
        <v>1858308118</v>
      </c>
    </row>
    <row r="111" spans="2:13" x14ac:dyDescent="0.3">
      <c r="B111" s="32">
        <v>43986</v>
      </c>
      <c r="C111" s="33">
        <v>8.8162667308980858</v>
      </c>
      <c r="E111" s="4">
        <v>43987</v>
      </c>
      <c r="F111" s="23">
        <v>1096667585937</v>
      </c>
      <c r="G111" s="33">
        <v>2.2033439455853809</v>
      </c>
      <c r="H111" s="31">
        <v>1069821592509</v>
      </c>
      <c r="I111" s="31">
        <v>26845993428</v>
      </c>
      <c r="J111" s="21">
        <v>56131273831</v>
      </c>
      <c r="K111" s="19">
        <v>8.8907948420680096</v>
      </c>
      <c r="L111" s="23">
        <v>54231386316</v>
      </c>
      <c r="M111" s="21">
        <v>1899887515</v>
      </c>
    </row>
    <row r="112" spans="2:13" x14ac:dyDescent="0.3">
      <c r="B112" s="32">
        <v>43987</v>
      </c>
      <c r="C112" s="33">
        <v>8.5898661624565626</v>
      </c>
      <c r="E112" s="4">
        <v>43990</v>
      </c>
      <c r="F112" s="23">
        <v>1101420985409</v>
      </c>
      <c r="G112" s="19">
        <v>2.2068833297488264</v>
      </c>
      <c r="H112" s="31">
        <v>1074335319049</v>
      </c>
      <c r="I112" s="31">
        <v>27085666360</v>
      </c>
      <c r="J112" s="21">
        <v>63485001352</v>
      </c>
      <c r="K112" s="19">
        <v>9.2811849505352413</v>
      </c>
      <c r="L112" s="23">
        <v>61365791784</v>
      </c>
      <c r="M112" s="21">
        <v>2119209568</v>
      </c>
    </row>
    <row r="113" spans="2:13" x14ac:dyDescent="0.3">
      <c r="B113" s="34">
        <v>43990</v>
      </c>
      <c r="C113" s="35">
        <v>8.9713672687099546</v>
      </c>
      <c r="E113" s="4">
        <v>43991</v>
      </c>
      <c r="F113" s="23">
        <v>1103335836186</v>
      </c>
      <c r="G113" s="19">
        <v>2.1970230692255281</v>
      </c>
      <c r="H113" s="31">
        <v>1076048612994</v>
      </c>
      <c r="I113" s="31">
        <v>27287223192</v>
      </c>
      <c r="J113" s="21">
        <v>56881647806</v>
      </c>
      <c r="K113" s="19">
        <v>9.172338518958643</v>
      </c>
      <c r="L113" s="23">
        <v>54943336587</v>
      </c>
      <c r="M113" s="21">
        <v>1938311219</v>
      </c>
    </row>
    <row r="114" spans="2:13" x14ac:dyDescent="0.3">
      <c r="B114" s="34">
        <v>43991</v>
      </c>
      <c r="C114" s="35">
        <v>8.8597799461760864</v>
      </c>
      <c r="E114" s="4">
        <v>43992</v>
      </c>
      <c r="F114" s="23">
        <v>1105522298812</v>
      </c>
      <c r="G114" s="19">
        <v>2.2031322927290415</v>
      </c>
      <c r="H114" s="31">
        <v>1078090781854</v>
      </c>
      <c r="I114" s="31">
        <v>27431516958</v>
      </c>
      <c r="J114" s="21">
        <v>55195226419</v>
      </c>
      <c r="K114" s="19">
        <v>8.9755458553280203</v>
      </c>
      <c r="L114" s="23">
        <v>53376826223</v>
      </c>
      <c r="M114" s="21">
        <v>1818400196</v>
      </c>
    </row>
    <row r="115" spans="2:13" x14ac:dyDescent="0.3">
      <c r="B115" s="34">
        <v>43992</v>
      </c>
      <c r="C115" s="35">
        <v>8.6798475603588514</v>
      </c>
      <c r="E115" s="4">
        <v>43993</v>
      </c>
      <c r="F115" s="23">
        <v>1108542150091</v>
      </c>
      <c r="G115" s="19">
        <v>2.2256353786564218</v>
      </c>
      <c r="H115" s="31">
        <v>1080990160186</v>
      </c>
      <c r="I115" s="31">
        <v>27551989905</v>
      </c>
      <c r="J115" s="21">
        <v>67572444231</v>
      </c>
      <c r="K115" s="19">
        <v>9.3751574711032362</v>
      </c>
      <c r="L115" s="23">
        <v>65566298695</v>
      </c>
      <c r="M115" s="21">
        <v>2006145536</v>
      </c>
    </row>
    <row r="116" spans="2:13" x14ac:dyDescent="0.3">
      <c r="B116" s="34">
        <v>43993</v>
      </c>
      <c r="C116" s="35">
        <v>9.0968201914030242</v>
      </c>
      <c r="E116" s="4">
        <v>43994</v>
      </c>
      <c r="F116" s="23">
        <v>1107948719772</v>
      </c>
      <c r="G116" s="19">
        <v>2.222202893242919</v>
      </c>
      <c r="H116" s="31">
        <v>1080757542557</v>
      </c>
      <c r="I116" s="31">
        <v>27191177215</v>
      </c>
      <c r="J116" s="21">
        <v>60661676198</v>
      </c>
      <c r="K116" s="19">
        <v>8.6775797864384128</v>
      </c>
      <c r="L116" s="23">
        <v>58802886585</v>
      </c>
      <c r="M116" s="21">
        <v>1858789613</v>
      </c>
    </row>
    <row r="117" spans="2:13" x14ac:dyDescent="0.3">
      <c r="B117" s="34">
        <v>43994</v>
      </c>
      <c r="C117" s="35">
        <v>8.4116821689646919</v>
      </c>
      <c r="E117" s="4">
        <v>43997</v>
      </c>
      <c r="F117" s="23">
        <v>1112371096965</v>
      </c>
      <c r="G117" s="19">
        <v>2.2482437093650405</v>
      </c>
      <c r="H117" s="31">
        <v>1085056932757</v>
      </c>
      <c r="I117" s="31">
        <v>27314164208</v>
      </c>
      <c r="J117" s="21">
        <v>70368437801</v>
      </c>
      <c r="K117" s="19">
        <v>9.2675789227085144</v>
      </c>
      <c r="L117" s="23">
        <v>68177014964</v>
      </c>
      <c r="M117" s="21">
        <v>2191422837</v>
      </c>
    </row>
    <row r="118" spans="2:13" x14ac:dyDescent="0.3">
      <c r="B118" s="4">
        <v>43997</v>
      </c>
      <c r="C118" s="24">
        <v>8.9789668015703832</v>
      </c>
      <c r="E118" s="4">
        <v>43998</v>
      </c>
      <c r="F118" s="23">
        <v>1120285423267</v>
      </c>
      <c r="G118" s="19">
        <v>2.2287625718916217</v>
      </c>
      <c r="H118" s="31">
        <v>1092207962638</v>
      </c>
      <c r="I118" s="31">
        <v>28077460629</v>
      </c>
      <c r="J118" s="21">
        <v>70165226794</v>
      </c>
      <c r="K118" s="19">
        <v>9.8511662235136086</v>
      </c>
      <c r="L118" s="23">
        <v>67854964399</v>
      </c>
      <c r="M118" s="21">
        <v>2310262395</v>
      </c>
    </row>
    <row r="119" spans="2:13" x14ac:dyDescent="0.3">
      <c r="B119" s="4">
        <v>43998</v>
      </c>
      <c r="C119" s="24">
        <v>9.5268064243228245</v>
      </c>
      <c r="E119" s="4">
        <v>43999</v>
      </c>
      <c r="F119" s="23">
        <v>1124727846045</v>
      </c>
      <c r="G119" s="19">
        <v>2.2324671039612607</v>
      </c>
      <c r="H119" s="31">
        <v>1095762129851</v>
      </c>
      <c r="I119" s="31">
        <v>28965716194</v>
      </c>
      <c r="J119" s="21">
        <v>70400159284</v>
      </c>
      <c r="K119" s="19">
        <v>9.5306342380430689</v>
      </c>
      <c r="L119" s="23">
        <v>67827898862</v>
      </c>
      <c r="M119" s="21">
        <v>2572260422</v>
      </c>
    </row>
    <row r="120" spans="2:13" x14ac:dyDescent="0.3">
      <c r="B120" s="4">
        <v>43999</v>
      </c>
      <c r="C120" s="24">
        <v>9.1824067127589331</v>
      </c>
      <c r="E120" s="4">
        <v>44000</v>
      </c>
      <c r="F120" s="23">
        <v>1130492371996</v>
      </c>
      <c r="G120" s="19">
        <v>2.2377832873498256</v>
      </c>
      <c r="H120" s="31">
        <v>1100726027947</v>
      </c>
      <c r="I120" s="31">
        <v>29766344049</v>
      </c>
      <c r="J120" s="21">
        <v>77000810971</v>
      </c>
      <c r="K120" s="19">
        <v>10.153759040852693</v>
      </c>
      <c r="L120" s="23">
        <v>74003885515</v>
      </c>
      <c r="M120" s="21">
        <v>2996925456</v>
      </c>
    </row>
    <row r="121" spans="2:13" x14ac:dyDescent="0.3">
      <c r="B121" s="4">
        <v>44000</v>
      </c>
      <c r="C121" s="24">
        <v>9.7585676323481501</v>
      </c>
      <c r="E121" s="4">
        <v>44001</v>
      </c>
      <c r="F121" s="23">
        <v>1130509406207</v>
      </c>
      <c r="G121" s="19">
        <v>2.215809688888672</v>
      </c>
      <c r="H121" s="31">
        <v>1100701524980</v>
      </c>
      <c r="I121" s="31">
        <v>29807881227</v>
      </c>
      <c r="J121" s="21">
        <v>78133383462</v>
      </c>
      <c r="K121" s="19">
        <v>10.035083734265042</v>
      </c>
      <c r="L121" s="23">
        <v>75288104000</v>
      </c>
      <c r="M121" s="21">
        <v>2845279462</v>
      </c>
    </row>
    <row r="122" spans="2:13" x14ac:dyDescent="0.3">
      <c r="B122" s="4">
        <v>44001</v>
      </c>
      <c r="C122" s="24">
        <v>9.6696494425011235</v>
      </c>
      <c r="E122" s="4">
        <v>44004</v>
      </c>
      <c r="F122" s="23">
        <v>1141886718492</v>
      </c>
      <c r="G122" s="19">
        <v>2.2353692657448683</v>
      </c>
      <c r="H122" s="31">
        <v>1111451811628</v>
      </c>
      <c r="I122" s="31">
        <v>30434906864</v>
      </c>
      <c r="J122" s="21">
        <v>89042258169</v>
      </c>
      <c r="K122" s="19">
        <v>10.748521489172326</v>
      </c>
      <c r="L122" s="23">
        <v>86250425694</v>
      </c>
      <c r="M122" s="21">
        <v>2791832475</v>
      </c>
    </row>
    <row r="123" spans="2:13" x14ac:dyDescent="0.3">
      <c r="B123" s="4">
        <v>44004</v>
      </c>
      <c r="C123" s="24">
        <v>10.411512163838818</v>
      </c>
      <c r="E123" s="4">
        <v>44005</v>
      </c>
      <c r="F123" s="23">
        <v>1146890600025</v>
      </c>
      <c r="G123" s="19">
        <v>2.23780670890942</v>
      </c>
      <c r="H123" s="31">
        <v>1115591141738</v>
      </c>
      <c r="I123" s="31">
        <v>31299458287</v>
      </c>
      <c r="J123" s="21">
        <v>78522109205</v>
      </c>
      <c r="K123" s="19">
        <v>10.356526283740187</v>
      </c>
      <c r="L123" s="23">
        <v>75435867799</v>
      </c>
      <c r="M123" s="21">
        <v>3086241406</v>
      </c>
    </row>
    <row r="124" spans="2:13" x14ac:dyDescent="0.3">
      <c r="B124" s="4">
        <v>44005</v>
      </c>
      <c r="C124" s="24">
        <v>9.9494722633780981</v>
      </c>
      <c r="E124" s="4">
        <v>44006</v>
      </c>
      <c r="F124" s="23">
        <v>1141624575700</v>
      </c>
      <c r="G124" s="19">
        <v>2.2232866306983121</v>
      </c>
      <c r="H124" s="31">
        <v>1110521528459</v>
      </c>
      <c r="I124" s="31">
        <v>31103047241</v>
      </c>
      <c r="J124" s="21">
        <v>71400546760</v>
      </c>
      <c r="K124" s="19">
        <v>9.7998606338916687</v>
      </c>
      <c r="L124" s="23">
        <v>68707472565</v>
      </c>
      <c r="M124" s="21">
        <v>2693074195</v>
      </c>
    </row>
    <row r="125" spans="2:13" x14ac:dyDescent="0.3">
      <c r="B125" s="4">
        <v>44006</v>
      </c>
      <c r="C125" s="24">
        <v>9.4302310864255805</v>
      </c>
      <c r="E125" s="4">
        <v>44011</v>
      </c>
      <c r="F125" s="23">
        <v>1150248326868</v>
      </c>
      <c r="G125" s="19">
        <v>2.2496340100863108</v>
      </c>
      <c r="H125" s="31">
        <v>1119209075978</v>
      </c>
      <c r="I125" s="31">
        <v>31039250890</v>
      </c>
      <c r="J125" s="21">
        <v>72986893593</v>
      </c>
      <c r="K125" s="19">
        <v>10.191356954142133</v>
      </c>
      <c r="L125" s="23">
        <v>70750085702</v>
      </c>
      <c r="M125" s="21">
        <v>2236807891</v>
      </c>
    </row>
    <row r="126" spans="2:13" x14ac:dyDescent="0.3">
      <c r="B126" s="4">
        <v>44011</v>
      </c>
      <c r="C126" s="24">
        <v>9.8790254308669834</v>
      </c>
      <c r="E126" s="4">
        <v>44012</v>
      </c>
      <c r="F126" s="23">
        <v>1163768006533</v>
      </c>
      <c r="G126" s="19">
        <v>2.2486001592473528</v>
      </c>
      <c r="H126" s="31">
        <v>1131374169320</v>
      </c>
      <c r="I126" s="31">
        <v>32393837213</v>
      </c>
      <c r="J126" s="21">
        <v>89694356080</v>
      </c>
      <c r="K126" s="19">
        <v>12.015280209713284</v>
      </c>
      <c r="L126" s="23">
        <v>86343379274</v>
      </c>
      <c r="M126" s="21">
        <v>3350976806</v>
      </c>
    </row>
    <row r="127" spans="2:13" x14ac:dyDescent="0.3">
      <c r="B127" s="4">
        <v>44012</v>
      </c>
      <c r="C127" s="24">
        <v>11.566389922074352</v>
      </c>
      <c r="E127" s="4">
        <v>44013</v>
      </c>
      <c r="F127" s="23">
        <v>1176277335564</v>
      </c>
      <c r="G127" s="19">
        <v>2.2447799115274911</v>
      </c>
      <c r="H127" s="31">
        <v>1142161211516</v>
      </c>
      <c r="I127" s="31">
        <v>34116124048</v>
      </c>
      <c r="J127" s="21">
        <v>107593814273</v>
      </c>
      <c r="K127" s="19">
        <v>11.861614497785824</v>
      </c>
      <c r="L127" s="23">
        <v>103688941740</v>
      </c>
      <c r="M127" s="21">
        <v>3904872533</v>
      </c>
    </row>
    <row r="128" spans="2:13" x14ac:dyDescent="0.3">
      <c r="B128" s="4">
        <v>44013</v>
      </c>
      <c r="C128" s="24">
        <v>11.431124204617905</v>
      </c>
      <c r="E128" s="4">
        <v>44014</v>
      </c>
      <c r="F128" s="23">
        <v>1190315272428</v>
      </c>
      <c r="G128" s="19">
        <v>2.2305497846863975</v>
      </c>
      <c r="H128" s="31">
        <v>1155010938190</v>
      </c>
      <c r="I128" s="31">
        <v>35304334238</v>
      </c>
      <c r="J128" s="21">
        <v>121204586001</v>
      </c>
      <c r="K128" s="19">
        <v>11.22536037168398</v>
      </c>
      <c r="L128" s="23">
        <v>117451460679</v>
      </c>
      <c r="M128" s="21">
        <v>3753125322</v>
      </c>
    </row>
    <row r="129" spans="2:13" x14ac:dyDescent="0.3">
      <c r="B129" s="4">
        <v>44014</v>
      </c>
      <c r="C129" s="24">
        <v>10.877764743089573</v>
      </c>
      <c r="E129" s="4">
        <v>44015</v>
      </c>
      <c r="F129" s="23">
        <v>1202867591573</v>
      </c>
      <c r="G129" s="19">
        <v>2.2161338354300963</v>
      </c>
      <c r="H129" s="31">
        <v>1166765020349</v>
      </c>
      <c r="I129" s="31">
        <v>36102571224</v>
      </c>
      <c r="J129" s="21">
        <v>135605884040</v>
      </c>
      <c r="K129" s="19">
        <v>11.577846443179356</v>
      </c>
      <c r="L129" s="23">
        <v>131804167597</v>
      </c>
      <c r="M129" s="21">
        <v>3801716443</v>
      </c>
    </row>
    <row r="130" spans="2:13" x14ac:dyDescent="0.3">
      <c r="B130" s="4">
        <v>44015</v>
      </c>
      <c r="C130" s="24">
        <v>11.253261049933583</v>
      </c>
      <c r="E130" s="4">
        <v>44018</v>
      </c>
      <c r="F130" s="23">
        <v>1241829467662</v>
      </c>
      <c r="G130" s="19">
        <v>2.1764654420858847</v>
      </c>
      <c r="H130" s="31">
        <v>1203590117790</v>
      </c>
      <c r="I130" s="31">
        <v>38239349872</v>
      </c>
      <c r="J130" s="21">
        <v>192692073405</v>
      </c>
      <c r="K130" s="19">
        <v>12.309346484853844</v>
      </c>
      <c r="L130" s="23">
        <v>188140120676</v>
      </c>
      <c r="M130" s="21">
        <v>4551952729</v>
      </c>
    </row>
    <row r="131" spans="2:13" x14ac:dyDescent="0.3">
      <c r="B131" s="4">
        <v>44018</v>
      </c>
      <c r="C131" s="24">
        <v>12.018563567145705</v>
      </c>
      <c r="E131" s="4">
        <v>44019</v>
      </c>
      <c r="F131" s="23">
        <v>1268546289730</v>
      </c>
      <c r="G131" s="19">
        <v>2.2029940916865858</v>
      </c>
      <c r="H131" s="31">
        <v>1229993225723</v>
      </c>
      <c r="I131" s="31">
        <v>38553064007</v>
      </c>
      <c r="J131" s="21">
        <v>208810030553</v>
      </c>
      <c r="K131" s="19">
        <v>12.005732706419019</v>
      </c>
      <c r="L131" s="23">
        <v>203584969596</v>
      </c>
      <c r="M131" s="21">
        <v>5225060957</v>
      </c>
    </row>
    <row r="132" spans="2:13" x14ac:dyDescent="0.3">
      <c r="B132" s="4">
        <v>44019</v>
      </c>
      <c r="C132" s="24">
        <v>11.70531282209471</v>
      </c>
      <c r="E132" s="4">
        <v>44020</v>
      </c>
      <c r="F132" s="23">
        <v>1301341206765</v>
      </c>
      <c r="G132" s="19">
        <v>2.2213167796957074</v>
      </c>
      <c r="H132" s="31">
        <v>1260698528942</v>
      </c>
      <c r="I132" s="31">
        <v>40642677823</v>
      </c>
      <c r="J132" s="21">
        <v>192380920371</v>
      </c>
      <c r="K132" s="19">
        <v>12.475256771650892</v>
      </c>
      <c r="L132" s="23">
        <v>186774747999</v>
      </c>
      <c r="M132" s="21">
        <v>5606172372</v>
      </c>
    </row>
    <row r="133" spans="2:13" x14ac:dyDescent="0.3">
      <c r="B133" s="4">
        <v>44020</v>
      </c>
      <c r="C133" s="24">
        <v>12.111715315918374</v>
      </c>
      <c r="E133" s="4">
        <v>44021</v>
      </c>
      <c r="F133" s="23">
        <v>1326527456086</v>
      </c>
      <c r="G133" s="19">
        <v>2.2230729938826022</v>
      </c>
      <c r="H133" s="31">
        <v>1284675887735</v>
      </c>
      <c r="I133" s="31">
        <v>41851568351</v>
      </c>
      <c r="J133" s="21">
        <v>215661251810</v>
      </c>
      <c r="K133" s="19">
        <v>12.497324747175355</v>
      </c>
      <c r="L133" s="23">
        <v>210142167604</v>
      </c>
      <c r="M133" s="21">
        <v>5519084206</v>
      </c>
    </row>
    <row r="134" spans="2:13" x14ac:dyDescent="0.3">
      <c r="B134" s="4">
        <v>44021</v>
      </c>
      <c r="C134" s="24">
        <v>12.17750008210221</v>
      </c>
      <c r="E134" s="4">
        <v>44022</v>
      </c>
      <c r="F134" s="23">
        <v>1342288934752</v>
      </c>
      <c r="G134" s="19">
        <v>2.2798154382974603</v>
      </c>
      <c r="H134" s="31">
        <v>1301382194615</v>
      </c>
      <c r="I134" s="31">
        <v>40906740137</v>
      </c>
      <c r="J134" s="21">
        <v>193916275302</v>
      </c>
      <c r="K134" s="19">
        <v>12.029622890513238</v>
      </c>
      <c r="L134" s="23">
        <v>188833244510</v>
      </c>
      <c r="M134" s="21">
        <v>5083030792</v>
      </c>
    </row>
    <row r="135" spans="2:13" x14ac:dyDescent="0.3">
      <c r="B135" s="4">
        <v>44022</v>
      </c>
      <c r="C135" s="24">
        <v>11.714296374090631</v>
      </c>
      <c r="E135" s="4">
        <v>44025</v>
      </c>
      <c r="F135" s="23">
        <v>1374777949810</v>
      </c>
      <c r="G135" s="19">
        <v>2.2763272717440755</v>
      </c>
      <c r="H135" s="31">
        <v>1331916611526</v>
      </c>
      <c r="I135" s="31">
        <v>42861338284</v>
      </c>
      <c r="J135" s="21">
        <v>209637371014</v>
      </c>
      <c r="K135" s="19">
        <v>12.538670682586751</v>
      </c>
      <c r="L135" s="23">
        <v>203457767292</v>
      </c>
      <c r="M135" s="21">
        <v>6179603722</v>
      </c>
    </row>
    <row r="136" spans="2:13" x14ac:dyDescent="0.3">
      <c r="B136" s="4">
        <v>44025</v>
      </c>
      <c r="C136" s="24">
        <v>12.16906093388469</v>
      </c>
      <c r="E136" s="4">
        <v>44026</v>
      </c>
      <c r="F136" s="23">
        <v>1387784595595</v>
      </c>
      <c r="G136" s="19">
        <v>2.3180563351828027</v>
      </c>
      <c r="H136" s="31">
        <v>1345017517388</v>
      </c>
      <c r="I136" s="31">
        <v>42767078207</v>
      </c>
      <c r="J136" s="21">
        <v>198985513824</v>
      </c>
      <c r="K136" s="19">
        <v>11.677195938285539</v>
      </c>
      <c r="L136" s="23">
        <v>192457324640</v>
      </c>
      <c r="M136" s="21">
        <v>6528189184</v>
      </c>
    </row>
    <row r="137" spans="2:13" x14ac:dyDescent="0.3">
      <c r="B137" s="4">
        <v>44026</v>
      </c>
      <c r="C137" s="24">
        <v>11.294097979249237</v>
      </c>
      <c r="E137" s="4">
        <v>44027</v>
      </c>
      <c r="F137" s="23">
        <v>1388858031893</v>
      </c>
      <c r="G137" s="19">
        <v>2.3617392278596347</v>
      </c>
      <c r="H137" s="31">
        <v>1346492008064</v>
      </c>
      <c r="I137" s="31">
        <v>42366023829</v>
      </c>
      <c r="J137" s="21">
        <v>173724872139</v>
      </c>
      <c r="K137" s="19">
        <v>11.057846237008942</v>
      </c>
      <c r="L137" s="23">
        <v>167412485806</v>
      </c>
      <c r="M137" s="21">
        <v>6312386333</v>
      </c>
    </row>
    <row r="138" spans="2:13" x14ac:dyDescent="0.3">
      <c r="B138" s="4">
        <v>44027</v>
      </c>
      <c r="C138" s="24">
        <v>10.656053467790143</v>
      </c>
      <c r="E138" s="4">
        <v>44028</v>
      </c>
      <c r="F138" s="23">
        <v>1382585444706</v>
      </c>
      <c r="G138" s="19">
        <v>2.4626546094651482</v>
      </c>
      <c r="H138" s="31">
        <v>1341939765243</v>
      </c>
      <c r="I138" s="31">
        <v>40645679463</v>
      </c>
      <c r="J138" s="21">
        <v>155031670620</v>
      </c>
      <c r="K138" s="19">
        <v>10.296295125335503</v>
      </c>
      <c r="L138" s="23">
        <v>148118003411</v>
      </c>
      <c r="M138" s="21">
        <v>6913667209</v>
      </c>
    </row>
    <row r="139" spans="2:13" x14ac:dyDescent="0.3">
      <c r="B139" s="4">
        <v>44028</v>
      </c>
      <c r="C139" s="24">
        <v>9.8371298612476146</v>
      </c>
      <c r="E139" s="4">
        <v>44029</v>
      </c>
      <c r="F139" s="23">
        <v>1376121071849</v>
      </c>
      <c r="G139" s="19">
        <v>2.4417801404963342</v>
      </c>
      <c r="H139" s="31">
        <v>1334839173214</v>
      </c>
      <c r="I139" s="31">
        <v>41281898635</v>
      </c>
      <c r="J139" s="21">
        <v>107661015632</v>
      </c>
      <c r="K139" s="19">
        <v>9.6488276085504729</v>
      </c>
      <c r="L139" s="23">
        <v>101779265045</v>
      </c>
      <c r="M139" s="21">
        <v>5881750587</v>
      </c>
    </row>
    <row r="140" spans="2:13" x14ac:dyDescent="0.3">
      <c r="B140" s="4">
        <v>44029</v>
      </c>
      <c r="C140" s="24">
        <v>9.1216916056314634</v>
      </c>
      <c r="E140" s="4">
        <v>44032</v>
      </c>
      <c r="F140" s="23">
        <v>1388822673098</v>
      </c>
      <c r="G140" s="19">
        <v>2.3931641812803877</v>
      </c>
      <c r="H140" s="31">
        <v>1344569686415</v>
      </c>
      <c r="I140" s="31">
        <v>44252986683</v>
      </c>
      <c r="J140" s="21">
        <v>129313090586</v>
      </c>
      <c r="K140" s="19">
        <v>10.842288661053109</v>
      </c>
      <c r="L140" s="23">
        <v>123294402781</v>
      </c>
      <c r="M140" s="21">
        <v>6018687805</v>
      </c>
    </row>
    <row r="141" spans="2:13" x14ac:dyDescent="0.3">
      <c r="B141" s="4">
        <v>44032</v>
      </c>
      <c r="C141" s="24">
        <v>10.337650265614164</v>
      </c>
      <c r="E141" s="4">
        <v>44033</v>
      </c>
      <c r="F141" s="23">
        <v>1390438260187</v>
      </c>
      <c r="G141" s="19">
        <v>2.3851156665009778</v>
      </c>
      <c r="H141" s="31">
        <v>1344929215645</v>
      </c>
      <c r="I141" s="31">
        <v>45509044542</v>
      </c>
      <c r="J141" s="21">
        <v>115252288781</v>
      </c>
      <c r="K141" s="19">
        <v>10.451414591417953</v>
      </c>
      <c r="L141" s="23">
        <v>110083431946</v>
      </c>
      <c r="M141" s="21">
        <v>5168856835</v>
      </c>
    </row>
    <row r="142" spans="2:13" x14ac:dyDescent="0.3">
      <c r="B142" s="4">
        <v>44033</v>
      </c>
      <c r="C142" s="24">
        <v>9.9826875377720103</v>
      </c>
      <c r="E142" s="4">
        <v>44034</v>
      </c>
      <c r="F142" s="23">
        <v>1397657711647</v>
      </c>
      <c r="G142" s="19">
        <v>2.3749974009167438</v>
      </c>
      <c r="H142" s="31">
        <v>1350396118862</v>
      </c>
      <c r="I142" s="31">
        <v>47261592785</v>
      </c>
      <c r="J142" s="21">
        <v>130432009870</v>
      </c>
      <c r="K142" s="19">
        <v>10.886586274438363</v>
      </c>
      <c r="L142" s="23">
        <v>124395625105</v>
      </c>
      <c r="M142" s="21">
        <v>6036384765</v>
      </c>
    </row>
    <row r="143" spans="2:13" x14ac:dyDescent="0.3">
      <c r="B143" s="4">
        <v>44034</v>
      </c>
      <c r="C143" s="24">
        <v>10.382755783783685</v>
      </c>
      <c r="E143" s="4">
        <v>44035</v>
      </c>
      <c r="F143" s="23">
        <v>1406344955169</v>
      </c>
      <c r="G143" s="19">
        <v>2.3901103213278816</v>
      </c>
      <c r="H143" s="31">
        <v>1358102990985</v>
      </c>
      <c r="I143" s="31">
        <v>48241964184</v>
      </c>
      <c r="J143" s="21">
        <v>135815200846</v>
      </c>
      <c r="K143" s="19">
        <v>10.901928791742515</v>
      </c>
      <c r="L143" s="23">
        <v>129908129029</v>
      </c>
      <c r="M143" s="21">
        <v>5907071817</v>
      </c>
    </row>
    <row r="144" spans="2:13" x14ac:dyDescent="0.3">
      <c r="B144" s="4">
        <v>44035</v>
      </c>
      <c r="C144" s="24">
        <v>10.427766283308248</v>
      </c>
      <c r="E144" s="4">
        <v>44036</v>
      </c>
      <c r="F144" s="23">
        <v>1387626567172</v>
      </c>
      <c r="G144" s="19">
        <v>2.4632335647519712</v>
      </c>
      <c r="H144" s="31">
        <v>1341177646604</v>
      </c>
      <c r="I144" s="31">
        <v>46448920568</v>
      </c>
      <c r="J144" s="21">
        <v>131783900654</v>
      </c>
      <c r="K144" s="19">
        <v>9.8746533930131282</v>
      </c>
      <c r="L144" s="23">
        <v>125798640145</v>
      </c>
      <c r="M144" s="21">
        <v>5985260509</v>
      </c>
    </row>
    <row r="145" spans="2:13" x14ac:dyDescent="0.3">
      <c r="B145" s="4">
        <v>44036</v>
      </c>
      <c r="C145" s="24">
        <v>9.4261739300441398</v>
      </c>
      <c r="E145" s="4">
        <v>44039</v>
      </c>
      <c r="F145" s="23">
        <v>1392030721060</v>
      </c>
      <c r="G145" s="19">
        <v>2.4629806178938662</v>
      </c>
      <c r="H145" s="31">
        <v>1344991275638</v>
      </c>
      <c r="I145" s="31">
        <v>47039445422</v>
      </c>
      <c r="J145" s="21">
        <v>91911856287</v>
      </c>
      <c r="K145" s="19">
        <v>9.9150345283969141</v>
      </c>
      <c r="L145" s="23">
        <v>87366697870</v>
      </c>
      <c r="M145" s="21">
        <v>4545158417</v>
      </c>
    </row>
    <row r="146" spans="2:13" x14ac:dyDescent="0.3">
      <c r="B146" s="4">
        <v>44039</v>
      </c>
      <c r="C146" s="24">
        <v>9.4247234362036547</v>
      </c>
      <c r="E146" s="4">
        <v>44040</v>
      </c>
      <c r="F146" s="23">
        <v>1394529347868</v>
      </c>
      <c r="G146" s="19">
        <v>2.4425942735077077</v>
      </c>
      <c r="H146" s="31">
        <v>1345910711328</v>
      </c>
      <c r="I146" s="31">
        <v>48618636540</v>
      </c>
      <c r="J146" s="21">
        <v>88666802783</v>
      </c>
      <c r="K146" s="19">
        <v>9.8760002981445378</v>
      </c>
      <c r="L146" s="23">
        <v>84028037230</v>
      </c>
      <c r="M146" s="21">
        <v>4638765553</v>
      </c>
    </row>
    <row r="147" spans="2:13" x14ac:dyDescent="0.3">
      <c r="B147" s="4">
        <v>44040</v>
      </c>
      <c r="C147" s="24">
        <v>9.3593193245836623</v>
      </c>
      <c r="E147" s="4">
        <v>44041</v>
      </c>
      <c r="F147" s="23">
        <v>1409374898200</v>
      </c>
      <c r="G147" s="19">
        <v>2.4115187913300518</v>
      </c>
      <c r="H147" s="31">
        <v>1358366377100</v>
      </c>
      <c r="I147" s="31">
        <v>51008521100</v>
      </c>
      <c r="J147" s="21">
        <v>115555405187</v>
      </c>
      <c r="K147" s="19">
        <v>11.041923256857569</v>
      </c>
      <c r="L147" s="23">
        <v>109766036616</v>
      </c>
      <c r="M147" s="21">
        <v>5789368571</v>
      </c>
    </row>
    <row r="148" spans="2:13" x14ac:dyDescent="0.3">
      <c r="B148" s="4">
        <v>44041</v>
      </c>
      <c r="C148" s="24">
        <v>10.48871881468374</v>
      </c>
      <c r="E148" s="4">
        <v>44042</v>
      </c>
      <c r="F148" s="23">
        <v>1416987438499</v>
      </c>
      <c r="G148" s="19">
        <v>2.4309084793729916</v>
      </c>
      <c r="H148" s="31">
        <v>1365311054502</v>
      </c>
      <c r="I148" s="31">
        <v>51676383997</v>
      </c>
      <c r="J148" s="21">
        <v>116315713412</v>
      </c>
      <c r="K148" s="19">
        <v>10.636672942392099</v>
      </c>
      <c r="L148" s="23">
        <v>111475658117</v>
      </c>
      <c r="M148" s="21">
        <v>4840055295</v>
      </c>
    </row>
    <row r="149" spans="2:13" x14ac:dyDescent="0.3">
      <c r="B149" s="4">
        <v>44042</v>
      </c>
      <c r="C149" s="24">
        <v>10.194066490642506</v>
      </c>
      <c r="E149" s="4">
        <v>44043</v>
      </c>
      <c r="F149" s="23">
        <v>1424862401395</v>
      </c>
      <c r="G149" s="19">
        <v>2.4177712597674592</v>
      </c>
      <c r="H149" s="31">
        <v>1372011073247</v>
      </c>
      <c r="I149" s="31">
        <v>52851328148</v>
      </c>
      <c r="J149" s="21">
        <v>124003658932</v>
      </c>
      <c r="K149" s="19">
        <v>10.822772124601979</v>
      </c>
      <c r="L149" s="23">
        <v>118140759075</v>
      </c>
      <c r="M149" s="21">
        <v>5862899857</v>
      </c>
    </row>
    <row r="150" spans="2:13" x14ac:dyDescent="0.3">
      <c r="B150" s="4">
        <v>44043</v>
      </c>
      <c r="C150" s="24">
        <v>10.311070859589563</v>
      </c>
      <c r="E150" s="4">
        <v>44046</v>
      </c>
      <c r="F150" s="23">
        <v>1449418738237</v>
      </c>
      <c r="G150" s="19">
        <v>2.4078018242434678</v>
      </c>
      <c r="H150" s="31">
        <v>1394112744304</v>
      </c>
      <c r="I150" s="31">
        <v>55305993933</v>
      </c>
      <c r="J150" s="21">
        <v>154572620166</v>
      </c>
      <c r="K150" s="19">
        <v>11.590109979569158</v>
      </c>
      <c r="L150" s="23">
        <v>148381919079</v>
      </c>
      <c r="M150" s="21">
        <v>6190701087</v>
      </c>
    </row>
    <row r="151" spans="2:13" x14ac:dyDescent="0.3">
      <c r="B151" s="4">
        <v>44046</v>
      </c>
      <c r="C151" s="24">
        <v>11.125921002427457</v>
      </c>
      <c r="E151" s="4">
        <v>44047</v>
      </c>
      <c r="F151" s="23">
        <v>1453634277829</v>
      </c>
      <c r="G151" s="19">
        <v>2.4173992860659381</v>
      </c>
      <c r="H151" s="31">
        <v>1397954672102</v>
      </c>
      <c r="I151" s="31">
        <v>55679605727</v>
      </c>
      <c r="J151" s="21">
        <v>149498618464</v>
      </c>
      <c r="K151" s="19">
        <v>10.891958834150072</v>
      </c>
      <c r="L151" s="23">
        <v>143579444589</v>
      </c>
      <c r="M151" s="21">
        <v>5919173875</v>
      </c>
    </row>
    <row r="152" spans="2:13" x14ac:dyDescent="0.3">
      <c r="B152" s="4">
        <v>44047</v>
      </c>
      <c r="C152" s="24">
        <v>10.460708038383009</v>
      </c>
      <c r="E152" s="4">
        <v>44048</v>
      </c>
      <c r="F152" s="23">
        <v>1466306471434</v>
      </c>
      <c r="G152" s="19">
        <v>2.4273072655426833</v>
      </c>
      <c r="H152" s="31">
        <v>1408755370735</v>
      </c>
      <c r="I152" s="31">
        <v>57551100699</v>
      </c>
      <c r="J152" s="21">
        <v>132858618057</v>
      </c>
      <c r="K152" s="19">
        <v>11.10380496889327</v>
      </c>
      <c r="L152" s="23">
        <v>126801358896</v>
      </c>
      <c r="M152" s="21">
        <v>6057259161</v>
      </c>
    </row>
    <row r="153" spans="2:13" x14ac:dyDescent="0.3">
      <c r="B153" s="4">
        <v>44048</v>
      </c>
      <c r="C153" s="24">
        <v>10.597562879720474</v>
      </c>
      <c r="E153" s="4">
        <v>44049</v>
      </c>
      <c r="F153" s="23">
        <v>1472038334654</v>
      </c>
      <c r="G153" s="19">
        <v>2.4392470567785711</v>
      </c>
      <c r="H153" s="31">
        <v>1412666240447</v>
      </c>
      <c r="I153" s="31">
        <v>59372094207</v>
      </c>
      <c r="J153" s="21">
        <v>144356267866</v>
      </c>
      <c r="K153" s="19">
        <v>11.179278832128674</v>
      </c>
      <c r="L153" s="23">
        <v>137962524642</v>
      </c>
      <c r="M153" s="21">
        <v>6393743224</v>
      </c>
    </row>
    <row r="154" spans="2:13" x14ac:dyDescent="0.3">
      <c r="B154" s="4">
        <v>44049</v>
      </c>
      <c r="C154" s="24">
        <v>10.684132765118413</v>
      </c>
      <c r="E154" s="4">
        <v>44050</v>
      </c>
      <c r="F154" s="23">
        <v>1463596439834</v>
      </c>
      <c r="G154" s="19">
        <v>2.4515037256418881</v>
      </c>
      <c r="H154" s="31">
        <v>1403622603124</v>
      </c>
      <c r="I154" s="31">
        <v>59973836710</v>
      </c>
      <c r="J154" s="21">
        <v>132925186473</v>
      </c>
      <c r="K154" s="19">
        <v>10.533147068974094</v>
      </c>
      <c r="L154" s="23">
        <v>126490522068</v>
      </c>
      <c r="M154" s="21">
        <v>6434664405</v>
      </c>
    </row>
    <row r="155" spans="2:13" x14ac:dyDescent="0.3">
      <c r="B155" s="4">
        <v>44050</v>
      </c>
      <c r="C155" s="24">
        <v>10.023256744079761</v>
      </c>
      <c r="E155" s="4">
        <v>44053</v>
      </c>
      <c r="F155" s="23">
        <v>1470004939696</v>
      </c>
      <c r="G155" s="19">
        <v>2.4492531906584478</v>
      </c>
      <c r="H155" s="31">
        <v>1408366426505</v>
      </c>
      <c r="I155" s="31">
        <v>61638513191</v>
      </c>
      <c r="J155" s="21">
        <v>125431468424</v>
      </c>
      <c r="K155" s="19">
        <v>10.837007612964008</v>
      </c>
      <c r="L155" s="23">
        <v>119365054864</v>
      </c>
      <c r="M155" s="21">
        <v>6066413560</v>
      </c>
    </row>
    <row r="156" spans="2:13" x14ac:dyDescent="0.3">
      <c r="B156" s="4">
        <v>44053</v>
      </c>
      <c r="C156" s="24">
        <v>10.312882600643503</v>
      </c>
      <c r="E156" s="4">
        <v>44054</v>
      </c>
      <c r="F156" s="23">
        <v>1463677272066</v>
      </c>
      <c r="G156" s="19">
        <v>2.4689022171191852</v>
      </c>
      <c r="H156" s="31">
        <v>1402863729358</v>
      </c>
      <c r="I156" s="31">
        <v>60813542708</v>
      </c>
      <c r="J156" s="21">
        <v>113337846135</v>
      </c>
      <c r="K156" s="19">
        <v>9.991003718680485</v>
      </c>
      <c r="L156" s="23">
        <v>108844698697</v>
      </c>
      <c r="M156" s="21">
        <v>4493147438</v>
      </c>
    </row>
    <row r="157" spans="2:13" x14ac:dyDescent="0.3">
      <c r="B157" s="4">
        <v>44054</v>
      </c>
      <c r="C157" s="24">
        <v>9.5949219658283376</v>
      </c>
      <c r="E157" s="4">
        <v>44055</v>
      </c>
      <c r="F157" s="23">
        <v>1460259833089</v>
      </c>
      <c r="G157" s="19">
        <v>2.4829193146523059</v>
      </c>
      <c r="H157" s="31">
        <v>1399090097747</v>
      </c>
      <c r="I157" s="31">
        <v>61169735342</v>
      </c>
      <c r="J157" s="21">
        <v>102600552217</v>
      </c>
      <c r="K157" s="19">
        <v>9.4700222925531481</v>
      </c>
      <c r="L157" s="23">
        <v>97011275712</v>
      </c>
      <c r="M157" s="21">
        <v>5589276505</v>
      </c>
    </row>
    <row r="158" spans="2:13" x14ac:dyDescent="0.3">
      <c r="B158" s="4">
        <v>44055</v>
      </c>
      <c r="C158" s="24">
        <v>8.954132543834783</v>
      </c>
      <c r="E158" s="4">
        <v>44056</v>
      </c>
      <c r="F158" s="23">
        <v>1462683636516</v>
      </c>
      <c r="G158" s="19">
        <v>2.4849743361843637</v>
      </c>
      <c r="H158" s="31">
        <v>1400596295571</v>
      </c>
      <c r="I158" s="31">
        <v>62087340945</v>
      </c>
      <c r="J158" s="21">
        <v>84335869119</v>
      </c>
      <c r="K158" s="19">
        <v>9.5692396787452978</v>
      </c>
      <c r="L158" s="23">
        <v>79913734516</v>
      </c>
      <c r="M158" s="21">
        <v>4422134603</v>
      </c>
    </row>
    <row r="159" spans="2:13" x14ac:dyDescent="0.3">
      <c r="B159" s="4">
        <v>44056</v>
      </c>
      <c r="C159" s="24">
        <v>9.0674784904178178</v>
      </c>
      <c r="E159" s="4">
        <v>44057</v>
      </c>
      <c r="F159" s="23">
        <v>1455895914886</v>
      </c>
      <c r="G159" s="19">
        <v>2.4424561674290675</v>
      </c>
      <c r="H159" s="31">
        <v>1393757232949</v>
      </c>
      <c r="I159" s="31">
        <v>62138681937</v>
      </c>
      <c r="J159" s="21">
        <v>79792933783</v>
      </c>
      <c r="K159" s="19">
        <v>9.3916295273840724</v>
      </c>
      <c r="L159" s="23">
        <v>76081504413</v>
      </c>
      <c r="M159" s="21">
        <v>3711429370</v>
      </c>
    </row>
    <row r="160" spans="2:13" x14ac:dyDescent="0.3">
      <c r="B160" s="4">
        <v>44057</v>
      </c>
      <c r="C160" s="24">
        <v>8.9547942337365711</v>
      </c>
      <c r="E160" s="4">
        <v>44060</v>
      </c>
      <c r="F160" s="23">
        <v>1474292083130</v>
      </c>
      <c r="G160" s="19">
        <v>2.4198765781997502</v>
      </c>
      <c r="H160" s="31">
        <v>1410026718128</v>
      </c>
      <c r="I160" s="31">
        <v>64265365002</v>
      </c>
      <c r="J160" s="21">
        <v>129003117940</v>
      </c>
      <c r="K160" s="19">
        <v>11.182347026799185</v>
      </c>
      <c r="L160" s="23">
        <v>124170754941</v>
      </c>
      <c r="M160" s="21">
        <v>4832362999</v>
      </c>
    </row>
    <row r="161" spans="2:13" x14ac:dyDescent="0.3">
      <c r="B161" s="4">
        <v>44060</v>
      </c>
      <c r="C161" s="24">
        <v>10.763464437934822</v>
      </c>
      <c r="E161" s="4">
        <v>44061</v>
      </c>
      <c r="F161" s="23">
        <v>1481650484164</v>
      </c>
      <c r="G161" s="19">
        <v>2.421316333923639</v>
      </c>
      <c r="H161" s="31">
        <v>1417255981473</v>
      </c>
      <c r="I161" s="31">
        <v>64394502691</v>
      </c>
      <c r="J161" s="21">
        <v>112567025717</v>
      </c>
      <c r="K161" s="19">
        <v>10.329887503792714</v>
      </c>
      <c r="L161" s="23">
        <v>108270044137</v>
      </c>
      <c r="M161" s="21">
        <v>4296981580</v>
      </c>
    </row>
    <row r="162" spans="2:13" x14ac:dyDescent="0.3">
      <c r="B162" s="4">
        <v>44061</v>
      </c>
      <c r="C162" s="24">
        <v>9.9355683322187769</v>
      </c>
      <c r="E162" s="4">
        <v>44062</v>
      </c>
      <c r="F162" s="23">
        <v>1481371989697</v>
      </c>
      <c r="G162" s="19">
        <v>2.4589261173396868</v>
      </c>
      <c r="H162" s="31">
        <v>1417092262236</v>
      </c>
      <c r="I162" s="31">
        <v>64279727461</v>
      </c>
      <c r="J162" s="21">
        <v>111627970130</v>
      </c>
      <c r="K162" s="19">
        <v>10.258971444183768</v>
      </c>
      <c r="L162" s="23">
        <v>106797262642</v>
      </c>
      <c r="M162" s="21">
        <v>4830707488</v>
      </c>
    </row>
    <row r="163" spans="2:13" x14ac:dyDescent="0.3">
      <c r="B163" s="4">
        <v>44062</v>
      </c>
      <c r="C163" s="24">
        <v>9.8150138042044492</v>
      </c>
      <c r="E163" s="4">
        <v>44063</v>
      </c>
      <c r="F163" s="23">
        <v>1479444811186</v>
      </c>
      <c r="G163" s="19">
        <v>2.486078059514139</v>
      </c>
      <c r="H163" s="31">
        <v>1415671128265</v>
      </c>
      <c r="I163" s="31">
        <v>63773682921</v>
      </c>
      <c r="J163" s="21">
        <v>79681465155</v>
      </c>
      <c r="K163" s="19">
        <v>9.1418019241882931</v>
      </c>
      <c r="L163" s="23">
        <v>75349988348</v>
      </c>
      <c r="M163" s="21">
        <v>4331476807</v>
      </c>
    </row>
    <row r="164" spans="2:13" x14ac:dyDescent="0.3">
      <c r="B164" s="4">
        <v>44063</v>
      </c>
      <c r="C164" s="24">
        <v>8.6448544479868623</v>
      </c>
      <c r="E164" s="4">
        <v>44064</v>
      </c>
      <c r="F164" s="23">
        <v>1478378297957</v>
      </c>
      <c r="G164" s="19">
        <v>2.4658145801392086</v>
      </c>
      <c r="H164" s="31">
        <v>1413894983288</v>
      </c>
      <c r="I164" s="31">
        <v>64483314669</v>
      </c>
      <c r="J164" s="21">
        <v>81290417039</v>
      </c>
      <c r="K164" s="19">
        <v>9.6311023827704449</v>
      </c>
      <c r="L164" s="23">
        <v>77148745432</v>
      </c>
      <c r="M164" s="21">
        <v>4141671607</v>
      </c>
    </row>
    <row r="165" spans="2:13" x14ac:dyDescent="0.3">
      <c r="B165" s="4">
        <v>44064</v>
      </c>
      <c r="C165" s="24">
        <v>9.1404066189180675</v>
      </c>
      <c r="E165" s="4">
        <v>44067</v>
      </c>
      <c r="F165" s="23">
        <v>1486055821585</v>
      </c>
      <c r="G165" s="19">
        <v>2.4597966881094435</v>
      </c>
      <c r="H165" s="31">
        <v>1420133350436</v>
      </c>
      <c r="I165" s="31">
        <v>65922471149</v>
      </c>
      <c r="J165" s="21">
        <v>86879908207</v>
      </c>
      <c r="K165" s="19">
        <v>9.6892651607799962</v>
      </c>
      <c r="L165" s="23">
        <v>82195780823</v>
      </c>
      <c r="M165" s="21">
        <v>4684127384</v>
      </c>
    </row>
    <row r="166" spans="2:13" x14ac:dyDescent="0.3">
      <c r="B166" s="4">
        <v>44067</v>
      </c>
      <c r="C166" s="24">
        <v>9.1668687493759844</v>
      </c>
      <c r="E166" s="4">
        <v>44068</v>
      </c>
      <c r="F166" s="23">
        <v>1485288025872</v>
      </c>
      <c r="G166" s="19">
        <v>2.4602284339976781</v>
      </c>
      <c r="H166" s="31">
        <v>1418999430804</v>
      </c>
      <c r="I166" s="31">
        <v>66288595068</v>
      </c>
      <c r="J166" s="21">
        <v>84909739666</v>
      </c>
      <c r="K166" s="19">
        <v>9.0160039667360294</v>
      </c>
      <c r="L166" s="23">
        <v>81184583148</v>
      </c>
      <c r="M166" s="21">
        <v>3725156518</v>
      </c>
    </row>
    <row r="167" spans="2:13" x14ac:dyDescent="0.3">
      <c r="B167" s="4">
        <v>44068</v>
      </c>
      <c r="C167" s="24">
        <v>8.6204542209104709</v>
      </c>
      <c r="E167" s="4">
        <v>44069</v>
      </c>
      <c r="F167" s="23">
        <v>1478364764354</v>
      </c>
      <c r="G167" s="19">
        <v>2.4845400333235368</v>
      </c>
      <c r="H167" s="31">
        <v>1412663717643</v>
      </c>
      <c r="I167" s="31">
        <v>65701046711</v>
      </c>
      <c r="J167" s="21">
        <v>86881668679</v>
      </c>
      <c r="K167" s="19">
        <v>8.8844347303880227</v>
      </c>
      <c r="L167" s="23">
        <v>82891753924</v>
      </c>
      <c r="M167" s="21">
        <v>3989914755</v>
      </c>
    </row>
    <row r="168" spans="2:13" x14ac:dyDescent="0.3">
      <c r="B168" s="4">
        <v>44069</v>
      </c>
      <c r="C168" s="24">
        <v>8.4764299376672572</v>
      </c>
      <c r="E168" s="4">
        <v>44070</v>
      </c>
      <c r="F168" s="23">
        <v>1481602059322</v>
      </c>
      <c r="G168" s="19">
        <v>2.470712296708244</v>
      </c>
      <c r="H168" s="31">
        <v>1414596063666</v>
      </c>
      <c r="I168" s="31">
        <v>67005995656</v>
      </c>
      <c r="J168" s="21">
        <v>75834337363</v>
      </c>
      <c r="K168" s="19">
        <v>9.0545153124666768</v>
      </c>
      <c r="L168" s="23">
        <v>71692762662</v>
      </c>
      <c r="M168" s="21">
        <v>4141574701</v>
      </c>
    </row>
    <row r="169" spans="2:13" x14ac:dyDescent="0.3">
      <c r="B169" s="4">
        <v>44070</v>
      </c>
      <c r="C169" s="24">
        <v>8.560017004023285</v>
      </c>
      <c r="E169" s="4">
        <v>44071</v>
      </c>
      <c r="F169" s="23">
        <v>1484744743138</v>
      </c>
      <c r="G169" s="19">
        <v>2.4328857807579536</v>
      </c>
      <c r="H169" s="31">
        <v>1415823160935</v>
      </c>
      <c r="I169" s="31">
        <v>68921582203</v>
      </c>
      <c r="J169" s="21">
        <v>91043090498</v>
      </c>
      <c r="K169" s="19">
        <v>9.6099431214000504</v>
      </c>
      <c r="L169" s="23">
        <v>86614652851</v>
      </c>
      <c r="M169" s="21">
        <v>4428437647</v>
      </c>
    </row>
    <row r="170" spans="2:13" x14ac:dyDescent="0.3">
      <c r="B170" s="4">
        <v>44071</v>
      </c>
      <c r="C170" s="24">
        <v>9.1425047504973005</v>
      </c>
      <c r="E170" s="4">
        <v>44074</v>
      </c>
      <c r="F170" s="23">
        <v>1495423567537</v>
      </c>
      <c r="G170" s="19">
        <v>2.4530161455977728</v>
      </c>
      <c r="H170" s="31">
        <v>1425630910514</v>
      </c>
      <c r="I170" s="31">
        <v>69792657023</v>
      </c>
      <c r="J170" s="21">
        <v>106541489725</v>
      </c>
      <c r="K170" s="19">
        <v>10.303789860653438</v>
      </c>
      <c r="L170" s="23">
        <v>101937415844</v>
      </c>
      <c r="M170" s="21">
        <v>4604073881</v>
      </c>
    </row>
    <row r="171" spans="2:13" x14ac:dyDescent="0.3">
      <c r="B171" s="4">
        <v>44074</v>
      </c>
      <c r="C171" s="24">
        <v>9.8585228581439424</v>
      </c>
      <c r="E171" s="4">
        <v>44075</v>
      </c>
      <c r="F171" s="23">
        <v>1499023102117</v>
      </c>
      <c r="G171" s="19">
        <v>2.4448355460787639</v>
      </c>
      <c r="H171" s="31">
        <v>1428318674539</v>
      </c>
      <c r="I171" s="31">
        <v>70704427578</v>
      </c>
      <c r="J171" s="21">
        <v>79199401239</v>
      </c>
      <c r="K171" s="19">
        <v>9.3056085706115237</v>
      </c>
      <c r="L171" s="23">
        <v>75789258235</v>
      </c>
      <c r="M171" s="21">
        <v>3410143004</v>
      </c>
    </row>
    <row r="172" spans="2:13" x14ac:dyDescent="0.3">
      <c r="B172" s="4">
        <v>44075</v>
      </c>
      <c r="C172" s="24">
        <v>8.904930592387025</v>
      </c>
      <c r="E172" s="4">
        <v>44076</v>
      </c>
      <c r="F172" s="23">
        <v>1508918103936</v>
      </c>
      <c r="G172" s="19">
        <v>2.458797960282558</v>
      </c>
      <c r="H172" s="31">
        <v>1436310321194</v>
      </c>
      <c r="I172" s="31">
        <v>72607782742</v>
      </c>
      <c r="J172" s="21">
        <v>94306241893</v>
      </c>
      <c r="K172" s="19">
        <v>9.7349069647390003</v>
      </c>
      <c r="L172" s="23">
        <v>89806314106</v>
      </c>
      <c r="M172" s="21">
        <v>4499927787</v>
      </c>
    </row>
    <row r="173" spans="2:13" x14ac:dyDescent="0.3">
      <c r="B173" s="4">
        <v>44076</v>
      </c>
      <c r="C173" s="24">
        <v>9.2703949931540066</v>
      </c>
      <c r="E173" s="4">
        <v>44077</v>
      </c>
      <c r="F173" s="23">
        <v>1509711539287</v>
      </c>
      <c r="G173" s="19">
        <v>2.4762854843110418</v>
      </c>
      <c r="H173" s="31">
        <v>1436155797008</v>
      </c>
      <c r="I173" s="31">
        <v>73555742279</v>
      </c>
      <c r="J173" s="21">
        <v>84962062499</v>
      </c>
      <c r="K173" s="19">
        <v>9.0199552601339281</v>
      </c>
      <c r="L173" s="23">
        <v>80626599769</v>
      </c>
      <c r="M173" s="21">
        <v>4335462730</v>
      </c>
    </row>
    <row r="174" spans="2:13" x14ac:dyDescent="0.3">
      <c r="B174" s="4">
        <v>44077</v>
      </c>
      <c r="C174" s="24">
        <v>8.5596830079503334</v>
      </c>
      <c r="E174" s="4">
        <v>44078</v>
      </c>
      <c r="F174" s="23">
        <v>1506466837843</v>
      </c>
      <c r="G174" s="19">
        <v>2.4880044330960565</v>
      </c>
      <c r="H174" s="31">
        <v>1433300239727</v>
      </c>
      <c r="I174" s="31">
        <v>73166598116</v>
      </c>
      <c r="J174" s="21">
        <v>72804685399</v>
      </c>
      <c r="K174" s="19">
        <v>8.6840569317259817</v>
      </c>
      <c r="L174" s="23">
        <v>69166684611</v>
      </c>
      <c r="M174" s="21">
        <v>3638000788</v>
      </c>
    </row>
    <row r="175" spans="2:13" x14ac:dyDescent="0.3">
      <c r="B175" s="4">
        <v>44078</v>
      </c>
      <c r="C175" s="24">
        <v>8.2501204922301543</v>
      </c>
      <c r="E175" s="4">
        <v>44081</v>
      </c>
      <c r="F175" s="23">
        <v>1503657408512</v>
      </c>
      <c r="G175" s="19">
        <v>2.5313588333399974</v>
      </c>
      <c r="H175" s="31">
        <v>1431420503484</v>
      </c>
      <c r="I175" s="31">
        <v>72236905028</v>
      </c>
      <c r="J175" s="21">
        <v>89235301113</v>
      </c>
      <c r="K175" s="19">
        <v>8.7379598204092499</v>
      </c>
      <c r="L175" s="23">
        <v>85255058114</v>
      </c>
      <c r="M175" s="21">
        <v>3980242999</v>
      </c>
    </row>
    <row r="176" spans="2:13" x14ac:dyDescent="0.3">
      <c r="B176" s="4">
        <v>44081</v>
      </c>
      <c r="C176" s="24">
        <v>8.3482126803543775</v>
      </c>
      <c r="E176" s="4">
        <v>44082</v>
      </c>
      <c r="F176" s="23">
        <v>1502802787477</v>
      </c>
      <c r="G176" s="19">
        <v>2.5140087766712509</v>
      </c>
      <c r="H176" s="31">
        <v>1429651917516</v>
      </c>
      <c r="I176" s="31">
        <v>73150869961</v>
      </c>
      <c r="J176" s="21">
        <v>78570722841</v>
      </c>
      <c r="K176" s="19">
        <v>8.50301739382199</v>
      </c>
      <c r="L176" s="23">
        <v>74827303783</v>
      </c>
      <c r="M176" s="21">
        <v>3743419058</v>
      </c>
    </row>
    <row r="177" spans="2:13" x14ac:dyDescent="0.3">
      <c r="B177" s="4">
        <v>44082</v>
      </c>
      <c r="C177" s="24">
        <v>8.0979001158894413</v>
      </c>
      <c r="E177" s="4">
        <v>44083</v>
      </c>
      <c r="F177" s="23">
        <v>1497208713605</v>
      </c>
      <c r="G177" s="19">
        <v>2.5629069409088729</v>
      </c>
      <c r="H177" s="31">
        <v>1425438027127</v>
      </c>
      <c r="I177" s="31">
        <v>71770686478</v>
      </c>
      <c r="J177" s="21">
        <v>83642202736</v>
      </c>
      <c r="K177" s="19">
        <v>8.0740329735930985</v>
      </c>
      <c r="L177" s="23">
        <v>79749322894</v>
      </c>
      <c r="M177" s="21">
        <v>3892879842</v>
      </c>
    </row>
    <row r="178" spans="2:13" x14ac:dyDescent="0.3">
      <c r="B178" s="4">
        <v>44083</v>
      </c>
      <c r="C178" s="24">
        <v>7.6982509021219494</v>
      </c>
      <c r="E178" s="4">
        <v>44084</v>
      </c>
      <c r="F178" s="23">
        <v>1486366499333</v>
      </c>
      <c r="G178" s="19">
        <v>2.5741118368550535</v>
      </c>
      <c r="H178" s="31">
        <v>1414456029098</v>
      </c>
      <c r="I178" s="31">
        <v>71910470235</v>
      </c>
      <c r="J178" s="21">
        <v>65711162717</v>
      </c>
      <c r="K178" s="19">
        <v>7.5273966803647481</v>
      </c>
      <c r="L178" s="23">
        <v>61939209248</v>
      </c>
      <c r="M178" s="21">
        <v>3771953469</v>
      </c>
    </row>
    <row r="179" spans="2:13" x14ac:dyDescent="0.3">
      <c r="B179" s="4">
        <v>44084</v>
      </c>
      <c r="C179" s="24">
        <v>7.0953089064301773</v>
      </c>
      <c r="E179" s="4">
        <v>44085</v>
      </c>
      <c r="F179" s="23">
        <v>1484397559870</v>
      </c>
      <c r="G179" s="19">
        <v>2.5418044809689597</v>
      </c>
      <c r="H179" s="31">
        <v>1411312158099</v>
      </c>
      <c r="I179" s="31">
        <v>73085401771</v>
      </c>
      <c r="J179" s="21">
        <v>55541873023</v>
      </c>
      <c r="K179" s="19">
        <v>8.1159476405420481</v>
      </c>
      <c r="L179" s="23">
        <v>51941870882</v>
      </c>
      <c r="M179" s="21">
        <v>3600002141</v>
      </c>
    </row>
    <row r="180" spans="2:13" x14ac:dyDescent="0.3">
      <c r="B180" s="4">
        <v>44085</v>
      </c>
      <c r="C180" s="24">
        <v>7.5899043637858554</v>
      </c>
      <c r="E180" s="4">
        <v>44088</v>
      </c>
      <c r="F180" s="23">
        <v>1488145472205</v>
      </c>
      <c r="G180" s="19">
        <v>2.5285293432553457</v>
      </c>
      <c r="H180" s="31">
        <v>1413208022894</v>
      </c>
      <c r="I180" s="31">
        <v>74937449311</v>
      </c>
      <c r="J180" s="21">
        <v>59220410974</v>
      </c>
      <c r="K180" s="19">
        <v>7.6979973988276109</v>
      </c>
      <c r="L180" s="23">
        <v>55772840271</v>
      </c>
      <c r="M180" s="21">
        <v>3447570703</v>
      </c>
    </row>
    <row r="181" spans="2:13" x14ac:dyDescent="0.3">
      <c r="B181" s="4">
        <v>44088</v>
      </c>
      <c r="C181" s="24">
        <v>7.2498513986990387</v>
      </c>
      <c r="E181" s="4">
        <v>44089</v>
      </c>
      <c r="F181" s="23">
        <v>1491044770902</v>
      </c>
      <c r="G181" s="19">
        <v>2.5184651400986953</v>
      </c>
      <c r="H181" s="31">
        <v>1414086426514</v>
      </c>
      <c r="I181" s="31">
        <v>76958344388</v>
      </c>
      <c r="J181" s="21">
        <v>61800465660</v>
      </c>
      <c r="K181" s="19">
        <v>8.5198389196897288</v>
      </c>
      <c r="L181" s="23">
        <v>57952898946</v>
      </c>
      <c r="M181" s="21">
        <v>3847566714</v>
      </c>
    </row>
    <row r="182" spans="2:13" x14ac:dyDescent="0.3">
      <c r="B182" s="4">
        <v>44089</v>
      </c>
      <c r="C182" s="24">
        <v>7.9894117087301026</v>
      </c>
      <c r="E182" s="4">
        <v>44090</v>
      </c>
      <c r="F182" s="23">
        <v>1491218201813</v>
      </c>
      <c r="G182" s="19">
        <v>2.5337317876111873</v>
      </c>
      <c r="H182" s="31">
        <v>1413268293422</v>
      </c>
      <c r="I182" s="31">
        <v>77949908391</v>
      </c>
      <c r="J182" s="21">
        <v>56595271172</v>
      </c>
      <c r="K182" s="19">
        <v>8.2732641037402335</v>
      </c>
      <c r="L182" s="23">
        <v>52995970475</v>
      </c>
      <c r="M182" s="21">
        <v>3599300697</v>
      </c>
    </row>
    <row r="183" spans="2:13" x14ac:dyDescent="0.3">
      <c r="B183" s="4">
        <v>44090</v>
      </c>
      <c r="C183" s="24">
        <v>7.7471076839828585</v>
      </c>
      <c r="E183" s="4">
        <v>44091</v>
      </c>
      <c r="F183" s="23">
        <v>1494878398578</v>
      </c>
      <c r="G183" s="19">
        <v>2.5455134809117017</v>
      </c>
      <c r="H183" s="31">
        <v>1415559387024</v>
      </c>
      <c r="I183" s="31">
        <v>79319011554</v>
      </c>
      <c r="J183" s="21">
        <v>67736448263</v>
      </c>
      <c r="K183" s="19">
        <v>8.9910056460737344</v>
      </c>
      <c r="L183" s="23">
        <v>63359763924</v>
      </c>
      <c r="M183" s="21">
        <v>4376684339</v>
      </c>
    </row>
    <row r="184" spans="2:13" x14ac:dyDescent="0.3">
      <c r="B184" s="4">
        <v>44091</v>
      </c>
      <c r="C184" s="24">
        <v>8.4100659214184894</v>
      </c>
      <c r="E184" s="4">
        <v>44092</v>
      </c>
      <c r="F184" s="23">
        <v>1498653135026</v>
      </c>
      <c r="G184" s="19">
        <v>2.5051039298179636</v>
      </c>
      <c r="H184" s="31">
        <v>1416780394308</v>
      </c>
      <c r="I184" s="31">
        <v>81872740718</v>
      </c>
      <c r="J184" s="21">
        <v>77122634163</v>
      </c>
      <c r="K184" s="19">
        <v>9.2316690523030012</v>
      </c>
      <c r="L184" s="23">
        <v>72379634548</v>
      </c>
      <c r="M184" s="21">
        <v>4742999615</v>
      </c>
    </row>
    <row r="185" spans="2:13" x14ac:dyDescent="0.3">
      <c r="B185" s="4">
        <v>44092</v>
      </c>
      <c r="C185" s="24">
        <v>8.6639264792428214</v>
      </c>
      <c r="E185" s="4">
        <v>44095</v>
      </c>
      <c r="F185" s="23">
        <v>1500612231524</v>
      </c>
      <c r="G185" s="19">
        <v>2.5213897719235718</v>
      </c>
      <c r="H185" s="31">
        <v>1418016065655</v>
      </c>
      <c r="I185" s="31">
        <v>82596165869</v>
      </c>
      <c r="J185" s="21">
        <v>67665779458</v>
      </c>
      <c r="K185" s="19">
        <v>8.9636031169855706</v>
      </c>
      <c r="L185" s="23">
        <v>63487276584</v>
      </c>
      <c r="M185" s="21">
        <v>4178502874</v>
      </c>
    </row>
    <row r="186" spans="2:13" x14ac:dyDescent="0.3">
      <c r="B186" s="4">
        <v>44095</v>
      </c>
      <c r="C186" s="24">
        <v>8.4100819474117028</v>
      </c>
      <c r="E186" s="4">
        <v>44096</v>
      </c>
      <c r="F186" s="23">
        <v>1501060950443</v>
      </c>
      <c r="G186" s="19">
        <v>2.5515593241814276</v>
      </c>
      <c r="H186" s="31">
        <v>1417494358657</v>
      </c>
      <c r="I186" s="31">
        <v>83566591786</v>
      </c>
      <c r="J186" s="21">
        <v>63210002922</v>
      </c>
      <c r="K186" s="19">
        <v>9.0023026898578369</v>
      </c>
      <c r="L186" s="23">
        <v>58509387186</v>
      </c>
      <c r="M186" s="21">
        <v>4700615736</v>
      </c>
    </row>
    <row r="187" spans="2:13" x14ac:dyDescent="0.3">
      <c r="B187" s="4">
        <v>44096</v>
      </c>
      <c r="C187" s="24">
        <v>8.3328458993495609</v>
      </c>
      <c r="E187" s="4">
        <v>44097</v>
      </c>
      <c r="F187" s="23">
        <v>1505789201203</v>
      </c>
      <c r="G187" s="19">
        <v>2.5497234447162578</v>
      </c>
      <c r="H187" s="31">
        <v>1419951783415</v>
      </c>
      <c r="I187" s="31">
        <v>85837417788</v>
      </c>
      <c r="J187" s="21">
        <v>60460326565</v>
      </c>
      <c r="K187" s="19">
        <v>9.1519285306705633</v>
      </c>
      <c r="L187" s="23">
        <v>55713029145</v>
      </c>
      <c r="M187" s="21">
        <v>4747297420</v>
      </c>
    </row>
    <row r="188" spans="2:13" x14ac:dyDescent="0.3">
      <c r="B188" s="4">
        <v>44097</v>
      </c>
      <c r="C188" s="24">
        <v>8.4333262807312135</v>
      </c>
      <c r="E188" s="4">
        <v>44098</v>
      </c>
      <c r="F188" s="23">
        <v>1503604998250</v>
      </c>
      <c r="G188" s="19">
        <v>2.5977671174615513</v>
      </c>
      <c r="H188" s="31">
        <v>1418662387952</v>
      </c>
      <c r="I188" s="31">
        <v>84942610298</v>
      </c>
      <c r="J188" s="21">
        <v>58305555862</v>
      </c>
      <c r="K188" s="19">
        <v>8.5850968916232482</v>
      </c>
      <c r="L188" s="23">
        <v>53692818906</v>
      </c>
      <c r="M188" s="21">
        <v>4612736956</v>
      </c>
    </row>
    <row r="189" spans="2:13" x14ac:dyDescent="0.3">
      <c r="B189" s="4">
        <v>44098</v>
      </c>
      <c r="C189" s="24">
        <v>7.9059027202039749</v>
      </c>
      <c r="E189" s="4">
        <v>44099</v>
      </c>
      <c r="F189" s="23">
        <v>1499105315711</v>
      </c>
      <c r="G189" s="19">
        <v>2.5931964538236247</v>
      </c>
      <c r="H189" s="31">
        <v>1414200707571</v>
      </c>
      <c r="I189" s="31">
        <v>84904608140</v>
      </c>
      <c r="J189" s="21">
        <v>48012580086</v>
      </c>
      <c r="K189" s="19">
        <v>8.4348460718225233</v>
      </c>
      <c r="L189" s="23">
        <v>44176523083</v>
      </c>
      <c r="M189" s="21">
        <v>3836057003</v>
      </c>
    </row>
    <row r="190" spans="2:13" x14ac:dyDescent="0.3">
      <c r="B190" s="4">
        <v>44099</v>
      </c>
      <c r="C190" s="24">
        <v>7.7609278969382558</v>
      </c>
      <c r="E190" s="4">
        <v>44102</v>
      </c>
      <c r="F190" s="23">
        <v>1494506486144</v>
      </c>
      <c r="G190" s="19">
        <v>2.591227482560627</v>
      </c>
      <c r="H190" s="31">
        <v>1409106337726</v>
      </c>
      <c r="I190" s="31">
        <v>85400148418</v>
      </c>
      <c r="J190" s="21">
        <v>42316045252</v>
      </c>
      <c r="K190" s="19">
        <v>7.8351565188877483</v>
      </c>
      <c r="L190" s="23">
        <v>38577647843</v>
      </c>
      <c r="M190" s="21">
        <v>3738397409</v>
      </c>
    </row>
    <row r="191" spans="2:13" x14ac:dyDescent="0.3">
      <c r="B191" s="4">
        <v>44102</v>
      </c>
      <c r="C191" s="24">
        <v>7.1429621360032796</v>
      </c>
      <c r="E191" s="4">
        <v>44103</v>
      </c>
      <c r="F191" s="23">
        <v>1490435173862</v>
      </c>
      <c r="G191" s="19">
        <v>2.572386001467815</v>
      </c>
      <c r="H191" s="31">
        <v>1405331333527</v>
      </c>
      <c r="I191" s="31">
        <v>85103840335</v>
      </c>
      <c r="J191" s="21">
        <v>45512846029</v>
      </c>
      <c r="K191" s="19">
        <v>8.3528003753102791</v>
      </c>
      <c r="L191" s="23">
        <v>41917971648</v>
      </c>
      <c r="M191" s="21">
        <v>3594874381</v>
      </c>
    </row>
    <row r="192" spans="2:13" x14ac:dyDescent="0.3">
      <c r="B192" s="4">
        <v>44103</v>
      </c>
      <c r="C192" s="24">
        <v>7.6930466859963378</v>
      </c>
      <c r="E192" s="4">
        <v>44104</v>
      </c>
      <c r="F192" s="23">
        <v>1472347334879</v>
      </c>
      <c r="G192" s="19">
        <v>2.541047267388898</v>
      </c>
      <c r="H192" s="31">
        <v>1388746658898</v>
      </c>
      <c r="I192" s="31">
        <v>83600675981</v>
      </c>
      <c r="J192" s="21">
        <v>41113236332</v>
      </c>
      <c r="K192" s="19">
        <v>7.6156231363392539</v>
      </c>
      <c r="L192" s="23">
        <v>37622466878</v>
      </c>
      <c r="M192" s="21">
        <v>3490769454</v>
      </c>
    </row>
    <row r="193" spans="2:13" x14ac:dyDescent="0.3">
      <c r="B193" s="4">
        <v>44104</v>
      </c>
      <c r="C193" s="24">
        <v>6.9690093693559652</v>
      </c>
      <c r="E193" s="4">
        <v>44113</v>
      </c>
      <c r="F193" s="23">
        <v>1485559680205</v>
      </c>
      <c r="G193" s="19">
        <v>2.5082836051966884</v>
      </c>
      <c r="H193" s="31">
        <v>1399483666837</v>
      </c>
      <c r="I193" s="31">
        <v>86076013368</v>
      </c>
      <c r="J193" s="21">
        <v>66954454128</v>
      </c>
      <c r="K193" s="19">
        <v>9.4166108972676881</v>
      </c>
      <c r="L193" s="23">
        <v>64475920373</v>
      </c>
      <c r="M193" s="21">
        <v>2478533755</v>
      </c>
    </row>
    <row r="194" spans="2:13" x14ac:dyDescent="0.3">
      <c r="B194" s="4">
        <v>44113</v>
      </c>
      <c r="C194" s="24">
        <v>9.0680248581378677</v>
      </c>
      <c r="E194" s="4">
        <v>44116</v>
      </c>
      <c r="F194" s="23">
        <v>1502386573406</v>
      </c>
      <c r="G194" s="19">
        <v>2.4640495739455561</v>
      </c>
      <c r="H194" s="31">
        <v>1411375161443</v>
      </c>
      <c r="I194" s="31">
        <v>91011411963</v>
      </c>
      <c r="J194" s="21">
        <v>97276606102</v>
      </c>
      <c r="K194" s="19">
        <v>10.017523927713851</v>
      </c>
      <c r="L194" s="23">
        <v>93037091902</v>
      </c>
      <c r="M194" s="21">
        <v>4239514200</v>
      </c>
    </row>
    <row r="195" spans="2:13" x14ac:dyDescent="0.3">
      <c r="B195" s="4">
        <v>44116</v>
      </c>
      <c r="C195" s="24">
        <v>9.5809396692555424</v>
      </c>
      <c r="E195" s="4">
        <v>44117</v>
      </c>
      <c r="F195" s="23">
        <v>1513580826793</v>
      </c>
      <c r="G195" s="19">
        <v>2.4745255506591701</v>
      </c>
      <c r="H195" s="31">
        <v>1420070451373</v>
      </c>
      <c r="I195" s="31">
        <v>93510375420</v>
      </c>
      <c r="J195" s="21">
        <v>83849193670</v>
      </c>
      <c r="K195" s="19">
        <v>10.045184843227608</v>
      </c>
      <c r="L195" s="23">
        <v>78647650347</v>
      </c>
      <c r="M195" s="21">
        <v>5201543323</v>
      </c>
    </row>
    <row r="196" spans="2:13" x14ac:dyDescent="0.3">
      <c r="B196" s="4">
        <v>44117</v>
      </c>
      <c r="C196" s="24">
        <v>9.4220367619803351</v>
      </c>
      <c r="E196" s="4">
        <v>44118</v>
      </c>
      <c r="F196" s="23">
        <v>1521460773370</v>
      </c>
      <c r="G196" s="19">
        <v>2.5027536943765871</v>
      </c>
      <c r="H196" s="31">
        <v>1426824642754</v>
      </c>
      <c r="I196" s="31">
        <v>94636130616</v>
      </c>
      <c r="J196" s="21">
        <v>73325991198</v>
      </c>
      <c r="K196" s="19">
        <v>8.8632417498857681</v>
      </c>
      <c r="L196" s="23">
        <v>68792889860</v>
      </c>
      <c r="M196" s="21">
        <v>4533101338</v>
      </c>
    </row>
    <row r="197" spans="2:13" x14ac:dyDescent="0.3">
      <c r="B197" s="4">
        <v>44118</v>
      </c>
      <c r="C197" s="24">
        <v>8.3153054400044155</v>
      </c>
      <c r="E197" s="4">
        <v>44119</v>
      </c>
      <c r="F197" s="23">
        <v>1524550508399</v>
      </c>
      <c r="G197" s="19">
        <v>2.5166218416676229</v>
      </c>
      <c r="H197" s="31">
        <v>1427928773576</v>
      </c>
      <c r="I197" s="31">
        <v>96621734823</v>
      </c>
      <c r="J197" s="21">
        <v>68731723904</v>
      </c>
      <c r="K197" s="19">
        <v>8.9986320868787679</v>
      </c>
      <c r="L197" s="23">
        <v>63087802602</v>
      </c>
      <c r="M197" s="21">
        <v>5643921302</v>
      </c>
    </row>
    <row r="198" spans="2:13" x14ac:dyDescent="0.3">
      <c r="B198" s="4">
        <v>44119</v>
      </c>
      <c r="C198" s="24">
        <v>8.2597073453004448</v>
      </c>
      <c r="E198" s="4">
        <v>44120</v>
      </c>
      <c r="F198" s="23">
        <v>1521240216560</v>
      </c>
      <c r="G198" s="19">
        <v>2.5116294190432935</v>
      </c>
      <c r="H198" s="31">
        <v>1423846989798</v>
      </c>
      <c r="I198" s="31">
        <v>97393226762</v>
      </c>
      <c r="J198" s="21">
        <v>59337678216</v>
      </c>
      <c r="K198" s="19">
        <v>8.3761176757099314</v>
      </c>
      <c r="L198" s="23">
        <v>55024074641</v>
      </c>
      <c r="M198" s="21">
        <v>4313603575</v>
      </c>
    </row>
    <row r="199" spans="2:13" x14ac:dyDescent="0.3">
      <c r="B199" s="4">
        <v>44120</v>
      </c>
      <c r="C199" s="24">
        <v>7.767208594046191</v>
      </c>
      <c r="E199" s="4">
        <v>44123</v>
      </c>
      <c r="F199" s="23">
        <v>1523871794843</v>
      </c>
      <c r="G199" s="19">
        <v>2.5324130568887067</v>
      </c>
      <c r="H199" s="31">
        <v>1425703331893</v>
      </c>
      <c r="I199" s="31">
        <v>98168462950</v>
      </c>
      <c r="J199" s="21">
        <v>65447562610</v>
      </c>
      <c r="K199" s="19">
        <v>8.8569210503678022</v>
      </c>
      <c r="L199" s="23">
        <v>61562886845</v>
      </c>
      <c r="M199" s="21">
        <v>3884675765</v>
      </c>
    </row>
    <row r="200" spans="2:13" x14ac:dyDescent="0.3">
      <c r="B200" s="4">
        <v>44123</v>
      </c>
      <c r="C200" s="24">
        <v>8.3312136720516996</v>
      </c>
      <c r="E200" s="4">
        <v>44124</v>
      </c>
      <c r="F200" s="23">
        <v>1528251502173</v>
      </c>
      <c r="G200" s="19">
        <v>2.5184984520901157</v>
      </c>
      <c r="H200" s="31">
        <v>1428408862854</v>
      </c>
      <c r="I200" s="31">
        <v>99842639319</v>
      </c>
      <c r="J200" s="21">
        <v>57394462883</v>
      </c>
      <c r="K200" s="19">
        <v>8.6023279199267275</v>
      </c>
      <c r="L200" s="23">
        <v>53783756472</v>
      </c>
      <c r="M200" s="21">
        <v>3610706411</v>
      </c>
    </row>
    <row r="201" spans="2:13" x14ac:dyDescent="0.3">
      <c r="B201" s="4">
        <v>44124</v>
      </c>
      <c r="C201" s="24">
        <v>8.0611523603031223</v>
      </c>
      <c r="E201" s="4">
        <v>44125</v>
      </c>
      <c r="F201" s="23">
        <v>1528835061956</v>
      </c>
      <c r="G201" s="19">
        <v>2.5308413584188787</v>
      </c>
      <c r="H201" s="31">
        <v>1427504878181</v>
      </c>
      <c r="I201" s="31">
        <v>101330183775</v>
      </c>
      <c r="J201" s="21">
        <v>58545977856</v>
      </c>
      <c r="K201" s="19">
        <v>8.2915661286793974</v>
      </c>
      <c r="L201" s="23">
        <v>54345132521</v>
      </c>
      <c r="M201" s="21">
        <v>4200845335</v>
      </c>
    </row>
    <row r="202" spans="2:13" x14ac:dyDescent="0.3">
      <c r="B202" s="4">
        <v>44125</v>
      </c>
      <c r="C202" s="24">
        <v>7.6966219810698249</v>
      </c>
      <c r="E202" s="4">
        <v>44126</v>
      </c>
      <c r="F202" s="23">
        <v>1529435856634</v>
      </c>
      <c r="G202" s="19">
        <v>2.5418221376103358</v>
      </c>
      <c r="H202" s="31">
        <v>1429264592605</v>
      </c>
      <c r="I202" s="31">
        <v>100171264029</v>
      </c>
      <c r="J202" s="21">
        <v>56884420048</v>
      </c>
      <c r="K202" s="19">
        <v>8.572657632106413</v>
      </c>
      <c r="L202" s="23">
        <v>53741281402</v>
      </c>
      <c r="M202" s="21">
        <v>3143138646</v>
      </c>
    </row>
    <row r="203" spans="2:13" x14ac:dyDescent="0.3">
      <c r="B203" s="4">
        <v>44126</v>
      </c>
      <c r="C203" s="24">
        <v>8.0989769392266435</v>
      </c>
      <c r="E203" s="4">
        <v>44127</v>
      </c>
      <c r="F203" s="23">
        <v>1517947532538</v>
      </c>
      <c r="G203" s="19">
        <v>2.5566338210068644</v>
      </c>
      <c r="H203" s="31">
        <v>1419586857820</v>
      </c>
      <c r="I203" s="31">
        <v>98360674718</v>
      </c>
      <c r="J203" s="21">
        <v>57998671948</v>
      </c>
      <c r="K203" s="19">
        <v>8.4364597725125385</v>
      </c>
      <c r="L203" s="23">
        <v>55051203269</v>
      </c>
      <c r="M203" s="21">
        <v>2947468679</v>
      </c>
    </row>
    <row r="204" spans="2:13" x14ac:dyDescent="0.3">
      <c r="B204" s="4">
        <v>44127</v>
      </c>
      <c r="C204" s="24">
        <v>8.0077223530864767</v>
      </c>
      <c r="E204" s="4">
        <v>44130</v>
      </c>
      <c r="F204" s="23">
        <v>1515990671142</v>
      </c>
      <c r="G204" s="19">
        <v>2.5594431632023524</v>
      </c>
      <c r="H204" s="31">
        <v>1417107984204</v>
      </c>
      <c r="I204" s="31">
        <v>98882686938</v>
      </c>
      <c r="J204" s="21">
        <v>55012118192</v>
      </c>
      <c r="K204" s="19">
        <v>8.6851934255825149</v>
      </c>
      <c r="L204" s="23">
        <v>51133082776</v>
      </c>
      <c r="M204" s="21">
        <v>3879035416</v>
      </c>
    </row>
    <row r="205" spans="2:13" x14ac:dyDescent="0.3">
      <c r="B205" s="4">
        <v>44130</v>
      </c>
      <c r="C205" s="24">
        <v>8.0727797611047816</v>
      </c>
      <c r="E205" s="4">
        <v>44131</v>
      </c>
      <c r="F205" s="23">
        <v>1516474942571</v>
      </c>
      <c r="G205" s="19">
        <v>2.5536134623308149</v>
      </c>
      <c r="H205" s="31">
        <v>1417210728457</v>
      </c>
      <c r="I205" s="31">
        <v>99264214114</v>
      </c>
      <c r="J205" s="21">
        <v>48354665290</v>
      </c>
      <c r="K205" s="19">
        <v>7.6620600671804029</v>
      </c>
      <c r="L205" s="23">
        <v>45118868310</v>
      </c>
      <c r="M205" s="21">
        <v>3235796980</v>
      </c>
    </row>
    <row r="206" spans="2:13" x14ac:dyDescent="0.3">
      <c r="B206" s="4">
        <v>44131</v>
      </c>
      <c r="C206" s="24">
        <v>7.1493304127143995</v>
      </c>
      <c r="E206" s="4">
        <v>44132</v>
      </c>
      <c r="F206" s="23">
        <v>1521422403516</v>
      </c>
      <c r="G206" s="19">
        <v>2.5482862955302861</v>
      </c>
      <c r="H206" s="31">
        <v>1419943909242</v>
      </c>
      <c r="I206" s="31">
        <v>101478494274</v>
      </c>
      <c r="J206" s="21">
        <v>62928135161</v>
      </c>
      <c r="K206" s="19">
        <v>8.5854596697538224</v>
      </c>
      <c r="L206" s="23">
        <v>58735182500</v>
      </c>
      <c r="M206" s="21">
        <v>4192952661</v>
      </c>
    </row>
    <row r="207" spans="2:13" x14ac:dyDescent="0.3">
      <c r="B207" s="4">
        <v>44132</v>
      </c>
      <c r="C207" s="24">
        <v>8.0134035318100967</v>
      </c>
      <c r="E207" s="4">
        <v>44133</v>
      </c>
      <c r="F207" s="23">
        <v>1526056753610</v>
      </c>
      <c r="G207" s="19">
        <v>2.5482031553392459</v>
      </c>
      <c r="H207" s="31">
        <v>1422451316096</v>
      </c>
      <c r="I207" s="31">
        <v>103605437514</v>
      </c>
      <c r="J207" s="21">
        <v>68232864131</v>
      </c>
      <c r="K207" s="19">
        <v>8.7645171342019701</v>
      </c>
      <c r="L207" s="23">
        <v>64147924409</v>
      </c>
      <c r="M207" s="21">
        <v>4084939722</v>
      </c>
    </row>
    <row r="208" spans="2:13" x14ac:dyDescent="0.3">
      <c r="B208" s="4">
        <v>44133</v>
      </c>
      <c r="C208" s="24">
        <v>8.2398062834759305</v>
      </c>
      <c r="E208" s="4">
        <v>44134</v>
      </c>
      <c r="F208" s="23">
        <v>1518543041136</v>
      </c>
      <c r="G208" s="19">
        <v>2.5800655618423813</v>
      </c>
      <c r="H208" s="31">
        <v>1414876278886</v>
      </c>
      <c r="I208" s="31">
        <v>103666762250</v>
      </c>
      <c r="J208" s="21">
        <v>73634572919</v>
      </c>
      <c r="K208" s="19">
        <v>8.472613381420631</v>
      </c>
      <c r="L208" s="23">
        <v>68983102528</v>
      </c>
      <c r="M208" s="21">
        <v>4651470391</v>
      </c>
    </row>
    <row r="209" spans="2:13" x14ac:dyDescent="0.3">
      <c r="B209" s="4">
        <v>44134</v>
      </c>
      <c r="C209" s="24">
        <v>7.937401337461055</v>
      </c>
      <c r="E209" s="4">
        <v>44137</v>
      </c>
      <c r="F209" s="23">
        <v>1521745962241</v>
      </c>
      <c r="G209" s="19">
        <v>2.5709956432886205</v>
      </c>
      <c r="H209" s="31">
        <v>1416357465677</v>
      </c>
      <c r="I209" s="31">
        <v>105388496564</v>
      </c>
      <c r="J209" s="21">
        <v>68112456777</v>
      </c>
      <c r="K209" s="19">
        <v>8.4010585951677168</v>
      </c>
      <c r="L209" s="23">
        <v>64520077289</v>
      </c>
      <c r="M209" s="21">
        <v>3592379488</v>
      </c>
    </row>
    <row r="210" spans="2:13" x14ac:dyDescent="0.3">
      <c r="B210" s="4">
        <v>44137</v>
      </c>
      <c r="C210" s="24">
        <v>7.9579709133714909</v>
      </c>
      <c r="E210" s="4">
        <v>44138</v>
      </c>
      <c r="F210" s="23">
        <v>1527582528331</v>
      </c>
      <c r="G210" s="19">
        <v>2.5431053938628958</v>
      </c>
      <c r="H210" s="31">
        <v>1419389002508</v>
      </c>
      <c r="I210" s="31">
        <v>108193525823</v>
      </c>
      <c r="J210" s="21">
        <v>69668945576</v>
      </c>
      <c r="K210" s="19">
        <v>8.8963383005990462</v>
      </c>
      <c r="L210" s="23">
        <v>65260571035</v>
      </c>
      <c r="M210" s="21">
        <v>4408374541</v>
      </c>
    </row>
    <row r="211" spans="2:13" x14ac:dyDescent="0.3">
      <c r="B211" s="4">
        <v>44138</v>
      </c>
      <c r="C211" s="24">
        <v>8.3334132993917045</v>
      </c>
      <c r="E211" s="4">
        <v>44139</v>
      </c>
      <c r="F211" s="23">
        <v>1532902891626</v>
      </c>
      <c r="G211" s="19">
        <v>2.5449965401044921</v>
      </c>
      <c r="H211" s="31">
        <v>1423028279513</v>
      </c>
      <c r="I211" s="31">
        <v>109874612113</v>
      </c>
      <c r="J211" s="21">
        <v>63977826236</v>
      </c>
      <c r="K211" s="19">
        <v>8.7832522883670201</v>
      </c>
      <c r="L211" s="23">
        <v>60106665177</v>
      </c>
      <c r="M211" s="21">
        <v>3871161059</v>
      </c>
    </row>
    <row r="212" spans="2:13" x14ac:dyDescent="0.3">
      <c r="B212" s="4">
        <v>44139</v>
      </c>
      <c r="C212" s="24">
        <v>8.251796528918808</v>
      </c>
      <c r="E212" s="4">
        <v>44140</v>
      </c>
      <c r="F212" s="23">
        <v>1540077236589</v>
      </c>
      <c r="G212" s="19">
        <v>2.5185174845088607</v>
      </c>
      <c r="H212" s="31">
        <v>1428468524741</v>
      </c>
      <c r="I212" s="31">
        <v>111608711848</v>
      </c>
      <c r="J212" s="21">
        <v>82255475252</v>
      </c>
      <c r="K212" s="19">
        <v>9.589686789463622</v>
      </c>
      <c r="L212" s="23">
        <v>78361476154</v>
      </c>
      <c r="M212" s="21">
        <v>3893999098</v>
      </c>
    </row>
    <row r="213" spans="2:13" x14ac:dyDescent="0.3">
      <c r="B213" s="4">
        <v>44140</v>
      </c>
      <c r="C213" s="24">
        <v>9.1357081139545304</v>
      </c>
      <c r="E213" s="4">
        <v>44141</v>
      </c>
      <c r="F213" s="23">
        <v>1540289073457</v>
      </c>
      <c r="G213" s="19">
        <v>2.528254050848854</v>
      </c>
      <c r="H213" s="31">
        <v>1428529448915</v>
      </c>
      <c r="I213" s="31">
        <v>111759624542</v>
      </c>
      <c r="J213" s="21">
        <v>81960860120</v>
      </c>
      <c r="K213" s="19">
        <v>9.3473471884353021</v>
      </c>
      <c r="L213" s="23">
        <v>78011021007</v>
      </c>
      <c r="M213" s="21">
        <v>3949839113</v>
      </c>
    </row>
    <row r="214" spans="2:13" x14ac:dyDescent="0.3">
      <c r="B214" s="4">
        <v>44141</v>
      </c>
      <c r="C214" s="24">
        <v>8.8968819605983018</v>
      </c>
      <c r="E214" s="4">
        <v>44144</v>
      </c>
      <c r="F214" s="23">
        <v>1553843832329</v>
      </c>
      <c r="G214" s="19">
        <v>2.5004298547334778</v>
      </c>
      <c r="H214" s="31">
        <v>1439348083313</v>
      </c>
      <c r="I214" s="31">
        <v>114495749016</v>
      </c>
      <c r="J214" s="21">
        <v>110295894516</v>
      </c>
      <c r="K214" s="19">
        <v>10.195931448545982</v>
      </c>
      <c r="L214" s="23">
        <v>105601991402</v>
      </c>
      <c r="M214" s="21">
        <v>4693903114</v>
      </c>
    </row>
    <row r="215" spans="2:13" x14ac:dyDescent="0.3">
      <c r="B215" s="4">
        <v>44144</v>
      </c>
      <c r="C215" s="24">
        <v>9.7620194286428479</v>
      </c>
      <c r="E215" s="4">
        <v>44145</v>
      </c>
      <c r="F215" s="23">
        <v>1556837672614</v>
      </c>
      <c r="G215" s="19">
        <v>2.5211626501390616</v>
      </c>
      <c r="H215" s="31">
        <v>1441725581493</v>
      </c>
      <c r="I215" s="31">
        <v>115112091121</v>
      </c>
      <c r="J215" s="21">
        <v>92326227169</v>
      </c>
      <c r="K215" s="19">
        <v>9.4223639298782267</v>
      </c>
      <c r="L215" s="23">
        <v>87451647859</v>
      </c>
      <c r="M215" s="21">
        <v>4874579310</v>
      </c>
    </row>
    <row r="216" spans="2:13" x14ac:dyDescent="0.3">
      <c r="B216" s="4">
        <v>44145</v>
      </c>
      <c r="C216" s="24">
        <v>8.9248881673324298</v>
      </c>
      <c r="E216" s="4">
        <v>44146</v>
      </c>
      <c r="F216" s="23">
        <v>1553833407179</v>
      </c>
      <c r="G216" s="19">
        <v>2.5408219982950229</v>
      </c>
      <c r="H216" s="31">
        <v>1440036743081</v>
      </c>
      <c r="I216" s="31">
        <v>113796664098</v>
      </c>
      <c r="J216" s="21">
        <v>80461459067</v>
      </c>
      <c r="K216" s="19">
        <v>9.2706254331669591</v>
      </c>
      <c r="L216" s="23">
        <v>76361386296</v>
      </c>
      <c r="M216" s="21">
        <v>4100072771</v>
      </c>
    </row>
    <row r="217" spans="2:13" x14ac:dyDescent="0.3">
      <c r="B217" s="4">
        <v>44146</v>
      </c>
      <c r="C217" s="24">
        <v>8.7982223802094328</v>
      </c>
      <c r="E217" s="4">
        <v>44147</v>
      </c>
      <c r="F217" s="23">
        <v>1554168238638</v>
      </c>
      <c r="G217" s="19">
        <v>2.5392909568952255</v>
      </c>
      <c r="H217" s="31">
        <v>1439634081819</v>
      </c>
      <c r="I217" s="31">
        <v>114534156819</v>
      </c>
      <c r="J217" s="21">
        <v>64236244677</v>
      </c>
      <c r="K217" s="19">
        <v>9.0898509165960117</v>
      </c>
      <c r="L217" s="23">
        <v>60533217459</v>
      </c>
      <c r="M217" s="21">
        <v>3703027218</v>
      </c>
    </row>
    <row r="218" spans="2:13" x14ac:dyDescent="0.3">
      <c r="B218" s="4">
        <v>44147</v>
      </c>
      <c r="C218" s="24">
        <v>8.5658482212178786</v>
      </c>
      <c r="E218" s="4">
        <v>44148</v>
      </c>
      <c r="F218" s="23">
        <v>1553359959222</v>
      </c>
      <c r="G218" s="19">
        <v>2.5545125097455523</v>
      </c>
      <c r="H218" s="31">
        <v>1438929147396</v>
      </c>
      <c r="I218" s="31">
        <v>114430811826</v>
      </c>
      <c r="J218" s="21">
        <v>67977335243</v>
      </c>
      <c r="K218" s="19">
        <v>9.3621506422968466</v>
      </c>
      <c r="L218" s="23">
        <v>63589754455</v>
      </c>
      <c r="M218" s="21">
        <v>4387580788</v>
      </c>
    </row>
    <row r="219" spans="2:13" x14ac:dyDescent="0.3">
      <c r="B219" s="4">
        <v>44148</v>
      </c>
      <c r="C219" s="24">
        <v>8.7578728761022173</v>
      </c>
      <c r="E219" s="4">
        <v>44151</v>
      </c>
      <c r="F219" s="23">
        <v>1560678880868</v>
      </c>
      <c r="G219" s="19">
        <v>2.5381389706664077</v>
      </c>
      <c r="H219" s="31">
        <v>1444362167481</v>
      </c>
      <c r="I219" s="31">
        <v>116316713387</v>
      </c>
      <c r="J219" s="21">
        <v>74475530267</v>
      </c>
      <c r="K219" s="19">
        <v>9.3149327964203668</v>
      </c>
      <c r="L219" s="23">
        <v>70522216190</v>
      </c>
      <c r="M219" s="21">
        <v>3953314077</v>
      </c>
    </row>
    <row r="220" spans="2:13" x14ac:dyDescent="0.3">
      <c r="B220" s="4">
        <v>44151</v>
      </c>
      <c r="C220" s="24">
        <v>8.820477036006471</v>
      </c>
      <c r="E220" s="4">
        <v>44152</v>
      </c>
      <c r="F220" s="23">
        <v>1563283751239</v>
      </c>
      <c r="G220" s="19">
        <v>2.5529320349558478</v>
      </c>
      <c r="H220" s="31">
        <v>1445897291775</v>
      </c>
      <c r="I220" s="31">
        <v>117386459464</v>
      </c>
      <c r="J220" s="21">
        <v>80336864503</v>
      </c>
      <c r="K220" s="19">
        <v>9.4285489628520978</v>
      </c>
      <c r="L220" s="23">
        <v>75739153456</v>
      </c>
      <c r="M220" s="21">
        <v>4597711047</v>
      </c>
    </row>
    <row r="221" spans="2:13" x14ac:dyDescent="0.3">
      <c r="B221" s="4">
        <v>44152</v>
      </c>
      <c r="C221" s="24">
        <v>8.888949315892182</v>
      </c>
      <c r="E221" s="4">
        <v>44153</v>
      </c>
      <c r="F221" s="23">
        <v>1565224950358</v>
      </c>
      <c r="G221" s="19">
        <v>2.5528359058403258</v>
      </c>
      <c r="H221" s="31">
        <v>1447449484271</v>
      </c>
      <c r="I221" s="31">
        <v>117775466087</v>
      </c>
      <c r="J221" s="21">
        <v>76324280657</v>
      </c>
      <c r="K221" s="19">
        <v>9.3057658732850896</v>
      </c>
      <c r="L221" s="23">
        <v>71952629255</v>
      </c>
      <c r="M221" s="21">
        <v>4371651402</v>
      </c>
    </row>
    <row r="222" spans="2:13" x14ac:dyDescent="0.3">
      <c r="B222" s="4">
        <v>44153</v>
      </c>
      <c r="C222" s="24">
        <v>8.7727564026887954</v>
      </c>
      <c r="E222" s="4">
        <v>44154</v>
      </c>
      <c r="F222" s="23">
        <v>1564003314753</v>
      </c>
      <c r="G222" s="19">
        <v>2.5358573898948977</v>
      </c>
      <c r="H222" s="31">
        <v>1446381975413</v>
      </c>
      <c r="I222" s="31">
        <v>117621339340</v>
      </c>
      <c r="J222" s="21">
        <v>67225967065</v>
      </c>
      <c r="K222" s="19">
        <v>8.6945349095475351</v>
      </c>
      <c r="L222" s="23">
        <v>63854254055</v>
      </c>
      <c r="M222" s="21">
        <v>3371713010</v>
      </c>
    </row>
    <row r="223" spans="2:13" x14ac:dyDescent="0.3">
      <c r="B223" s="4">
        <v>44154</v>
      </c>
      <c r="C223" s="24">
        <v>8.2584612054373991</v>
      </c>
      <c r="E223" s="4">
        <v>44155</v>
      </c>
      <c r="F223" s="23">
        <v>1563419426768</v>
      </c>
      <c r="G223" s="19">
        <v>2.5222607775146</v>
      </c>
      <c r="H223" s="31">
        <v>1445236425371</v>
      </c>
      <c r="I223" s="31">
        <v>118183001397</v>
      </c>
      <c r="J223" s="21">
        <v>68135504265</v>
      </c>
      <c r="K223" s="19">
        <v>9.0933231028974024</v>
      </c>
      <c r="L223" s="23">
        <v>64434658727</v>
      </c>
      <c r="M223" s="21">
        <v>3700845538</v>
      </c>
    </row>
    <row r="224" spans="2:13" x14ac:dyDescent="0.3">
      <c r="B224" s="4">
        <v>44155</v>
      </c>
      <c r="C224" s="24">
        <v>8.5994105004447459</v>
      </c>
      <c r="E224" s="4">
        <v>44158</v>
      </c>
      <c r="F224" s="23">
        <v>1573724281092</v>
      </c>
      <c r="G224" s="19">
        <v>2.5137138093054983</v>
      </c>
      <c r="H224" s="31">
        <v>1454182394477</v>
      </c>
      <c r="I224" s="31">
        <v>119541886615</v>
      </c>
      <c r="J224" s="21">
        <v>98017632481</v>
      </c>
      <c r="K224" s="19">
        <v>10.290198831486164</v>
      </c>
      <c r="L224" s="23">
        <v>93979779544</v>
      </c>
      <c r="M224" s="21">
        <v>4037852937</v>
      </c>
    </row>
    <row r="225" spans="2:13" x14ac:dyDescent="0.3">
      <c r="B225" s="4">
        <v>44158</v>
      </c>
      <c r="C225" s="24">
        <v>9.8662923513731631</v>
      </c>
      <c r="E225" s="4">
        <v>44159</v>
      </c>
      <c r="F225" s="23">
        <v>1577090235379</v>
      </c>
      <c r="G225" s="19">
        <v>2.5271586587214703</v>
      </c>
      <c r="H225" s="31">
        <v>1458716501527</v>
      </c>
      <c r="I225" s="31">
        <v>118373733852</v>
      </c>
      <c r="J225" s="21">
        <v>81173618194</v>
      </c>
      <c r="K225" s="19">
        <v>9.7910499580715378</v>
      </c>
      <c r="L225" s="23">
        <v>77840719161</v>
      </c>
      <c r="M225" s="21">
        <v>3332899033</v>
      </c>
    </row>
    <row r="226" spans="2:13" x14ac:dyDescent="0.3">
      <c r="B226" s="4">
        <v>44159</v>
      </c>
      <c r="C226" s="24">
        <v>9.3890402699075644</v>
      </c>
      <c r="E226" s="4">
        <v>44160</v>
      </c>
      <c r="F226" s="23">
        <v>1576773834870</v>
      </c>
      <c r="G226" s="19">
        <v>2.5625209862518212</v>
      </c>
      <c r="H226" s="31">
        <v>1460488051215</v>
      </c>
      <c r="I226" s="31">
        <v>116285783655</v>
      </c>
      <c r="J226" s="21">
        <v>83172073950</v>
      </c>
      <c r="K226" s="19">
        <v>9.6467753124437632</v>
      </c>
      <c r="L226" s="23">
        <v>79644685697</v>
      </c>
      <c r="M226" s="21">
        <v>3527388253</v>
      </c>
    </row>
    <row r="227" spans="2:13" x14ac:dyDescent="0.3">
      <c r="B227" s="4">
        <v>44160</v>
      </c>
      <c r="C227" s="24">
        <v>9.2376485430800361</v>
      </c>
      <c r="E227" s="4">
        <v>44161</v>
      </c>
      <c r="F227" s="23">
        <v>1573696973933</v>
      </c>
      <c r="G227" s="19">
        <v>2.5577640372203696</v>
      </c>
      <c r="H227" s="31">
        <v>1457362341551</v>
      </c>
      <c r="I227" s="31">
        <v>116334632382</v>
      </c>
      <c r="J227" s="21">
        <v>65564936688</v>
      </c>
      <c r="K227" s="19">
        <v>8.9553167772681626</v>
      </c>
      <c r="L227" s="23">
        <v>62088321829</v>
      </c>
      <c r="M227" s="21">
        <v>3476614859</v>
      </c>
    </row>
    <row r="228" spans="2:13" x14ac:dyDescent="0.3">
      <c r="B228" s="4">
        <v>44161</v>
      </c>
      <c r="C228" s="24">
        <v>8.4804564487505143</v>
      </c>
      <c r="E228" s="4">
        <v>44162</v>
      </c>
      <c r="F228" s="23">
        <v>1570222492391</v>
      </c>
      <c r="G228" s="19">
        <v>2.5296019593837502</v>
      </c>
      <c r="H228" s="31">
        <v>1452455561388</v>
      </c>
      <c r="I228" s="31">
        <v>117766931003</v>
      </c>
      <c r="J228" s="21">
        <v>65827276791</v>
      </c>
      <c r="K228" s="19">
        <v>9.0833919736533879</v>
      </c>
      <c r="L228" s="23">
        <v>62245254304</v>
      </c>
      <c r="M228" s="21">
        <v>3582022487</v>
      </c>
    </row>
    <row r="229" spans="2:13" x14ac:dyDescent="0.3">
      <c r="B229" s="4">
        <v>44162</v>
      </c>
      <c r="C229" s="24">
        <v>8.5891148913556403</v>
      </c>
      <c r="E229" s="4">
        <v>44165</v>
      </c>
      <c r="F229" s="23">
        <v>1574676764964</v>
      </c>
      <c r="G229" s="19">
        <v>2.5470034412337488</v>
      </c>
      <c r="H229" s="31">
        <v>1457182537819</v>
      </c>
      <c r="I229" s="31">
        <v>117494227145</v>
      </c>
      <c r="J229" s="21">
        <v>96079276523</v>
      </c>
      <c r="K229" s="19">
        <v>10.122703079450419</v>
      </c>
      <c r="L229" s="23">
        <v>91491838570</v>
      </c>
      <c r="M229" s="21">
        <v>4587437953</v>
      </c>
    </row>
    <row r="230" spans="2:13" x14ac:dyDescent="0.3">
      <c r="B230" s="4">
        <v>44165</v>
      </c>
      <c r="C230" s="24">
        <v>9.639380619351499</v>
      </c>
      <c r="E230" s="4">
        <v>44166</v>
      </c>
      <c r="F230" s="23">
        <v>1581970153887</v>
      </c>
      <c r="G230" s="19">
        <v>2.5146532911508626</v>
      </c>
      <c r="H230" s="31">
        <v>1462990221665</v>
      </c>
      <c r="I230" s="31">
        <v>118979932222</v>
      </c>
      <c r="J230" s="21">
        <v>87760517681</v>
      </c>
      <c r="K230" s="19">
        <v>10.158293390024212</v>
      </c>
      <c r="L230" s="23">
        <v>83762643745</v>
      </c>
      <c r="M230" s="21">
        <v>3997873936</v>
      </c>
    </row>
    <row r="231" spans="2:13" x14ac:dyDescent="0.3">
      <c r="B231" s="4">
        <v>44166</v>
      </c>
      <c r="C231" s="24">
        <v>9.6955388683857056</v>
      </c>
      <c r="E231" s="4">
        <v>44167</v>
      </c>
      <c r="F231" s="23">
        <v>1588990510735</v>
      </c>
      <c r="G231" s="19">
        <v>2.5242475959399746</v>
      </c>
      <c r="H231" s="31">
        <v>1469359611159</v>
      </c>
      <c r="I231" s="31">
        <v>119630899576</v>
      </c>
      <c r="J231" s="21">
        <v>89834332661</v>
      </c>
      <c r="K231" s="19">
        <v>10.209152839137154</v>
      </c>
      <c r="L231" s="23">
        <v>84759725721</v>
      </c>
      <c r="M231" s="21">
        <v>5074606940</v>
      </c>
    </row>
    <row r="232" spans="2:13" x14ac:dyDescent="0.3">
      <c r="B232" s="4">
        <v>44167</v>
      </c>
      <c r="C232" s="24">
        <v>9.6324530817681389</v>
      </c>
      <c r="E232" s="4">
        <v>44168</v>
      </c>
      <c r="F232" s="23">
        <v>1587927541891</v>
      </c>
      <c r="G232" s="19">
        <v>2.5265460178575987</v>
      </c>
      <c r="H232" s="31">
        <v>1470141420164</v>
      </c>
      <c r="I232" s="31">
        <v>117786121727</v>
      </c>
      <c r="J232" s="21">
        <v>81197268189</v>
      </c>
      <c r="K232" s="19">
        <v>9.83734039527228</v>
      </c>
      <c r="L232" s="23">
        <v>76671480053</v>
      </c>
      <c r="M232" s="21">
        <v>4525788136</v>
      </c>
    </row>
    <row r="233" spans="2:13" x14ac:dyDescent="0.3">
      <c r="B233" s="4">
        <v>44168</v>
      </c>
      <c r="C233" s="24">
        <v>9.2890249230437671</v>
      </c>
      <c r="E233" s="4">
        <v>44169</v>
      </c>
      <c r="F233" s="23">
        <v>1586604130970</v>
      </c>
      <c r="G233" s="19">
        <v>2.517201341693855</v>
      </c>
      <c r="H233" s="31">
        <v>1469095422342</v>
      </c>
      <c r="I233" s="31">
        <v>117508708628</v>
      </c>
      <c r="J233" s="21">
        <v>71783715615</v>
      </c>
      <c r="K233" s="19">
        <v>9.5977169062636847</v>
      </c>
      <c r="L233" s="23">
        <v>67870129043</v>
      </c>
      <c r="M233" s="21">
        <v>3913586572</v>
      </c>
    </row>
    <row r="234" spans="2:13" x14ac:dyDescent="0.3">
      <c r="B234" s="4">
        <v>44169</v>
      </c>
      <c r="C234" s="24">
        <v>9.0744576171003075</v>
      </c>
      <c r="E234" s="4">
        <v>44172</v>
      </c>
      <c r="F234" s="23">
        <v>1590173680287</v>
      </c>
      <c r="G234" s="19">
        <v>2.537980281062358</v>
      </c>
      <c r="H234" s="31">
        <v>1474007024384</v>
      </c>
      <c r="I234" s="31">
        <v>116166655903</v>
      </c>
      <c r="J234" s="21">
        <v>73496426915</v>
      </c>
      <c r="K234" s="19">
        <v>9.5697582378873047</v>
      </c>
      <c r="L234" s="23">
        <v>70069362721</v>
      </c>
      <c r="M234" s="21">
        <v>3427064194</v>
      </c>
    </row>
    <row r="235" spans="2:13" x14ac:dyDescent="0.3">
      <c r="B235" s="4">
        <v>44172</v>
      </c>
      <c r="C235" s="24">
        <v>9.1235300717176813</v>
      </c>
      <c r="E235" s="4">
        <v>44173</v>
      </c>
      <c r="F235" s="23">
        <v>1589879200427</v>
      </c>
      <c r="G235" s="19">
        <v>2.5390455821438325</v>
      </c>
      <c r="H235" s="31">
        <v>1474068671159</v>
      </c>
      <c r="I235" s="31">
        <v>115810529268</v>
      </c>
      <c r="J235" s="21">
        <v>66175769054</v>
      </c>
      <c r="K235" s="19">
        <v>9.4407911320931781</v>
      </c>
      <c r="L235" s="23">
        <v>62135402673</v>
      </c>
      <c r="M235" s="21">
        <v>4040366381</v>
      </c>
    </row>
    <row r="236" spans="2:13" x14ac:dyDescent="0.3">
      <c r="B236" s="4">
        <v>44173</v>
      </c>
      <c r="C236" s="24">
        <v>8.8643829445430473</v>
      </c>
      <c r="E236" s="4">
        <v>44174</v>
      </c>
      <c r="F236" s="23">
        <v>1583781814774</v>
      </c>
      <c r="G236" s="19">
        <v>2.5651346081457964</v>
      </c>
      <c r="H236" s="31">
        <v>1469165987662</v>
      </c>
      <c r="I236" s="31">
        <v>114615827112</v>
      </c>
      <c r="J236" s="21">
        <v>72863756965</v>
      </c>
      <c r="K236" s="19">
        <v>9.2116754422108418</v>
      </c>
      <c r="L236" s="23">
        <v>68892666869</v>
      </c>
      <c r="M236" s="21">
        <v>3971090096</v>
      </c>
    </row>
    <row r="237" spans="2:13" x14ac:dyDescent="0.3">
      <c r="B237" s="4">
        <v>44174</v>
      </c>
      <c r="C237" s="24">
        <v>8.7096371910992332</v>
      </c>
      <c r="E237" s="4">
        <v>44175</v>
      </c>
      <c r="F237" s="23">
        <v>1583936018362</v>
      </c>
      <c r="G237" s="19">
        <v>2.5630905064927276</v>
      </c>
      <c r="H237" s="31">
        <v>1468600882774</v>
      </c>
      <c r="I237" s="31">
        <v>115335135588</v>
      </c>
      <c r="J237" s="21">
        <v>62807338303</v>
      </c>
      <c r="K237" s="19">
        <v>8.8625860261791551</v>
      </c>
      <c r="L237" s="23">
        <v>59285032232</v>
      </c>
      <c r="M237" s="21">
        <v>3522306071</v>
      </c>
    </row>
    <row r="238" spans="2:13" x14ac:dyDescent="0.3">
      <c r="B238" s="4">
        <v>44175</v>
      </c>
      <c r="C238" s="24">
        <v>8.3655622482541556</v>
      </c>
      <c r="E238" s="4">
        <v>44176</v>
      </c>
      <c r="F238" s="23">
        <v>1578231718424</v>
      </c>
      <c r="G238" s="19">
        <v>2.5809043709570645</v>
      </c>
      <c r="H238" s="31">
        <v>1463893168952</v>
      </c>
      <c r="I238" s="31">
        <v>114338549472</v>
      </c>
      <c r="J238" s="21">
        <v>68347565287</v>
      </c>
      <c r="K238" s="19">
        <v>8.1927024629679739</v>
      </c>
      <c r="L238" s="23">
        <v>64686509083</v>
      </c>
      <c r="M238" s="21">
        <v>3661056204</v>
      </c>
    </row>
    <row r="239" spans="2:13" x14ac:dyDescent="0.3">
      <c r="B239" s="4">
        <v>44176</v>
      </c>
      <c r="C239" s="24">
        <v>7.7538580936970769</v>
      </c>
      <c r="E239" s="4">
        <v>44179</v>
      </c>
      <c r="F239" s="23">
        <v>1582821785103</v>
      </c>
      <c r="G239" s="19">
        <v>2.5640819923885889</v>
      </c>
      <c r="H239" s="31">
        <v>1466750558557</v>
      </c>
      <c r="I239" s="31">
        <v>116071226546</v>
      </c>
      <c r="J239" s="21">
        <v>61010426182</v>
      </c>
      <c r="K239" s="19">
        <v>8.6029856245569576</v>
      </c>
      <c r="L239" s="23">
        <v>57810832530</v>
      </c>
      <c r="M239" s="21">
        <v>3199593652</v>
      </c>
    </row>
    <row r="240" spans="2:13" x14ac:dyDescent="0.3">
      <c r="B240" s="4">
        <v>44179</v>
      </c>
      <c r="C240" s="24">
        <v>8.1518158833316328</v>
      </c>
      <c r="E240" s="4">
        <v>44180</v>
      </c>
      <c r="F240" s="23">
        <v>1584467393819</v>
      </c>
      <c r="G240" s="19">
        <v>2.5626932954878856</v>
      </c>
      <c r="H240" s="31">
        <v>1466944767034</v>
      </c>
      <c r="I240" s="31">
        <v>117522626785</v>
      </c>
      <c r="J240" s="21">
        <v>62958628313</v>
      </c>
      <c r="K240" s="19">
        <v>8.8797795455143937</v>
      </c>
      <c r="L240" s="23">
        <v>58657260909</v>
      </c>
      <c r="M240" s="21">
        <v>4301367404</v>
      </c>
    </row>
    <row r="241" spans="2:13" x14ac:dyDescent="0.3">
      <c r="B241" s="4">
        <v>44180</v>
      </c>
      <c r="C241" s="24">
        <v>8.2731082231677036</v>
      </c>
      <c r="E241" s="4">
        <v>44181</v>
      </c>
      <c r="F241" s="23">
        <v>1586623087000</v>
      </c>
      <c r="G241" s="19">
        <v>2.5684865643969763</v>
      </c>
      <c r="H241" s="31">
        <v>1467500912937</v>
      </c>
      <c r="I241" s="31">
        <v>119122174063</v>
      </c>
      <c r="J241" s="21">
        <v>62488100451</v>
      </c>
      <c r="K241" s="19">
        <v>8.9229503257937246</v>
      </c>
      <c r="L241" s="23">
        <v>57944752187</v>
      </c>
      <c r="M241" s="21">
        <v>4543348264</v>
      </c>
    </row>
    <row r="242" spans="2:13" x14ac:dyDescent="0.3">
      <c r="B242" s="4">
        <v>44181</v>
      </c>
      <c r="C242" s="24">
        <v>8.2741856717258244</v>
      </c>
      <c r="E242" s="4">
        <v>44182</v>
      </c>
      <c r="F242" s="23">
        <v>1591995736362</v>
      </c>
      <c r="G242" s="19">
        <v>2.5493942499109892</v>
      </c>
      <c r="H242" s="31">
        <v>1470254271570</v>
      </c>
      <c r="I242" s="31">
        <v>121741464792</v>
      </c>
      <c r="J242" s="21">
        <v>74875225913</v>
      </c>
      <c r="K242" s="19">
        <v>9.465317582289444</v>
      </c>
      <c r="L242" s="23">
        <v>70843926883</v>
      </c>
      <c r="M242" s="21">
        <v>4031299030</v>
      </c>
    </row>
    <row r="243" spans="2:13" x14ac:dyDescent="0.3">
      <c r="B243" s="4">
        <v>44182</v>
      </c>
      <c r="C243" s="24">
        <v>8.9557027514445675</v>
      </c>
      <c r="E243" s="4">
        <v>44183</v>
      </c>
      <c r="F243" s="23">
        <v>1594138315413</v>
      </c>
      <c r="G243" s="19">
        <v>2.5598106236295086</v>
      </c>
      <c r="H243" s="31">
        <v>1471634656359</v>
      </c>
      <c r="I243" s="31">
        <v>122503659054</v>
      </c>
      <c r="J243" s="21">
        <v>74105713532</v>
      </c>
      <c r="K243" s="19">
        <v>9.6184506153348668</v>
      </c>
      <c r="L243" s="23">
        <v>69563791175</v>
      </c>
      <c r="M243" s="21">
        <v>4541922357</v>
      </c>
    </row>
    <row r="244" spans="2:13" x14ac:dyDescent="0.3">
      <c r="B244" s="4">
        <v>44183</v>
      </c>
      <c r="C244" s="24">
        <v>9.0289379609478964</v>
      </c>
      <c r="E244" s="4">
        <v>44186</v>
      </c>
      <c r="F244" s="23">
        <v>1601596400157</v>
      </c>
      <c r="G244" s="19">
        <v>2.5414305433189424</v>
      </c>
      <c r="H244" s="31">
        <v>1477677271209</v>
      </c>
      <c r="I244" s="31">
        <v>123919128948</v>
      </c>
      <c r="J244" s="21">
        <v>87679680906</v>
      </c>
      <c r="K244" s="19">
        <v>10.151772283461797</v>
      </c>
      <c r="L244" s="23">
        <v>83712486621</v>
      </c>
      <c r="M244" s="21">
        <v>3967194285</v>
      </c>
    </row>
    <row r="245" spans="2:13" x14ac:dyDescent="0.3">
      <c r="B245" s="4">
        <v>44186</v>
      </c>
      <c r="C245" s="24">
        <v>9.6924406279468993</v>
      </c>
      <c r="E245" s="4">
        <v>44187</v>
      </c>
      <c r="F245" s="23">
        <v>1601840019566</v>
      </c>
      <c r="G245" s="19">
        <v>2.5868120961525238</v>
      </c>
      <c r="H245" s="31">
        <v>1478532490253</v>
      </c>
      <c r="I245" s="31">
        <v>123307529313</v>
      </c>
      <c r="J245" s="21">
        <v>95380017379</v>
      </c>
      <c r="K245" s="19">
        <v>9.9703609921670733</v>
      </c>
      <c r="L245" s="23">
        <v>90357854121</v>
      </c>
      <c r="M245" s="21">
        <v>5022163258</v>
      </c>
    </row>
    <row r="246" spans="2:13" x14ac:dyDescent="0.3">
      <c r="B246" s="4">
        <v>44187</v>
      </c>
      <c r="C246" s="24">
        <v>9.4453791142031633</v>
      </c>
      <c r="E246" s="4">
        <v>44188</v>
      </c>
      <c r="F246" s="23">
        <v>1607841891042</v>
      </c>
      <c r="G246" s="19">
        <v>2.5772817313305749</v>
      </c>
      <c r="H246" s="31">
        <v>1482422205793</v>
      </c>
      <c r="I246" s="31">
        <v>125419685249</v>
      </c>
      <c r="J246" s="21">
        <v>91115118876</v>
      </c>
      <c r="K246" s="19">
        <v>9.8159964796515329</v>
      </c>
      <c r="L246" s="23">
        <v>86384490281</v>
      </c>
      <c r="M246" s="21">
        <v>4730628595</v>
      </c>
    </row>
    <row r="247" spans="2:13" x14ac:dyDescent="0.3">
      <c r="B247" s="4">
        <v>44188</v>
      </c>
      <c r="C247" s="24">
        <v>9.3063573088103677</v>
      </c>
      <c r="E247" s="4">
        <v>44189</v>
      </c>
      <c r="F247" s="23">
        <v>1609383748924</v>
      </c>
      <c r="G247" s="19">
        <v>2.5981563426812424</v>
      </c>
      <c r="H247" s="31">
        <v>1482546305535</v>
      </c>
      <c r="I247" s="31">
        <v>126837443389</v>
      </c>
      <c r="J247" s="21">
        <v>82523922546</v>
      </c>
      <c r="K247" s="19">
        <v>9.9989564141650007</v>
      </c>
      <c r="L247" s="23">
        <v>77350970640</v>
      </c>
      <c r="M247" s="21">
        <v>5172951906</v>
      </c>
    </row>
    <row r="248" spans="2:13" x14ac:dyDescent="0.3">
      <c r="B248" s="4">
        <v>44189</v>
      </c>
      <c r="C248" s="24">
        <v>9.3721791228670259</v>
      </c>
      <c r="E248" s="4">
        <v>44190</v>
      </c>
      <c r="F248" s="23">
        <v>1611381231017</v>
      </c>
      <c r="G248" s="19">
        <v>2.5771323350568331</v>
      </c>
      <c r="H248" s="31">
        <v>1482865552647</v>
      </c>
      <c r="I248" s="31">
        <v>128515678370</v>
      </c>
      <c r="J248" s="21">
        <v>80786635234</v>
      </c>
      <c r="K248" s="19">
        <v>10.187256713337192</v>
      </c>
      <c r="L248" s="23">
        <v>76609906404</v>
      </c>
      <c r="M248" s="21">
        <v>4176728830</v>
      </c>
    </row>
    <row r="249" spans="2:13" x14ac:dyDescent="0.3">
      <c r="B249" s="4">
        <v>44190</v>
      </c>
      <c r="C249" s="24">
        <v>9.6605680018942479</v>
      </c>
      <c r="E249" s="4">
        <v>44193</v>
      </c>
      <c r="F249" s="23">
        <v>1615288968317</v>
      </c>
      <c r="G249" s="19">
        <v>2.5788317875707683</v>
      </c>
      <c r="H249" s="31">
        <v>1485807642514</v>
      </c>
      <c r="I249" s="31">
        <v>129481325803</v>
      </c>
      <c r="J249" s="21">
        <v>83636166663</v>
      </c>
      <c r="K249" s="19">
        <v>9.5018090168674032</v>
      </c>
      <c r="L249" s="23">
        <v>78772445818</v>
      </c>
      <c r="M249" s="21">
        <v>4863720845</v>
      </c>
    </row>
    <row r="250" spans="2:13" x14ac:dyDescent="0.3">
      <c r="B250" s="4">
        <v>44193</v>
      </c>
      <c r="C250" s="24">
        <v>8.9492472672745471</v>
      </c>
      <c r="E250" s="4">
        <v>44194</v>
      </c>
      <c r="F250" s="23">
        <v>1609041906646</v>
      </c>
      <c r="G250" s="19">
        <v>2.5822766813670865</v>
      </c>
      <c r="H250" s="31">
        <v>1479527274359</v>
      </c>
      <c r="I250" s="31">
        <v>129514632287</v>
      </c>
      <c r="J250" s="21">
        <v>78619877167</v>
      </c>
      <c r="K250" s="19">
        <v>9.1520702654116697</v>
      </c>
      <c r="L250" s="23">
        <v>73556354350</v>
      </c>
      <c r="M250" s="21">
        <v>5063522817</v>
      </c>
    </row>
    <row r="251" spans="2:13" x14ac:dyDescent="0.3">
      <c r="B251" s="4">
        <v>44194</v>
      </c>
      <c r="C251" s="24">
        <v>8.5626300591739675</v>
      </c>
      <c r="E251" s="4">
        <v>44195</v>
      </c>
      <c r="F251" s="23">
        <v>1616438967200</v>
      </c>
      <c r="G251" s="19">
        <v>2.5641955996381212</v>
      </c>
      <c r="H251" s="31">
        <v>1483072760375</v>
      </c>
      <c r="I251" s="31">
        <v>133366206825</v>
      </c>
      <c r="J251" s="21">
        <v>83772405437</v>
      </c>
      <c r="K251" s="19">
        <v>9.8991089523795477</v>
      </c>
      <c r="L251" s="23">
        <v>78141184124</v>
      </c>
      <c r="M251" s="21">
        <v>5631221313</v>
      </c>
    </row>
    <row r="252" spans="2:13" x14ac:dyDescent="0.3">
      <c r="B252" s="4">
        <v>44195</v>
      </c>
      <c r="C252" s="24">
        <v>9.2336860959919456</v>
      </c>
      <c r="E252" s="4">
        <v>44196</v>
      </c>
      <c r="F252" s="23">
        <v>1619008122286</v>
      </c>
      <c r="G252" s="19">
        <v>2.524977870261647</v>
      </c>
      <c r="H252" s="31">
        <v>1482024045361</v>
      </c>
      <c r="I252" s="31">
        <v>136984076925</v>
      </c>
      <c r="J252" s="21">
        <v>97251928607</v>
      </c>
      <c r="K252" s="19">
        <v>10.120121052647676</v>
      </c>
      <c r="L252" s="23">
        <v>91163348668</v>
      </c>
      <c r="M252" s="21">
        <v>6088579939</v>
      </c>
    </row>
    <row r="253" spans="2:13" x14ac:dyDescent="0.3">
      <c r="B253" s="4">
        <v>44196</v>
      </c>
      <c r="C253" s="24">
        <v>9.4865380800117265</v>
      </c>
      <c r="E253" s="4">
        <v>44200</v>
      </c>
      <c r="F253" s="23">
        <v>1643646221827</v>
      </c>
      <c r="G253" s="19">
        <v>2.5289749626216609</v>
      </c>
      <c r="H253" s="31">
        <v>1505720836807</v>
      </c>
      <c r="I253" s="31">
        <v>137925385020</v>
      </c>
      <c r="J253" s="21">
        <v>128767662231</v>
      </c>
      <c r="K253" s="19">
        <v>11.067798799945056</v>
      </c>
      <c r="L253" s="23">
        <v>123371313764</v>
      </c>
      <c r="M253" s="21">
        <v>5396348467</v>
      </c>
    </row>
    <row r="254" spans="2:13" x14ac:dyDescent="0.3">
      <c r="B254" s="4">
        <v>44200</v>
      </c>
      <c r="C254" s="24">
        <v>10.603973503652853</v>
      </c>
      <c r="E254" s="4">
        <v>44201</v>
      </c>
      <c r="F254" s="23">
        <v>1655687080768</v>
      </c>
      <c r="G254" s="19">
        <v>2.5193905695520491</v>
      </c>
      <c r="H254" s="31">
        <v>1515565562814</v>
      </c>
      <c r="I254" s="31">
        <v>140121517954</v>
      </c>
      <c r="J254" s="21">
        <v>135477290144</v>
      </c>
      <c r="K254" s="19">
        <v>10.705439023148402</v>
      </c>
      <c r="L254" s="23">
        <v>129419725602</v>
      </c>
      <c r="M254" s="21">
        <v>6057564542</v>
      </c>
    </row>
    <row r="255" spans="2:13" x14ac:dyDescent="0.3">
      <c r="B255" s="4">
        <v>44201</v>
      </c>
      <c r="C255" s="24">
        <v>10.226769219786981</v>
      </c>
      <c r="E255" s="4">
        <v>44202</v>
      </c>
      <c r="F255" s="23">
        <v>1663093415016</v>
      </c>
      <c r="G255" s="19">
        <v>2.5212138668365172</v>
      </c>
      <c r="H255" s="31">
        <v>1521280831544</v>
      </c>
      <c r="I255" s="31">
        <v>141812583472</v>
      </c>
      <c r="J255" s="21">
        <v>117736678199</v>
      </c>
      <c r="K255" s="19">
        <v>10.093584524287211</v>
      </c>
      <c r="L255" s="23">
        <v>112625945762</v>
      </c>
      <c r="M255" s="21">
        <v>5110732437</v>
      </c>
    </row>
    <row r="256" spans="2:13" x14ac:dyDescent="0.3">
      <c r="B256" s="4">
        <v>44202</v>
      </c>
      <c r="C256" s="24">
        <v>9.6554406032680937</v>
      </c>
      <c r="E256" s="4">
        <v>44203</v>
      </c>
      <c r="F256" s="23">
        <v>1673031399620</v>
      </c>
      <c r="G256" s="19">
        <v>2.5224292213137303</v>
      </c>
      <c r="H256" s="31">
        <v>1527506736251</v>
      </c>
      <c r="I256" s="31">
        <v>145524663369</v>
      </c>
      <c r="J256" s="21">
        <v>128420112177</v>
      </c>
      <c r="K256" s="19">
        <v>10.562936440050644</v>
      </c>
      <c r="L256" s="23">
        <v>121456750785</v>
      </c>
      <c r="M256" s="21">
        <v>6963361392</v>
      </c>
    </row>
    <row r="257" spans="2:13" x14ac:dyDescent="0.3">
      <c r="B257" s="4">
        <v>44203</v>
      </c>
      <c r="C257" s="24">
        <v>9.9901792406843892</v>
      </c>
      <c r="E257" s="4">
        <v>44204</v>
      </c>
      <c r="F257" s="23">
        <v>1672599746717</v>
      </c>
      <c r="G257" s="19">
        <v>2.5281207879099177</v>
      </c>
      <c r="H257" s="31">
        <v>1526379569467</v>
      </c>
      <c r="I257" s="31">
        <v>146220177250</v>
      </c>
      <c r="J257" s="21">
        <v>115080778874</v>
      </c>
      <c r="K257" s="19">
        <v>10.169845803920472</v>
      </c>
      <c r="L257" s="23">
        <v>108823838766</v>
      </c>
      <c r="M257" s="21">
        <v>6256940108</v>
      </c>
    </row>
    <row r="258" spans="2:13" x14ac:dyDescent="0.3">
      <c r="B258" s="4">
        <v>44204</v>
      </c>
      <c r="C258" s="24">
        <v>9.6169114501097877</v>
      </c>
      <c r="E258" s="4">
        <v>44207</v>
      </c>
      <c r="F258" s="23">
        <v>1673642943510</v>
      </c>
      <c r="G258" s="19">
        <v>2.562885867384689</v>
      </c>
      <c r="H258" s="31">
        <v>1528856054433</v>
      </c>
      <c r="I258" s="31">
        <v>144786889077</v>
      </c>
      <c r="J258" s="21">
        <v>124371424296</v>
      </c>
      <c r="K258" s="19">
        <v>10.268884102990166</v>
      </c>
      <c r="L258" s="23">
        <v>118276809012</v>
      </c>
      <c r="M258" s="21">
        <v>6094615284</v>
      </c>
    </row>
    <row r="259" spans="2:13" x14ac:dyDescent="0.3">
      <c r="B259" s="4">
        <v>44207</v>
      </c>
      <c r="C259" s="24">
        <v>9.7656744761971304</v>
      </c>
      <c r="E259" s="4">
        <v>44208</v>
      </c>
      <c r="F259" s="23">
        <v>1684483829088</v>
      </c>
      <c r="G259" s="19">
        <v>2.5274244847241536</v>
      </c>
      <c r="H259" s="31">
        <v>1537085877206</v>
      </c>
      <c r="I259" s="31">
        <v>147397951882</v>
      </c>
      <c r="J259" s="21">
        <v>122551455180</v>
      </c>
      <c r="K259" s="19">
        <v>11.248812699749223</v>
      </c>
      <c r="L259" s="23">
        <v>116010186951</v>
      </c>
      <c r="M259" s="21">
        <v>6541268229</v>
      </c>
    </row>
    <row r="260" spans="2:13" x14ac:dyDescent="0.3">
      <c r="B260" s="4">
        <v>44208</v>
      </c>
      <c r="C260" s="24">
        <v>10.648399583325864</v>
      </c>
      <c r="E260" s="4">
        <v>44209</v>
      </c>
      <c r="F260" s="23">
        <v>1686058153338</v>
      </c>
      <c r="G260" s="19">
        <v>2.5438992521045685</v>
      </c>
      <c r="H260" s="31">
        <v>1540221819504</v>
      </c>
      <c r="I260" s="31">
        <v>145836333834</v>
      </c>
      <c r="J260" s="21">
        <v>135601569297</v>
      </c>
      <c r="K260" s="19">
        <v>10.991237026045374</v>
      </c>
      <c r="L260" s="23">
        <v>129997031325</v>
      </c>
      <c r="M260" s="21">
        <v>5604537972</v>
      </c>
    </row>
    <row r="261" spans="2:13" x14ac:dyDescent="0.3">
      <c r="B261" s="4">
        <v>44209</v>
      </c>
      <c r="C261" s="24">
        <v>10.536959058680534</v>
      </c>
      <c r="E261" s="4">
        <v>44210</v>
      </c>
      <c r="F261" s="23">
        <v>1682663831690</v>
      </c>
      <c r="G261" s="19">
        <v>2.5675257384839001</v>
      </c>
      <c r="H261" s="31">
        <v>1538678412808</v>
      </c>
      <c r="I261" s="31">
        <v>143985418882</v>
      </c>
      <c r="J261" s="21">
        <v>118055044224</v>
      </c>
      <c r="K261" s="19">
        <v>10.535017234998381</v>
      </c>
      <c r="L261" s="23">
        <v>112629476736</v>
      </c>
      <c r="M261" s="21">
        <v>5425567488</v>
      </c>
    </row>
    <row r="262" spans="2:13" x14ac:dyDescent="0.3">
      <c r="B262" s="4">
        <v>44210</v>
      </c>
      <c r="C262" s="24">
        <v>10.050849469262991</v>
      </c>
      <c r="E262" s="4">
        <v>44211</v>
      </c>
      <c r="F262" s="23">
        <v>1680173262896</v>
      </c>
      <c r="G262" s="19">
        <v>2.5616734255838143</v>
      </c>
      <c r="H262" s="31">
        <v>1536545834952</v>
      </c>
      <c r="I262" s="31">
        <v>143627427944</v>
      </c>
      <c r="J262" s="21">
        <v>105090495035</v>
      </c>
      <c r="K262" s="19">
        <v>10.14620449398155</v>
      </c>
      <c r="L262" s="23">
        <v>99483475124</v>
      </c>
      <c r="M262" s="21">
        <v>5607019911</v>
      </c>
    </row>
    <row r="263" spans="2:13" x14ac:dyDescent="0.3">
      <c r="B263" s="4">
        <v>44211</v>
      </c>
      <c r="C263" s="24">
        <v>9.6048618102318422</v>
      </c>
      <c r="E263" s="4">
        <v>44214</v>
      </c>
      <c r="F263" s="23">
        <v>1689283516593</v>
      </c>
      <c r="G263" s="19">
        <v>2.5446891823119087</v>
      </c>
      <c r="H263" s="31">
        <v>1544509708363</v>
      </c>
      <c r="I263" s="31">
        <v>144773808230</v>
      </c>
      <c r="J263" s="21">
        <v>106548276452</v>
      </c>
      <c r="K263" s="19">
        <v>10.681073365774743</v>
      </c>
      <c r="L263" s="23">
        <v>101188909588</v>
      </c>
      <c r="M263" s="21">
        <v>5359366864</v>
      </c>
    </row>
    <row r="264" spans="2:13" x14ac:dyDescent="0.3">
      <c r="B264" s="4">
        <v>44214</v>
      </c>
      <c r="C264" s="24">
        <v>10.143816522448194</v>
      </c>
      <c r="E264" s="4">
        <v>44215</v>
      </c>
      <c r="F264" s="23">
        <v>1691279668233</v>
      </c>
      <c r="G264" s="19">
        <v>2.5703870239210667</v>
      </c>
      <c r="H264" s="31">
        <v>1548055238800</v>
      </c>
      <c r="I264" s="31">
        <v>143224429433</v>
      </c>
      <c r="J264" s="21">
        <v>107497470979</v>
      </c>
      <c r="K264" s="19">
        <v>10.330111807968532</v>
      </c>
      <c r="L264" s="23">
        <v>101829059472</v>
      </c>
      <c r="M264" s="21">
        <v>5668411507</v>
      </c>
    </row>
    <row r="265" spans="2:13" x14ac:dyDescent="0.3">
      <c r="B265" s="4">
        <v>44215</v>
      </c>
      <c r="C265" s="24">
        <v>9.7853982988263084</v>
      </c>
      <c r="E265" s="4">
        <v>44216</v>
      </c>
      <c r="F265" s="23">
        <v>1698542527659</v>
      </c>
      <c r="G265" s="19">
        <v>2.5623144780611979</v>
      </c>
      <c r="H265" s="31">
        <v>1552902943677</v>
      </c>
      <c r="I265" s="31">
        <v>145639583982</v>
      </c>
      <c r="J265" s="21">
        <v>94820324646</v>
      </c>
      <c r="K265" s="19">
        <v>10.363402687036929</v>
      </c>
      <c r="L265" s="23">
        <v>88937168428</v>
      </c>
      <c r="M265" s="21">
        <v>5883156218</v>
      </c>
    </row>
    <row r="266" spans="2:13" x14ac:dyDescent="0.3">
      <c r="B266" s="4">
        <v>44216</v>
      </c>
      <c r="C266" s="24">
        <v>9.7204021785963448</v>
      </c>
      <c r="E266" s="4">
        <v>44217</v>
      </c>
      <c r="F266" s="23">
        <v>1709628072866</v>
      </c>
      <c r="G266" s="19">
        <v>2.5421203943303166</v>
      </c>
      <c r="H266" s="31">
        <v>1560985175674</v>
      </c>
      <c r="I266" s="31">
        <v>148642897192</v>
      </c>
      <c r="J266" s="21">
        <v>117741071530</v>
      </c>
      <c r="K266" s="19">
        <v>10.853013614011161</v>
      </c>
      <c r="L266" s="23">
        <v>112542735477</v>
      </c>
      <c r="M266" s="21">
        <v>5198336053</v>
      </c>
    </row>
    <row r="267" spans="2:13" x14ac:dyDescent="0.3">
      <c r="B267" s="4">
        <v>44217</v>
      </c>
      <c r="C267" s="24">
        <v>10.373846818429222</v>
      </c>
      <c r="E267" s="4">
        <v>44218</v>
      </c>
      <c r="F267" s="23">
        <v>1708509832950</v>
      </c>
      <c r="G267" s="19">
        <v>2.5448405588237595</v>
      </c>
      <c r="H267" s="31">
        <v>1560348210417</v>
      </c>
      <c r="I267" s="31">
        <v>148161622533</v>
      </c>
      <c r="J267" s="21">
        <v>116198945185</v>
      </c>
      <c r="K267" s="19">
        <v>10.44167587935749</v>
      </c>
      <c r="L267" s="23">
        <v>111549464845</v>
      </c>
      <c r="M267" s="21">
        <v>4649480340</v>
      </c>
    </row>
    <row r="268" spans="2:13" x14ac:dyDescent="0.3">
      <c r="B268" s="4">
        <v>44218</v>
      </c>
      <c r="C268" s="24">
        <v>10.023872028897133</v>
      </c>
      <c r="E268" s="4">
        <v>44221</v>
      </c>
      <c r="F268" s="23">
        <v>1715652911328</v>
      </c>
      <c r="G268" s="19">
        <v>2.5443407086630954</v>
      </c>
      <c r="H268" s="31">
        <v>1566526516912</v>
      </c>
      <c r="I268" s="31">
        <v>149126394416</v>
      </c>
      <c r="J268" s="21">
        <v>130576535718</v>
      </c>
      <c r="K268" s="19">
        <v>10.814523713836147</v>
      </c>
      <c r="L268" s="23">
        <v>124869306148</v>
      </c>
      <c r="M268" s="21">
        <v>5707229570</v>
      </c>
    </row>
    <row r="269" spans="2:13" x14ac:dyDescent="0.3">
      <c r="B269" s="4">
        <v>44221</v>
      </c>
      <c r="C269" s="24">
        <v>10.341843310839641</v>
      </c>
      <c r="E269" s="4">
        <v>44222</v>
      </c>
      <c r="F269" s="23">
        <v>1706481850040</v>
      </c>
      <c r="G269" s="19">
        <v>2.5730646207961936</v>
      </c>
      <c r="H269" s="31">
        <v>1560302845933</v>
      </c>
      <c r="I269" s="31">
        <v>146179004107</v>
      </c>
      <c r="J269" s="21">
        <v>100090499591</v>
      </c>
      <c r="K269" s="19">
        <v>9.8778153124360362</v>
      </c>
      <c r="L269" s="23">
        <v>94749944151</v>
      </c>
      <c r="M269" s="21">
        <v>5340555440</v>
      </c>
    </row>
    <row r="270" spans="2:13" x14ac:dyDescent="0.3">
      <c r="B270" s="4">
        <v>44222</v>
      </c>
      <c r="C270" s="24">
        <v>9.350762090424853</v>
      </c>
      <c r="E270" s="4">
        <v>44223</v>
      </c>
      <c r="F270" s="23">
        <v>1706083743135</v>
      </c>
      <c r="G270" s="19">
        <v>2.5687814151778521</v>
      </c>
      <c r="H270" s="31">
        <v>1559611750904</v>
      </c>
      <c r="I270" s="31">
        <v>146471992231</v>
      </c>
      <c r="J270" s="21">
        <v>88907280457</v>
      </c>
      <c r="K270" s="19">
        <v>9.6392270440437517</v>
      </c>
      <c r="L270" s="23">
        <v>83953587233</v>
      </c>
      <c r="M270" s="21">
        <v>4953693224</v>
      </c>
    </row>
    <row r="271" spans="2:13" x14ac:dyDescent="0.3">
      <c r="B271" s="4">
        <v>44223</v>
      </c>
      <c r="C271" s="24">
        <v>9.1021532133379388</v>
      </c>
      <c r="E271" s="4">
        <v>44224</v>
      </c>
      <c r="F271" s="23">
        <v>1698045714188</v>
      </c>
      <c r="G271" s="19">
        <v>2.6134084448755819</v>
      </c>
      <c r="H271" s="31">
        <v>1555209859618</v>
      </c>
      <c r="I271" s="31">
        <v>142835854570</v>
      </c>
      <c r="J271" s="21">
        <v>87433203473</v>
      </c>
      <c r="K271" s="19">
        <v>9.5569465598974617</v>
      </c>
      <c r="L271" s="23">
        <v>82710105159</v>
      </c>
      <c r="M271" s="21">
        <v>4723098314</v>
      </c>
    </row>
    <row r="272" spans="2:13" x14ac:dyDescent="0.3">
      <c r="B272" s="4">
        <v>44224</v>
      </c>
      <c r="C272" s="24">
        <v>9.0406850437792876</v>
      </c>
      <c r="E272" s="4">
        <v>44225</v>
      </c>
      <c r="F272" s="23">
        <v>1682493500836</v>
      </c>
      <c r="G272" s="19">
        <v>2.6088933489398154</v>
      </c>
      <c r="H272" s="31">
        <v>1540240567873</v>
      </c>
      <c r="I272" s="31">
        <v>142252932963</v>
      </c>
      <c r="J272" s="21">
        <v>86149755699</v>
      </c>
      <c r="K272" s="19">
        <v>9.053115102812777</v>
      </c>
      <c r="L272" s="23">
        <v>80343405123</v>
      </c>
      <c r="M272" s="21">
        <v>5806350576</v>
      </c>
    </row>
    <row r="273" spans="2:13" x14ac:dyDescent="0.3">
      <c r="B273" s="4">
        <v>44225</v>
      </c>
      <c r="C273" s="24">
        <v>8.4429501677493395</v>
      </c>
      <c r="E273" s="4">
        <v>44228</v>
      </c>
      <c r="F273" s="23">
        <v>1680669671226</v>
      </c>
      <c r="G273" s="19">
        <v>2.5815604283639635</v>
      </c>
      <c r="H273" s="31">
        <v>1538473200106</v>
      </c>
      <c r="I273" s="31">
        <v>142196471120</v>
      </c>
      <c r="J273" s="21">
        <v>75971285970</v>
      </c>
      <c r="K273" s="19">
        <v>8.8760354750264305</v>
      </c>
      <c r="L273" s="23">
        <v>72378631450</v>
      </c>
      <c r="M273" s="21">
        <v>3592654520</v>
      </c>
    </row>
    <row r="274" spans="2:13" x14ac:dyDescent="0.3">
      <c r="B274" s="4">
        <v>44228</v>
      </c>
      <c r="C274" s="24">
        <v>8.4562909812761688</v>
      </c>
      <c r="E274" s="4">
        <v>44229</v>
      </c>
      <c r="F274" s="23">
        <v>1682471162179</v>
      </c>
      <c r="G274" s="19">
        <v>2.5533619300533954</v>
      </c>
      <c r="H274" s="31">
        <v>1538256405585</v>
      </c>
      <c r="I274" s="31">
        <v>144214756594</v>
      </c>
      <c r="J274" s="21">
        <v>86152870091</v>
      </c>
      <c r="K274" s="19">
        <v>9.5706661132335711</v>
      </c>
      <c r="L274" s="23">
        <v>81325273096</v>
      </c>
      <c r="M274" s="21">
        <v>4827596995</v>
      </c>
    </row>
    <row r="275" spans="2:13" x14ac:dyDescent="0.3">
      <c r="B275" s="4">
        <v>44229</v>
      </c>
      <c r="C275" s="24">
        <v>9.0343715136503899</v>
      </c>
      <c r="E275" s="4">
        <v>44230</v>
      </c>
      <c r="F275" s="23">
        <v>1681160553042</v>
      </c>
      <c r="G275" s="19">
        <v>2.5655338974505213</v>
      </c>
      <c r="H275" s="31">
        <v>1537044947594</v>
      </c>
      <c r="I275" s="31">
        <v>144115605448</v>
      </c>
      <c r="J275" s="21">
        <v>94124578361</v>
      </c>
      <c r="K275" s="19">
        <v>9.8755663078778078</v>
      </c>
      <c r="L275" s="23">
        <v>89004034902</v>
      </c>
      <c r="M275" s="21">
        <v>5120543459</v>
      </c>
    </row>
    <row r="276" spans="2:13" x14ac:dyDescent="0.3">
      <c r="B276" s="4">
        <v>44230</v>
      </c>
      <c r="C276" s="24">
        <v>9.338318042416498</v>
      </c>
      <c r="E276" s="4">
        <v>44231</v>
      </c>
      <c r="F276" s="23">
        <v>1670824295085</v>
      </c>
      <c r="G276" s="19">
        <v>2.5660907508880211</v>
      </c>
      <c r="H276" s="31">
        <v>1528051633540</v>
      </c>
      <c r="I276" s="31">
        <v>142772661545</v>
      </c>
      <c r="J276" s="21">
        <v>87289835228</v>
      </c>
      <c r="K276" s="19">
        <v>9.2673860109514674</v>
      </c>
      <c r="L276" s="23">
        <v>83001467508</v>
      </c>
      <c r="M276" s="21">
        <v>4288367720</v>
      </c>
    </row>
    <row r="277" spans="2:13" x14ac:dyDescent="0.3">
      <c r="B277" s="4">
        <v>44231</v>
      </c>
      <c r="C277" s="24">
        <v>8.8120986465712008</v>
      </c>
      <c r="E277" s="4">
        <v>44232</v>
      </c>
      <c r="F277" s="23">
        <v>1659483782315</v>
      </c>
      <c r="G277" s="19">
        <v>2.5586056574869533</v>
      </c>
      <c r="H277" s="31">
        <v>1517744717708</v>
      </c>
      <c r="I277" s="31">
        <v>141739064607</v>
      </c>
      <c r="J277" s="21">
        <v>83106723175</v>
      </c>
      <c r="K277" s="19">
        <v>9.332823649390475</v>
      </c>
      <c r="L277" s="23">
        <v>78850430483</v>
      </c>
      <c r="M277" s="21">
        <v>4256292692</v>
      </c>
    </row>
    <row r="278" spans="2:13" x14ac:dyDescent="0.3">
      <c r="B278" s="4">
        <v>44232</v>
      </c>
      <c r="C278" s="24">
        <v>8.8548451227798264</v>
      </c>
      <c r="E278" s="4">
        <v>44235</v>
      </c>
      <c r="F278" s="23">
        <v>1657105193498</v>
      </c>
      <c r="G278" s="19">
        <v>2.5208163817613158</v>
      </c>
      <c r="H278" s="31">
        <v>1514523174872</v>
      </c>
      <c r="I278" s="31">
        <v>142582018626</v>
      </c>
      <c r="J278" s="21">
        <v>73774242264</v>
      </c>
      <c r="K278" s="19">
        <v>9.1567202543602253</v>
      </c>
      <c r="L278" s="23">
        <v>69989328587</v>
      </c>
      <c r="M278" s="21">
        <v>3784913677</v>
      </c>
    </row>
    <row r="279" spans="2:13" x14ac:dyDescent="0.3">
      <c r="B279" s="4">
        <v>44235</v>
      </c>
      <c r="C279" s="24">
        <v>8.6869438844021314</v>
      </c>
      <c r="E279" s="4">
        <v>44236</v>
      </c>
      <c r="F279" s="23">
        <v>1660549708031</v>
      </c>
      <c r="G279" s="19">
        <v>2.4739594564296628</v>
      </c>
      <c r="H279" s="31">
        <v>1516758529606</v>
      </c>
      <c r="I279" s="31">
        <v>143791178425</v>
      </c>
      <c r="J279" s="21">
        <v>86050167984</v>
      </c>
      <c r="K279" s="19">
        <v>10.284086439734999</v>
      </c>
      <c r="L279" s="23">
        <v>82011617527</v>
      </c>
      <c r="M279" s="21">
        <v>4038550457</v>
      </c>
    </row>
    <row r="280" spans="2:13" x14ac:dyDescent="0.3">
      <c r="B280" s="4">
        <v>44236</v>
      </c>
      <c r="C280" s="24">
        <v>9.8014284395932467</v>
      </c>
      <c r="E280" s="4">
        <v>44237</v>
      </c>
      <c r="F280" s="23">
        <v>1639715093793</v>
      </c>
      <c r="G280" s="19">
        <v>2.4030789196803832</v>
      </c>
      <c r="H280" s="31">
        <v>1498767034831</v>
      </c>
      <c r="I280" s="31">
        <v>140948058962</v>
      </c>
      <c r="J280" s="21">
        <v>85777856459</v>
      </c>
      <c r="K280" s="19">
        <v>9.8062188953201499</v>
      </c>
      <c r="L280" s="23">
        <v>82137312780</v>
      </c>
      <c r="M280" s="21">
        <v>3640543679</v>
      </c>
    </row>
    <row r="281" spans="2:13" x14ac:dyDescent="0.3">
      <c r="B281" s="4">
        <v>44237</v>
      </c>
      <c r="C281" s="24">
        <v>9.3900279377935778</v>
      </c>
      <c r="E281" s="4">
        <v>44245</v>
      </c>
      <c r="F281" s="23">
        <v>1664801330301</v>
      </c>
      <c r="G281" s="19">
        <v>2.4313196710351104</v>
      </c>
      <c r="H281" s="31">
        <v>1521734503139</v>
      </c>
      <c r="I281" s="31">
        <v>143066827162</v>
      </c>
      <c r="J281" s="21">
        <v>122855026866</v>
      </c>
      <c r="K281" s="19">
        <v>11.327483824321083</v>
      </c>
      <c r="L281" s="23">
        <v>117597800121</v>
      </c>
      <c r="M281" s="21">
        <v>5257226745</v>
      </c>
    </row>
    <row r="282" spans="2:13" x14ac:dyDescent="0.3">
      <c r="B282" s="4">
        <v>44245</v>
      </c>
      <c r="C282" s="24">
        <v>10.842756805542038</v>
      </c>
      <c r="E282" s="4">
        <v>44246</v>
      </c>
      <c r="F282" s="23">
        <v>1672052802674</v>
      </c>
      <c r="G282" s="19">
        <v>2.4240222677731018</v>
      </c>
      <c r="H282" s="31">
        <v>1527739765215</v>
      </c>
      <c r="I282" s="31">
        <v>144313037459</v>
      </c>
      <c r="J282" s="21">
        <v>111170027993</v>
      </c>
      <c r="K282" s="19">
        <v>10.670930971985522</v>
      </c>
      <c r="L282" s="23">
        <v>106226515399</v>
      </c>
      <c r="M282" s="21">
        <v>4943512594</v>
      </c>
    </row>
    <row r="283" spans="2:13" x14ac:dyDescent="0.3">
      <c r="B283" s="4">
        <v>44246</v>
      </c>
      <c r="C283" s="24">
        <v>10.196415649806807</v>
      </c>
      <c r="E283" s="4">
        <v>44249</v>
      </c>
      <c r="F283" s="23">
        <v>1681961677222</v>
      </c>
      <c r="G283" s="19">
        <v>2.4786527025938314</v>
      </c>
      <c r="H283" s="31">
        <v>1540449172517</v>
      </c>
      <c r="I283" s="31">
        <v>141512504705</v>
      </c>
      <c r="J283" s="21">
        <v>139430001046</v>
      </c>
      <c r="K283" s="19">
        <v>10.789576628138621</v>
      </c>
      <c r="L283" s="23">
        <v>134063837401</v>
      </c>
      <c r="M283" s="21">
        <v>5366163645</v>
      </c>
    </row>
    <row r="284" spans="2:13" x14ac:dyDescent="0.3">
      <c r="B284" s="4">
        <v>44249</v>
      </c>
      <c r="C284" s="24">
        <v>10.374324290675341</v>
      </c>
      <c r="E284" s="4">
        <v>44250</v>
      </c>
      <c r="F284" s="23">
        <v>1681104833540</v>
      </c>
      <c r="G284" s="19">
        <v>2.4853075391473376</v>
      </c>
      <c r="H284" s="31">
        <v>1538702443821</v>
      </c>
      <c r="I284" s="31">
        <v>142402389719</v>
      </c>
      <c r="J284" s="21">
        <v>96994396383</v>
      </c>
      <c r="K284" s="19">
        <v>9.5016265639321684</v>
      </c>
      <c r="L284" s="23">
        <v>92080535544</v>
      </c>
      <c r="M284" s="21">
        <v>4913860839</v>
      </c>
    </row>
    <row r="285" spans="2:13" x14ac:dyDescent="0.3">
      <c r="B285" s="4">
        <v>44250</v>
      </c>
      <c r="C285" s="24">
        <v>9.0202619447334911</v>
      </c>
      <c r="E285" s="4">
        <v>44251</v>
      </c>
      <c r="F285" s="23">
        <v>1680067143744</v>
      </c>
      <c r="G285" s="19">
        <v>2.5332697892976497</v>
      </c>
      <c r="H285" s="31">
        <v>1539445363960</v>
      </c>
      <c r="I285" s="31">
        <v>140621779784</v>
      </c>
      <c r="J285" s="21">
        <v>103079769509</v>
      </c>
      <c r="K285" s="19">
        <v>9.6966441313169511</v>
      </c>
      <c r="L285" s="23">
        <v>97936589671</v>
      </c>
      <c r="M285" s="21">
        <v>5143179838</v>
      </c>
    </row>
    <row r="286" spans="2:13" x14ac:dyDescent="0.3">
      <c r="B286" s="4">
        <v>44251</v>
      </c>
      <c r="C286" s="24">
        <v>9.2128286859584314</v>
      </c>
      <c r="E286" s="4">
        <v>44252</v>
      </c>
      <c r="F286" s="23">
        <v>1680362000076</v>
      </c>
      <c r="G286" s="19">
        <v>2.5283192131795746</v>
      </c>
      <c r="H286" s="31">
        <v>1537615248887</v>
      </c>
      <c r="I286" s="31">
        <v>142746751189</v>
      </c>
      <c r="J286" s="21">
        <v>89904249519</v>
      </c>
      <c r="K286" s="19">
        <v>9.6319574765761988</v>
      </c>
      <c r="L286" s="23">
        <v>84706565637</v>
      </c>
      <c r="M286" s="21">
        <v>5197683882</v>
      </c>
    </row>
    <row r="287" spans="2:13" x14ac:dyDescent="0.3">
      <c r="B287" s="4">
        <v>44252</v>
      </c>
      <c r="C287" s="24">
        <v>9.0750998152758928</v>
      </c>
      <c r="E287" s="4">
        <v>44253</v>
      </c>
      <c r="F287" s="23">
        <v>1670059962876</v>
      </c>
      <c r="G287" s="19">
        <v>2.5620083133158524</v>
      </c>
      <c r="H287" s="31">
        <v>1530380001684</v>
      </c>
      <c r="I287" s="31">
        <v>139679961192</v>
      </c>
      <c r="J287" s="21">
        <v>79540574157</v>
      </c>
      <c r="K287" s="19">
        <v>8.7770045008789204</v>
      </c>
      <c r="L287" s="23">
        <v>74608964874</v>
      </c>
      <c r="M287" s="21">
        <v>4931609283</v>
      </c>
    </row>
    <row r="288" spans="2:13" x14ac:dyDescent="0.3">
      <c r="B288" s="4">
        <v>44253</v>
      </c>
      <c r="C288" s="24">
        <v>8.2328198840061511</v>
      </c>
      <c r="E288" s="4">
        <v>44256</v>
      </c>
      <c r="F288" s="23">
        <v>1677784655763</v>
      </c>
      <c r="G288" s="19">
        <v>2.5290448296301773</v>
      </c>
      <c r="H288" s="31">
        <v>1534133623249</v>
      </c>
      <c r="I288" s="31">
        <v>143651032514</v>
      </c>
      <c r="J288" s="21">
        <v>79969427735</v>
      </c>
      <c r="K288" s="19">
        <v>9.1634300512445748</v>
      </c>
      <c r="L288" s="23">
        <v>73706192255</v>
      </c>
      <c r="M288" s="21">
        <v>6263235480</v>
      </c>
    </row>
    <row r="289" spans="2:13" x14ac:dyDescent="0.3">
      <c r="B289" s="4">
        <v>44256</v>
      </c>
      <c r="C289" s="24">
        <v>8.4457467835133198</v>
      </c>
      <c r="E289" s="4">
        <v>44257</v>
      </c>
      <c r="F289" s="23">
        <v>1679751683334</v>
      </c>
      <c r="G289" s="19">
        <v>2.5570536060141622</v>
      </c>
      <c r="H289" s="31">
        <v>1536200228961</v>
      </c>
      <c r="I289" s="31">
        <v>143551454373</v>
      </c>
      <c r="J289" s="21">
        <v>84506954345</v>
      </c>
      <c r="K289" s="19">
        <v>9.2153434167303399</v>
      </c>
      <c r="L289" s="23">
        <v>79193688558</v>
      </c>
      <c r="M289" s="21">
        <v>5313265787</v>
      </c>
    </row>
    <row r="290" spans="2:13" x14ac:dyDescent="0.3">
      <c r="B290" s="4">
        <v>44257</v>
      </c>
      <c r="C290" s="24">
        <v>8.6359405821224922</v>
      </c>
      <c r="E290" s="4">
        <v>44258</v>
      </c>
      <c r="F290" s="23">
        <v>1682936675825</v>
      </c>
      <c r="G290" s="19">
        <v>2.5187703729332394</v>
      </c>
      <c r="H290" s="31">
        <v>1536141811915</v>
      </c>
      <c r="I290" s="31">
        <v>146794863910</v>
      </c>
      <c r="J290" s="21">
        <v>78778125733</v>
      </c>
      <c r="K290" s="19">
        <v>9.131078323678878</v>
      </c>
      <c r="L290" s="23">
        <v>73268022516</v>
      </c>
      <c r="M290" s="21">
        <v>5510103217</v>
      </c>
    </row>
    <row r="291" spans="2:13" x14ac:dyDescent="0.3">
      <c r="B291" s="4">
        <v>44258</v>
      </c>
      <c r="C291" s="24">
        <v>8.492408850676858</v>
      </c>
      <c r="E291" s="4">
        <v>44259</v>
      </c>
      <c r="F291" s="23">
        <v>1675034460738</v>
      </c>
      <c r="G291" s="19">
        <v>2.5662326276982221</v>
      </c>
      <c r="H291" s="31">
        <v>1532651313486</v>
      </c>
      <c r="I291" s="31">
        <v>142383147252</v>
      </c>
      <c r="J291" s="21">
        <v>87553041384</v>
      </c>
      <c r="K291" s="19">
        <v>9.0109096028974811</v>
      </c>
      <c r="L291" s="23">
        <v>83098710723</v>
      </c>
      <c r="M291" s="21">
        <v>4454330661</v>
      </c>
    </row>
    <row r="292" spans="2:13" x14ac:dyDescent="0.3">
      <c r="B292" s="4">
        <v>44259</v>
      </c>
      <c r="C292" s="24">
        <v>8.5524724053631811</v>
      </c>
      <c r="E292" s="4">
        <v>44260</v>
      </c>
      <c r="F292" s="23">
        <v>1668091349418</v>
      </c>
      <c r="G292" s="19">
        <v>2.5550513727029163</v>
      </c>
      <c r="H292" s="31">
        <v>1526255938196</v>
      </c>
      <c r="I292" s="31">
        <v>141835411222</v>
      </c>
      <c r="J292" s="21">
        <v>76842333378</v>
      </c>
      <c r="K292" s="19">
        <v>8.7709473616660425</v>
      </c>
      <c r="L292" s="23">
        <v>72335239669</v>
      </c>
      <c r="M292" s="21">
        <v>4507093709</v>
      </c>
    </row>
    <row r="293" spans="2:13" x14ac:dyDescent="0.3">
      <c r="B293" s="4">
        <v>44260</v>
      </c>
      <c r="C293" s="24">
        <v>8.2564980999384812</v>
      </c>
      <c r="E293" s="4">
        <v>44263</v>
      </c>
      <c r="F293" s="23">
        <v>1663232572772</v>
      </c>
      <c r="G293" s="19">
        <v>2.6167853158368151</v>
      </c>
      <c r="H293" s="31">
        <v>1524935804503</v>
      </c>
      <c r="I293" s="31">
        <v>138296768269</v>
      </c>
      <c r="J293" s="21">
        <v>88809553365</v>
      </c>
      <c r="K293" s="19">
        <v>9.0738828488210004</v>
      </c>
      <c r="L293" s="23">
        <v>83427432256</v>
      </c>
      <c r="M293" s="21">
        <v>5382121109</v>
      </c>
    </row>
    <row r="294" spans="2:13" x14ac:dyDescent="0.3">
      <c r="B294" s="4">
        <v>44263</v>
      </c>
      <c r="C294" s="24">
        <v>8.5239787611321738</v>
      </c>
      <c r="E294" s="4">
        <v>44264</v>
      </c>
      <c r="F294" s="23">
        <v>1651547272702</v>
      </c>
      <c r="G294" s="19">
        <v>2.6554195065442516</v>
      </c>
      <c r="H294" s="31">
        <v>1516737752025</v>
      </c>
      <c r="I294" s="31">
        <v>134809520677</v>
      </c>
      <c r="J294" s="21">
        <v>81178184183</v>
      </c>
      <c r="K294" s="19">
        <v>8.2311126972686459</v>
      </c>
      <c r="L294" s="23">
        <v>75789294918</v>
      </c>
      <c r="M294" s="21">
        <v>5388889265</v>
      </c>
    </row>
    <row r="295" spans="2:13" x14ac:dyDescent="0.3">
      <c r="B295" s="4">
        <v>44264</v>
      </c>
      <c r="C295" s="24">
        <v>7.684702903803406</v>
      </c>
      <c r="E295" s="4">
        <v>44265</v>
      </c>
      <c r="F295" s="23">
        <v>1646207161139</v>
      </c>
      <c r="G295" s="19">
        <v>2.6460990378491585</v>
      </c>
      <c r="H295" s="31">
        <v>1510038929651</v>
      </c>
      <c r="I295" s="31">
        <v>136168231488</v>
      </c>
      <c r="J295" s="21">
        <v>60060994693</v>
      </c>
      <c r="K295" s="19">
        <v>8.014518798436379</v>
      </c>
      <c r="L295" s="23">
        <v>55347392883</v>
      </c>
      <c r="M295" s="21">
        <v>4713601810</v>
      </c>
    </row>
    <row r="296" spans="2:13" x14ac:dyDescent="0.3">
      <c r="B296" s="4">
        <v>44265</v>
      </c>
      <c r="C296" s="24">
        <v>7.3855373686800769</v>
      </c>
      <c r="E296" s="4">
        <v>44266</v>
      </c>
      <c r="F296" s="23">
        <v>1653813251244</v>
      </c>
      <c r="G296" s="19">
        <v>2.5967039833684642</v>
      </c>
      <c r="H296" s="31">
        <v>1512493979972</v>
      </c>
      <c r="I296" s="31">
        <v>141319271272</v>
      </c>
      <c r="J296" s="21">
        <v>73196374202</v>
      </c>
      <c r="K296" s="19">
        <v>9.1083848065155024</v>
      </c>
      <c r="L296" s="23">
        <v>67909950028</v>
      </c>
      <c r="M296" s="21">
        <v>5286424174</v>
      </c>
    </row>
    <row r="297" spans="2:13" x14ac:dyDescent="0.3">
      <c r="B297" s="4">
        <v>44266</v>
      </c>
      <c r="C297" s="24">
        <v>8.4505546045115594</v>
      </c>
      <c r="E297" s="4">
        <v>44267</v>
      </c>
      <c r="F297" s="23">
        <v>1651070716458</v>
      </c>
      <c r="G297" s="19">
        <v>2.582741959020928</v>
      </c>
      <c r="H297" s="31">
        <v>1507819551722</v>
      </c>
      <c r="I297" s="31">
        <v>143251164736</v>
      </c>
      <c r="J297" s="21">
        <v>71327581827</v>
      </c>
      <c r="K297" s="19">
        <v>8.7343774441130346</v>
      </c>
      <c r="L297" s="23">
        <v>66132261320</v>
      </c>
      <c r="M297" s="21">
        <v>5195320507</v>
      </c>
    </row>
    <row r="298" spans="2:13" x14ac:dyDescent="0.3">
      <c r="B298" s="4">
        <v>44267</v>
      </c>
      <c r="C298" s="24">
        <v>8.0981875006303081</v>
      </c>
      <c r="E298" s="4">
        <v>44270</v>
      </c>
      <c r="F298" s="23">
        <v>1652313361619</v>
      </c>
      <c r="G298" s="19">
        <v>2.6193318149206926</v>
      </c>
      <c r="H298" s="31">
        <v>1511610998410</v>
      </c>
      <c r="I298" s="31">
        <v>140702363209</v>
      </c>
      <c r="J298" s="21">
        <v>74115998461</v>
      </c>
      <c r="K298" s="19">
        <v>9.1878171654182044</v>
      </c>
      <c r="L298" s="23">
        <v>69355122382</v>
      </c>
      <c r="M298" s="21">
        <v>4760876079</v>
      </c>
    </row>
    <row r="299" spans="2:13" x14ac:dyDescent="0.3">
      <c r="B299" s="4">
        <v>44270</v>
      </c>
      <c r="C299" s="24">
        <v>8.5976334011924251</v>
      </c>
      <c r="E299" s="4">
        <v>44271</v>
      </c>
      <c r="F299" s="23">
        <v>1651035600183</v>
      </c>
      <c r="G299" s="19">
        <v>2.5946245155329373</v>
      </c>
      <c r="H299" s="31">
        <v>1509855948141</v>
      </c>
      <c r="I299" s="31">
        <v>141179652042</v>
      </c>
      <c r="J299" s="21">
        <v>63767309028</v>
      </c>
      <c r="K299" s="19">
        <v>8.6733081495047593</v>
      </c>
      <c r="L299" s="23">
        <v>58947645109</v>
      </c>
      <c r="M299" s="21">
        <v>4819663919</v>
      </c>
    </row>
    <row r="300" spans="2:13" x14ac:dyDescent="0.3">
      <c r="B300" s="4">
        <v>44271</v>
      </c>
      <c r="C300" s="24">
        <v>8.0177617420472718</v>
      </c>
      <c r="E300" s="4">
        <v>44272</v>
      </c>
      <c r="F300" s="23">
        <v>1652636060936</v>
      </c>
      <c r="G300" s="19">
        <v>2.5878987085178702</v>
      </c>
      <c r="H300" s="31">
        <v>1510832048900</v>
      </c>
      <c r="I300" s="31">
        <v>141804012036</v>
      </c>
      <c r="J300" s="21">
        <v>63730812023</v>
      </c>
      <c r="K300" s="19">
        <v>8.9699489160860697</v>
      </c>
      <c r="L300" s="23">
        <v>58524133426</v>
      </c>
      <c r="M300" s="21">
        <v>5206678597</v>
      </c>
    </row>
    <row r="301" spans="2:13" x14ac:dyDescent="0.3">
      <c r="B301" s="4">
        <v>44272</v>
      </c>
      <c r="C301" s="24">
        <v>8.2371222102108383</v>
      </c>
      <c r="E301" s="4">
        <v>44273</v>
      </c>
      <c r="F301" s="23">
        <v>1652703466894</v>
      </c>
      <c r="G301" s="19">
        <v>2.5714342501451135</v>
      </c>
      <c r="H301" s="31">
        <v>1509316955296</v>
      </c>
      <c r="I301" s="31">
        <v>143386511598</v>
      </c>
      <c r="J301" s="21">
        <v>65024833912</v>
      </c>
      <c r="K301" s="19">
        <v>8.8295555809928654</v>
      </c>
      <c r="L301" s="23">
        <v>59883900589</v>
      </c>
      <c r="M301" s="21">
        <v>5140933323</v>
      </c>
    </row>
    <row r="302" spans="2:13" x14ac:dyDescent="0.3">
      <c r="B302" s="4">
        <v>44273</v>
      </c>
      <c r="C302" s="24">
        <v>8.1314814178963886</v>
      </c>
      <c r="E302" s="4">
        <v>44274</v>
      </c>
      <c r="F302" s="23">
        <v>1648248036108</v>
      </c>
      <c r="G302" s="19">
        <v>2.6123202029303232</v>
      </c>
      <c r="H302" s="31">
        <v>1507522817807</v>
      </c>
      <c r="I302" s="31">
        <v>140725218301</v>
      </c>
      <c r="J302" s="21">
        <v>65996008097</v>
      </c>
      <c r="K302" s="19">
        <v>8.551872845204139</v>
      </c>
      <c r="L302" s="23">
        <v>60784601406</v>
      </c>
      <c r="M302" s="21">
        <v>5211406691</v>
      </c>
    </row>
    <row r="303" spans="2:13" x14ac:dyDescent="0.3">
      <c r="B303" s="4">
        <v>44274</v>
      </c>
      <c r="C303" s="24">
        <v>7.8765700708215771</v>
      </c>
      <c r="E303" s="4">
        <v>44277</v>
      </c>
      <c r="F303" s="23">
        <v>1656556399216</v>
      </c>
      <c r="G303" s="19">
        <v>2.5938475894235475</v>
      </c>
      <c r="H303" s="31">
        <v>1512738483937</v>
      </c>
      <c r="I303" s="31">
        <v>143817915279</v>
      </c>
      <c r="J303" s="21">
        <v>67692916280</v>
      </c>
      <c r="K303" s="19">
        <v>8.9125877031796392</v>
      </c>
      <c r="L303" s="23">
        <v>62353117078</v>
      </c>
      <c r="M303" s="21">
        <v>5339799202</v>
      </c>
    </row>
    <row r="304" spans="2:13" x14ac:dyDescent="0.3">
      <c r="B304" s="4">
        <v>44277</v>
      </c>
      <c r="C304" s="24">
        <v>8.2095388271592888</v>
      </c>
      <c r="E304" s="4">
        <v>44278</v>
      </c>
      <c r="F304" s="23">
        <v>1653925015675</v>
      </c>
      <c r="G304" s="19">
        <v>2.6161111812101385</v>
      </c>
      <c r="H304" s="31">
        <v>1511348894336</v>
      </c>
      <c r="I304" s="31">
        <v>142576121339</v>
      </c>
      <c r="J304" s="21">
        <v>65362254528</v>
      </c>
      <c r="K304" s="19">
        <v>8.2920720104895906</v>
      </c>
      <c r="L304" s="23">
        <v>60729264132</v>
      </c>
      <c r="M304" s="21">
        <v>4632990396</v>
      </c>
    </row>
    <row r="305" spans="2:13" x14ac:dyDescent="0.3">
      <c r="B305" s="4">
        <v>44278</v>
      </c>
      <c r="C305" s="24">
        <v>7.7043155099686134</v>
      </c>
      <c r="E305" s="4">
        <v>44279</v>
      </c>
      <c r="F305" s="23">
        <v>1652510207099</v>
      </c>
      <c r="G305" s="19">
        <v>2.6489752679513501</v>
      </c>
      <c r="H305" s="31">
        <v>1511807779960</v>
      </c>
      <c r="I305" s="31">
        <v>140702427139</v>
      </c>
      <c r="J305" s="21">
        <v>64951515889</v>
      </c>
      <c r="K305" s="19">
        <v>8.5228027554206882</v>
      </c>
      <c r="L305" s="23">
        <v>60059577875</v>
      </c>
      <c r="M305" s="21">
        <v>4891938014</v>
      </c>
    </row>
    <row r="306" spans="2:13" x14ac:dyDescent="0.3">
      <c r="B306" s="4">
        <v>44279</v>
      </c>
      <c r="C306" s="24">
        <v>7.8808928290023674</v>
      </c>
      <c r="E306" s="4">
        <v>44280</v>
      </c>
      <c r="F306" s="23">
        <v>1648485710846</v>
      </c>
      <c r="G306" s="19">
        <v>2.6449957490934515</v>
      </c>
      <c r="H306" s="31">
        <v>1507889168609</v>
      </c>
      <c r="I306" s="31">
        <v>140596542237</v>
      </c>
      <c r="J306" s="21">
        <v>53687366494</v>
      </c>
      <c r="K306" s="19">
        <v>7.9449007906969991</v>
      </c>
      <c r="L306" s="23">
        <v>48880257662</v>
      </c>
      <c r="M306" s="21">
        <v>4807108832</v>
      </c>
    </row>
    <row r="307" spans="2:13" x14ac:dyDescent="0.3">
      <c r="B307" s="4">
        <v>44280</v>
      </c>
      <c r="C307" s="24">
        <v>7.2335229516556367</v>
      </c>
      <c r="E307" s="4">
        <v>44281</v>
      </c>
      <c r="F307" s="23">
        <v>1649283974683</v>
      </c>
      <c r="G307" s="19">
        <v>2.5980359711036165</v>
      </c>
      <c r="H307" s="31">
        <v>1505571854721</v>
      </c>
      <c r="I307" s="31">
        <v>143712119962</v>
      </c>
      <c r="J307" s="21">
        <v>64039663337</v>
      </c>
      <c r="K307" s="19">
        <v>8.5654653684597211</v>
      </c>
      <c r="L307" s="23">
        <v>58745674007</v>
      </c>
      <c r="M307" s="21">
        <v>5293989330</v>
      </c>
    </row>
    <row r="308" spans="2:13" x14ac:dyDescent="0.3">
      <c r="B308" s="4">
        <v>44281</v>
      </c>
      <c r="C308" s="24">
        <v>7.8573810359658749</v>
      </c>
      <c r="E308" s="4">
        <v>44284</v>
      </c>
      <c r="F308" s="23">
        <v>1652620451517</v>
      </c>
      <c r="G308" s="19">
        <v>2.5925556526275493</v>
      </c>
      <c r="H308" s="31">
        <v>1507294488921</v>
      </c>
      <c r="I308" s="31">
        <v>145325962596</v>
      </c>
      <c r="J308" s="21">
        <v>65690264837</v>
      </c>
      <c r="K308" s="19">
        <v>8.672061476422618</v>
      </c>
      <c r="L308" s="23">
        <v>60266415982</v>
      </c>
      <c r="M308" s="21">
        <v>5423848855</v>
      </c>
    </row>
    <row r="309" spans="2:13" x14ac:dyDescent="0.3">
      <c r="B309" s="4">
        <v>44284</v>
      </c>
      <c r="C309" s="24">
        <v>7.9560352764050561</v>
      </c>
      <c r="E309" s="4">
        <v>44285</v>
      </c>
      <c r="F309" s="23">
        <v>1654048135752</v>
      </c>
      <c r="G309" s="19">
        <v>2.5805024946008501</v>
      </c>
      <c r="H309" s="31">
        <v>1507544419491</v>
      </c>
      <c r="I309" s="31">
        <v>146503716261</v>
      </c>
      <c r="J309" s="21">
        <v>62615313316</v>
      </c>
      <c r="K309" s="19">
        <v>8.3591633098771716</v>
      </c>
      <c r="L309" s="23">
        <v>58190349265</v>
      </c>
      <c r="M309" s="21">
        <v>4424964051</v>
      </c>
    </row>
    <row r="310" spans="2:13" x14ac:dyDescent="0.3">
      <c r="B310" s="4">
        <v>44285</v>
      </c>
      <c r="C310" s="24">
        <v>7.7684292676154536</v>
      </c>
      <c r="E310" s="4">
        <v>44286</v>
      </c>
      <c r="F310" s="23">
        <v>1654778849977</v>
      </c>
      <c r="G310" s="19">
        <v>2.5926258380744009</v>
      </c>
      <c r="H310" s="31">
        <v>1509721561130</v>
      </c>
      <c r="I310" s="31">
        <v>145057288847</v>
      </c>
      <c r="J310" s="21">
        <v>58346940482</v>
      </c>
      <c r="K310" s="19">
        <v>8.4915641951419207</v>
      </c>
      <c r="L310" s="23">
        <v>53646511674</v>
      </c>
      <c r="M310" s="21">
        <v>4700428808</v>
      </c>
    </row>
    <row r="311" spans="2:13" x14ac:dyDescent="0.3">
      <c r="B311" s="4">
        <v>44286</v>
      </c>
      <c r="C311" s="24">
        <v>7.8074838879638637</v>
      </c>
      <c r="E311" s="4">
        <v>44287</v>
      </c>
      <c r="F311" s="23">
        <v>1654029317053</v>
      </c>
      <c r="G311" s="19">
        <v>2.5679138599879692</v>
      </c>
      <c r="H311" s="31">
        <v>1507254352312</v>
      </c>
      <c r="I311" s="31">
        <v>146774964741</v>
      </c>
      <c r="J311" s="21">
        <v>59279104127</v>
      </c>
      <c r="K311" s="19">
        <v>9.0170803758707443</v>
      </c>
      <c r="L311" s="23">
        <v>54737362726</v>
      </c>
      <c r="M311" s="21">
        <v>4541741401</v>
      </c>
    </row>
    <row r="312" spans="2:13" x14ac:dyDescent="0.3">
      <c r="B312" s="4">
        <v>44287</v>
      </c>
      <c r="C312" s="24">
        <v>8.3262256832711685</v>
      </c>
      <c r="E312" s="4">
        <v>44288</v>
      </c>
      <c r="F312" s="23">
        <v>1652293768860</v>
      </c>
      <c r="G312" s="19">
        <v>2.5477077997117554</v>
      </c>
      <c r="H312" s="31">
        <v>1504079494212</v>
      </c>
      <c r="I312" s="31">
        <v>148214274648</v>
      </c>
      <c r="J312" s="21">
        <v>65521718296</v>
      </c>
      <c r="K312" s="19">
        <v>9.1462666710323752</v>
      </c>
      <c r="L312" s="23">
        <v>61089925675</v>
      </c>
      <c r="M312" s="21">
        <v>4431792621</v>
      </c>
    </row>
    <row r="313" spans="2:13" x14ac:dyDescent="0.3">
      <c r="B313" s="4">
        <v>44288</v>
      </c>
      <c r="C313" s="24">
        <v>8.5276266506461269</v>
      </c>
      <c r="E313" s="4">
        <v>44292</v>
      </c>
      <c r="F313" s="23">
        <v>1659035720703</v>
      </c>
      <c r="G313" s="19">
        <v>2.5578080948341002</v>
      </c>
      <c r="H313" s="31">
        <v>1510847047460</v>
      </c>
      <c r="I313" s="31">
        <v>148188673243</v>
      </c>
      <c r="J313" s="21">
        <v>63218089332</v>
      </c>
      <c r="K313" s="19">
        <v>9.5800229482996588</v>
      </c>
      <c r="L313" s="23">
        <v>59679016162</v>
      </c>
      <c r="M313" s="21">
        <v>3539073170</v>
      </c>
    </row>
    <row r="314" spans="2:13" x14ac:dyDescent="0.3">
      <c r="B314" s="4">
        <v>44292</v>
      </c>
      <c r="C314" s="24">
        <v>9.0437143925909087</v>
      </c>
      <c r="E314" s="4">
        <v>44293</v>
      </c>
      <c r="F314" s="23">
        <v>1664623601021</v>
      </c>
      <c r="G314" s="19">
        <v>2.5735056580757285</v>
      </c>
      <c r="H314" s="31">
        <v>1516461914471</v>
      </c>
      <c r="I314" s="31">
        <v>148161686550</v>
      </c>
      <c r="J314" s="21">
        <v>65435452368</v>
      </c>
      <c r="K314" s="19">
        <v>8.8468335415735808</v>
      </c>
      <c r="L314" s="23">
        <v>61483079547</v>
      </c>
      <c r="M314" s="21">
        <v>3952372821</v>
      </c>
    </row>
    <row r="315" spans="2:13" x14ac:dyDescent="0.3">
      <c r="B315" s="4">
        <v>44293</v>
      </c>
      <c r="C315" s="24">
        <v>8.3124751291799033</v>
      </c>
      <c r="E315" s="4">
        <v>44294</v>
      </c>
      <c r="F315" s="23">
        <v>1666578640560</v>
      </c>
      <c r="G315" s="19">
        <v>2.5765289794755182</v>
      </c>
      <c r="H315" s="31">
        <v>1517069830026</v>
      </c>
      <c r="I315" s="31">
        <v>149508810534</v>
      </c>
      <c r="J315" s="21">
        <v>66698883094</v>
      </c>
      <c r="K315" s="19">
        <v>8.6963137681862719</v>
      </c>
      <c r="L315" s="23">
        <v>62346411589</v>
      </c>
      <c r="M315" s="21">
        <v>4352471505</v>
      </c>
    </row>
    <row r="316" spans="2:13" x14ac:dyDescent="0.3">
      <c r="B316" s="4">
        <v>44294</v>
      </c>
      <c r="C316" s="24">
        <v>8.1288311340134243</v>
      </c>
      <c r="E316" s="4">
        <v>44295</v>
      </c>
      <c r="F316" s="23">
        <v>1663355811410</v>
      </c>
      <c r="G316" s="19">
        <v>2.5940123547458467</v>
      </c>
      <c r="H316" s="31">
        <v>1514847975163</v>
      </c>
      <c r="I316" s="31">
        <v>148507836247</v>
      </c>
      <c r="J316" s="21">
        <v>59629571848</v>
      </c>
      <c r="K316" s="19">
        <v>8.5884151024801607</v>
      </c>
      <c r="L316" s="23">
        <v>54941907280</v>
      </c>
      <c r="M316" s="21">
        <v>4687664568</v>
      </c>
    </row>
    <row r="317" spans="2:13" x14ac:dyDescent="0.3">
      <c r="B317" s="4">
        <v>44295</v>
      </c>
      <c r="C317" s="24">
        <v>7.913253300651415</v>
      </c>
      <c r="E317" s="4">
        <v>44298</v>
      </c>
      <c r="F317" s="23">
        <v>1660239689225</v>
      </c>
      <c r="G317" s="19">
        <v>2.6256986790078329</v>
      </c>
      <c r="H317" s="31">
        <v>1513960283431</v>
      </c>
      <c r="I317" s="31">
        <v>146279405794</v>
      </c>
      <c r="J317" s="21">
        <v>64744067314</v>
      </c>
      <c r="K317" s="19">
        <v>8.3499927979830328</v>
      </c>
      <c r="L317" s="23">
        <v>60335802271</v>
      </c>
      <c r="M317" s="21">
        <v>4408265043</v>
      </c>
    </row>
    <row r="318" spans="2:13" x14ac:dyDescent="0.3">
      <c r="B318" s="4">
        <v>44298</v>
      </c>
      <c r="C318" s="24">
        <v>7.7814622300449434</v>
      </c>
      <c r="E318" s="4">
        <v>44299</v>
      </c>
      <c r="F318" s="23">
        <v>1655179329096</v>
      </c>
      <c r="G318" s="19">
        <v>2.6273567918628395</v>
      </c>
      <c r="H318" s="31">
        <v>1508642699200</v>
      </c>
      <c r="I318" s="31">
        <v>146536629896</v>
      </c>
      <c r="J318" s="21">
        <v>53597660962</v>
      </c>
      <c r="K318" s="19">
        <v>7.9851722636490647</v>
      </c>
      <c r="L318" s="23">
        <v>49487393055</v>
      </c>
      <c r="M318" s="21">
        <v>4110267907</v>
      </c>
    </row>
    <row r="319" spans="2:13" x14ac:dyDescent="0.3">
      <c r="B319" s="4">
        <v>44299</v>
      </c>
      <c r="C319" s="24">
        <v>7.372809770621374</v>
      </c>
      <c r="E319" s="4">
        <v>44300</v>
      </c>
      <c r="F319" s="23">
        <v>1657338208596</v>
      </c>
      <c r="G319" s="19">
        <v>2.6065238334170613</v>
      </c>
      <c r="H319" s="31">
        <v>1509911876698</v>
      </c>
      <c r="I319" s="31">
        <v>147426331898</v>
      </c>
      <c r="J319" s="21">
        <v>56765798914</v>
      </c>
      <c r="K319" s="19">
        <v>8.6828379677335317</v>
      </c>
      <c r="L319" s="23">
        <v>52415471737</v>
      </c>
      <c r="M319" s="21">
        <v>4350327177</v>
      </c>
    </row>
    <row r="320" spans="2:13" x14ac:dyDescent="0.3">
      <c r="B320" s="4">
        <v>44300</v>
      </c>
      <c r="C320" s="24">
        <v>8.0174164162506596</v>
      </c>
      <c r="E320" s="4">
        <v>44301</v>
      </c>
      <c r="F320" s="23">
        <v>1658015773692</v>
      </c>
      <c r="G320" s="19">
        <v>2.620235933204301</v>
      </c>
      <c r="H320" s="31">
        <v>1510802313551</v>
      </c>
      <c r="I320" s="31">
        <v>147213460141</v>
      </c>
      <c r="J320" s="21">
        <v>55508132503</v>
      </c>
      <c r="K320" s="19">
        <v>8.40527466769759</v>
      </c>
      <c r="L320" s="23">
        <v>51199411311</v>
      </c>
      <c r="M320" s="21">
        <v>4308721192</v>
      </c>
    </row>
    <row r="321" spans="2:13" x14ac:dyDescent="0.3">
      <c r="B321" s="4">
        <v>44301</v>
      </c>
      <c r="C321" s="24">
        <v>7.7528299996422918</v>
      </c>
      <c r="E321" s="4">
        <v>44302</v>
      </c>
      <c r="F321" s="23">
        <v>1656810730550</v>
      </c>
      <c r="G321" s="19">
        <v>2.5972046490468617</v>
      </c>
      <c r="H321" s="31">
        <v>1508569230573</v>
      </c>
      <c r="I321" s="31">
        <v>148241499977</v>
      </c>
      <c r="J321" s="21">
        <v>56949814786</v>
      </c>
      <c r="K321" s="19">
        <v>8.2334083056321852</v>
      </c>
      <c r="L321" s="23">
        <v>53004521601</v>
      </c>
      <c r="M321" s="21">
        <v>3945293185</v>
      </c>
    </row>
    <row r="322" spans="2:13" x14ac:dyDescent="0.3">
      <c r="B322" s="4">
        <v>44302</v>
      </c>
      <c r="C322" s="24">
        <v>7.6630252446934435</v>
      </c>
      <c r="E322" s="4">
        <v>44305</v>
      </c>
      <c r="F322" s="23">
        <v>1665161341019</v>
      </c>
      <c r="G322" s="19">
        <v>2.5623573159573603</v>
      </c>
      <c r="H322" s="31">
        <v>1513358496462</v>
      </c>
      <c r="I322" s="31">
        <v>151802844557</v>
      </c>
      <c r="J322" s="21">
        <v>77885489630</v>
      </c>
      <c r="K322" s="19">
        <v>9.0452351324699762</v>
      </c>
      <c r="L322" s="23">
        <v>74121023492</v>
      </c>
      <c r="M322" s="21">
        <v>3764466138</v>
      </c>
    </row>
    <row r="323" spans="2:13" x14ac:dyDescent="0.3">
      <c r="B323" s="4">
        <v>44305</v>
      </c>
      <c r="C323" s="24">
        <v>8.6080486741426281</v>
      </c>
      <c r="E323" s="4">
        <v>44306</v>
      </c>
      <c r="F323" s="23">
        <v>1667762178855</v>
      </c>
      <c r="G323" s="19">
        <v>2.5689971816082626</v>
      </c>
      <c r="H323" s="31">
        <v>1515775139092</v>
      </c>
      <c r="I323" s="31">
        <v>151987039763</v>
      </c>
      <c r="J323" s="21">
        <v>75484327017</v>
      </c>
      <c r="K323" s="19">
        <v>8.9314975622738757</v>
      </c>
      <c r="L323" s="23">
        <v>71179539394</v>
      </c>
      <c r="M323" s="21">
        <v>4304787623</v>
      </c>
    </row>
    <row r="324" spans="2:13" x14ac:dyDescent="0.3">
      <c r="B324" s="4">
        <v>44306</v>
      </c>
      <c r="C324" s="24">
        <v>8.4221441417648446</v>
      </c>
      <c r="E324" s="4">
        <v>44307</v>
      </c>
      <c r="F324" s="23">
        <v>1668920710545</v>
      </c>
      <c r="G324" s="19">
        <v>2.5684262712855674</v>
      </c>
      <c r="H324" s="31">
        <v>1517017136651</v>
      </c>
      <c r="I324" s="31">
        <v>151903573894</v>
      </c>
      <c r="J324" s="21">
        <v>64010857108</v>
      </c>
      <c r="K324" s="19">
        <v>8.6132318471407423</v>
      </c>
      <c r="L324" s="23">
        <v>60262452331</v>
      </c>
      <c r="M324" s="21">
        <v>3748404777</v>
      </c>
    </row>
    <row r="325" spans="2:13" x14ac:dyDescent="0.3">
      <c r="B325" s="4">
        <v>44307</v>
      </c>
      <c r="C325" s="24">
        <v>8.108850545906833</v>
      </c>
      <c r="E325" s="4">
        <v>44308</v>
      </c>
      <c r="F325" s="23">
        <v>1672273926599</v>
      </c>
      <c r="G325" s="19">
        <v>2.5721139759371208</v>
      </c>
      <c r="H325" s="31">
        <v>1520051651336</v>
      </c>
      <c r="I325" s="31">
        <v>152222275263</v>
      </c>
      <c r="J325" s="21">
        <v>65511780713</v>
      </c>
      <c r="K325" s="19">
        <v>8.8465595185491921</v>
      </c>
      <c r="L325" s="23">
        <v>61689386919</v>
      </c>
      <c r="M325" s="21">
        <v>3822393794</v>
      </c>
    </row>
    <row r="326" spans="2:13" x14ac:dyDescent="0.3">
      <c r="B326" s="4">
        <v>44308</v>
      </c>
      <c r="C326" s="24">
        <v>8.3303922913127035</v>
      </c>
      <c r="E326" s="4">
        <v>44309</v>
      </c>
      <c r="F326" s="23">
        <v>1669290758861</v>
      </c>
      <c r="G326" s="19">
        <v>2.5580302665628816</v>
      </c>
      <c r="H326" s="31">
        <v>1515989348264</v>
      </c>
      <c r="I326" s="31">
        <v>153301410597</v>
      </c>
      <c r="J326" s="21">
        <v>69026443474</v>
      </c>
      <c r="K326" s="19">
        <v>8.8685721207340169</v>
      </c>
      <c r="L326" s="23">
        <v>65240198863</v>
      </c>
      <c r="M326" s="21">
        <v>3786244611</v>
      </c>
    </row>
    <row r="327" spans="2:13" x14ac:dyDescent="0.3">
      <c r="B327" s="4">
        <v>44309</v>
      </c>
      <c r="C327" s="24">
        <v>8.382112414722334</v>
      </c>
      <c r="E327" s="4">
        <v>44312</v>
      </c>
      <c r="F327" s="23">
        <v>1671060217645</v>
      </c>
      <c r="G327" s="19">
        <v>2.5814425897181028</v>
      </c>
      <c r="H327" s="31">
        <v>1519089822437</v>
      </c>
      <c r="I327" s="31">
        <v>151970395208</v>
      </c>
      <c r="J327" s="21">
        <v>85325459543</v>
      </c>
      <c r="K327" s="19">
        <v>9.3966546967442302</v>
      </c>
      <c r="L327" s="23">
        <v>80835531423</v>
      </c>
      <c r="M327" s="21">
        <v>4489928120</v>
      </c>
    </row>
    <row r="328" spans="2:13" x14ac:dyDescent="0.3">
      <c r="B328" s="4">
        <v>44312</v>
      </c>
      <c r="C328" s="24">
        <v>8.9021914452972215</v>
      </c>
      <c r="E328" s="4">
        <v>44313</v>
      </c>
      <c r="F328" s="23">
        <v>1668694792130</v>
      </c>
      <c r="G328" s="19">
        <v>2.5754241866379504</v>
      </c>
      <c r="H328" s="31">
        <v>1516641437287</v>
      </c>
      <c r="I328" s="31">
        <v>152053354843</v>
      </c>
      <c r="J328" s="21">
        <v>65675631187</v>
      </c>
      <c r="K328" s="19">
        <v>8.5924393599788278</v>
      </c>
      <c r="L328" s="23">
        <v>61973062934</v>
      </c>
      <c r="M328" s="21">
        <v>3702568253</v>
      </c>
    </row>
    <row r="329" spans="2:13" x14ac:dyDescent="0.3">
      <c r="B329" s="4">
        <v>44313</v>
      </c>
      <c r="C329" s="24">
        <v>8.1080269133058724</v>
      </c>
      <c r="E329" s="4">
        <v>44314</v>
      </c>
      <c r="F329" s="23">
        <v>1670656037009</v>
      </c>
      <c r="G329" s="19">
        <v>2.563208276051697</v>
      </c>
      <c r="H329" s="31">
        <v>1518142490932</v>
      </c>
      <c r="I329" s="31">
        <v>152513546077</v>
      </c>
      <c r="J329" s="21">
        <v>72746951139</v>
      </c>
      <c r="K329" s="19">
        <v>9.233810266423955</v>
      </c>
      <c r="L329" s="23">
        <v>68802621772</v>
      </c>
      <c r="M329" s="21">
        <v>3944329367</v>
      </c>
    </row>
    <row r="330" spans="2:13" x14ac:dyDescent="0.3">
      <c r="B330" s="4">
        <v>44314</v>
      </c>
      <c r="C330" s="24">
        <v>8.7331543841785138</v>
      </c>
      <c r="E330" s="4">
        <v>44315</v>
      </c>
      <c r="F330" s="23">
        <v>1669543669874</v>
      </c>
      <c r="G330" s="19">
        <v>2.5502023783901153</v>
      </c>
      <c r="H330" s="31">
        <v>1515552716203</v>
      </c>
      <c r="I330" s="31">
        <v>153990953671</v>
      </c>
      <c r="J330" s="21">
        <v>74937617692</v>
      </c>
      <c r="K330" s="19">
        <v>9.1177606602197265</v>
      </c>
      <c r="L330" s="23">
        <v>70789380183</v>
      </c>
      <c r="M330" s="21">
        <v>4148237509</v>
      </c>
    </row>
    <row r="331" spans="2:13" x14ac:dyDescent="0.3">
      <c r="B331" s="4">
        <v>44315</v>
      </c>
      <c r="C331" s="24">
        <v>8.6130390272974964</v>
      </c>
      <c r="E331" s="4">
        <v>44316</v>
      </c>
      <c r="F331" s="23">
        <v>1654253558570</v>
      </c>
      <c r="G331" s="19">
        <v>2.5408667412791091</v>
      </c>
      <c r="H331" s="31">
        <v>1502555175615</v>
      </c>
      <c r="I331" s="31">
        <v>151698382955</v>
      </c>
      <c r="J331" s="21">
        <v>75795647699</v>
      </c>
      <c r="K331" s="19">
        <v>8.7502313011406567</v>
      </c>
      <c r="L331" s="23">
        <v>72466313361</v>
      </c>
      <c r="M331" s="21">
        <v>3329334338</v>
      </c>
    </row>
    <row r="332" spans="2:13" x14ac:dyDescent="0.3">
      <c r="B332" s="4">
        <v>44316</v>
      </c>
      <c r="C332" s="24">
        <v>8.3658761775850028</v>
      </c>
      <c r="E332" s="4">
        <v>44322</v>
      </c>
      <c r="F332" s="23">
        <v>1661074014679</v>
      </c>
      <c r="G332" s="19">
        <v>2.5613300571233362</v>
      </c>
      <c r="H332" s="31">
        <v>1511138576493</v>
      </c>
      <c r="I332" s="31">
        <v>149935438186</v>
      </c>
      <c r="J332" s="21">
        <v>82269529169</v>
      </c>
      <c r="K332" s="19">
        <v>9.4014930876198246</v>
      </c>
      <c r="L332" s="23">
        <v>78916749343</v>
      </c>
      <c r="M332" s="21">
        <v>3352779826</v>
      </c>
    </row>
    <row r="333" spans="2:13" x14ac:dyDescent="0.3">
      <c r="B333" s="4">
        <v>44322</v>
      </c>
      <c r="C333" s="24">
        <v>9.0183483598349028</v>
      </c>
      <c r="E333" s="4">
        <v>44323</v>
      </c>
      <c r="F333" s="23">
        <v>1658474966847</v>
      </c>
      <c r="G333" s="19">
        <v>2.5810371026865493</v>
      </c>
      <c r="H333" s="31">
        <v>1509672020956</v>
      </c>
      <c r="I333" s="31">
        <v>148802945891</v>
      </c>
      <c r="J333" s="21">
        <v>81936445450</v>
      </c>
      <c r="K333" s="19">
        <v>9.2754032915127045</v>
      </c>
      <c r="L333" s="23">
        <v>77852564767</v>
      </c>
      <c r="M333" s="21">
        <v>4083880683</v>
      </c>
    </row>
    <row r="334" spans="2:13" x14ac:dyDescent="0.3">
      <c r="B334" s="4">
        <v>44323</v>
      </c>
      <c r="C334" s="24">
        <v>8.8130981460892492</v>
      </c>
      <c r="E334" s="4">
        <v>44326</v>
      </c>
      <c r="F334" s="23">
        <v>1664291067147</v>
      </c>
      <c r="G334" s="19">
        <v>2.5799403516566448</v>
      </c>
      <c r="H334" s="31">
        <v>1514959472048</v>
      </c>
      <c r="I334" s="31">
        <v>149331595099</v>
      </c>
      <c r="J334" s="21">
        <v>78508747949</v>
      </c>
      <c r="K334" s="19">
        <v>9.1873170032591549</v>
      </c>
      <c r="L334" s="23">
        <v>74932634932</v>
      </c>
      <c r="M334" s="21">
        <v>3576113017</v>
      </c>
    </row>
    <row r="335" spans="2:13" x14ac:dyDescent="0.3">
      <c r="B335" s="4">
        <v>44326</v>
      </c>
      <c r="C335" s="24">
        <v>8.7688300857502508</v>
      </c>
      <c r="E335" s="4">
        <v>44327</v>
      </c>
      <c r="F335" s="23">
        <v>1667258646234</v>
      </c>
      <c r="G335" s="19">
        <v>2.5736421644428136</v>
      </c>
      <c r="H335" s="31">
        <v>1516709725949</v>
      </c>
      <c r="I335" s="31">
        <v>150548920285</v>
      </c>
      <c r="J335" s="21">
        <v>76701493734</v>
      </c>
      <c r="K335" s="19">
        <v>9.1001143230517698</v>
      </c>
      <c r="L335" s="23">
        <v>72812651478</v>
      </c>
      <c r="M335" s="21">
        <v>3888842256</v>
      </c>
    </row>
    <row r="336" spans="2:13" x14ac:dyDescent="0.3">
      <c r="B336" s="4">
        <v>44327</v>
      </c>
      <c r="C336" s="24">
        <v>8.6387294478543861</v>
      </c>
      <c r="E336" s="4">
        <v>44328</v>
      </c>
      <c r="F336" s="23">
        <v>1671671184030</v>
      </c>
      <c r="G336" s="19">
        <v>2.5608244619388323</v>
      </c>
      <c r="H336" s="31">
        <v>1520325181551</v>
      </c>
      <c r="I336" s="31">
        <v>151346002479</v>
      </c>
      <c r="J336" s="21">
        <v>69607743596</v>
      </c>
      <c r="K336" s="19">
        <v>9.0971702076254211</v>
      </c>
      <c r="L336" s="23">
        <v>65558794228</v>
      </c>
      <c r="M336" s="21">
        <v>4048949368</v>
      </c>
    </row>
    <row r="337" spans="2:13" x14ac:dyDescent="0.3">
      <c r="B337" s="4">
        <v>44328</v>
      </c>
      <c r="C337" s="24">
        <v>8.5680052087348368</v>
      </c>
      <c r="E337" s="4">
        <v>44329</v>
      </c>
      <c r="F337" s="23">
        <v>1671507193083</v>
      </c>
      <c r="G337" s="19">
        <v>2.5818892901258073</v>
      </c>
      <c r="H337" s="31">
        <v>1522090795900</v>
      </c>
      <c r="I337" s="31">
        <v>149416397183</v>
      </c>
      <c r="J337" s="21">
        <v>71711051982</v>
      </c>
      <c r="K337" s="19">
        <v>8.9501130127588926</v>
      </c>
      <c r="L337" s="23">
        <v>67852805384</v>
      </c>
      <c r="M337" s="21">
        <v>3858246598</v>
      </c>
    </row>
    <row r="338" spans="2:13" x14ac:dyDescent="0.3">
      <c r="B338" s="4">
        <v>44329</v>
      </c>
      <c r="C338" s="24">
        <v>8.468572969365578</v>
      </c>
      <c r="E338" s="4">
        <v>44330</v>
      </c>
      <c r="F338" s="23">
        <v>1675776084830</v>
      </c>
      <c r="G338" s="19">
        <v>2.5443067920131153</v>
      </c>
      <c r="H338" s="31">
        <v>1522668781783</v>
      </c>
      <c r="I338" s="31">
        <v>153107303047</v>
      </c>
      <c r="J338" s="21">
        <v>87686339542</v>
      </c>
      <c r="K338" s="19">
        <v>9.7287020164468903</v>
      </c>
      <c r="L338" s="23">
        <v>83221330905</v>
      </c>
      <c r="M338" s="21">
        <v>4465008637</v>
      </c>
    </row>
    <row r="339" spans="2:13" x14ac:dyDescent="0.3">
      <c r="B339" s="4">
        <v>44330</v>
      </c>
      <c r="C339" s="24">
        <v>9.233314265548378</v>
      </c>
      <c r="E339" s="4">
        <v>44333</v>
      </c>
      <c r="F339" s="23">
        <v>1682413400275</v>
      </c>
      <c r="G339" s="19">
        <v>2.5367965437429687</v>
      </c>
      <c r="H339" s="31">
        <v>1527322032522</v>
      </c>
      <c r="I339" s="31">
        <v>155091367753</v>
      </c>
      <c r="J339" s="21">
        <v>88165800402</v>
      </c>
      <c r="K339" s="19">
        <v>9.4832612675588983</v>
      </c>
      <c r="L339" s="23">
        <v>83831063709</v>
      </c>
      <c r="M339" s="21">
        <v>4334736693</v>
      </c>
    </row>
    <row r="340" spans="2:13" x14ac:dyDescent="0.3">
      <c r="B340" s="4">
        <v>44333</v>
      </c>
      <c r="C340" s="24">
        <v>9.0170097233279147</v>
      </c>
      <c r="E340" s="4">
        <v>44334</v>
      </c>
      <c r="F340" s="23">
        <v>1687761513235</v>
      </c>
      <c r="G340" s="19">
        <v>2.531970497131113</v>
      </c>
      <c r="H340" s="31">
        <v>1532757022103</v>
      </c>
      <c r="I340" s="31">
        <v>155004491132</v>
      </c>
      <c r="J340" s="21">
        <v>76187987937</v>
      </c>
      <c r="K340" s="19">
        <v>10.133561887739663</v>
      </c>
      <c r="L340" s="23">
        <v>72677560625</v>
      </c>
      <c r="M340" s="21">
        <v>3510427312</v>
      </c>
    </row>
    <row r="341" spans="2:13" x14ac:dyDescent="0.3">
      <c r="B341" s="4">
        <v>44334</v>
      </c>
      <c r="C341" s="24">
        <v>9.6666492761613263</v>
      </c>
      <c r="E341" s="4">
        <v>44335</v>
      </c>
      <c r="F341" s="23">
        <v>1692401962178</v>
      </c>
      <c r="G341" s="19">
        <v>2.5447779144172458</v>
      </c>
      <c r="H341" s="31">
        <v>1538679950172</v>
      </c>
      <c r="I341" s="31">
        <v>153722012006</v>
      </c>
      <c r="J341" s="21">
        <v>81337168654</v>
      </c>
      <c r="K341" s="19">
        <v>10.280462242318613</v>
      </c>
      <c r="L341" s="23">
        <v>77865324504</v>
      </c>
      <c r="M341" s="21">
        <v>3471844150</v>
      </c>
    </row>
    <row r="342" spans="2:13" x14ac:dyDescent="0.3">
      <c r="B342" s="4">
        <v>44335</v>
      </c>
      <c r="C342" s="24">
        <v>9.8416448690815326</v>
      </c>
      <c r="E342" s="4">
        <v>44336</v>
      </c>
      <c r="F342" s="23">
        <v>1693364835847</v>
      </c>
      <c r="G342" s="19">
        <v>2.5462280963358959</v>
      </c>
      <c r="H342" s="31">
        <v>1539804231077</v>
      </c>
      <c r="I342" s="31">
        <v>153560604770</v>
      </c>
      <c r="J342" s="21">
        <v>78937539202</v>
      </c>
      <c r="K342" s="19">
        <v>9.1346597843062671</v>
      </c>
      <c r="L342" s="23">
        <v>75447656895</v>
      </c>
      <c r="M342" s="21">
        <v>3489882307</v>
      </c>
    </row>
    <row r="343" spans="2:13" x14ac:dyDescent="0.3">
      <c r="B343" s="4">
        <v>44336</v>
      </c>
      <c r="C343" s="24">
        <v>8.7308102612024712</v>
      </c>
      <c r="E343" s="4">
        <v>44337</v>
      </c>
      <c r="F343" s="23">
        <v>1690902629254</v>
      </c>
      <c r="G343" s="19">
        <v>2.5567593091133198</v>
      </c>
      <c r="H343" s="31">
        <v>1539149627290</v>
      </c>
      <c r="I343" s="31">
        <v>151753001964</v>
      </c>
      <c r="J343" s="21">
        <v>72594218545</v>
      </c>
      <c r="K343" s="19">
        <v>8.987577464862456</v>
      </c>
      <c r="L343" s="23">
        <v>68962527038</v>
      </c>
      <c r="M343" s="21">
        <v>3631691507</v>
      </c>
    </row>
    <row r="344" spans="2:13" x14ac:dyDescent="0.3">
      <c r="B344" s="4">
        <v>44337</v>
      </c>
      <c r="C344" s="24">
        <v>8.5379533845727487</v>
      </c>
      <c r="E344" s="4">
        <v>44340</v>
      </c>
      <c r="F344" s="23">
        <v>1696708520972</v>
      </c>
      <c r="G344" s="19">
        <v>2.5506711231560972</v>
      </c>
      <c r="H344" s="31">
        <v>1544903387435</v>
      </c>
      <c r="I344" s="31">
        <v>151805133537</v>
      </c>
      <c r="J344" s="21">
        <v>77529367773</v>
      </c>
      <c r="K344" s="19">
        <v>9.2091768617036003</v>
      </c>
      <c r="L344" s="23">
        <v>73967996039</v>
      </c>
      <c r="M344" s="21">
        <v>3561371734</v>
      </c>
    </row>
    <row r="345" spans="2:13" x14ac:dyDescent="0.3">
      <c r="B345" s="4">
        <v>44340</v>
      </c>
      <c r="C345" s="24">
        <v>8.7861461688091875</v>
      </c>
      <c r="E345" s="4">
        <v>44341</v>
      </c>
      <c r="F345" s="23">
        <v>1699401957275</v>
      </c>
      <c r="G345" s="19">
        <v>2.4994408397892003</v>
      </c>
      <c r="H345" s="31">
        <v>1544280065762</v>
      </c>
      <c r="I345" s="31">
        <v>155121891513</v>
      </c>
      <c r="J345" s="21">
        <v>96008563290</v>
      </c>
      <c r="K345" s="19">
        <v>9.5421590078482481</v>
      </c>
      <c r="L345" s="23">
        <v>91620358405</v>
      </c>
      <c r="M345" s="21">
        <v>4388204885</v>
      </c>
    </row>
    <row r="346" spans="2:13" x14ac:dyDescent="0.3">
      <c r="B346" s="4">
        <v>44341</v>
      </c>
      <c r="C346" s="24">
        <v>9.1060213620300665</v>
      </c>
      <c r="E346" s="4">
        <v>44342</v>
      </c>
      <c r="F346" s="23">
        <v>1704439390294</v>
      </c>
      <c r="G346" s="19">
        <v>2.50265278691572</v>
      </c>
      <c r="H346" s="31">
        <v>1549750676869</v>
      </c>
      <c r="I346" s="31">
        <v>154688713425</v>
      </c>
      <c r="J346" s="21">
        <v>94621342802</v>
      </c>
      <c r="K346" s="19">
        <v>9.7895520734142316</v>
      </c>
      <c r="L346" s="23">
        <v>90771050115</v>
      </c>
      <c r="M346" s="21">
        <v>3850292687</v>
      </c>
    </row>
    <row r="347" spans="2:13" x14ac:dyDescent="0.3">
      <c r="B347" s="4">
        <v>44342</v>
      </c>
      <c r="C347" s="24">
        <v>9.3911996548045487</v>
      </c>
      <c r="E347" s="4">
        <v>44343</v>
      </c>
      <c r="F347" s="23">
        <v>1711767424851</v>
      </c>
      <c r="G347" s="19">
        <v>2.5007416660079405</v>
      </c>
      <c r="H347" s="31">
        <v>1556515879766</v>
      </c>
      <c r="I347" s="31">
        <v>155251545085</v>
      </c>
      <c r="J347" s="21">
        <v>89119029813</v>
      </c>
      <c r="K347" s="19">
        <v>9.4892143560452169</v>
      </c>
      <c r="L347" s="23">
        <v>85370036618</v>
      </c>
      <c r="M347" s="21">
        <v>3748993195</v>
      </c>
    </row>
    <row r="348" spans="2:13" x14ac:dyDescent="0.3">
      <c r="B348" s="4">
        <v>44343</v>
      </c>
      <c r="C348" s="24">
        <v>9.0900291301584737</v>
      </c>
      <c r="E348" s="4">
        <v>44344</v>
      </c>
      <c r="F348" s="23">
        <v>1715069899414</v>
      </c>
      <c r="G348" s="19">
        <v>2.5072827770495092</v>
      </c>
      <c r="H348" s="31">
        <v>1559432276141</v>
      </c>
      <c r="I348" s="31">
        <v>155637623273</v>
      </c>
      <c r="J348" s="21">
        <v>98483553297</v>
      </c>
      <c r="K348" s="19">
        <v>9.6953594247571129</v>
      </c>
      <c r="L348" s="23">
        <v>94215901170</v>
      </c>
      <c r="M348" s="21">
        <v>4267652127</v>
      </c>
    </row>
    <row r="349" spans="2:13" x14ac:dyDescent="0.3">
      <c r="B349" s="4">
        <v>44344</v>
      </c>
      <c r="C349" s="24">
        <v>9.2752240835157789</v>
      </c>
      <c r="E349" s="4">
        <v>44347</v>
      </c>
      <c r="F349" s="23">
        <v>1726568764006</v>
      </c>
      <c r="G349" s="19">
        <v>2.5086068780547821</v>
      </c>
      <c r="H349" s="31">
        <v>1569588081989</v>
      </c>
      <c r="I349" s="31">
        <v>156980682017</v>
      </c>
      <c r="J349" s="21">
        <v>98818979442</v>
      </c>
      <c r="K349" s="19">
        <v>9.7932820864856982</v>
      </c>
      <c r="L349" s="23">
        <v>95044452743</v>
      </c>
      <c r="M349" s="21">
        <v>3774526699</v>
      </c>
    </row>
    <row r="350" spans="2:13" x14ac:dyDescent="0.3">
      <c r="B350" s="4">
        <v>44347</v>
      </c>
      <c r="C350" s="24">
        <v>9.4192142210310195</v>
      </c>
      <c r="E350" s="4">
        <v>44348</v>
      </c>
      <c r="F350" s="23">
        <v>1734910552568</v>
      </c>
      <c r="G350" s="19">
        <v>2.5125973497895062</v>
      </c>
      <c r="H350" s="31">
        <v>1577535171123</v>
      </c>
      <c r="I350" s="31">
        <v>157375381445</v>
      </c>
      <c r="J350" s="21">
        <v>99944216391</v>
      </c>
      <c r="K350" s="19">
        <v>9.5515493159553611</v>
      </c>
      <c r="L350" s="23">
        <v>95349068959</v>
      </c>
      <c r="M350" s="21">
        <v>4595147432</v>
      </c>
    </row>
    <row r="351" spans="2:13" x14ac:dyDescent="0.3">
      <c r="B351" s="4">
        <v>44348</v>
      </c>
      <c r="C351" s="24">
        <v>9.112396567594967</v>
      </c>
      <c r="E351" s="4">
        <v>44349</v>
      </c>
      <c r="F351" s="23">
        <v>1732464336631</v>
      </c>
      <c r="G351" s="19">
        <v>2.5300187225237902</v>
      </c>
      <c r="H351" s="31">
        <v>1578931672202</v>
      </c>
      <c r="I351" s="31">
        <v>153532664429</v>
      </c>
      <c r="J351" s="21">
        <v>92275605372</v>
      </c>
      <c r="K351" s="19">
        <v>9.1142664556383384</v>
      </c>
      <c r="L351" s="23">
        <v>87943241797</v>
      </c>
      <c r="M351" s="21">
        <v>4332363575</v>
      </c>
    </row>
    <row r="352" spans="2:13" x14ac:dyDescent="0.3">
      <c r="B352" s="4">
        <v>44349</v>
      </c>
      <c r="C352" s="24">
        <v>8.6863492846150034</v>
      </c>
      <c r="E352" s="4">
        <v>44350</v>
      </c>
      <c r="F352" s="23">
        <v>1732013891804</v>
      </c>
      <c r="G352" s="19">
        <v>2.5371547079054739</v>
      </c>
      <c r="H352" s="31">
        <v>1580008891426</v>
      </c>
      <c r="I352" s="31">
        <v>152005000378</v>
      </c>
      <c r="J352" s="21">
        <v>88060429089</v>
      </c>
      <c r="K352" s="19">
        <v>9.2184824593909944</v>
      </c>
      <c r="L352" s="23">
        <v>83780543663</v>
      </c>
      <c r="M352" s="21">
        <v>4279885426</v>
      </c>
    </row>
    <row r="353" spans="2:13" x14ac:dyDescent="0.3">
      <c r="B353" s="4">
        <v>44350</v>
      </c>
      <c r="C353" s="24">
        <v>8.7704486587844901</v>
      </c>
      <c r="E353" s="4">
        <v>44351</v>
      </c>
      <c r="F353" s="23">
        <v>1729226512430</v>
      </c>
      <c r="G353" s="19">
        <v>2.522290810588506</v>
      </c>
      <c r="H353" s="31">
        <v>1577431045756</v>
      </c>
      <c r="I353" s="31">
        <v>151795466674</v>
      </c>
      <c r="J353" s="21">
        <v>85542712753</v>
      </c>
      <c r="K353" s="19">
        <v>9.1297518581579364</v>
      </c>
      <c r="L353" s="23">
        <v>81514324033</v>
      </c>
      <c r="M353" s="21">
        <v>4028388720</v>
      </c>
    </row>
    <row r="354" spans="2:13" x14ac:dyDescent="0.3">
      <c r="B354" s="4">
        <v>44351</v>
      </c>
      <c r="C354" s="24">
        <v>8.6998123785906056</v>
      </c>
      <c r="E354" s="4">
        <v>44354</v>
      </c>
      <c r="F354" s="23">
        <v>1736238082009</v>
      </c>
      <c r="G354" s="19">
        <v>2.5268025992622656</v>
      </c>
      <c r="H354" s="31">
        <v>1585102792849</v>
      </c>
      <c r="I354" s="31">
        <v>151135289160</v>
      </c>
      <c r="J354" s="21">
        <v>89384570410</v>
      </c>
      <c r="K354" s="19">
        <v>9.4211472524511901</v>
      </c>
      <c r="L354" s="23">
        <v>84865273772</v>
      </c>
      <c r="M354" s="21">
        <v>4519296638</v>
      </c>
    </row>
    <row r="355" spans="2:13" x14ac:dyDescent="0.3">
      <c r="B355" s="4">
        <v>44354</v>
      </c>
      <c r="C355" s="24">
        <v>8.9448127026647057</v>
      </c>
      <c r="E355" s="4">
        <v>44355</v>
      </c>
      <c r="F355" s="23">
        <v>1734618131010</v>
      </c>
      <c r="G355" s="19">
        <v>2.5434344287193231</v>
      </c>
      <c r="H355" s="31">
        <v>1585734972119</v>
      </c>
      <c r="I355" s="31">
        <v>148883158891</v>
      </c>
      <c r="J355" s="21">
        <v>90656128941</v>
      </c>
      <c r="K355" s="19">
        <v>9.204128097873097</v>
      </c>
      <c r="L355" s="23">
        <v>86110645055</v>
      </c>
      <c r="M355" s="21">
        <v>4545483886</v>
      </c>
    </row>
    <row r="356" spans="2:13" x14ac:dyDescent="0.3">
      <c r="B356" s="4">
        <v>44355</v>
      </c>
      <c r="C356" s="24">
        <v>8.7426345789871291</v>
      </c>
      <c r="E356" s="4">
        <v>44356</v>
      </c>
      <c r="F356" s="23">
        <v>1734368161220</v>
      </c>
      <c r="G356" s="19">
        <v>2.5346423270998399</v>
      </c>
      <c r="H356" s="31">
        <v>1586530991690</v>
      </c>
      <c r="I356" s="31">
        <v>147837169530</v>
      </c>
      <c r="J356" s="21">
        <v>76956320958</v>
      </c>
      <c r="K356" s="19">
        <v>8.7387868325033491</v>
      </c>
      <c r="L356" s="23">
        <v>73152748417</v>
      </c>
      <c r="M356" s="21">
        <v>3803572541</v>
      </c>
    </row>
    <row r="357" spans="2:13" x14ac:dyDescent="0.3">
      <c r="B357" s="4">
        <v>44356</v>
      </c>
      <c r="C357" s="24">
        <v>8.3068715690917507</v>
      </c>
      <c r="E357" s="4">
        <v>44357</v>
      </c>
      <c r="F357" s="23">
        <v>1741127317334</v>
      </c>
      <c r="G357" s="19">
        <v>2.5291747675988274</v>
      </c>
      <c r="H357" s="31">
        <v>1591088243564</v>
      </c>
      <c r="I357" s="31">
        <v>150039073770</v>
      </c>
      <c r="J357" s="21">
        <v>92180636134</v>
      </c>
      <c r="K357" s="19">
        <v>9.2007856460625153</v>
      </c>
      <c r="L357" s="23">
        <v>87981706774</v>
      </c>
      <c r="M357" s="21">
        <v>4198929360</v>
      </c>
    </row>
    <row r="358" spans="2:13" x14ac:dyDescent="0.3">
      <c r="B358" s="4">
        <v>44357</v>
      </c>
      <c r="C358" s="24">
        <v>8.7816797404777631</v>
      </c>
      <c r="E358" s="4">
        <v>44358</v>
      </c>
      <c r="F358" s="23">
        <v>1735411923570</v>
      </c>
      <c r="G358" s="19">
        <v>2.5172061352483301</v>
      </c>
      <c r="H358" s="31">
        <v>1587180299063</v>
      </c>
      <c r="I358" s="31">
        <v>148231624507</v>
      </c>
      <c r="J358" s="21">
        <v>98679604436</v>
      </c>
      <c r="K358" s="19">
        <v>8.80444175563985</v>
      </c>
      <c r="L358" s="23">
        <v>94962541759</v>
      </c>
      <c r="M358" s="21">
        <v>3717062677</v>
      </c>
    </row>
    <row r="359" spans="2:13" x14ac:dyDescent="0.3">
      <c r="B359" s="4">
        <v>44358</v>
      </c>
      <c r="C359" s="24">
        <v>8.4727961027335841</v>
      </c>
      <c r="E359" s="4">
        <v>44362</v>
      </c>
      <c r="F359" s="23">
        <v>1740721108093</v>
      </c>
      <c r="G359" s="19">
        <v>2.5467664882897361</v>
      </c>
      <c r="H359" s="31">
        <v>1594407396826</v>
      </c>
      <c r="I359" s="31">
        <v>146313711267</v>
      </c>
      <c r="J359" s="21">
        <v>89021338847</v>
      </c>
      <c r="K359" s="19">
        <v>8.9008776697708072</v>
      </c>
      <c r="L359" s="23">
        <v>85258258623</v>
      </c>
      <c r="M359" s="21">
        <v>3763080224</v>
      </c>
    </row>
    <row r="360" spans="2:13" x14ac:dyDescent="0.3">
      <c r="B360" s="4">
        <v>44362</v>
      </c>
      <c r="C360" s="24">
        <v>8.5246227496676088</v>
      </c>
      <c r="E360" s="4">
        <v>44363</v>
      </c>
      <c r="F360" s="23">
        <v>1733763668089</v>
      </c>
      <c r="G360" s="19">
        <v>2.5743374318448953</v>
      </c>
      <c r="H360" s="31">
        <v>1589341589046</v>
      </c>
      <c r="I360" s="31">
        <v>144422079043</v>
      </c>
      <c r="J360" s="21">
        <v>78559426312</v>
      </c>
      <c r="K360" s="19">
        <v>8.4302261493871899</v>
      </c>
      <c r="L360" s="23">
        <v>73551008366</v>
      </c>
      <c r="M360" s="21">
        <v>5008417946</v>
      </c>
    </row>
    <row r="361" spans="2:13" x14ac:dyDescent="0.3">
      <c r="B361" s="4">
        <v>44363</v>
      </c>
      <c r="C361" s="24">
        <v>7.8927719199259982</v>
      </c>
      <c r="E361" s="4">
        <v>44364</v>
      </c>
      <c r="F361" s="23">
        <v>1739989829346</v>
      </c>
      <c r="G361" s="19">
        <v>2.5691129839342843</v>
      </c>
      <c r="H361" s="31">
        <v>1592272233823</v>
      </c>
      <c r="I361" s="31">
        <v>147717595523</v>
      </c>
      <c r="J361" s="21">
        <v>83149042531</v>
      </c>
      <c r="K361" s="19">
        <v>9.325383748270287</v>
      </c>
      <c r="L361" s="23">
        <v>77280659625</v>
      </c>
      <c r="M361" s="21">
        <v>5868382906</v>
      </c>
    </row>
    <row r="362" spans="2:13" x14ac:dyDescent="0.3">
      <c r="B362" s="4">
        <v>44364</v>
      </c>
      <c r="C362" s="24">
        <v>8.6672291752956596</v>
      </c>
      <c r="E362" s="4">
        <v>44365</v>
      </c>
      <c r="F362" s="23">
        <v>1743524249860</v>
      </c>
      <c r="G362" s="19">
        <v>2.5671763388100208</v>
      </c>
      <c r="H362" s="31">
        <v>1594946385824</v>
      </c>
      <c r="I362" s="31">
        <v>148577864036</v>
      </c>
      <c r="J362" s="21">
        <v>95208475614</v>
      </c>
      <c r="K362" s="19">
        <v>9.429072020985549</v>
      </c>
      <c r="L362" s="23">
        <v>89463959533</v>
      </c>
      <c r="M362" s="21">
        <v>5744516081</v>
      </c>
    </row>
    <row r="363" spans="2:13" x14ac:dyDescent="0.3">
      <c r="B363" s="4">
        <v>44365</v>
      </c>
      <c r="C363" s="24">
        <v>8.8601577987574824</v>
      </c>
      <c r="E363" s="4">
        <v>44368</v>
      </c>
      <c r="F363" s="23">
        <v>1750763332312</v>
      </c>
      <c r="G363" s="19">
        <v>2.5645740562645201</v>
      </c>
      <c r="H363" s="31">
        <v>1601972261576</v>
      </c>
      <c r="I363" s="31">
        <v>148791070736</v>
      </c>
      <c r="J363" s="21">
        <v>93431593637</v>
      </c>
      <c r="K363" s="19">
        <v>9.2144968295990832</v>
      </c>
      <c r="L363" s="23">
        <v>88562731033</v>
      </c>
      <c r="M363" s="21">
        <v>4868862604</v>
      </c>
    </row>
    <row r="364" spans="2:13" x14ac:dyDescent="0.3">
      <c r="B364" s="4">
        <v>44368</v>
      </c>
      <c r="C364" s="24">
        <v>8.7343153697535261</v>
      </c>
      <c r="E364" s="4">
        <v>44369</v>
      </c>
      <c r="F364" s="23">
        <v>1759093835408</v>
      </c>
      <c r="G364" s="19">
        <v>2.5588610749929046</v>
      </c>
      <c r="H364" s="31">
        <v>1608147831230</v>
      </c>
      <c r="I364" s="31">
        <v>150946004178</v>
      </c>
      <c r="J364" s="21">
        <v>93081580642</v>
      </c>
      <c r="K364" s="19">
        <v>9.2063229230158239</v>
      </c>
      <c r="L364" s="23">
        <v>86844364164</v>
      </c>
      <c r="M364" s="21">
        <v>6237216478</v>
      </c>
    </row>
    <row r="365" spans="2:13" x14ac:dyDescent="0.3">
      <c r="B365" s="4">
        <v>44369</v>
      </c>
      <c r="C365" s="24">
        <v>8.5894250508355814</v>
      </c>
      <c r="E365" s="4">
        <v>44370</v>
      </c>
      <c r="F365" s="23">
        <v>1764800105273</v>
      </c>
      <c r="G365" s="19">
        <v>2.5643646561494937</v>
      </c>
      <c r="H365" s="31">
        <v>1611685084166</v>
      </c>
      <c r="I365" s="31">
        <v>153115021107</v>
      </c>
      <c r="J365" s="21">
        <v>103461383923</v>
      </c>
      <c r="K365" s="19">
        <v>9.6435583122356547</v>
      </c>
      <c r="L365" s="23">
        <v>96553014771</v>
      </c>
      <c r="M365" s="21">
        <v>6908369152</v>
      </c>
    </row>
    <row r="366" spans="2:13" x14ac:dyDescent="0.3">
      <c r="B366" s="4">
        <v>44370</v>
      </c>
      <c r="C366" s="24">
        <v>8.9996343839674591</v>
      </c>
      <c r="E366" s="4">
        <v>44371</v>
      </c>
      <c r="F366" s="23">
        <v>1765960333941</v>
      </c>
      <c r="G366" s="19">
        <v>2.5655206701189148</v>
      </c>
      <c r="H366" s="31">
        <v>1612912482507</v>
      </c>
      <c r="I366" s="31">
        <v>153047851434</v>
      </c>
      <c r="J366" s="21">
        <v>90080363073</v>
      </c>
      <c r="K366" s="19">
        <v>8.8957087969752937</v>
      </c>
      <c r="L366" s="23">
        <v>84339919184</v>
      </c>
      <c r="M366" s="21">
        <v>5740443889</v>
      </c>
    </row>
    <row r="367" spans="2:13" x14ac:dyDescent="0.3">
      <c r="B367" s="4">
        <v>44371</v>
      </c>
      <c r="C367" s="24">
        <v>8.3288225693905122</v>
      </c>
      <c r="E367" s="4">
        <v>44372</v>
      </c>
      <c r="F367" s="23">
        <v>1767799270419</v>
      </c>
      <c r="G367" s="19">
        <v>2.5379026461993091</v>
      </c>
      <c r="H367" s="31">
        <v>1611839572887</v>
      </c>
      <c r="I367" s="31">
        <v>155959697532</v>
      </c>
      <c r="J367" s="21">
        <v>99123702517</v>
      </c>
      <c r="K367" s="19">
        <v>9.4026300122860249</v>
      </c>
      <c r="L367" s="23">
        <v>93901769687</v>
      </c>
      <c r="M367" s="21">
        <v>5221932830</v>
      </c>
    </row>
    <row r="368" spans="2:13" x14ac:dyDescent="0.3">
      <c r="B368" s="4">
        <v>44372</v>
      </c>
      <c r="C368" s="24">
        <v>8.9072903397079273</v>
      </c>
      <c r="E368" s="4">
        <v>44375</v>
      </c>
      <c r="F368" s="23">
        <v>1777282924428</v>
      </c>
      <c r="G368" s="19">
        <v>2.5424985247654623</v>
      </c>
      <c r="H368" s="31">
        <v>1620823499176</v>
      </c>
      <c r="I368" s="31">
        <v>156459425252</v>
      </c>
      <c r="J368" s="21">
        <v>101019798591</v>
      </c>
      <c r="K368" s="19">
        <v>9.9332861154341785</v>
      </c>
      <c r="L368" s="23">
        <v>96064050819</v>
      </c>
      <c r="M368" s="21">
        <v>4955747772</v>
      </c>
    </row>
    <row r="369" spans="2:13" x14ac:dyDescent="0.3">
      <c r="B369" s="4">
        <v>44375</v>
      </c>
      <c r="C369" s="24">
        <v>9.4459869798013028</v>
      </c>
      <c r="E369" s="4">
        <v>44376</v>
      </c>
      <c r="F369" s="23">
        <v>1779420945087</v>
      </c>
      <c r="G369" s="19">
        <v>2.5675111106093755</v>
      </c>
      <c r="H369" s="31">
        <v>1624721145093</v>
      </c>
      <c r="I369" s="31">
        <v>154699799994</v>
      </c>
      <c r="J369" s="21">
        <v>90746211965</v>
      </c>
      <c r="K369" s="19">
        <v>9.1014057255576759</v>
      </c>
      <c r="L369" s="23">
        <v>85909121307</v>
      </c>
      <c r="M369" s="21">
        <v>4837090658</v>
      </c>
    </row>
    <row r="370" spans="2:13" x14ac:dyDescent="0.3">
      <c r="B370" s="4">
        <v>44376</v>
      </c>
      <c r="C370" s="24">
        <v>8.6162689506282426</v>
      </c>
      <c r="E370" s="4">
        <v>44377</v>
      </c>
      <c r="F370" s="23">
        <v>1784202844383</v>
      </c>
      <c r="G370" s="19">
        <v>2.5558667598024063</v>
      </c>
      <c r="H370" s="31">
        <v>1628155901214</v>
      </c>
      <c r="I370" s="31">
        <v>156046943169</v>
      </c>
      <c r="J370" s="21">
        <v>94738883720</v>
      </c>
      <c r="K370" s="19">
        <v>10.055229715682339</v>
      </c>
      <c r="L370" s="23">
        <v>89553023985</v>
      </c>
      <c r="M370" s="21">
        <v>5185859735</v>
      </c>
    </row>
    <row r="371" spans="2:13" x14ac:dyDescent="0.3">
      <c r="B371" s="4">
        <v>44377</v>
      </c>
      <c r="C371" s="24">
        <v>9.5048220175839866</v>
      </c>
      <c r="E371" s="4">
        <v>44378</v>
      </c>
      <c r="F371" s="23">
        <v>1774090749408</v>
      </c>
      <c r="G371" s="19">
        <v>2.552917211423591</v>
      </c>
      <c r="H371" s="31">
        <v>1618122059322</v>
      </c>
      <c r="I371" s="31">
        <v>155968690086</v>
      </c>
      <c r="J371" s="21">
        <v>98351398496</v>
      </c>
      <c r="K371" s="19">
        <v>9.6467149804266814</v>
      </c>
      <c r="L371" s="23">
        <v>93423827242</v>
      </c>
      <c r="M371" s="21">
        <v>4927571254</v>
      </c>
    </row>
    <row r="372" spans="2:13" x14ac:dyDescent="0.3">
      <c r="B372" s="4">
        <v>44378</v>
      </c>
      <c r="C372" s="24">
        <v>9.1633982593633316</v>
      </c>
      <c r="E372" s="4">
        <v>44379</v>
      </c>
      <c r="F372" s="23">
        <v>1768198585991</v>
      </c>
      <c r="G372" s="19">
        <v>2.5938175832452868</v>
      </c>
      <c r="H372" s="31">
        <v>1616049252551</v>
      </c>
      <c r="I372" s="31">
        <v>152149333440</v>
      </c>
      <c r="J372" s="21">
        <v>88370088871</v>
      </c>
      <c r="K372" s="19">
        <v>8.8151742257860697</v>
      </c>
      <c r="L372" s="23">
        <v>83768426713</v>
      </c>
      <c r="M372" s="21">
        <v>4601662158</v>
      </c>
    </row>
    <row r="373" spans="2:13" x14ac:dyDescent="0.3">
      <c r="B373" s="4">
        <v>44379</v>
      </c>
      <c r="C373" s="24">
        <v>8.3561449980324181</v>
      </c>
      <c r="E373" s="4">
        <v>44382</v>
      </c>
      <c r="F373" s="23">
        <v>1776351593939</v>
      </c>
      <c r="G373" s="19">
        <v>2.5966631733692833</v>
      </c>
      <c r="H373" s="31">
        <v>1622371434140</v>
      </c>
      <c r="I373" s="31">
        <v>153980159799</v>
      </c>
      <c r="J373" s="21">
        <v>91100327842</v>
      </c>
      <c r="K373" s="19">
        <v>9.0602833021119462</v>
      </c>
      <c r="L373" s="23">
        <v>85140899406</v>
      </c>
      <c r="M373" s="21">
        <v>5959428436</v>
      </c>
    </row>
    <row r="374" spans="2:13" x14ac:dyDescent="0.3">
      <c r="B374" s="4">
        <v>44382</v>
      </c>
      <c r="C374" s="24">
        <v>8.4675948757599944</v>
      </c>
      <c r="E374" s="4">
        <v>44383</v>
      </c>
      <c r="F374" s="23">
        <v>1776038669263</v>
      </c>
      <c r="G374" s="19">
        <v>2.5936407035518365</v>
      </c>
      <c r="H374" s="31">
        <v>1622236698640</v>
      </c>
      <c r="I374" s="31">
        <v>153801970623</v>
      </c>
      <c r="J374" s="21">
        <v>101043829048</v>
      </c>
      <c r="K374" s="19">
        <v>9.0244278880951612</v>
      </c>
      <c r="L374" s="23">
        <v>95309473637</v>
      </c>
      <c r="M374" s="21">
        <v>5734355411</v>
      </c>
    </row>
    <row r="375" spans="2:13" x14ac:dyDescent="0.3">
      <c r="B375" s="4">
        <v>44383</v>
      </c>
      <c r="C375" s="24">
        <v>8.5122810565781695</v>
      </c>
      <c r="E375" s="4">
        <v>44384</v>
      </c>
      <c r="F375" s="23">
        <v>1786147377069</v>
      </c>
      <c r="G375" s="19">
        <v>2.5816337648781569</v>
      </c>
      <c r="H375" s="31">
        <v>1629142970750</v>
      </c>
      <c r="I375" s="31">
        <v>157004406319</v>
      </c>
      <c r="J375" s="21">
        <v>101510763856</v>
      </c>
      <c r="K375" s="19">
        <v>9.6679560148046715</v>
      </c>
      <c r="L375" s="23">
        <v>95309613202</v>
      </c>
      <c r="M375" s="21">
        <v>6201150654</v>
      </c>
    </row>
    <row r="376" spans="2:13" x14ac:dyDescent="0.3">
      <c r="B376" s="4">
        <v>44384</v>
      </c>
      <c r="C376" s="24">
        <v>9.0773540974642017</v>
      </c>
      <c r="E376" s="4">
        <v>44385</v>
      </c>
      <c r="F376" s="23">
        <v>1790805458107</v>
      </c>
      <c r="G376" s="19">
        <v>2.6061386158436233</v>
      </c>
      <c r="H376" s="31">
        <v>1633671144622</v>
      </c>
      <c r="I376" s="31">
        <v>157134313485</v>
      </c>
      <c r="J376" s="21">
        <v>114273930179</v>
      </c>
      <c r="K376" s="19">
        <v>9.5491222494880628</v>
      </c>
      <c r="L376" s="23">
        <v>108732539887</v>
      </c>
      <c r="M376" s="21">
        <v>5541390292</v>
      </c>
    </row>
    <row r="377" spans="2:13" x14ac:dyDescent="0.3">
      <c r="B377" s="4">
        <v>44385</v>
      </c>
      <c r="C377" s="24">
        <v>9.0860646365439113</v>
      </c>
      <c r="E377" s="4">
        <v>44386</v>
      </c>
      <c r="F377" s="23">
        <v>1792813134324</v>
      </c>
      <c r="G377" s="19">
        <v>2.6081118589714389</v>
      </c>
      <c r="H377" s="31">
        <v>1635567890203</v>
      </c>
      <c r="I377" s="31">
        <v>157245244121</v>
      </c>
      <c r="J377" s="21">
        <v>105243767440</v>
      </c>
      <c r="K377" s="19">
        <v>9.336013165914208</v>
      </c>
      <c r="L377" s="23">
        <v>99922891098</v>
      </c>
      <c r="M377" s="21">
        <v>5320876342</v>
      </c>
    </row>
    <row r="378" spans="2:13" x14ac:dyDescent="0.3">
      <c r="B378" s="4">
        <v>44386</v>
      </c>
      <c r="C378" s="24">
        <v>8.8640063878270041</v>
      </c>
      <c r="E378" s="4">
        <v>44389</v>
      </c>
      <c r="F378" s="23">
        <v>1804529044690</v>
      </c>
      <c r="G378" s="19">
        <v>2.5941656481685604</v>
      </c>
      <c r="H378" s="31">
        <v>1644553100977</v>
      </c>
      <c r="I378" s="31">
        <v>159975943713</v>
      </c>
      <c r="J378" s="21">
        <v>128792879334</v>
      </c>
      <c r="K378" s="19">
        <v>9.7755406765544706</v>
      </c>
      <c r="L378" s="23">
        <v>123355406071</v>
      </c>
      <c r="M378" s="21">
        <v>5437473263</v>
      </c>
    </row>
    <row r="379" spans="2:13" x14ac:dyDescent="0.3">
      <c r="B379" s="4">
        <v>44389</v>
      </c>
      <c r="C379" s="24">
        <v>9.3628296529714952</v>
      </c>
      <c r="E379" s="4">
        <v>44390</v>
      </c>
      <c r="F379" s="23">
        <v>1809324388867</v>
      </c>
      <c r="G379" s="19">
        <v>2.58835845612272</v>
      </c>
      <c r="H379" s="31">
        <v>1649822206214</v>
      </c>
      <c r="I379" s="31">
        <v>159502182653</v>
      </c>
      <c r="J379" s="21">
        <v>117466745268</v>
      </c>
      <c r="K379" s="19">
        <v>9.6321492184058197</v>
      </c>
      <c r="L379" s="23">
        <v>112487048969</v>
      </c>
      <c r="M379" s="21">
        <v>4979696299</v>
      </c>
    </row>
    <row r="380" spans="2:13" x14ac:dyDescent="0.3">
      <c r="B380" s="4">
        <v>44390</v>
      </c>
      <c r="C380" s="24">
        <v>9.2238193740325993</v>
      </c>
      <c r="E380" s="4">
        <v>44391</v>
      </c>
      <c r="F380" s="23">
        <v>1807209605040</v>
      </c>
      <c r="G380" s="19">
        <v>2.6140215510312497</v>
      </c>
      <c r="H380" s="31">
        <v>1650510397106</v>
      </c>
      <c r="I380" s="31">
        <v>156699207934</v>
      </c>
      <c r="J380" s="21">
        <v>111968286087</v>
      </c>
      <c r="K380" s="19">
        <v>9.218423463677782</v>
      </c>
      <c r="L380" s="23">
        <v>106806246278</v>
      </c>
      <c r="M380" s="21">
        <v>5162039809</v>
      </c>
    </row>
    <row r="381" spans="2:13" x14ac:dyDescent="0.3">
      <c r="B381" s="4">
        <v>44391</v>
      </c>
      <c r="C381" s="24">
        <v>8.7934292929288436</v>
      </c>
      <c r="E381" s="4">
        <v>44392</v>
      </c>
      <c r="F381" s="23">
        <v>1808200503832</v>
      </c>
      <c r="G381" s="19">
        <v>2.592309984960163</v>
      </c>
      <c r="H381" s="31">
        <v>1650114153718</v>
      </c>
      <c r="I381" s="31">
        <v>158086350114</v>
      </c>
      <c r="J381" s="21">
        <v>108863321272</v>
      </c>
      <c r="K381" s="19">
        <v>9.2942983527247129</v>
      </c>
      <c r="L381" s="23">
        <v>103305725850</v>
      </c>
      <c r="M381" s="21">
        <v>5557595422</v>
      </c>
    </row>
    <row r="382" spans="2:13" x14ac:dyDescent="0.3">
      <c r="B382" s="4">
        <v>44392</v>
      </c>
      <c r="C382" s="24">
        <v>8.8198139315968174</v>
      </c>
      <c r="E382" s="4">
        <v>44393</v>
      </c>
      <c r="F382" s="23">
        <v>1803993797080</v>
      </c>
      <c r="G382" s="19">
        <v>2.6050481853127279</v>
      </c>
      <c r="H382" s="31">
        <v>1646963979160</v>
      </c>
      <c r="I382" s="31">
        <v>157029817920</v>
      </c>
      <c r="J382" s="21">
        <v>114712074434</v>
      </c>
      <c r="K382" s="19">
        <v>9.7112055025324633</v>
      </c>
      <c r="L382" s="23">
        <v>109155593272</v>
      </c>
      <c r="M382" s="21">
        <v>5556481162</v>
      </c>
    </row>
    <row r="383" spans="2:13" x14ac:dyDescent="0.3">
      <c r="B383" s="4">
        <v>44393</v>
      </c>
      <c r="C383" s="24">
        <v>9.240809245631203</v>
      </c>
      <c r="E383" s="4">
        <v>44396</v>
      </c>
      <c r="F383" s="23">
        <v>1804613108778</v>
      </c>
      <c r="G383" s="19">
        <v>2.6036482945429933</v>
      </c>
      <c r="H383" s="31">
        <v>1648613069044</v>
      </c>
      <c r="I383" s="31">
        <v>156000039734</v>
      </c>
      <c r="J383" s="21">
        <v>101910898233</v>
      </c>
      <c r="K383" s="19">
        <v>9.088043943138695</v>
      </c>
      <c r="L383" s="23">
        <v>97223234754</v>
      </c>
      <c r="M383" s="21">
        <v>4687663479</v>
      </c>
    </row>
    <row r="384" spans="2:13" x14ac:dyDescent="0.3">
      <c r="B384" s="4">
        <v>44396</v>
      </c>
      <c r="C384" s="24">
        <v>8.6700151314369496</v>
      </c>
      <c r="E384" s="4">
        <v>44397</v>
      </c>
      <c r="F384" s="23">
        <v>1806702294387</v>
      </c>
      <c r="G384" s="19">
        <v>2.6036675200644086</v>
      </c>
      <c r="H384" s="31">
        <v>1650700972878</v>
      </c>
      <c r="I384" s="31">
        <v>156001321509</v>
      </c>
      <c r="J384" s="21">
        <v>85238587012</v>
      </c>
      <c r="K384" s="19">
        <v>8.8204223039872645</v>
      </c>
      <c r="L384" s="23">
        <v>80629691287</v>
      </c>
      <c r="M384" s="21">
        <v>4608895725</v>
      </c>
    </row>
    <row r="385" spans="2:13" x14ac:dyDescent="0.3">
      <c r="B385" s="4">
        <v>44397</v>
      </c>
      <c r="C385" s="24">
        <v>8.343497379788106</v>
      </c>
      <c r="E385" s="4">
        <v>44398</v>
      </c>
      <c r="F385" s="23">
        <v>1816717132186</v>
      </c>
      <c r="G385" s="19">
        <v>2.5918191217712336</v>
      </c>
      <c r="H385" s="31">
        <v>1659031412396</v>
      </c>
      <c r="I385" s="31">
        <v>157685719790</v>
      </c>
      <c r="J385" s="21">
        <v>120395646906</v>
      </c>
      <c r="K385" s="19">
        <v>9.9594053774508584</v>
      </c>
      <c r="L385" s="23">
        <v>115481138145</v>
      </c>
      <c r="M385" s="21">
        <v>4914508761</v>
      </c>
    </row>
    <row r="386" spans="2:13" x14ac:dyDescent="0.3">
      <c r="B386" s="4">
        <v>44398</v>
      </c>
      <c r="C386" s="24">
        <v>9.5528658866996068</v>
      </c>
      <c r="E386" s="4">
        <v>44399</v>
      </c>
      <c r="F386" s="23">
        <v>1826065849217</v>
      </c>
      <c r="G386" s="19">
        <v>2.5923760506136713</v>
      </c>
      <c r="H386" s="31">
        <v>1666377626914</v>
      </c>
      <c r="I386" s="31">
        <v>159688222303</v>
      </c>
      <c r="J386" s="21">
        <v>125899945559</v>
      </c>
      <c r="K386" s="19">
        <v>9.6813099206102979</v>
      </c>
      <c r="L386" s="23">
        <v>120202483588</v>
      </c>
      <c r="M386" s="21">
        <v>5697461971</v>
      </c>
    </row>
    <row r="387" spans="2:13" x14ac:dyDescent="0.3">
      <c r="B387" s="4">
        <v>44399</v>
      </c>
      <c r="C387" s="24">
        <v>9.2431930107321012</v>
      </c>
      <c r="E387" s="4">
        <v>44400</v>
      </c>
      <c r="F387" s="23">
        <v>1823490507337</v>
      </c>
      <c r="G387" s="19">
        <v>2.6137826969602349</v>
      </c>
      <c r="H387" s="31">
        <v>1665026480595</v>
      </c>
      <c r="I387" s="31">
        <v>158464026742</v>
      </c>
      <c r="J387" s="21">
        <v>131491229616</v>
      </c>
      <c r="K387" s="19">
        <v>9.539399779662995</v>
      </c>
      <c r="L387" s="23">
        <v>125919151536</v>
      </c>
      <c r="M387" s="21">
        <v>5572078080</v>
      </c>
    </row>
    <row r="388" spans="2:13" x14ac:dyDescent="0.3">
      <c r="B388" s="4">
        <v>44400</v>
      </c>
      <c r="C388" s="24">
        <v>9.135157758625958</v>
      </c>
      <c r="E388" s="4">
        <v>44403</v>
      </c>
      <c r="F388" s="23">
        <v>1822882876076</v>
      </c>
      <c r="G388" s="19">
        <v>2.6743193886120484</v>
      </c>
      <c r="H388" s="31">
        <v>1667936779386</v>
      </c>
      <c r="I388" s="31">
        <v>154946096690</v>
      </c>
      <c r="J388" s="21">
        <v>130925376215</v>
      </c>
      <c r="K388" s="19">
        <v>9.230152958406503</v>
      </c>
      <c r="L388" s="23">
        <v>125532837423</v>
      </c>
      <c r="M388" s="21">
        <v>5392538792</v>
      </c>
    </row>
    <row r="389" spans="2:13" x14ac:dyDescent="0.3">
      <c r="B389" s="4">
        <v>44403</v>
      </c>
      <c r="C389" s="24">
        <v>8.8499825183952101</v>
      </c>
      <c r="E389" s="4">
        <v>44404</v>
      </c>
      <c r="F389" s="23">
        <v>1811396369397</v>
      </c>
      <c r="G389" s="19">
        <v>2.7347620374646504</v>
      </c>
      <c r="H389" s="31">
        <v>1660038115468</v>
      </c>
      <c r="I389" s="31">
        <v>151358253929</v>
      </c>
      <c r="J389" s="21">
        <v>141269403290</v>
      </c>
      <c r="K389" s="19">
        <v>9.2115235783850729</v>
      </c>
      <c r="L389" s="23">
        <v>134711335005</v>
      </c>
      <c r="M389" s="21">
        <v>6558068285</v>
      </c>
    </row>
    <row r="390" spans="2:13" x14ac:dyDescent="0.3">
      <c r="B390" s="4">
        <v>44404</v>
      </c>
      <c r="C390" s="24">
        <v>8.7839023155421447</v>
      </c>
      <c r="E390" s="4">
        <v>44405</v>
      </c>
      <c r="F390" s="23">
        <v>1795310844769</v>
      </c>
      <c r="G390" s="19">
        <v>2.7284703891690305</v>
      </c>
      <c r="H390" s="31">
        <v>1644397754807</v>
      </c>
      <c r="I390" s="31">
        <v>150913089962</v>
      </c>
      <c r="J390" s="21">
        <v>100981881277</v>
      </c>
      <c r="K390" s="19">
        <v>7.9546414101663308</v>
      </c>
      <c r="L390" s="23">
        <v>94020840186</v>
      </c>
      <c r="M390" s="21">
        <v>6961041091</v>
      </c>
    </row>
    <row r="391" spans="2:13" x14ac:dyDescent="0.3">
      <c r="B391" s="4">
        <v>44405</v>
      </c>
      <c r="C391" s="24">
        <v>7.4062996183507535</v>
      </c>
      <c r="E391" s="4">
        <v>44406</v>
      </c>
      <c r="F391" s="23">
        <v>1803933682122</v>
      </c>
      <c r="G391" s="19">
        <v>2.6842345874989877</v>
      </c>
      <c r="H391" s="31">
        <v>1648343336928</v>
      </c>
      <c r="I391" s="31">
        <v>155590345194</v>
      </c>
      <c r="J391" s="21">
        <v>114328728306</v>
      </c>
      <c r="K391" s="19">
        <v>9.1529331136035719</v>
      </c>
      <c r="L391" s="23">
        <v>107418619180</v>
      </c>
      <c r="M391" s="21">
        <v>6910109126</v>
      </c>
    </row>
    <row r="392" spans="2:13" x14ac:dyDescent="0.3">
      <c r="B392" s="4">
        <v>44406</v>
      </c>
      <c r="C392" s="24">
        <v>8.599723368554212</v>
      </c>
      <c r="E392" s="4">
        <v>44407</v>
      </c>
      <c r="F392" s="23">
        <v>1803160458759</v>
      </c>
      <c r="G392" s="19">
        <v>2.6889275386973459</v>
      </c>
      <c r="H392" s="31">
        <v>1647538378001</v>
      </c>
      <c r="I392" s="31">
        <v>155622080758</v>
      </c>
      <c r="J392" s="21">
        <v>120923557228</v>
      </c>
      <c r="K392" s="19">
        <v>9.0283774295555297</v>
      </c>
      <c r="L392" s="23">
        <v>114081942867</v>
      </c>
      <c r="M392" s="21">
        <v>6841614361</v>
      </c>
    </row>
    <row r="393" spans="2:13" x14ac:dyDescent="0.3">
      <c r="B393" s="4">
        <v>44407</v>
      </c>
      <c r="C393" s="24">
        <v>8.5175697912877339</v>
      </c>
      <c r="E393" s="4">
        <v>44410</v>
      </c>
      <c r="F393" s="23">
        <v>1817340100780</v>
      </c>
      <c r="G393" s="19">
        <v>2.6541080192656326</v>
      </c>
      <c r="H393" s="31">
        <v>1658893217925</v>
      </c>
      <c r="I393" s="31">
        <v>158446882855</v>
      </c>
      <c r="J393" s="21">
        <v>147209755138</v>
      </c>
      <c r="K393" s="19">
        <v>9.7327774753411394</v>
      </c>
      <c r="L393" s="23">
        <v>139758949808</v>
      </c>
      <c r="M393" s="21">
        <v>7450805330</v>
      </c>
    </row>
    <row r="394" spans="2:13" x14ac:dyDescent="0.3">
      <c r="B394" s="4">
        <v>44410</v>
      </c>
      <c r="C394" s="24">
        <v>9.2401672524588623</v>
      </c>
      <c r="E394" s="4">
        <v>44411</v>
      </c>
      <c r="F394" s="23">
        <v>1815414094515</v>
      </c>
      <c r="G394" s="19">
        <v>2.6641486317347605</v>
      </c>
      <c r="H394" s="31">
        <v>1657649946471</v>
      </c>
      <c r="I394" s="31">
        <v>157764148044</v>
      </c>
      <c r="J394" s="21">
        <v>127019415335</v>
      </c>
      <c r="K394" s="19">
        <v>8.97134839887892</v>
      </c>
      <c r="L394" s="23">
        <v>119993105528</v>
      </c>
      <c r="M394" s="21">
        <v>7026309807</v>
      </c>
    </row>
    <row r="395" spans="2:13" x14ac:dyDescent="0.3">
      <c r="B395" s="4">
        <v>44411</v>
      </c>
      <c r="C395" s="24">
        <v>8.4750819574785456</v>
      </c>
      <c r="E395" s="4">
        <v>44412</v>
      </c>
      <c r="F395" s="23">
        <v>1826859492525</v>
      </c>
      <c r="G395" s="19">
        <v>2.6480225391695562</v>
      </c>
      <c r="H395" s="31">
        <v>1665865914443</v>
      </c>
      <c r="I395" s="31">
        <v>160993578082</v>
      </c>
      <c r="J395" s="21">
        <v>123202357562</v>
      </c>
      <c r="K395" s="19">
        <v>9.5601464296411027</v>
      </c>
      <c r="L395" s="23">
        <v>116547446524</v>
      </c>
      <c r="M395" s="21">
        <v>6654911038</v>
      </c>
    </row>
    <row r="396" spans="2:13" x14ac:dyDescent="0.3">
      <c r="B396" s="4">
        <v>44412</v>
      </c>
      <c r="C396" s="24">
        <v>9.0437445907599106</v>
      </c>
      <c r="E396" s="4">
        <v>44413</v>
      </c>
      <c r="F396" s="23">
        <v>1831823991133</v>
      </c>
      <c r="G396" s="19">
        <v>2.6682371831229199</v>
      </c>
      <c r="H396" s="31">
        <v>1670157851181</v>
      </c>
      <c r="I396" s="31">
        <v>161666139952</v>
      </c>
      <c r="J396" s="21">
        <v>122009432791</v>
      </c>
      <c r="K396" s="19">
        <v>9.4538254867280092</v>
      </c>
      <c r="L396" s="23">
        <v>114889289664</v>
      </c>
      <c r="M396" s="21">
        <v>7120143127</v>
      </c>
    </row>
    <row r="397" spans="2:13" x14ac:dyDescent="0.3">
      <c r="B397" s="4">
        <v>44413</v>
      </c>
      <c r="C397" s="24">
        <v>8.9021255974375713</v>
      </c>
      <c r="E397" s="4">
        <v>44414</v>
      </c>
      <c r="F397" s="23">
        <v>1832666643306</v>
      </c>
      <c r="G397" s="19">
        <v>2.6727175382112676</v>
      </c>
      <c r="H397" s="31">
        <v>1670687100139</v>
      </c>
      <c r="I397" s="31">
        <v>161979543167</v>
      </c>
      <c r="J397" s="21">
        <v>116318913138</v>
      </c>
      <c r="K397" s="19">
        <v>9.4980071796781722</v>
      </c>
      <c r="L397" s="23">
        <v>110048207312</v>
      </c>
      <c r="M397" s="21">
        <v>6270705826</v>
      </c>
    </row>
    <row r="398" spans="2:13" x14ac:dyDescent="0.3">
      <c r="B398" s="4">
        <v>44414</v>
      </c>
      <c r="C398" s="24">
        <v>8.9859734325407921</v>
      </c>
      <c r="E398" s="4">
        <v>44417</v>
      </c>
      <c r="F398" s="23">
        <v>1839850744168</v>
      </c>
      <c r="G398" s="19">
        <v>2.6577424889774539</v>
      </c>
      <c r="H398" s="31">
        <v>1676982577674</v>
      </c>
      <c r="I398" s="31">
        <v>162868166494</v>
      </c>
      <c r="J398" s="21">
        <v>118026500108</v>
      </c>
      <c r="K398" s="19">
        <v>9.4517645464839415</v>
      </c>
      <c r="L398" s="23">
        <v>112036430752</v>
      </c>
      <c r="M398" s="21">
        <v>5990069356</v>
      </c>
    </row>
    <row r="399" spans="2:13" x14ac:dyDescent="0.3">
      <c r="B399" s="4">
        <v>44417</v>
      </c>
      <c r="C399" s="24">
        <v>8.9720695193653395</v>
      </c>
      <c r="E399" s="4">
        <v>44418</v>
      </c>
      <c r="F399" s="23">
        <v>1842797962461</v>
      </c>
      <c r="G399" s="19">
        <v>2.628169049951008</v>
      </c>
      <c r="H399" s="31">
        <v>1678545842159</v>
      </c>
      <c r="I399" s="31">
        <v>164252120302</v>
      </c>
      <c r="J399" s="21">
        <v>119380534112</v>
      </c>
      <c r="K399" s="19">
        <v>8.8839020575940424</v>
      </c>
      <c r="L399" s="23">
        <v>113420716502</v>
      </c>
      <c r="M399" s="21">
        <v>5959817610</v>
      </c>
    </row>
    <row r="400" spans="2:13" x14ac:dyDescent="0.3">
      <c r="B400" s="4">
        <v>44418</v>
      </c>
      <c r="C400" s="24">
        <v>8.4403922649615915</v>
      </c>
      <c r="E400" s="4">
        <v>44419</v>
      </c>
      <c r="F400" s="23">
        <v>1850322827192</v>
      </c>
      <c r="G400" s="19">
        <v>2.6349453713443709</v>
      </c>
      <c r="H400" s="31">
        <v>1685727993406</v>
      </c>
      <c r="I400" s="31">
        <v>164594833786</v>
      </c>
      <c r="J400" s="21">
        <v>117521734901</v>
      </c>
      <c r="K400" s="19">
        <v>9.1652469155343166</v>
      </c>
      <c r="L400" s="23">
        <v>111478400248</v>
      </c>
      <c r="M400" s="21">
        <v>6043334653</v>
      </c>
    </row>
    <row r="401" spans="2:13" x14ac:dyDescent="0.3">
      <c r="B401" s="4">
        <v>44419</v>
      </c>
      <c r="C401" s="24">
        <v>8.693941294198746</v>
      </c>
      <c r="E401" s="4">
        <v>44420</v>
      </c>
      <c r="F401" s="23">
        <v>1857714306176</v>
      </c>
      <c r="G401" s="19">
        <v>2.6515806402269679</v>
      </c>
      <c r="H401" s="31">
        <v>1692588908357</v>
      </c>
      <c r="I401" s="31">
        <v>165125397819</v>
      </c>
      <c r="J401" s="21">
        <v>120114491284</v>
      </c>
      <c r="K401" s="19">
        <v>9.2079382143869779</v>
      </c>
      <c r="L401" s="23">
        <v>114144137620</v>
      </c>
      <c r="M401" s="21">
        <v>5970353664</v>
      </c>
    </row>
    <row r="402" spans="2:13" x14ac:dyDescent="0.3">
      <c r="B402" s="4">
        <v>44420</v>
      </c>
      <c r="C402" s="24">
        <v>8.7502528254844165</v>
      </c>
      <c r="E402" s="6">
        <v>44421</v>
      </c>
      <c r="F402" s="23">
        <v>1854061048041</v>
      </c>
      <c r="G402" s="19">
        <v>2.6509725201892862</v>
      </c>
      <c r="H402" s="31">
        <v>1689799600967</v>
      </c>
      <c r="I402" s="31">
        <v>164261447074</v>
      </c>
      <c r="J402" s="21">
        <v>116155125146</v>
      </c>
      <c r="K402" s="19">
        <v>8.9567996575675295</v>
      </c>
      <c r="L402" s="23">
        <v>110641680637</v>
      </c>
      <c r="M402" s="21">
        <v>5513444509</v>
      </c>
    </row>
    <row r="403" spans="2:13" x14ac:dyDescent="0.3">
      <c r="B403" s="4">
        <v>44421</v>
      </c>
      <c r="C403" s="24">
        <v>8.531654251128014</v>
      </c>
      <c r="E403" s="6">
        <v>44424</v>
      </c>
      <c r="F403" s="23">
        <v>1854949362816</v>
      </c>
      <c r="G403" s="19">
        <v>2.6592810562820568</v>
      </c>
      <c r="H403" s="31">
        <v>1691261918391</v>
      </c>
      <c r="I403" s="31">
        <v>163687444425</v>
      </c>
      <c r="J403" s="21">
        <v>109332474164</v>
      </c>
      <c r="K403" s="19">
        <v>8.6993437823258031</v>
      </c>
      <c r="L403" s="23">
        <v>103400292598</v>
      </c>
      <c r="M403" s="21">
        <v>5932181566</v>
      </c>
    </row>
    <row r="404" spans="2:13" x14ac:dyDescent="0.3">
      <c r="B404" s="4">
        <v>44424</v>
      </c>
      <c r="C404" s="24">
        <v>8.2273331814827255</v>
      </c>
      <c r="E404" s="6">
        <v>44425</v>
      </c>
      <c r="F404" s="23">
        <v>1842389795596</v>
      </c>
      <c r="G404" s="19">
        <v>2.6994849354623325</v>
      </c>
      <c r="H404" s="31">
        <v>1682634358228</v>
      </c>
      <c r="I404" s="31">
        <v>159755437368</v>
      </c>
      <c r="J404" s="21">
        <v>109838278371</v>
      </c>
      <c r="K404" s="19">
        <v>8.39759565538</v>
      </c>
      <c r="L404" s="23">
        <v>103717423574</v>
      </c>
      <c r="M404" s="21">
        <v>6120854797</v>
      </c>
    </row>
    <row r="405" spans="2:13" x14ac:dyDescent="0.3">
      <c r="B405" s="4">
        <v>44425</v>
      </c>
      <c r="C405" s="24">
        <v>7.9296307126222105</v>
      </c>
      <c r="E405" s="6">
        <v>44426</v>
      </c>
      <c r="F405" s="23">
        <v>1847290126722</v>
      </c>
      <c r="G405" s="19">
        <v>2.6761530623694303</v>
      </c>
      <c r="H405" s="31">
        <v>1683906023788</v>
      </c>
      <c r="I405" s="31">
        <v>163384102934</v>
      </c>
      <c r="J405" s="21">
        <v>107406078485</v>
      </c>
      <c r="K405" s="19">
        <v>8.9736965012664314</v>
      </c>
      <c r="L405" s="23">
        <v>100659061819</v>
      </c>
      <c r="M405" s="21">
        <v>6747016666</v>
      </c>
    </row>
    <row r="406" spans="2:13" x14ac:dyDescent="0.3">
      <c r="B406" s="4">
        <v>44426</v>
      </c>
      <c r="C406" s="24">
        <v>8.4099883694391799</v>
      </c>
      <c r="E406" s="6">
        <v>44427</v>
      </c>
      <c r="F406" s="23">
        <v>1845731394601</v>
      </c>
      <c r="G406" s="19">
        <v>2.679619584447881</v>
      </c>
      <c r="H406" s="31">
        <v>1682065130427</v>
      </c>
      <c r="I406" s="31">
        <v>163666264174</v>
      </c>
      <c r="J406" s="21">
        <v>106036252601</v>
      </c>
      <c r="K406" s="19">
        <v>8.729650961412414</v>
      </c>
      <c r="L406" s="23">
        <v>99981647277</v>
      </c>
      <c r="M406" s="21">
        <v>6054605324</v>
      </c>
    </row>
    <row r="407" spans="2:13" x14ac:dyDescent="0.3">
      <c r="B407" s="4">
        <v>44427</v>
      </c>
      <c r="C407" s="24">
        <v>8.2311932180355907</v>
      </c>
      <c r="E407" s="4">
        <v>44428</v>
      </c>
      <c r="F407" s="23">
        <v>1841139574096</v>
      </c>
      <c r="G407" s="19">
        <v>2.7004033303774344</v>
      </c>
      <c r="H407" s="31">
        <v>1679467665156</v>
      </c>
      <c r="I407" s="31">
        <v>161671908940</v>
      </c>
      <c r="J407" s="21">
        <v>105087921027</v>
      </c>
      <c r="K407" s="19">
        <v>8.3924801430086955</v>
      </c>
      <c r="L407" s="23">
        <v>99409568148</v>
      </c>
      <c r="M407" s="21">
        <v>5678352879</v>
      </c>
    </row>
    <row r="408" spans="2:13" x14ac:dyDescent="0.3">
      <c r="B408" s="4">
        <v>44428</v>
      </c>
      <c r="C408" s="24">
        <v>7.9389983030762101</v>
      </c>
      <c r="E408" s="4">
        <v>44431</v>
      </c>
      <c r="F408" s="23">
        <v>1858637534690</v>
      </c>
      <c r="G408" s="19">
        <v>2.6789723833844823</v>
      </c>
      <c r="H408" s="31">
        <v>1693297759934</v>
      </c>
      <c r="I408" s="31">
        <v>165339774756</v>
      </c>
      <c r="J408" s="21">
        <v>123314596769</v>
      </c>
      <c r="K408" s="19">
        <v>9.3262163677094509</v>
      </c>
      <c r="L408" s="23">
        <v>116604765931</v>
      </c>
      <c r="M408" s="21">
        <v>6709830838</v>
      </c>
    </row>
    <row r="409" spans="2:13" x14ac:dyDescent="0.3">
      <c r="B409" s="4">
        <v>44431</v>
      </c>
      <c r="C409" s="24">
        <v>8.8187554845251128</v>
      </c>
      <c r="E409" s="4">
        <v>44432</v>
      </c>
      <c r="F409" s="23">
        <v>1865455477053</v>
      </c>
      <c r="G409" s="19">
        <v>2.6626241966706456</v>
      </c>
      <c r="H409" s="31">
        <v>1698155783368</v>
      </c>
      <c r="I409" s="31">
        <v>167299693685</v>
      </c>
      <c r="J409" s="21">
        <v>131229806947</v>
      </c>
      <c r="K409" s="19">
        <v>9.3212396954326877</v>
      </c>
      <c r="L409" s="23">
        <v>124833450670</v>
      </c>
      <c r="M409" s="21">
        <v>6396356277</v>
      </c>
    </row>
    <row r="410" spans="2:13" x14ac:dyDescent="0.3">
      <c r="B410" s="4">
        <v>44432</v>
      </c>
      <c r="C410" s="24">
        <v>8.8669071667002335</v>
      </c>
      <c r="E410" s="4">
        <v>44433</v>
      </c>
      <c r="F410" s="23">
        <v>1870016641303</v>
      </c>
      <c r="G410" s="19">
        <v>2.651742893778736</v>
      </c>
      <c r="H410" s="31">
        <v>1702095515438</v>
      </c>
      <c r="I410" s="31">
        <v>167921125865</v>
      </c>
      <c r="J410" s="21">
        <v>117431241382</v>
      </c>
      <c r="K410" s="19">
        <v>8.9396089617401611</v>
      </c>
      <c r="L410" s="23">
        <v>111268180181</v>
      </c>
      <c r="M410" s="21">
        <v>6163061201</v>
      </c>
    </row>
    <row r="411" spans="2:13" x14ac:dyDescent="0.3">
      <c r="B411" s="4">
        <v>44433</v>
      </c>
      <c r="C411" s="24">
        <v>8.4704377557151034</v>
      </c>
      <c r="E411" s="4">
        <v>44434</v>
      </c>
      <c r="F411" s="23">
        <v>1870600552952</v>
      </c>
      <c r="G411" s="19">
        <v>2.6857219328828514</v>
      </c>
      <c r="H411" s="31">
        <v>1705842147324</v>
      </c>
      <c r="I411" s="31">
        <v>164758405628</v>
      </c>
      <c r="J411" s="21">
        <v>124362786850</v>
      </c>
      <c r="K411" s="19">
        <v>9.0534072894872502</v>
      </c>
      <c r="L411" s="23">
        <v>118550255045</v>
      </c>
      <c r="M411" s="21">
        <v>5812531805</v>
      </c>
    </row>
    <row r="412" spans="2:13" x14ac:dyDescent="0.3">
      <c r="B412" s="4">
        <v>44434</v>
      </c>
      <c r="C412" s="24">
        <v>8.6302644897264589</v>
      </c>
      <c r="E412" s="4">
        <v>44435</v>
      </c>
      <c r="F412" s="23">
        <v>1867056338028</v>
      </c>
      <c r="G412" s="19">
        <v>2.6679713703333388</v>
      </c>
      <c r="H412" s="31">
        <v>1701415852252</v>
      </c>
      <c r="I412" s="31">
        <v>165640485776</v>
      </c>
      <c r="J412" s="21">
        <v>118656878331</v>
      </c>
      <c r="K412" s="19">
        <v>8.8304679149222061</v>
      </c>
      <c r="L412" s="23">
        <v>112444619629</v>
      </c>
      <c r="M412" s="21">
        <v>6212258702</v>
      </c>
    </row>
    <row r="413" spans="2:13" x14ac:dyDescent="0.3">
      <c r="B413" s="4">
        <v>44435</v>
      </c>
      <c r="C413" s="24">
        <v>8.3681504166126679</v>
      </c>
      <c r="E413" s="4">
        <v>44438</v>
      </c>
      <c r="F413" s="23">
        <v>1873071862854</v>
      </c>
      <c r="G413" s="19">
        <v>2.6713958323124753</v>
      </c>
      <c r="H413" s="31">
        <v>1708490233970</v>
      </c>
      <c r="I413" s="31">
        <v>164581628884</v>
      </c>
      <c r="J413" s="21">
        <v>146460114532</v>
      </c>
      <c r="K413" s="19">
        <v>9.2839303132906572</v>
      </c>
      <c r="L413" s="23">
        <v>140077609101</v>
      </c>
      <c r="M413" s="21">
        <v>6382505431</v>
      </c>
    </row>
    <row r="414" spans="2:13" x14ac:dyDescent="0.3">
      <c r="B414" s="4">
        <v>44438</v>
      </c>
      <c r="C414" s="24">
        <v>8.8793509789446059</v>
      </c>
      <c r="E414" s="4">
        <v>44439</v>
      </c>
      <c r="F414" s="23">
        <v>1871570227488</v>
      </c>
      <c r="G414" s="19">
        <v>2.6661696892209932</v>
      </c>
      <c r="H414" s="31">
        <v>1706676485741</v>
      </c>
      <c r="I414" s="31">
        <v>164893741747</v>
      </c>
      <c r="J414" s="21">
        <v>134400363855</v>
      </c>
      <c r="K414" s="19">
        <v>9.0715184495947252</v>
      </c>
      <c r="L414" s="23">
        <v>127659915287</v>
      </c>
      <c r="M414" s="21">
        <v>6740448568</v>
      </c>
    </row>
    <row r="415" spans="2:13" x14ac:dyDescent="0.3">
      <c r="B415" s="4">
        <v>44439</v>
      </c>
      <c r="C415" s="24">
        <v>8.6165635537201517</v>
      </c>
      <c r="E415" s="4">
        <v>44440</v>
      </c>
      <c r="F415" s="23">
        <v>1873526808858</v>
      </c>
      <c r="G415" s="19">
        <v>2.6624139977309946</v>
      </c>
      <c r="H415" s="31">
        <v>1708011341727</v>
      </c>
      <c r="I415" s="31">
        <v>165515467131</v>
      </c>
      <c r="J415" s="21">
        <v>158311836749</v>
      </c>
      <c r="K415" s="19">
        <v>9.2547068803181141</v>
      </c>
      <c r="L415" s="23">
        <v>151156037340</v>
      </c>
      <c r="M415" s="21">
        <v>7155799409</v>
      </c>
    </row>
    <row r="416" spans="2:13" x14ac:dyDescent="0.3">
      <c r="B416" s="4">
        <v>44440</v>
      </c>
      <c r="C416" s="24">
        <v>8.8363880269423767</v>
      </c>
      <c r="E416" s="4">
        <v>44441</v>
      </c>
      <c r="F416" s="23">
        <v>1877899564474</v>
      </c>
      <c r="G416" s="19">
        <v>2.6482599690343149</v>
      </c>
      <c r="H416" s="31">
        <v>1710661599423</v>
      </c>
      <c r="I416" s="31">
        <v>167237965051</v>
      </c>
      <c r="J416" s="21">
        <v>131712166181</v>
      </c>
      <c r="K416" s="19">
        <v>9.1879725162368011</v>
      </c>
      <c r="L416" s="23">
        <v>125292318637</v>
      </c>
      <c r="M416" s="21">
        <v>6419847544</v>
      </c>
    </row>
    <row r="417" spans="2:13" x14ac:dyDescent="0.3">
      <c r="B417" s="4">
        <v>44441</v>
      </c>
      <c r="C417" s="24">
        <v>8.7401370238674456</v>
      </c>
      <c r="E417" s="4">
        <v>44442</v>
      </c>
      <c r="F417" s="23">
        <v>1871484094902</v>
      </c>
      <c r="G417" s="19">
        <v>2.6508331316066531</v>
      </c>
      <c r="H417" s="31">
        <v>1704304285945</v>
      </c>
      <c r="I417" s="31">
        <v>167179808957</v>
      </c>
      <c r="J417" s="21">
        <v>142650158651</v>
      </c>
      <c r="K417" s="19">
        <v>9.0710729063610422</v>
      </c>
      <c r="L417" s="23">
        <v>136012896197</v>
      </c>
      <c r="M417" s="21">
        <v>6637262454</v>
      </c>
    </row>
    <row r="418" spans="2:13" x14ac:dyDescent="0.3">
      <c r="B418" s="4">
        <v>44442</v>
      </c>
      <c r="C418" s="24">
        <v>8.6490117450679378</v>
      </c>
      <c r="E418" s="4">
        <v>44445</v>
      </c>
      <c r="F418" s="23">
        <v>1883187338866</v>
      </c>
      <c r="G418" s="19">
        <v>2.6283595621287099</v>
      </c>
      <c r="H418" s="31">
        <v>1713020860353</v>
      </c>
      <c r="I418" s="31">
        <v>170166478513</v>
      </c>
      <c r="J418" s="21">
        <v>131861354751</v>
      </c>
      <c r="K418" s="19">
        <v>9.2490253182716469</v>
      </c>
      <c r="L418" s="23">
        <v>125378808538</v>
      </c>
      <c r="M418" s="21">
        <v>6482546213</v>
      </c>
    </row>
    <row r="419" spans="2:13" x14ac:dyDescent="0.3">
      <c r="B419" s="4">
        <v>44445</v>
      </c>
      <c r="C419" s="24">
        <v>8.794326258307315</v>
      </c>
      <c r="E419" s="4">
        <v>44446</v>
      </c>
      <c r="F419" s="23">
        <v>1893221132435</v>
      </c>
      <c r="G419" s="19">
        <v>2.605454533950804</v>
      </c>
      <c r="H419" s="31">
        <v>1720097261491</v>
      </c>
      <c r="I419" s="31">
        <v>173123870944</v>
      </c>
      <c r="J419" s="21">
        <v>135262963671</v>
      </c>
      <c r="K419" s="19">
        <v>9.6487717899187384</v>
      </c>
      <c r="L419" s="23">
        <v>128643297666</v>
      </c>
      <c r="M419" s="21">
        <v>6619666005</v>
      </c>
    </row>
    <row r="420" spans="2:13" x14ac:dyDescent="0.3">
      <c r="B420" s="4">
        <v>44446</v>
      </c>
      <c r="C420" s="24">
        <v>9.1765682770407935</v>
      </c>
      <c r="E420" s="4">
        <v>44447</v>
      </c>
      <c r="F420" s="23">
        <v>1902766404561</v>
      </c>
      <c r="G420" s="19">
        <v>2.6167356123661545</v>
      </c>
      <c r="H420" s="31">
        <v>1730846173824</v>
      </c>
      <c r="I420" s="31">
        <v>171920230737</v>
      </c>
      <c r="J420" s="21">
        <v>141695396625</v>
      </c>
      <c r="K420" s="19">
        <v>9.6113611014593943</v>
      </c>
      <c r="L420" s="23">
        <v>135729368133</v>
      </c>
      <c r="M420" s="21">
        <v>5966028492</v>
      </c>
    </row>
    <row r="421" spans="2:13" x14ac:dyDescent="0.3">
      <c r="B421" s="4">
        <v>44447</v>
      </c>
      <c r="C421" s="24">
        <v>9.2066785532326296</v>
      </c>
      <c r="E421" s="4">
        <v>44448</v>
      </c>
      <c r="F421" s="23">
        <v>1911876120311</v>
      </c>
      <c r="G421" s="19">
        <v>2.6195131503823097</v>
      </c>
      <c r="H421" s="31">
        <v>1739645641746</v>
      </c>
      <c r="I421" s="31">
        <v>172230478565</v>
      </c>
      <c r="J421" s="21">
        <v>136401610130</v>
      </c>
      <c r="K421" s="19">
        <v>9.5279429981806558</v>
      </c>
      <c r="L421" s="23">
        <v>130451756880</v>
      </c>
      <c r="M421" s="21">
        <v>5949853250</v>
      </c>
    </row>
    <row r="422" spans="2:13" x14ac:dyDescent="0.3">
      <c r="B422" s="4">
        <v>44448</v>
      </c>
      <c r="C422" s="24">
        <v>9.1123330756913941</v>
      </c>
      <c r="E422" s="4">
        <v>44449</v>
      </c>
      <c r="F422" s="23">
        <v>1915364518391</v>
      </c>
      <c r="G422" s="19">
        <v>2.615249519506663</v>
      </c>
      <c r="H422" s="31">
        <v>1741506501960</v>
      </c>
      <c r="I422" s="31">
        <v>173858016431</v>
      </c>
      <c r="J422" s="21">
        <v>150025740206</v>
      </c>
      <c r="K422" s="19">
        <v>9.7201613253215271</v>
      </c>
      <c r="L422" s="23">
        <v>143423100085</v>
      </c>
      <c r="M422" s="21">
        <v>6602640121</v>
      </c>
    </row>
    <row r="423" spans="2:13" x14ac:dyDescent="0.3">
      <c r="B423" s="4">
        <v>44449</v>
      </c>
      <c r="C423" s="24">
        <v>9.2923765527815831</v>
      </c>
      <c r="E423" s="4">
        <v>44452</v>
      </c>
      <c r="F423" s="23">
        <v>1925963955913</v>
      </c>
      <c r="G423" s="19">
        <v>2.6241293038007836</v>
      </c>
      <c r="H423" s="31">
        <v>1752738184136</v>
      </c>
      <c r="I423" s="31">
        <v>173225771777</v>
      </c>
      <c r="J423" s="21">
        <v>140576071975</v>
      </c>
      <c r="K423" s="19">
        <v>9.6110296190622364</v>
      </c>
      <c r="L423" s="23">
        <v>134281105228</v>
      </c>
      <c r="M423" s="21">
        <v>6294966747</v>
      </c>
    </row>
    <row r="424" spans="2:13" x14ac:dyDescent="0.3">
      <c r="B424" s="4">
        <v>44452</v>
      </c>
      <c r="C424" s="24">
        <v>9.1806497471080082</v>
      </c>
      <c r="E424" s="4">
        <v>44453</v>
      </c>
      <c r="F424" s="23">
        <v>1924909149971</v>
      </c>
      <c r="G424" s="19">
        <v>2.6504857161304511</v>
      </c>
      <c r="H424" s="31">
        <v>1754174886269</v>
      </c>
      <c r="I424" s="31">
        <v>170734263702</v>
      </c>
      <c r="J424" s="21">
        <v>131527987095</v>
      </c>
      <c r="K424" s="19">
        <v>8.694918373594172</v>
      </c>
      <c r="L424" s="23">
        <v>125695584957</v>
      </c>
      <c r="M424" s="21">
        <v>5832402138</v>
      </c>
    </row>
    <row r="425" spans="2:13" x14ac:dyDescent="0.3">
      <c r="B425" s="4">
        <v>44453</v>
      </c>
      <c r="C425" s="24">
        <v>8.3093558660857312</v>
      </c>
      <c r="E425" s="4">
        <v>44454</v>
      </c>
      <c r="F425" s="23">
        <v>1926736154531</v>
      </c>
      <c r="G425" s="19">
        <v>2.6569402735060903</v>
      </c>
      <c r="H425" s="31">
        <v>1758379219453</v>
      </c>
      <c r="I425" s="31">
        <v>168356935078</v>
      </c>
      <c r="J425" s="21">
        <v>118560387946</v>
      </c>
      <c r="K425" s="19">
        <v>8.7550124876607924</v>
      </c>
      <c r="L425" s="23">
        <v>113217289529</v>
      </c>
      <c r="M425" s="21">
        <v>5343098417</v>
      </c>
    </row>
    <row r="426" spans="2:13" x14ac:dyDescent="0.3">
      <c r="B426" s="4">
        <v>44454</v>
      </c>
      <c r="C426" s="24">
        <v>8.3604549615421888</v>
      </c>
      <c r="E426" s="4">
        <v>44455</v>
      </c>
      <c r="F426" s="23">
        <v>1912238594916</v>
      </c>
      <c r="G426" s="19">
        <v>2.6797292786252811</v>
      </c>
      <c r="H426" s="31">
        <v>1747864132979</v>
      </c>
      <c r="I426" s="31">
        <v>164374461937</v>
      </c>
      <c r="J426" s="21">
        <v>123668481773</v>
      </c>
      <c r="K426" s="19">
        <v>8.3681059239393871</v>
      </c>
      <c r="L426" s="23">
        <v>117893553952</v>
      </c>
      <c r="M426" s="21">
        <v>5774927821</v>
      </c>
    </row>
    <row r="427" spans="2:13" x14ac:dyDescent="0.3">
      <c r="B427" s="4">
        <v>44455</v>
      </c>
      <c r="C427" s="24">
        <v>7.97734178568518</v>
      </c>
      <c r="E427" s="4">
        <v>44456</v>
      </c>
      <c r="F427" s="23">
        <v>1891889992595</v>
      </c>
      <c r="G427" s="19">
        <v>2.6447329600590495</v>
      </c>
      <c r="H427" s="31">
        <v>1729546914031</v>
      </c>
      <c r="I427" s="31">
        <v>162343078564</v>
      </c>
      <c r="J427" s="21">
        <v>112791263276</v>
      </c>
      <c r="K427" s="19">
        <v>8.4006309958572718</v>
      </c>
      <c r="L427" s="23">
        <v>106824884932</v>
      </c>
      <c r="M427" s="21">
        <v>5966378344</v>
      </c>
    </row>
    <row r="428" spans="2:13" x14ac:dyDescent="0.3">
      <c r="B428" s="4">
        <v>44456</v>
      </c>
      <c r="C428" s="24">
        <v>7.9562584319382808</v>
      </c>
      <c r="E428" s="4">
        <v>44461</v>
      </c>
      <c r="F428" s="23">
        <v>1898555115282</v>
      </c>
      <c r="G428" s="19">
        <v>2.6459068099827556</v>
      </c>
      <c r="H428" s="31">
        <v>1736545997335</v>
      </c>
      <c r="I428" s="31">
        <v>162009117947</v>
      </c>
      <c r="J428" s="21">
        <v>103575088755</v>
      </c>
      <c r="K428" s="19">
        <v>8.9892157884553576</v>
      </c>
      <c r="L428" s="23">
        <v>97996811905</v>
      </c>
      <c r="M428" s="21">
        <v>5578276850</v>
      </c>
    </row>
    <row r="429" spans="2:13" x14ac:dyDescent="0.3">
      <c r="B429" s="4">
        <v>44461</v>
      </c>
      <c r="C429" s="24">
        <v>8.50508070409151</v>
      </c>
      <c r="E429" s="4">
        <v>44462</v>
      </c>
      <c r="F429" s="23">
        <v>1905588330127</v>
      </c>
      <c r="G429" s="19">
        <v>2.644492492691175</v>
      </c>
      <c r="H429" s="31">
        <v>1741426111012</v>
      </c>
      <c r="I429" s="31">
        <v>164162219115</v>
      </c>
      <c r="J429" s="21">
        <v>114342271192</v>
      </c>
      <c r="K429" s="19">
        <v>8.6556133260840102</v>
      </c>
      <c r="L429" s="23">
        <v>107851121574</v>
      </c>
      <c r="M429" s="21">
        <v>6491149618</v>
      </c>
    </row>
    <row r="430" spans="2:13" x14ac:dyDescent="0.3">
      <c r="B430" s="4">
        <v>44462</v>
      </c>
      <c r="C430" s="24">
        <v>8.164238784110621</v>
      </c>
      <c r="E430" s="4">
        <v>44463</v>
      </c>
      <c r="F430" s="23">
        <v>1895315343927</v>
      </c>
      <c r="G430" s="19">
        <v>2.6510459387262308</v>
      </c>
      <c r="H430" s="31">
        <v>1731978614278</v>
      </c>
      <c r="I430" s="31">
        <v>163336729649</v>
      </c>
      <c r="J430" s="21">
        <v>103538331352</v>
      </c>
      <c r="K430" s="19">
        <v>8.0703120458522246</v>
      </c>
      <c r="L430" s="23">
        <v>97571733868</v>
      </c>
      <c r="M430" s="21">
        <v>5966597484</v>
      </c>
    </row>
    <row r="431" spans="2:13" x14ac:dyDescent="0.3">
      <c r="B431" s="4">
        <v>44463</v>
      </c>
      <c r="C431" s="24">
        <v>7.6052446363324311</v>
      </c>
      <c r="E431" s="4">
        <v>44466</v>
      </c>
      <c r="F431" s="23">
        <v>1880670630487</v>
      </c>
      <c r="G431" s="19">
        <v>2.6538346332731471</v>
      </c>
      <c r="H431" s="31">
        <v>1719411130806</v>
      </c>
      <c r="I431" s="31">
        <v>161259499681</v>
      </c>
      <c r="J431" s="21">
        <v>108891284535</v>
      </c>
      <c r="K431" s="19">
        <v>7.9766741839559341</v>
      </c>
      <c r="L431" s="23">
        <v>103503680511</v>
      </c>
      <c r="M431" s="21">
        <v>5387604024</v>
      </c>
    </row>
    <row r="432" spans="2:13" x14ac:dyDescent="0.3">
      <c r="B432" s="4">
        <v>44466</v>
      </c>
      <c r="C432" s="24">
        <v>7.5820130123558807</v>
      </c>
      <c r="E432" s="4">
        <v>44467</v>
      </c>
      <c r="F432" s="23">
        <v>1877404557782</v>
      </c>
      <c r="G432" s="19">
        <v>2.6415813010572204</v>
      </c>
      <c r="H432" s="31">
        <v>1716140925209</v>
      </c>
      <c r="I432" s="31">
        <v>161263632573</v>
      </c>
      <c r="J432" s="21">
        <v>79374516665</v>
      </c>
      <c r="K432" s="19">
        <v>7.6071214088974264</v>
      </c>
      <c r="L432" s="23">
        <v>74454301597</v>
      </c>
      <c r="M432" s="21">
        <v>4920215068</v>
      </c>
    </row>
    <row r="433" spans="2:13" x14ac:dyDescent="0.3">
      <c r="B433" s="4">
        <v>44467</v>
      </c>
      <c r="C433" s="24">
        <v>7.1355761957387731</v>
      </c>
      <c r="E433" s="4">
        <v>44468</v>
      </c>
      <c r="F433" s="23">
        <v>1862669441194</v>
      </c>
      <c r="G433" s="19">
        <v>2.6734010051116632</v>
      </c>
      <c r="H433" s="31">
        <v>1705448293662</v>
      </c>
      <c r="I433" s="31">
        <v>157221147532</v>
      </c>
      <c r="J433" s="21">
        <v>81720940833</v>
      </c>
      <c r="K433" s="19">
        <v>7.5848453026737674</v>
      </c>
      <c r="L433" s="23">
        <v>77384243150</v>
      </c>
      <c r="M433" s="21">
        <v>4336697683</v>
      </c>
    </row>
    <row r="434" spans="2:13" x14ac:dyDescent="0.3">
      <c r="B434" s="4">
        <v>44468</v>
      </c>
      <c r="C434" s="24">
        <v>7.1823391553542297</v>
      </c>
      <c r="E434" s="4">
        <v>44469</v>
      </c>
      <c r="F434" s="23">
        <v>1841524604094</v>
      </c>
      <c r="G434" s="19">
        <v>2.6076821450442194</v>
      </c>
      <c r="H434" s="31">
        <v>1685341197970</v>
      </c>
      <c r="I434" s="31">
        <v>156183406124</v>
      </c>
      <c r="J434" s="21">
        <v>69309160355</v>
      </c>
      <c r="K434" s="19">
        <v>7.2946658632477535</v>
      </c>
      <c r="L434" s="23">
        <v>65832567284</v>
      </c>
      <c r="M434" s="21">
        <v>3476593071</v>
      </c>
    </row>
    <row r="435" spans="2:13" x14ac:dyDescent="0.3">
      <c r="B435" s="4">
        <v>44469</v>
      </c>
      <c r="C435" s="24">
        <v>6.9287606255341379</v>
      </c>
      <c r="E435" s="4">
        <v>44477</v>
      </c>
      <c r="F435" s="23">
        <v>1854227162611</v>
      </c>
      <c r="G435" s="19">
        <v>2.6054746838563281</v>
      </c>
      <c r="H435" s="31">
        <v>1696126020041</v>
      </c>
      <c r="I435" s="31">
        <v>158101142570</v>
      </c>
      <c r="J435" s="21">
        <v>88741381793</v>
      </c>
      <c r="K435" s="19">
        <v>8.3700599417978072</v>
      </c>
      <c r="L435" s="23">
        <v>84485066537</v>
      </c>
      <c r="M435" s="21">
        <v>4256315256</v>
      </c>
    </row>
    <row r="436" spans="2:13" x14ac:dyDescent="0.3">
      <c r="B436" s="4">
        <v>44477</v>
      </c>
      <c r="C436" s="24">
        <v>7.968605590917746</v>
      </c>
      <c r="E436" s="4">
        <v>44480</v>
      </c>
      <c r="F436" s="23">
        <v>1858246664985</v>
      </c>
      <c r="G436" s="19">
        <v>2.6133507441877843</v>
      </c>
      <c r="H436" s="31">
        <v>1699567295505</v>
      </c>
      <c r="I436" s="31">
        <v>158679369480</v>
      </c>
      <c r="J436" s="21">
        <v>79042171247</v>
      </c>
      <c r="K436" s="19">
        <v>7.9705684255077962</v>
      </c>
      <c r="L436" s="23">
        <v>74349293380</v>
      </c>
      <c r="M436" s="21">
        <v>4692877867</v>
      </c>
    </row>
    <row r="437" spans="2:13" x14ac:dyDescent="0.3">
      <c r="B437" s="4">
        <v>44480</v>
      </c>
      <c r="C437" s="24">
        <v>7.4973412410648557</v>
      </c>
      <c r="E437" s="4">
        <v>44481</v>
      </c>
      <c r="F437" s="23">
        <v>1852770963237</v>
      </c>
      <c r="G437" s="19">
        <v>2.6427558856341675</v>
      </c>
      <c r="H437" s="31">
        <v>1695596063634</v>
      </c>
      <c r="I437" s="31">
        <v>157174899603</v>
      </c>
      <c r="J437" s="21">
        <v>75269786626</v>
      </c>
      <c r="K437" s="19">
        <v>7.5564392837476273</v>
      </c>
      <c r="L437" s="23">
        <v>70555777489</v>
      </c>
      <c r="M437" s="21">
        <v>4714009137</v>
      </c>
    </row>
    <row r="438" spans="2:13" x14ac:dyDescent="0.3">
      <c r="B438" s="4">
        <v>44481</v>
      </c>
      <c r="C438" s="24">
        <v>7.0831933052015996</v>
      </c>
      <c r="E438" s="4">
        <v>44482</v>
      </c>
      <c r="F438" s="23">
        <v>1852236833210</v>
      </c>
      <c r="G438" s="19">
        <v>2.6232711892532854</v>
      </c>
      <c r="H438" s="31">
        <v>1692728393639</v>
      </c>
      <c r="I438" s="31">
        <v>159508439571</v>
      </c>
      <c r="J438" s="21">
        <v>72102651500</v>
      </c>
      <c r="K438" s="19">
        <v>8.1078121035914226</v>
      </c>
      <c r="L438" s="23">
        <v>67160775174</v>
      </c>
      <c r="M438" s="21">
        <v>4941876326</v>
      </c>
    </row>
    <row r="439" spans="2:13" x14ac:dyDescent="0.3">
      <c r="B439" s="4">
        <v>44482</v>
      </c>
      <c r="C439" s="24">
        <v>7.552107093347872</v>
      </c>
      <c r="E439" s="4">
        <v>44483</v>
      </c>
      <c r="F439" s="23">
        <v>1854704181182</v>
      </c>
      <c r="G439" s="19">
        <v>2.6263205367126692</v>
      </c>
      <c r="H439" s="31">
        <v>1694411103077</v>
      </c>
      <c r="I439" s="31">
        <v>160293078105</v>
      </c>
      <c r="J439" s="21">
        <v>70911099084</v>
      </c>
      <c r="K439" s="19">
        <v>8.2403018638293712</v>
      </c>
      <c r="L439" s="23">
        <v>65976919681</v>
      </c>
      <c r="M439" s="21">
        <v>4934179403</v>
      </c>
    </row>
    <row r="440" spans="2:13" x14ac:dyDescent="0.3">
      <c r="B440" s="4">
        <v>44483</v>
      </c>
      <c r="C440" s="24">
        <v>7.666920147056862</v>
      </c>
      <c r="E440" s="4">
        <v>44484</v>
      </c>
      <c r="F440" s="23">
        <v>1851096805926</v>
      </c>
      <c r="G440" s="19">
        <v>2.6123861742803918</v>
      </c>
      <c r="H440" s="31">
        <v>1689276155594</v>
      </c>
      <c r="I440" s="31">
        <v>161820650332</v>
      </c>
      <c r="J440" s="21">
        <v>75485793922</v>
      </c>
      <c r="K440" s="19">
        <v>7.6351617091477166</v>
      </c>
      <c r="L440" s="23">
        <v>70292622196</v>
      </c>
      <c r="M440" s="21">
        <v>5193171726</v>
      </c>
    </row>
    <row r="441" spans="2:13" x14ac:dyDescent="0.3">
      <c r="B441" s="4">
        <v>44484</v>
      </c>
      <c r="C441" s="24">
        <v>7.1098879609196048</v>
      </c>
      <c r="E441" s="6">
        <v>44487</v>
      </c>
      <c r="F441" s="23">
        <v>1858549650958</v>
      </c>
      <c r="G441" s="19">
        <v>2.6142541415951936</v>
      </c>
      <c r="H441" s="31">
        <v>1696589288671</v>
      </c>
      <c r="I441" s="31">
        <v>161960362287</v>
      </c>
      <c r="J441" s="21">
        <v>81543069165</v>
      </c>
      <c r="K441" s="19">
        <v>8.1393710842423843</v>
      </c>
      <c r="L441" s="23">
        <v>76646779466</v>
      </c>
      <c r="M441" s="21">
        <v>4896289699</v>
      </c>
    </row>
    <row r="442" spans="2:13" x14ac:dyDescent="0.3">
      <c r="B442" s="4">
        <v>44487</v>
      </c>
      <c r="C442" s="24">
        <v>7.6506389430045605</v>
      </c>
      <c r="E442" s="4">
        <v>44488</v>
      </c>
      <c r="F442" s="23">
        <v>1863427384685</v>
      </c>
      <c r="G442" s="19">
        <v>2.601024500935265</v>
      </c>
      <c r="H442" s="31">
        <v>1699801047991</v>
      </c>
      <c r="I442" s="31">
        <v>163626336694</v>
      </c>
      <c r="J442" s="21">
        <v>79032607620</v>
      </c>
      <c r="K442" s="19">
        <v>8.1223292171302255</v>
      </c>
      <c r="L442" s="23">
        <v>73836930343</v>
      </c>
      <c r="M442" s="21">
        <v>5195677277</v>
      </c>
    </row>
    <row r="443" spans="2:13" x14ac:dyDescent="0.3">
      <c r="B443" s="4">
        <v>44488</v>
      </c>
      <c r="C443" s="24">
        <v>7.5883597250357075</v>
      </c>
      <c r="E443" s="4">
        <v>44489</v>
      </c>
      <c r="F443" s="23">
        <v>1868339377644</v>
      </c>
      <c r="G443" s="19">
        <v>2.6110756422084513</v>
      </c>
      <c r="H443" s="31">
        <v>1704684474244</v>
      </c>
      <c r="I443" s="31">
        <v>163654903400</v>
      </c>
      <c r="J443" s="21">
        <v>84839957228</v>
      </c>
      <c r="K443" s="19">
        <v>8.3203386753203272</v>
      </c>
      <c r="L443" s="23">
        <v>80122235427</v>
      </c>
      <c r="M443" s="21">
        <v>4717721801</v>
      </c>
    </row>
    <row r="444" spans="2:13" x14ac:dyDescent="0.3">
      <c r="B444" s="4">
        <v>44489</v>
      </c>
      <c r="C444" s="24">
        <v>7.8576670233913548</v>
      </c>
      <c r="E444" s="4">
        <v>44490</v>
      </c>
      <c r="F444" s="23">
        <v>1867648606547</v>
      </c>
      <c r="G444" s="19">
        <v>2.60752427868022</v>
      </c>
      <c r="H444" s="31">
        <v>1704746365047</v>
      </c>
      <c r="I444" s="31">
        <v>162902241500</v>
      </c>
      <c r="J444" s="21">
        <v>80400741701</v>
      </c>
      <c r="K444" s="19">
        <v>8.0991384339474095</v>
      </c>
      <c r="L444" s="23">
        <v>75601812228</v>
      </c>
      <c r="M444" s="21">
        <v>4798929473</v>
      </c>
    </row>
    <row r="445" spans="2:13" x14ac:dyDescent="0.3">
      <c r="B445" s="4">
        <v>44490</v>
      </c>
      <c r="C445" s="24">
        <v>7.6157200809038592</v>
      </c>
      <c r="E445" s="4">
        <v>44491</v>
      </c>
      <c r="F445" s="23">
        <v>1860975826475</v>
      </c>
      <c r="G445" s="19">
        <v>2.604592173741239</v>
      </c>
      <c r="H445" s="31">
        <v>1698688832425</v>
      </c>
      <c r="I445" s="31">
        <v>162286994050</v>
      </c>
      <c r="J445" s="21">
        <v>77681796229</v>
      </c>
      <c r="K445" s="19">
        <v>7.6537048941306525</v>
      </c>
      <c r="L445" s="23">
        <v>73561109492</v>
      </c>
      <c r="M445" s="21">
        <v>4120686737</v>
      </c>
    </row>
    <row r="446" spans="2:13" x14ac:dyDescent="0.3">
      <c r="B446" s="4">
        <v>44491</v>
      </c>
      <c r="C446" s="24">
        <v>7.2477086147297101</v>
      </c>
      <c r="E446" s="4">
        <v>44494</v>
      </c>
      <c r="F446" s="23">
        <v>1868782868631</v>
      </c>
      <c r="G446" s="19">
        <v>2.5943906874083762</v>
      </c>
      <c r="H446" s="31">
        <v>1705512672392</v>
      </c>
      <c r="I446" s="31">
        <v>163270196239</v>
      </c>
      <c r="J446" s="21">
        <v>84663767220</v>
      </c>
      <c r="K446" s="19">
        <v>8.3461107388657609</v>
      </c>
      <c r="L446" s="23">
        <v>80030367979</v>
      </c>
      <c r="M446" s="21">
        <v>4633399241</v>
      </c>
    </row>
    <row r="447" spans="2:13" x14ac:dyDescent="0.3">
      <c r="B447" s="4">
        <v>44494</v>
      </c>
      <c r="C447" s="24">
        <v>7.8893526186857823</v>
      </c>
      <c r="E447" s="4">
        <v>44495</v>
      </c>
      <c r="F447" s="23">
        <v>1870534149454</v>
      </c>
      <c r="G447" s="19">
        <v>2.604644640777555</v>
      </c>
      <c r="H447" s="31">
        <v>1708429599607</v>
      </c>
      <c r="I447" s="31">
        <v>162104549847</v>
      </c>
      <c r="J447" s="21">
        <v>88425973215</v>
      </c>
      <c r="K447" s="19">
        <v>8.1727467660322866</v>
      </c>
      <c r="L447" s="23">
        <v>83278313379</v>
      </c>
      <c r="M447" s="21">
        <v>5147659836</v>
      </c>
    </row>
    <row r="448" spans="2:13" x14ac:dyDescent="0.3">
      <c r="B448" s="4">
        <v>44495</v>
      </c>
      <c r="C448" s="24">
        <v>7.6969756916782321</v>
      </c>
      <c r="E448" s="4">
        <v>44496</v>
      </c>
      <c r="F448" s="23">
        <v>1868545297585</v>
      </c>
      <c r="G448" s="19">
        <v>2.6277310977657358</v>
      </c>
      <c r="H448" s="31">
        <v>1709620746168</v>
      </c>
      <c r="I448" s="31">
        <v>158924551417</v>
      </c>
      <c r="J448" s="21">
        <v>86515217808</v>
      </c>
      <c r="K448" s="19">
        <v>8.0371218615969475</v>
      </c>
      <c r="L448" s="23">
        <v>81649143596</v>
      </c>
      <c r="M448" s="21">
        <v>4866074212</v>
      </c>
    </row>
    <row r="449" spans="2:13" x14ac:dyDescent="0.3">
      <c r="B449" s="4">
        <v>44496</v>
      </c>
      <c r="C449" s="24">
        <v>7.5850715469781713</v>
      </c>
      <c r="E449" s="4">
        <v>44497</v>
      </c>
      <c r="F449" s="23">
        <v>1851962801226</v>
      </c>
      <c r="G449" s="19">
        <v>2.6395504146359916</v>
      </c>
      <c r="H449" s="31">
        <v>1700538118787</v>
      </c>
      <c r="I449" s="31">
        <v>151424682439</v>
      </c>
      <c r="J449" s="21">
        <v>83305679137</v>
      </c>
      <c r="K449" s="19">
        <v>7.524111946656717</v>
      </c>
      <c r="L449" s="23">
        <v>78874179591</v>
      </c>
      <c r="M449" s="21">
        <v>4431499546</v>
      </c>
    </row>
    <row r="450" spans="2:13" x14ac:dyDescent="0.3">
      <c r="B450" s="4">
        <v>44497</v>
      </c>
      <c r="C450" s="24">
        <v>7.123861939441384</v>
      </c>
      <c r="E450" s="4">
        <v>44498</v>
      </c>
      <c r="F450" s="23">
        <v>1846701337317</v>
      </c>
      <c r="G450" s="19">
        <v>2.6030986864239147</v>
      </c>
      <c r="H450" s="31">
        <v>1696819179029</v>
      </c>
      <c r="I450" s="31">
        <v>149882158288</v>
      </c>
      <c r="J450" s="21">
        <v>87735785624</v>
      </c>
      <c r="K450" s="19">
        <v>7.7091433596559371</v>
      </c>
      <c r="L450" s="23">
        <v>82951763995</v>
      </c>
      <c r="M450" s="21">
        <v>4784021629</v>
      </c>
    </row>
    <row r="451" spans="2:13" x14ac:dyDescent="0.3">
      <c r="B451" s="4">
        <v>44498</v>
      </c>
      <c r="C451" s="24">
        <v>7.2887822913489693</v>
      </c>
      <c r="E451" s="4">
        <v>44501</v>
      </c>
      <c r="F451" s="23">
        <v>1851484310089</v>
      </c>
      <c r="G451" s="19">
        <v>2.6062484256283325</v>
      </c>
      <c r="H451" s="31">
        <v>1701247340273</v>
      </c>
      <c r="I451" s="31">
        <v>150236969816</v>
      </c>
      <c r="J451" s="21">
        <v>94613528224</v>
      </c>
      <c r="K451" s="19">
        <v>7.7373531989871349</v>
      </c>
      <c r="L451" s="23">
        <v>89757672037</v>
      </c>
      <c r="M451" s="21">
        <v>4855856187</v>
      </c>
    </row>
    <row r="452" spans="2:13" x14ac:dyDescent="0.3">
      <c r="B452" s="4">
        <v>44501</v>
      </c>
      <c r="C452" s="24">
        <v>7.3402485237090449</v>
      </c>
      <c r="E452" s="4">
        <v>44502</v>
      </c>
      <c r="F452" s="23">
        <v>1843973130108</v>
      </c>
      <c r="G452" s="19">
        <v>2.6224278339297054</v>
      </c>
      <c r="H452" s="31">
        <v>1695740481094</v>
      </c>
      <c r="I452" s="31">
        <v>148232649014</v>
      </c>
      <c r="J452" s="21">
        <v>97019997875</v>
      </c>
      <c r="K452" s="19">
        <v>7.713803629130572</v>
      </c>
      <c r="L452" s="23">
        <v>91528920871</v>
      </c>
      <c r="M452" s="21">
        <v>5491077004</v>
      </c>
    </row>
    <row r="453" spans="2:13" x14ac:dyDescent="0.3">
      <c r="B453" s="4">
        <v>44502</v>
      </c>
      <c r="C453" s="24">
        <v>7.2772226082170972</v>
      </c>
      <c r="E453" s="4">
        <v>44503</v>
      </c>
      <c r="F453" s="23">
        <v>1839543520471</v>
      </c>
      <c r="G453" s="19">
        <v>2.618656710669327</v>
      </c>
      <c r="H453" s="31">
        <v>1692790891116</v>
      </c>
      <c r="I453" s="31">
        <v>146752629355</v>
      </c>
      <c r="J453" s="21">
        <v>74032112783</v>
      </c>
      <c r="K453" s="19">
        <v>7.403951885500712</v>
      </c>
      <c r="L453" s="23">
        <v>69306303766</v>
      </c>
      <c r="M453" s="21">
        <v>4725809017</v>
      </c>
    </row>
    <row r="454" spans="2:13" x14ac:dyDescent="0.3">
      <c r="B454" s="4">
        <v>44503</v>
      </c>
      <c r="C454" s="24">
        <v>6.9313237074491996</v>
      </c>
      <c r="E454" s="4">
        <v>44504</v>
      </c>
      <c r="F454" s="23">
        <v>1842928884960</v>
      </c>
      <c r="G454" s="19">
        <v>2.5972734630312768</v>
      </c>
      <c r="H454" s="31">
        <v>1697223859369</v>
      </c>
      <c r="I454" s="31">
        <v>145705025591</v>
      </c>
      <c r="J454" s="21">
        <v>87127966247</v>
      </c>
      <c r="K454" s="19">
        <v>8.0795286399290767</v>
      </c>
      <c r="L454" s="23">
        <v>82149529998</v>
      </c>
      <c r="M454" s="21">
        <v>4978436249</v>
      </c>
    </row>
    <row r="455" spans="2:13" x14ac:dyDescent="0.3">
      <c r="B455" s="4">
        <v>44504</v>
      </c>
      <c r="C455" s="24">
        <v>7.6178695425294345</v>
      </c>
      <c r="E455" s="4">
        <v>44505</v>
      </c>
      <c r="F455" s="23">
        <v>1830743994262</v>
      </c>
      <c r="G455" s="19">
        <v>2.6024959480483694</v>
      </c>
      <c r="H455" s="31">
        <v>1687306651685</v>
      </c>
      <c r="I455" s="31">
        <v>143437342577</v>
      </c>
      <c r="J455" s="21">
        <v>86806526651</v>
      </c>
      <c r="K455" s="19">
        <v>7.5438396599458164</v>
      </c>
      <c r="L455" s="23">
        <v>81890834124</v>
      </c>
      <c r="M455" s="21">
        <v>4915692527</v>
      </c>
    </row>
    <row r="456" spans="2:13" x14ac:dyDescent="0.3">
      <c r="B456" s="4">
        <v>44505</v>
      </c>
      <c r="C456" s="24">
        <v>7.1166460182698579</v>
      </c>
      <c r="E456" s="4">
        <v>44508</v>
      </c>
      <c r="F456" s="23">
        <v>1834667230264</v>
      </c>
      <c r="G456" s="19">
        <v>2.5987228373660329</v>
      </c>
      <c r="H456" s="31">
        <v>1692761352320</v>
      </c>
      <c r="I456" s="31">
        <v>141905877944</v>
      </c>
      <c r="J456" s="21">
        <v>79229262975</v>
      </c>
      <c r="K456" s="19">
        <v>7.6286896774187563</v>
      </c>
      <c r="L456" s="23">
        <v>74971754943</v>
      </c>
      <c r="M456" s="21">
        <v>4257508032</v>
      </c>
    </row>
    <row r="457" spans="2:13" x14ac:dyDescent="0.3">
      <c r="B457" s="4">
        <v>44508</v>
      </c>
      <c r="C457" s="24">
        <v>7.2187501379648253</v>
      </c>
      <c r="E457" s="4">
        <v>44509</v>
      </c>
      <c r="F457" s="23">
        <v>1837030397470</v>
      </c>
      <c r="G457" s="19">
        <v>2.5904813985086279</v>
      </c>
      <c r="H457" s="31">
        <v>1695936015398</v>
      </c>
      <c r="I457" s="31">
        <v>141094382072</v>
      </c>
      <c r="J457" s="21">
        <v>80653153917</v>
      </c>
      <c r="K457" s="19">
        <v>7.9807790025653418</v>
      </c>
      <c r="L457" s="23">
        <v>76157700490</v>
      </c>
      <c r="M457" s="21">
        <v>4495453427</v>
      </c>
    </row>
    <row r="458" spans="2:13" x14ac:dyDescent="0.3">
      <c r="B458" s="4">
        <v>44509</v>
      </c>
      <c r="C458" s="24">
        <v>7.5359455574389038</v>
      </c>
      <c r="E458" s="4">
        <v>44510</v>
      </c>
      <c r="F458" s="23">
        <v>1838620229523</v>
      </c>
      <c r="G458" s="19">
        <v>2.6019240732656224</v>
      </c>
      <c r="H458" s="31">
        <v>1697983495567</v>
      </c>
      <c r="I458" s="31">
        <v>140636733956</v>
      </c>
      <c r="J458" s="21">
        <v>87486718251</v>
      </c>
      <c r="K458" s="19">
        <v>8.1018678553986945</v>
      </c>
      <c r="L458" s="23">
        <v>82101473499</v>
      </c>
      <c r="M458" s="21">
        <v>5385244752</v>
      </c>
    </row>
    <row r="459" spans="2:13" x14ac:dyDescent="0.3">
      <c r="B459" s="4">
        <v>44510</v>
      </c>
      <c r="C459" s="24">
        <v>7.6031573971493973</v>
      </c>
      <c r="E459" s="4">
        <v>44511</v>
      </c>
      <c r="F459" s="23">
        <v>1841246491932</v>
      </c>
      <c r="G459" s="19">
        <v>2.5758150857573163</v>
      </c>
      <c r="H459" s="31">
        <v>1699134860345</v>
      </c>
      <c r="I459" s="31">
        <v>142111631587</v>
      </c>
      <c r="J459" s="21">
        <v>89797403184</v>
      </c>
      <c r="K459" s="19">
        <v>7.9979086506937795</v>
      </c>
      <c r="L459" s="23">
        <v>85109516281</v>
      </c>
      <c r="M459" s="21">
        <v>4687886903</v>
      </c>
    </row>
    <row r="460" spans="2:13" x14ac:dyDescent="0.3">
      <c r="B460" s="4">
        <v>44511</v>
      </c>
      <c r="C460" s="24">
        <v>7.5803766298829789</v>
      </c>
      <c r="E460" s="4">
        <v>44512</v>
      </c>
      <c r="F460" s="23">
        <v>1839044275069</v>
      </c>
      <c r="G460" s="19">
        <v>2.5665274466578825</v>
      </c>
      <c r="H460" s="31">
        <v>1698021905159</v>
      </c>
      <c r="I460" s="31">
        <v>141022369910</v>
      </c>
      <c r="J460" s="21">
        <v>86982988681</v>
      </c>
      <c r="K460" s="19">
        <v>7.9175329314500056</v>
      </c>
      <c r="L460" s="23">
        <v>82899894624</v>
      </c>
      <c r="M460" s="21">
        <v>4083094057</v>
      </c>
    </row>
    <row r="461" spans="2:13" x14ac:dyDescent="0.3">
      <c r="B461" s="4">
        <v>44512</v>
      </c>
      <c r="C461" s="24">
        <v>7.545873689238122</v>
      </c>
      <c r="E461" s="4">
        <v>44515</v>
      </c>
      <c r="F461" s="23">
        <v>1838837257215</v>
      </c>
      <c r="G461" s="19">
        <v>2.5717657436247197</v>
      </c>
      <c r="H461" s="31">
        <v>1700043557104</v>
      </c>
      <c r="I461" s="31">
        <v>138793700111</v>
      </c>
      <c r="J461" s="21">
        <v>87820249237</v>
      </c>
      <c r="K461" s="19">
        <v>7.5858325057979208</v>
      </c>
      <c r="L461" s="23">
        <v>83697367289</v>
      </c>
      <c r="M461" s="21">
        <v>4122881948</v>
      </c>
    </row>
    <row r="462" spans="2:13" x14ac:dyDescent="0.3">
      <c r="B462" s="4">
        <v>44515</v>
      </c>
      <c r="C462" s="24">
        <v>7.2297017481374306</v>
      </c>
      <c r="E462" s="4">
        <v>44516</v>
      </c>
      <c r="F462" s="23">
        <v>1834025300455</v>
      </c>
      <c r="G462" s="19">
        <v>2.5696915822009432</v>
      </c>
      <c r="H462" s="31">
        <v>1696654598666</v>
      </c>
      <c r="I462" s="31">
        <v>137370701789</v>
      </c>
      <c r="J462" s="21">
        <v>82097805578</v>
      </c>
      <c r="K462" s="19">
        <v>7.3740391645820065</v>
      </c>
      <c r="L462" s="23">
        <v>77462984257</v>
      </c>
      <c r="M462" s="21">
        <v>4634821321</v>
      </c>
    </row>
    <row r="463" spans="2:13" x14ac:dyDescent="0.3">
      <c r="B463" s="4">
        <v>44516</v>
      </c>
      <c r="C463" s="24">
        <v>6.9577387080561337</v>
      </c>
      <c r="E463" s="4">
        <v>44517</v>
      </c>
      <c r="F463" s="23">
        <v>1837568303720</v>
      </c>
      <c r="G463" s="19">
        <v>2.5564520992735416</v>
      </c>
      <c r="H463" s="31">
        <v>1700647159840</v>
      </c>
      <c r="I463" s="31">
        <v>136921143880</v>
      </c>
      <c r="J463" s="21">
        <v>78993864561</v>
      </c>
      <c r="K463" s="19">
        <v>7.6190862122995764</v>
      </c>
      <c r="L463" s="23">
        <v>75093548826</v>
      </c>
      <c r="M463" s="21">
        <v>3900315735</v>
      </c>
    </row>
    <row r="464" spans="2:13" x14ac:dyDescent="0.3">
      <c r="B464" s="4">
        <v>44517</v>
      </c>
      <c r="C464" s="24">
        <v>7.2428944408841405</v>
      </c>
      <c r="E464" s="4">
        <v>44518</v>
      </c>
      <c r="F464" s="23">
        <v>1837267677968</v>
      </c>
      <c r="G464" s="19">
        <v>2.5694126932558867</v>
      </c>
      <c r="H464" s="31">
        <v>1701998799091</v>
      </c>
      <c r="I464" s="31">
        <v>135268878877</v>
      </c>
      <c r="J464" s="21">
        <v>86281838284</v>
      </c>
      <c r="K464" s="19">
        <v>7.6763275352044067</v>
      </c>
      <c r="L464" s="23">
        <v>81195704408</v>
      </c>
      <c r="M464" s="21">
        <v>5086133876</v>
      </c>
    </row>
    <row r="465" spans="2:13" x14ac:dyDescent="0.3">
      <c r="B465" s="4">
        <v>44518</v>
      </c>
      <c r="C465" s="24">
        <v>7.2238240849236686</v>
      </c>
      <c r="E465" s="4">
        <v>44519</v>
      </c>
      <c r="F465" s="23">
        <v>1836092437783</v>
      </c>
      <c r="G465" s="19">
        <v>2.5384439628505331</v>
      </c>
      <c r="H465" s="31">
        <v>1700343395314</v>
      </c>
      <c r="I465" s="31">
        <v>135749042469</v>
      </c>
      <c r="J465" s="21">
        <v>86458328040</v>
      </c>
      <c r="K465" s="19">
        <v>7.7695928985587983</v>
      </c>
      <c r="L465" s="23">
        <v>82016971032</v>
      </c>
      <c r="M465" s="21">
        <v>4441357008</v>
      </c>
    </row>
    <row r="466" spans="2:13" x14ac:dyDescent="0.3">
      <c r="B466" s="4">
        <v>44519</v>
      </c>
      <c r="C466" s="24">
        <v>7.3704695676824912</v>
      </c>
      <c r="E466" s="4">
        <v>44522</v>
      </c>
      <c r="F466" s="23">
        <v>1847221021222</v>
      </c>
      <c r="G466" s="19">
        <v>2.5295303295768279</v>
      </c>
      <c r="H466" s="31">
        <v>1711174261508</v>
      </c>
      <c r="I466" s="31">
        <v>136046759714</v>
      </c>
      <c r="J466" s="21">
        <v>104657683582</v>
      </c>
      <c r="K466" s="19">
        <v>8.3436288946955415</v>
      </c>
      <c r="L466" s="23">
        <v>99740515640</v>
      </c>
      <c r="M466" s="21">
        <v>4917167942</v>
      </c>
    </row>
    <row r="467" spans="2:13" x14ac:dyDescent="0.3">
      <c r="B467" s="4">
        <v>44522</v>
      </c>
      <c r="C467" s="24">
        <v>7.9516173087636126</v>
      </c>
      <c r="E467" s="4">
        <v>44523</v>
      </c>
      <c r="F467" s="23">
        <v>1849724235756</v>
      </c>
      <c r="G467" s="19">
        <v>2.5317911909496478</v>
      </c>
      <c r="H467" s="31">
        <v>1714861004141</v>
      </c>
      <c r="I467" s="31">
        <v>134863231615</v>
      </c>
      <c r="J467" s="21">
        <v>98376705113</v>
      </c>
      <c r="K467" s="19">
        <v>8.0106539027293522</v>
      </c>
      <c r="L467" s="23">
        <v>93471154092</v>
      </c>
      <c r="M467" s="21">
        <v>4905551021</v>
      </c>
    </row>
    <row r="468" spans="2:13" x14ac:dyDescent="0.3">
      <c r="B468" s="4">
        <v>44523</v>
      </c>
      <c r="C468" s="24">
        <v>7.6112029210536223</v>
      </c>
      <c r="E468" s="4">
        <v>44524</v>
      </c>
      <c r="F468" s="23">
        <v>1852121664850</v>
      </c>
      <c r="G468" s="19">
        <v>2.5322988656628187</v>
      </c>
      <c r="H468" s="31">
        <v>1718679121450</v>
      </c>
      <c r="I468" s="31">
        <v>133442543400</v>
      </c>
      <c r="J468" s="21">
        <v>96995819468</v>
      </c>
      <c r="K468" s="19">
        <v>8.06910413225682</v>
      </c>
      <c r="L468" s="23">
        <v>92663783601</v>
      </c>
      <c r="M468" s="21">
        <v>4332035867</v>
      </c>
    </row>
    <row r="469" spans="2:13" x14ac:dyDescent="0.3">
      <c r="B469" s="4">
        <v>44524</v>
      </c>
      <c r="C469" s="24">
        <v>7.7087210899028484</v>
      </c>
      <c r="E469" s="4">
        <v>44525</v>
      </c>
      <c r="F469" s="23">
        <v>1853753600844</v>
      </c>
      <c r="G469" s="19">
        <v>2.542078714643639</v>
      </c>
      <c r="H469" s="31">
        <v>1721290639689</v>
      </c>
      <c r="I469" s="31">
        <v>132462961155</v>
      </c>
      <c r="J469" s="21">
        <v>87482372089</v>
      </c>
      <c r="K469" s="19">
        <v>7.8623303937585476</v>
      </c>
      <c r="L469" s="23">
        <v>83487555198</v>
      </c>
      <c r="M469" s="21">
        <v>3994816891</v>
      </c>
    </row>
    <row r="470" spans="2:13" x14ac:dyDescent="0.3">
      <c r="B470" s="4">
        <v>44525</v>
      </c>
      <c r="C470" s="24">
        <v>7.503302974752855</v>
      </c>
      <c r="E470" s="4">
        <v>44526</v>
      </c>
      <c r="F470" s="23">
        <v>1849288270403</v>
      </c>
      <c r="G470" s="19">
        <v>2.5455188801288751</v>
      </c>
      <c r="H470" s="31">
        <v>1717797762113</v>
      </c>
      <c r="I470" s="31">
        <v>131490508290</v>
      </c>
      <c r="J470" s="21">
        <v>85040888162</v>
      </c>
      <c r="K470" s="19">
        <v>7.72229949442427</v>
      </c>
      <c r="L470" s="23">
        <v>80752325957</v>
      </c>
      <c r="M470" s="21">
        <v>4288562205</v>
      </c>
    </row>
    <row r="471" spans="2:13" x14ac:dyDescent="0.3">
      <c r="B471" s="4">
        <v>44526</v>
      </c>
      <c r="C471" s="24">
        <v>7.332868451742887</v>
      </c>
      <c r="E471" s="4">
        <v>44529</v>
      </c>
      <c r="F471" s="23">
        <v>1851183037354</v>
      </c>
      <c r="G471" s="19">
        <v>2.5435006960344055</v>
      </c>
      <c r="H471" s="31">
        <v>1720524767968</v>
      </c>
      <c r="I471" s="31">
        <v>130658269386</v>
      </c>
      <c r="J471" s="21">
        <v>90676292304</v>
      </c>
      <c r="K471" s="19">
        <v>7.7028507157296096</v>
      </c>
      <c r="L471" s="23">
        <v>86077046609</v>
      </c>
      <c r="M471" s="21">
        <v>4599245695</v>
      </c>
    </row>
    <row r="472" spans="2:13" x14ac:dyDescent="0.3">
      <c r="B472" s="4">
        <v>44529</v>
      </c>
      <c r="C472" s="24">
        <v>7.3121498821007487</v>
      </c>
      <c r="E472" s="4">
        <v>44530</v>
      </c>
      <c r="F472" s="23">
        <v>1852685196949</v>
      </c>
      <c r="G472" s="19">
        <v>2.5443059066080749</v>
      </c>
      <c r="H472" s="31">
        <v>1723953293728</v>
      </c>
      <c r="I472" s="31">
        <v>128731903221</v>
      </c>
      <c r="J472" s="21">
        <v>92918238454</v>
      </c>
      <c r="K472" s="19">
        <v>7.6144580540566373</v>
      </c>
      <c r="L472" s="23">
        <v>88616490927</v>
      </c>
      <c r="M472" s="21">
        <v>4301747527</v>
      </c>
    </row>
    <row r="473" spans="2:13" x14ac:dyDescent="0.3">
      <c r="B473" s="4">
        <v>44530</v>
      </c>
      <c r="C473" s="24">
        <v>7.2619387139520652</v>
      </c>
      <c r="E473" s="4">
        <v>44531</v>
      </c>
      <c r="F473" s="23">
        <v>1853221653112</v>
      </c>
      <c r="G473" s="19">
        <v>2.5356867279479034</v>
      </c>
      <c r="H473" s="31">
        <v>1726952787265</v>
      </c>
      <c r="I473" s="31">
        <v>126268865847</v>
      </c>
      <c r="J473" s="21">
        <v>85179385548</v>
      </c>
      <c r="K473" s="19">
        <v>7.4326652023866036</v>
      </c>
      <c r="L473" s="23">
        <v>81085601585</v>
      </c>
      <c r="M473" s="21">
        <v>4093783963</v>
      </c>
    </row>
    <row r="474" spans="2:13" x14ac:dyDescent="0.3">
      <c r="B474" s="4">
        <v>44531</v>
      </c>
      <c r="C474" s="24">
        <v>7.0754458421843403</v>
      </c>
      <c r="E474" s="4">
        <v>44532</v>
      </c>
      <c r="F474" s="23">
        <v>1845977456403</v>
      </c>
      <c r="G474" s="19">
        <v>2.5315898447894547</v>
      </c>
      <c r="H474" s="31">
        <v>1724978706747</v>
      </c>
      <c r="I474" s="31">
        <v>120998749656</v>
      </c>
      <c r="J474" s="21">
        <v>84680629930</v>
      </c>
      <c r="K474" s="19">
        <v>7.3450427758245862</v>
      </c>
      <c r="L474" s="23">
        <v>80916530328</v>
      </c>
      <c r="M474" s="21">
        <v>3764099602</v>
      </c>
    </row>
    <row r="475" spans="2:13" x14ac:dyDescent="0.3">
      <c r="B475" s="4">
        <v>44532</v>
      </c>
      <c r="C475" s="24">
        <v>7.0185516690389056</v>
      </c>
      <c r="E475" s="4">
        <v>44533</v>
      </c>
      <c r="F475" s="23">
        <v>1844171711869</v>
      </c>
      <c r="G475" s="19">
        <v>2.5070120735764347</v>
      </c>
      <c r="H475" s="31">
        <v>1723119712942</v>
      </c>
      <c r="I475" s="31">
        <v>121051998927</v>
      </c>
      <c r="J475" s="21">
        <v>87034955513</v>
      </c>
      <c r="K475" s="19">
        <v>7.6690225015043989</v>
      </c>
      <c r="L475" s="23">
        <v>82432207772</v>
      </c>
      <c r="M475" s="21">
        <v>4602747741</v>
      </c>
    </row>
    <row r="476" spans="2:13" x14ac:dyDescent="0.3">
      <c r="B476" s="4">
        <v>44533</v>
      </c>
      <c r="C476" s="24">
        <v>7.2634546950245626</v>
      </c>
      <c r="E476" s="4">
        <v>44536</v>
      </c>
      <c r="F476" s="23">
        <v>1841699556340</v>
      </c>
      <c r="G476" s="19">
        <v>2.5209124112511203</v>
      </c>
      <c r="H476" s="31">
        <v>1722564288771</v>
      </c>
      <c r="I476" s="31">
        <v>119135267569</v>
      </c>
      <c r="J476" s="21">
        <v>94427444149</v>
      </c>
      <c r="K476" s="19">
        <v>7.8482628538005699</v>
      </c>
      <c r="L476" s="23">
        <v>89987170889</v>
      </c>
      <c r="M476" s="21">
        <v>4440273260</v>
      </c>
    </row>
    <row r="477" spans="2:13" x14ac:dyDescent="0.3">
      <c r="B477" s="4">
        <v>44536</v>
      </c>
      <c r="C477" s="24">
        <v>7.4792130293428256</v>
      </c>
      <c r="E477" s="4">
        <v>44537</v>
      </c>
      <c r="F477" s="23">
        <v>1837356384051</v>
      </c>
      <c r="G477" s="19">
        <v>2.5186506063710588</v>
      </c>
      <c r="H477" s="31">
        <v>1719603482935</v>
      </c>
      <c r="I477" s="31">
        <v>117752901116</v>
      </c>
      <c r="J477" s="21">
        <v>89409168390</v>
      </c>
      <c r="K477" s="19">
        <v>7.4540110652407758</v>
      </c>
      <c r="L477" s="23">
        <v>85354687532</v>
      </c>
      <c r="M477" s="21">
        <v>4054480858</v>
      </c>
    </row>
    <row r="478" spans="2:13" x14ac:dyDescent="0.3">
      <c r="B478" s="4">
        <v>44537</v>
      </c>
      <c r="C478" s="24">
        <v>7.1159904156412761</v>
      </c>
      <c r="E478" s="4">
        <v>44538</v>
      </c>
      <c r="F478" s="23">
        <v>1841596436259</v>
      </c>
      <c r="G478" s="19">
        <v>2.4818960878627219</v>
      </c>
      <c r="H478" s="31">
        <v>1722234050877</v>
      </c>
      <c r="I478" s="31">
        <v>119362385382</v>
      </c>
      <c r="J478" s="21">
        <v>86759549529</v>
      </c>
      <c r="K478" s="19">
        <v>7.8787426888829248</v>
      </c>
      <c r="L478" s="23">
        <v>82661985683</v>
      </c>
      <c r="M478" s="21">
        <v>4097563846</v>
      </c>
    </row>
    <row r="479" spans="2:13" x14ac:dyDescent="0.3">
      <c r="B479" s="4">
        <v>44538</v>
      </c>
      <c r="C479" s="24">
        <v>7.5066378154809206</v>
      </c>
      <c r="E479" s="4">
        <v>44539</v>
      </c>
      <c r="F479" s="23">
        <v>1842328690713</v>
      </c>
      <c r="G479" s="19">
        <v>2.4597272306447104</v>
      </c>
      <c r="H479" s="31">
        <v>1722539758121</v>
      </c>
      <c r="I479" s="31">
        <v>119788932592</v>
      </c>
      <c r="J479" s="21">
        <v>100663696312</v>
      </c>
      <c r="K479" s="19">
        <v>7.966619019388955</v>
      </c>
      <c r="L479" s="23">
        <v>96648542656</v>
      </c>
      <c r="M479" s="21">
        <v>4015153656</v>
      </c>
    </row>
    <row r="480" spans="2:13" x14ac:dyDescent="0.3">
      <c r="B480" s="4">
        <v>44539</v>
      </c>
      <c r="C480" s="24">
        <v>7.6488560059733075</v>
      </c>
      <c r="E480" s="4">
        <v>44540</v>
      </c>
      <c r="F480" s="23">
        <v>1842345268722</v>
      </c>
      <c r="G480" s="19">
        <v>2.4610336536883155</v>
      </c>
      <c r="H480" s="31">
        <v>1723979721455</v>
      </c>
      <c r="I480" s="31">
        <v>118365547267</v>
      </c>
      <c r="J480" s="21">
        <v>88541721419</v>
      </c>
      <c r="K480" s="19">
        <v>7.1692366649409607</v>
      </c>
      <c r="L480" s="23">
        <v>85159495859</v>
      </c>
      <c r="M480" s="21">
        <v>3382225560</v>
      </c>
    </row>
    <row r="481" spans="2:13" x14ac:dyDescent="0.3">
      <c r="B481" s="4">
        <v>44540</v>
      </c>
      <c r="C481" s="24">
        <v>6.8953773463593233</v>
      </c>
      <c r="E481" s="4">
        <v>44543</v>
      </c>
      <c r="F481" s="23">
        <v>1847463776354</v>
      </c>
      <c r="G481" s="19">
        <v>2.4558953076546004</v>
      </c>
      <c r="H481" s="31">
        <v>1728976805923</v>
      </c>
      <c r="I481" s="31">
        <v>118486970431</v>
      </c>
      <c r="J481" s="21">
        <v>100202882698</v>
      </c>
      <c r="K481" s="19">
        <v>7.8875235327342157</v>
      </c>
      <c r="L481" s="23">
        <v>96600921539</v>
      </c>
      <c r="M481" s="21">
        <v>3601961159</v>
      </c>
    </row>
    <row r="482" spans="2:13" x14ac:dyDescent="0.3">
      <c r="B482" s="4">
        <v>44543</v>
      </c>
      <c r="C482" s="24">
        <v>7.6039932326007031</v>
      </c>
      <c r="E482" s="4">
        <v>44544</v>
      </c>
      <c r="F482" s="23">
        <v>1848394634374</v>
      </c>
      <c r="G482" s="19">
        <v>2.46649298331283</v>
      </c>
      <c r="H482" s="31">
        <v>1730964065077</v>
      </c>
      <c r="I482" s="31">
        <v>117430569297</v>
      </c>
      <c r="J482" s="21">
        <v>86358064842</v>
      </c>
      <c r="K482" s="19">
        <v>7.5710838562863438</v>
      </c>
      <c r="L482" s="23">
        <v>82617690514</v>
      </c>
      <c r="M482" s="21">
        <v>3740374328</v>
      </c>
    </row>
    <row r="483" spans="2:13" x14ac:dyDescent="0.3">
      <c r="B483" s="4">
        <v>44544</v>
      </c>
      <c r="C483" s="24">
        <v>7.2431621069627532</v>
      </c>
      <c r="E483" s="4">
        <v>44545</v>
      </c>
      <c r="F483" s="23">
        <v>1849421708740</v>
      </c>
      <c r="G483" s="19">
        <v>2.4767374491545442</v>
      </c>
      <c r="H483" s="31">
        <v>1732835143041</v>
      </c>
      <c r="I483" s="31">
        <v>116586565699</v>
      </c>
      <c r="J483" s="21">
        <v>87916196989</v>
      </c>
      <c r="K483" s="19">
        <v>7.7438720371394956</v>
      </c>
      <c r="L483" s="23">
        <v>82942940866</v>
      </c>
      <c r="M483" s="21">
        <v>4973256123</v>
      </c>
    </row>
    <row r="484" spans="2:13" x14ac:dyDescent="0.3">
      <c r="B484" s="4">
        <v>44545</v>
      </c>
      <c r="C484" s="24">
        <v>7.305815565824533</v>
      </c>
      <c r="E484" s="4">
        <v>44546</v>
      </c>
      <c r="F484" s="23">
        <v>1849977775325</v>
      </c>
      <c r="G484" s="19">
        <v>2.458546285114843</v>
      </c>
      <c r="H484" s="31">
        <v>1732844806618</v>
      </c>
      <c r="I484" s="31">
        <v>117132968707</v>
      </c>
      <c r="J484" s="21">
        <v>87625712677</v>
      </c>
      <c r="K484" s="19">
        <v>7.8727024858347994</v>
      </c>
      <c r="L484" s="23">
        <v>82677916446</v>
      </c>
      <c r="M484" s="21">
        <v>4947796231</v>
      </c>
    </row>
    <row r="485" spans="2:13" x14ac:dyDescent="0.3">
      <c r="B485" s="4">
        <v>44546</v>
      </c>
      <c r="C485" s="24">
        <v>7.4281694087597874</v>
      </c>
      <c r="E485" s="4">
        <v>44547</v>
      </c>
      <c r="F485" s="23">
        <v>1841959398082</v>
      </c>
      <c r="G485" s="19">
        <v>2.4781835666857992</v>
      </c>
      <c r="H485" s="31">
        <v>1726087347955</v>
      </c>
      <c r="I485" s="31">
        <v>115872050127</v>
      </c>
      <c r="J485" s="21">
        <v>85133793590</v>
      </c>
      <c r="K485" s="19">
        <v>7.3467055760974365</v>
      </c>
      <c r="L485" s="23">
        <v>80613894821</v>
      </c>
      <c r="M485" s="21">
        <v>4519898769</v>
      </c>
    </row>
    <row r="486" spans="2:13" x14ac:dyDescent="0.3">
      <c r="B486" s="4">
        <v>44547</v>
      </c>
      <c r="C486" s="24">
        <v>6.9566564065569789</v>
      </c>
      <c r="E486" s="4">
        <v>44550</v>
      </c>
      <c r="F486" s="23">
        <v>1837936014294</v>
      </c>
      <c r="G486" s="19">
        <v>2.5051221889086701</v>
      </c>
      <c r="H486" s="31">
        <v>1723780289755</v>
      </c>
      <c r="I486" s="31">
        <v>114155724539</v>
      </c>
      <c r="J486" s="21">
        <v>82211023309</v>
      </c>
      <c r="K486" s="19">
        <v>7.1013217368183685</v>
      </c>
      <c r="L486" s="23">
        <v>77739052353</v>
      </c>
      <c r="M486" s="21">
        <v>4471970956</v>
      </c>
    </row>
    <row r="487" spans="2:13" x14ac:dyDescent="0.3">
      <c r="B487" s="4">
        <v>44550</v>
      </c>
      <c r="C487" s="24">
        <v>6.715036500629286</v>
      </c>
      <c r="E487" s="4">
        <v>44551</v>
      </c>
      <c r="F487" s="23">
        <v>1837217486164</v>
      </c>
      <c r="G487" s="19">
        <v>2.4802388021108457</v>
      </c>
      <c r="H487" s="31">
        <v>1722032807580</v>
      </c>
      <c r="I487" s="31">
        <v>115184678584</v>
      </c>
      <c r="J487" s="21">
        <v>72865131222</v>
      </c>
      <c r="K487" s="19">
        <v>7.2872267796661196</v>
      </c>
      <c r="L487" s="23">
        <v>68627764023</v>
      </c>
      <c r="M487" s="21">
        <v>4237367199</v>
      </c>
    </row>
    <row r="488" spans="2:13" x14ac:dyDescent="0.3">
      <c r="B488" s="4">
        <v>44551</v>
      </c>
      <c r="C488" s="24">
        <v>6.8634485580397451</v>
      </c>
      <c r="E488" s="4">
        <v>44552</v>
      </c>
      <c r="F488" s="23">
        <v>1839620664557</v>
      </c>
      <c r="G488" s="19">
        <v>2.4768260660735062</v>
      </c>
      <c r="H488" s="31">
        <v>1723268396176</v>
      </c>
      <c r="I488" s="31">
        <v>116352268381</v>
      </c>
      <c r="J488" s="21">
        <v>78932526247</v>
      </c>
      <c r="K488" s="19">
        <v>7.4338430204121781</v>
      </c>
      <c r="L488" s="23">
        <v>74283495877</v>
      </c>
      <c r="M488" s="21">
        <v>4649030370</v>
      </c>
    </row>
    <row r="489" spans="2:13" x14ac:dyDescent="0.3">
      <c r="B489" s="4">
        <v>44552</v>
      </c>
      <c r="C489" s="24">
        <v>6.9959986536987504</v>
      </c>
      <c r="E489" s="4">
        <v>44553</v>
      </c>
      <c r="F489" s="23">
        <v>1841579703557</v>
      </c>
      <c r="G489" s="19">
        <v>2.4660577812038968</v>
      </c>
      <c r="H489" s="31">
        <v>1723932625992</v>
      </c>
      <c r="I489" s="31">
        <v>117647077565</v>
      </c>
      <c r="J489" s="21">
        <v>82819262204</v>
      </c>
      <c r="K489" s="19">
        <v>7.691368310201403</v>
      </c>
      <c r="L489" s="23">
        <v>78314015342</v>
      </c>
      <c r="M489" s="21">
        <v>4505246862</v>
      </c>
    </row>
    <row r="490" spans="2:13" x14ac:dyDescent="0.3">
      <c r="B490" s="4">
        <v>44553</v>
      </c>
      <c r="C490" s="24">
        <v>7.272969111490025</v>
      </c>
      <c r="E490" s="4">
        <v>44554</v>
      </c>
      <c r="F490" s="23">
        <v>1831997081384</v>
      </c>
      <c r="G490" s="19">
        <v>2.473797949078576</v>
      </c>
      <c r="H490" s="31">
        <v>1714985044096</v>
      </c>
      <c r="I490" s="31">
        <v>117012037288</v>
      </c>
      <c r="J490" s="21">
        <v>88776843900</v>
      </c>
      <c r="K490" s="19">
        <v>7.8473762515545813</v>
      </c>
      <c r="L490" s="23">
        <v>84139046103</v>
      </c>
      <c r="M490" s="21">
        <v>4637797797</v>
      </c>
    </row>
    <row r="491" spans="2:13" x14ac:dyDescent="0.3">
      <c r="B491" s="4">
        <v>44554</v>
      </c>
      <c r="C491" s="24">
        <v>7.4374208770124826</v>
      </c>
      <c r="E491" s="4">
        <v>44557</v>
      </c>
      <c r="F491" s="23">
        <v>1834913965908</v>
      </c>
      <c r="G491" s="19">
        <v>2.4767300747185739</v>
      </c>
      <c r="H491" s="31">
        <v>1718459014192</v>
      </c>
      <c r="I491" s="31">
        <v>116454951716</v>
      </c>
      <c r="J491" s="21">
        <v>77409078468</v>
      </c>
      <c r="K491" s="19">
        <v>7.9445086415830444</v>
      </c>
      <c r="L491" s="23">
        <v>73135908412</v>
      </c>
      <c r="M491" s="21">
        <v>4273170056</v>
      </c>
    </row>
    <row r="492" spans="2:13" x14ac:dyDescent="0.3">
      <c r="B492" s="4">
        <v>44557</v>
      </c>
      <c r="C492" s="24">
        <v>7.5059523752030008</v>
      </c>
      <c r="E492" s="4">
        <v>44558</v>
      </c>
      <c r="F492" s="23">
        <v>1838372786876</v>
      </c>
      <c r="G492" s="19">
        <v>2.4660178092157925</v>
      </c>
      <c r="H492" s="31">
        <v>1721240763542</v>
      </c>
      <c r="I492" s="31">
        <v>117132023334</v>
      </c>
      <c r="J492" s="21">
        <v>75166899567</v>
      </c>
      <c r="K492" s="19">
        <v>7.499905459450579</v>
      </c>
      <c r="L492" s="23">
        <v>70473434073</v>
      </c>
      <c r="M492" s="21">
        <v>4693465494</v>
      </c>
    </row>
    <row r="493" spans="2:13" x14ac:dyDescent="0.3">
      <c r="B493" s="4">
        <v>44558</v>
      </c>
      <c r="C493" s="24">
        <v>7.0316069439475219</v>
      </c>
      <c r="E493" s="4">
        <v>44559</v>
      </c>
      <c r="F493" s="23">
        <v>1837478575612</v>
      </c>
      <c r="G493" s="19">
        <v>2.4875539317249138</v>
      </c>
      <c r="H493" s="31">
        <v>1721147697416</v>
      </c>
      <c r="I493" s="31">
        <v>116330878196</v>
      </c>
      <c r="J493" s="21">
        <v>72899052267</v>
      </c>
      <c r="K493" s="19">
        <v>7.3124639658562121</v>
      </c>
      <c r="L493" s="23">
        <v>68129342754</v>
      </c>
      <c r="M493" s="21">
        <v>4769709513</v>
      </c>
    </row>
    <row r="494" spans="2:13" x14ac:dyDescent="0.3">
      <c r="B494" s="4">
        <v>44559</v>
      </c>
      <c r="C494" s="24">
        <v>6.8340170196096581</v>
      </c>
      <c r="E494" s="4">
        <v>44560</v>
      </c>
      <c r="F494" s="23">
        <v>1840760958362</v>
      </c>
      <c r="G494" s="19">
        <v>2.4729872896015306</v>
      </c>
      <c r="H494" s="31">
        <v>1721363204509</v>
      </c>
      <c r="I494" s="31">
        <v>119397753853</v>
      </c>
      <c r="J494" s="21">
        <v>79979095248</v>
      </c>
      <c r="K494" s="19">
        <v>7.8601283204531072</v>
      </c>
      <c r="L494" s="23">
        <v>73225249386</v>
      </c>
      <c r="M494" s="21">
        <v>6753845862</v>
      </c>
    </row>
    <row r="495" spans="2:13" x14ac:dyDescent="0.3">
      <c r="B495" s="4">
        <v>44560</v>
      </c>
      <c r="C495" s="24">
        <v>7.1963786872861988</v>
      </c>
      <c r="E495" s="4">
        <v>44561</v>
      </c>
      <c r="F495" s="23">
        <v>1832191166901</v>
      </c>
      <c r="G495" s="19">
        <v>2.4467514085692561</v>
      </c>
      <c r="H495" s="31">
        <v>1712050979156</v>
      </c>
      <c r="I495" s="31">
        <v>120140187745</v>
      </c>
      <c r="J495" s="21">
        <v>79035212259</v>
      </c>
      <c r="K495" s="19">
        <v>7.4568661849443236</v>
      </c>
      <c r="L495" s="23">
        <v>74238056966</v>
      </c>
      <c r="M495" s="21">
        <v>4797155293</v>
      </c>
    </row>
    <row r="496" spans="2:13" x14ac:dyDescent="0.3">
      <c r="B496" s="4">
        <v>44561</v>
      </c>
      <c r="C496" s="24">
        <v>7.0042610224368369</v>
      </c>
      <c r="E496" s="4">
        <v>44565</v>
      </c>
      <c r="F496" s="23">
        <v>1834876061632</v>
      </c>
      <c r="G496" s="19">
        <v>2.4515416821055749</v>
      </c>
      <c r="H496" s="31">
        <v>1719028439852</v>
      </c>
      <c r="I496" s="31">
        <v>115847621780</v>
      </c>
      <c r="J496" s="21">
        <v>96947370497</v>
      </c>
      <c r="K496" s="19">
        <v>7.6572370406594645</v>
      </c>
      <c r="L496" s="23">
        <v>93032589777</v>
      </c>
      <c r="M496" s="21">
        <v>3914780720</v>
      </c>
    </row>
    <row r="497" spans="2:13" x14ac:dyDescent="0.3">
      <c r="B497" s="4">
        <v>44565</v>
      </c>
      <c r="C497" s="24">
        <v>7.3480341836704648</v>
      </c>
      <c r="E497" s="4">
        <v>44566</v>
      </c>
      <c r="F497" s="23">
        <v>1829538307654</v>
      </c>
      <c r="G497" s="19">
        <v>2.4750820127756232</v>
      </c>
      <c r="H497" s="31">
        <v>1716321973743</v>
      </c>
      <c r="I497" s="31">
        <v>113216333911</v>
      </c>
      <c r="J497" s="21">
        <v>92711041135</v>
      </c>
      <c r="K497" s="19">
        <v>7.1049522099225975</v>
      </c>
      <c r="L497" s="23">
        <v>88498597515</v>
      </c>
      <c r="M497" s="21">
        <v>4212443620</v>
      </c>
    </row>
    <row r="498" spans="2:13" x14ac:dyDescent="0.3">
      <c r="B498" s="4">
        <v>44566</v>
      </c>
      <c r="C498" s="24">
        <v>6.7821297042027844</v>
      </c>
      <c r="E498" s="4">
        <v>44567</v>
      </c>
      <c r="F498" s="23">
        <v>1830956424351</v>
      </c>
      <c r="G498" s="19">
        <v>2.4826740420492679</v>
      </c>
      <c r="H498" s="31">
        <v>1717849438047</v>
      </c>
      <c r="I498" s="31">
        <v>113106986304</v>
      </c>
      <c r="J498" s="21">
        <v>79963126495</v>
      </c>
      <c r="K498" s="19">
        <v>7.03606986607367</v>
      </c>
      <c r="L498" s="23">
        <v>75470966188</v>
      </c>
      <c r="M498" s="21">
        <v>4492160307</v>
      </c>
    </row>
    <row r="499" spans="2:13" x14ac:dyDescent="0.3">
      <c r="B499" s="4">
        <v>44567</v>
      </c>
      <c r="C499" s="24">
        <v>6.6407982558317755</v>
      </c>
      <c r="E499" s="4">
        <v>44568</v>
      </c>
      <c r="F499" s="23">
        <v>1814599413568</v>
      </c>
      <c r="G499" s="19">
        <v>2.4736641152392442</v>
      </c>
      <c r="H499" s="31">
        <v>1702701716180</v>
      </c>
      <c r="I499" s="31">
        <v>111897697388</v>
      </c>
      <c r="J499" s="21">
        <v>82059848400</v>
      </c>
      <c r="K499" s="19">
        <v>6.7985542416001774</v>
      </c>
      <c r="L499" s="23">
        <v>78489118526</v>
      </c>
      <c r="M499" s="21">
        <v>3570729874</v>
      </c>
    </row>
    <row r="500" spans="2:13" x14ac:dyDescent="0.3">
      <c r="B500" s="4">
        <v>44568</v>
      </c>
      <c r="C500" s="24">
        <v>6.5027238055974319</v>
      </c>
      <c r="E500" s="4">
        <v>44571</v>
      </c>
      <c r="F500" s="23">
        <v>1816207967429</v>
      </c>
      <c r="G500" s="19">
        <v>2.4647946295656378</v>
      </c>
      <c r="H500" s="31">
        <v>1704537299956</v>
      </c>
      <c r="I500" s="31">
        <v>111670667473</v>
      </c>
      <c r="J500" s="21">
        <v>73995237139</v>
      </c>
      <c r="K500" s="19">
        <v>7.039175622455538</v>
      </c>
      <c r="L500" s="23">
        <v>70377567098</v>
      </c>
      <c r="M500" s="21">
        <v>3617670041</v>
      </c>
    </row>
    <row r="501" spans="2:13" x14ac:dyDescent="0.3">
      <c r="B501" s="4">
        <v>44571</v>
      </c>
      <c r="C501" s="24">
        <v>6.6950262454509319</v>
      </c>
      <c r="E501" s="4">
        <v>44572</v>
      </c>
      <c r="F501" s="23">
        <v>1814213595731</v>
      </c>
      <c r="G501" s="19">
        <v>2.4823580918614843</v>
      </c>
      <c r="H501" s="31">
        <v>1703603869104</v>
      </c>
      <c r="I501" s="31">
        <v>110609726627</v>
      </c>
      <c r="J501" s="21">
        <v>73630814395</v>
      </c>
      <c r="K501" s="19">
        <v>6.9756326592057443</v>
      </c>
      <c r="L501" s="23">
        <v>70080331976</v>
      </c>
      <c r="M501" s="21">
        <v>3550482419</v>
      </c>
    </row>
    <row r="502" spans="2:13" x14ac:dyDescent="0.3">
      <c r="B502" s="4">
        <v>44572</v>
      </c>
      <c r="C502" s="24">
        <v>6.6392672214279163</v>
      </c>
      <c r="E502" s="4">
        <v>44573</v>
      </c>
      <c r="F502" s="23">
        <v>1817143256885</v>
      </c>
      <c r="G502" s="19">
        <v>2.4594111512340437</v>
      </c>
      <c r="H502" s="31">
        <v>1705791530537</v>
      </c>
      <c r="I502" s="31">
        <v>111351726348</v>
      </c>
      <c r="J502" s="21">
        <v>76852240241</v>
      </c>
      <c r="K502" s="19">
        <v>7.2435252628891238</v>
      </c>
      <c r="L502" s="23">
        <v>72865291391</v>
      </c>
      <c r="M502" s="21">
        <v>3986948850</v>
      </c>
    </row>
    <row r="503" spans="2:13" x14ac:dyDescent="0.3">
      <c r="B503" s="4">
        <v>44573</v>
      </c>
      <c r="C503" s="24">
        <v>6.8677448741033364</v>
      </c>
      <c r="E503" s="4">
        <v>44574</v>
      </c>
      <c r="F503" s="23">
        <v>1814775481800</v>
      </c>
      <c r="G503" s="19">
        <v>2.4892217063995981</v>
      </c>
      <c r="H503" s="31">
        <v>1705246447417</v>
      </c>
      <c r="I503" s="31">
        <v>109529034383</v>
      </c>
      <c r="J503" s="21">
        <v>78373021566</v>
      </c>
      <c r="K503" s="19">
        <v>7.168052408484467</v>
      </c>
      <c r="L503" s="23">
        <v>74658490802</v>
      </c>
      <c r="M503" s="21">
        <v>3714530764</v>
      </c>
    </row>
    <row r="504" spans="2:13" x14ac:dyDescent="0.3">
      <c r="B504" s="4">
        <v>44574</v>
      </c>
      <c r="C504" s="24">
        <v>6.8283187774816421</v>
      </c>
      <c r="E504" s="4">
        <v>44575</v>
      </c>
      <c r="F504" s="23">
        <v>1809974379632</v>
      </c>
      <c r="G504" s="19">
        <v>2.4973389078344255</v>
      </c>
      <c r="H504" s="31">
        <v>1700926208390</v>
      </c>
      <c r="I504" s="31">
        <v>109048171242</v>
      </c>
      <c r="J504" s="21">
        <v>78074242342</v>
      </c>
      <c r="K504" s="19">
        <v>7.0539067412785306</v>
      </c>
      <c r="L504" s="23">
        <v>74360383338</v>
      </c>
      <c r="M504" s="21">
        <v>3713859004</v>
      </c>
    </row>
    <row r="505" spans="2:13" x14ac:dyDescent="0.3">
      <c r="B505" s="4">
        <v>44575</v>
      </c>
      <c r="C505" s="24">
        <v>6.7183643872494248</v>
      </c>
      <c r="E505" s="4">
        <v>44578</v>
      </c>
      <c r="F505" s="23">
        <v>1815333579590</v>
      </c>
      <c r="G505" s="19">
        <v>2.4795337259167942</v>
      </c>
      <c r="H505" s="31">
        <v>1705334168612</v>
      </c>
      <c r="I505" s="31">
        <v>109999410978</v>
      </c>
      <c r="J505" s="21">
        <v>83343460473</v>
      </c>
      <c r="K505" s="19">
        <v>7.4448775296566412</v>
      </c>
      <c r="L505" s="23">
        <v>79516352821</v>
      </c>
      <c r="M505" s="21">
        <v>3827107652</v>
      </c>
    </row>
    <row r="506" spans="2:13" x14ac:dyDescent="0.3">
      <c r="B506" s="4">
        <v>44578</v>
      </c>
      <c r="C506" s="24">
        <v>7.1030109020862371</v>
      </c>
      <c r="E506" s="4">
        <v>44579</v>
      </c>
      <c r="F506" s="23">
        <v>1812231342638</v>
      </c>
      <c r="G506" s="19">
        <v>2.4647813861261585</v>
      </c>
      <c r="H506" s="31">
        <v>1702017732406</v>
      </c>
      <c r="I506" s="31">
        <v>110213610232</v>
      </c>
      <c r="J506" s="21">
        <v>84142216983</v>
      </c>
      <c r="K506" s="19">
        <v>7.0365433999650566</v>
      </c>
      <c r="L506" s="23">
        <v>79709181531</v>
      </c>
      <c r="M506" s="21">
        <v>4433035452</v>
      </c>
    </row>
    <row r="507" spans="2:13" x14ac:dyDescent="0.3">
      <c r="B507" s="4">
        <v>44579</v>
      </c>
      <c r="C507" s="24">
        <v>6.665822880943268</v>
      </c>
      <c r="E507" s="4">
        <v>44580</v>
      </c>
      <c r="F507" s="23">
        <v>1806556698936</v>
      </c>
      <c r="G507" s="19">
        <v>2.4705176660689872</v>
      </c>
      <c r="H507" s="31">
        <v>1698769658037</v>
      </c>
      <c r="I507" s="31">
        <v>107787040899</v>
      </c>
      <c r="J507" s="21">
        <v>72630866107</v>
      </c>
      <c r="K507" s="19">
        <v>6.8188318618303851</v>
      </c>
      <c r="L507" s="23">
        <v>68965188140</v>
      </c>
      <c r="M507" s="21">
        <v>3665677967</v>
      </c>
    </row>
    <row r="508" spans="2:13" x14ac:dyDescent="0.3">
      <c r="B508" s="4">
        <v>44580</v>
      </c>
      <c r="C508" s="24">
        <v>6.4746855910181162</v>
      </c>
      <c r="E508" s="4">
        <v>44581</v>
      </c>
      <c r="F508" s="23">
        <v>1795770015068</v>
      </c>
      <c r="G508" s="19">
        <v>2.4635755740739538</v>
      </c>
      <c r="H508" s="31">
        <v>1688473242634</v>
      </c>
      <c r="I508" s="31">
        <v>107296772434</v>
      </c>
      <c r="J508" s="21">
        <v>76350842451</v>
      </c>
      <c r="K508" s="19">
        <v>6.7635419727191586</v>
      </c>
      <c r="L508" s="23">
        <v>72486556747</v>
      </c>
      <c r="M508" s="21">
        <v>3864285704</v>
      </c>
    </row>
    <row r="509" spans="2:13" x14ac:dyDescent="0.3">
      <c r="B509" s="4">
        <v>44581</v>
      </c>
      <c r="C509" s="24">
        <v>6.4212240923322303</v>
      </c>
      <c r="E509" s="4">
        <v>44582</v>
      </c>
      <c r="F509" s="23">
        <v>1781878331084</v>
      </c>
      <c r="G509" s="19">
        <v>2.4691077663307297</v>
      </c>
      <c r="H509" s="31">
        <v>1676502363766</v>
      </c>
      <c r="I509" s="31">
        <v>105375967318</v>
      </c>
      <c r="J509" s="21">
        <v>65292480429</v>
      </c>
      <c r="K509" s="19">
        <v>6.6337190455535211</v>
      </c>
      <c r="L509" s="23">
        <v>61868373618</v>
      </c>
      <c r="M509" s="21">
        <v>3424106811</v>
      </c>
    </row>
    <row r="510" spans="2:13" x14ac:dyDescent="0.3">
      <c r="B510" s="4">
        <v>44582</v>
      </c>
      <c r="C510" s="24">
        <v>6.2858296344468263</v>
      </c>
      <c r="E510" s="4">
        <v>44585</v>
      </c>
      <c r="F510" s="23">
        <v>1777155562079</v>
      </c>
      <c r="G510" s="19">
        <v>2.4580073690236457</v>
      </c>
      <c r="H510" s="31">
        <v>1674000097224</v>
      </c>
      <c r="I510" s="31">
        <v>103155464855</v>
      </c>
      <c r="J510" s="21">
        <v>58332169410</v>
      </c>
      <c r="K510" s="19">
        <v>6.7512192299098555</v>
      </c>
      <c r="L510" s="23">
        <v>55121118482</v>
      </c>
      <c r="M510" s="21">
        <v>3211050928</v>
      </c>
    </row>
    <row r="511" spans="2:13" x14ac:dyDescent="0.3">
      <c r="B511" s="4">
        <v>44585</v>
      </c>
      <c r="C511" s="24">
        <v>6.3795802356361904</v>
      </c>
      <c r="E511" s="4">
        <v>44586</v>
      </c>
      <c r="F511" s="23">
        <v>1764347423823</v>
      </c>
      <c r="G511" s="19">
        <v>2.5114068539701218</v>
      </c>
      <c r="H511" s="31">
        <v>1664854792401</v>
      </c>
      <c r="I511" s="31">
        <v>99492631422</v>
      </c>
      <c r="J511" s="21">
        <v>63765784630</v>
      </c>
      <c r="K511" s="19">
        <v>6.8082274273664982</v>
      </c>
      <c r="L511" s="23">
        <v>59696422365</v>
      </c>
      <c r="M511" s="21">
        <v>4069362265</v>
      </c>
    </row>
    <row r="512" spans="2:13" x14ac:dyDescent="0.3">
      <c r="B512" s="4">
        <v>44586</v>
      </c>
      <c r="C512" s="24">
        <v>6.3737445154848054</v>
      </c>
      <c r="E512" s="4">
        <v>44587</v>
      </c>
      <c r="F512" s="23">
        <v>1757189066148</v>
      </c>
      <c r="G512" s="19">
        <v>2.4843519926271131</v>
      </c>
      <c r="H512" s="31">
        <v>1657558254312</v>
      </c>
      <c r="I512" s="31">
        <v>99630811836</v>
      </c>
      <c r="J512" s="21">
        <v>50258195777</v>
      </c>
      <c r="K512" s="19">
        <v>6.3294075875606675</v>
      </c>
      <c r="L512" s="23">
        <v>46139598398</v>
      </c>
      <c r="M512" s="21">
        <v>4118597379</v>
      </c>
    </row>
    <row r="513" spans="2:13" x14ac:dyDescent="0.3">
      <c r="B513" s="4">
        <v>44587</v>
      </c>
      <c r="C513" s="24">
        <v>5.8107204143000644</v>
      </c>
      <c r="E513" s="4">
        <v>44588</v>
      </c>
      <c r="F513" s="23">
        <v>1743671775039</v>
      </c>
      <c r="G513" s="19">
        <v>2.5208599724090988</v>
      </c>
      <c r="H513" s="31">
        <v>1648404453734</v>
      </c>
      <c r="I513" s="31">
        <v>95267321305</v>
      </c>
      <c r="J513" s="21">
        <v>52834181873</v>
      </c>
      <c r="K513" s="19">
        <v>6.4211875243731917</v>
      </c>
      <c r="L513" s="23">
        <v>49301242357</v>
      </c>
      <c r="M513" s="21">
        <v>3532939516</v>
      </c>
    </row>
    <row r="514" spans="2:13" x14ac:dyDescent="0.3">
      <c r="B514" s="4">
        <v>44588</v>
      </c>
      <c r="C514" s="24">
        <v>5.9918127079137475</v>
      </c>
      <c r="E514" s="4">
        <v>44589</v>
      </c>
      <c r="F514" s="23">
        <v>1713210200774</v>
      </c>
      <c r="G514" s="19">
        <v>2.4899979116397786</v>
      </c>
      <c r="H514" s="31">
        <v>1620284746319</v>
      </c>
      <c r="I514" s="31">
        <v>92925454455</v>
      </c>
      <c r="J514" s="21">
        <v>47042361158</v>
      </c>
      <c r="K514" s="19">
        <v>5.7465911944210601</v>
      </c>
      <c r="L514" s="23">
        <v>43870323873</v>
      </c>
      <c r="M514" s="21">
        <v>3172037285</v>
      </c>
    </row>
    <row r="515" spans="2:13" x14ac:dyDescent="0.3">
      <c r="B515" s="4">
        <v>44589</v>
      </c>
      <c r="C515" s="24">
        <v>5.3591021083793748</v>
      </c>
      <c r="E515" s="4">
        <v>44599</v>
      </c>
      <c r="F515" s="23">
        <v>1717973637422</v>
      </c>
      <c r="G515" s="19">
        <v>2.4566861582973774</v>
      </c>
      <c r="H515" s="31">
        <v>1623791638542</v>
      </c>
      <c r="I515" s="31">
        <v>94181998880</v>
      </c>
      <c r="J515" s="21">
        <v>56824914560</v>
      </c>
      <c r="K515" s="19">
        <v>6.9052771396376906</v>
      </c>
      <c r="L515" s="23">
        <v>53378414667</v>
      </c>
      <c r="M515" s="21">
        <v>3446499893</v>
      </c>
    </row>
    <row r="516" spans="2:13" x14ac:dyDescent="0.3">
      <c r="B516" s="4">
        <v>44599</v>
      </c>
      <c r="C516" s="24">
        <v>6.4864637176171813</v>
      </c>
      <c r="E516" s="4">
        <v>44600</v>
      </c>
      <c r="F516" s="23">
        <v>1717608085203</v>
      </c>
      <c r="G516" s="19">
        <v>2.4482599823482385</v>
      </c>
      <c r="H516" s="31">
        <v>1622476434064</v>
      </c>
      <c r="I516" s="31">
        <v>95131651139</v>
      </c>
      <c r="J516" s="21">
        <v>60917645771</v>
      </c>
      <c r="K516" s="19">
        <v>6.933758139063765</v>
      </c>
      <c r="L516" s="23">
        <v>56776763320</v>
      </c>
      <c r="M516" s="21">
        <v>4140882451</v>
      </c>
    </row>
    <row r="517" spans="2:13" x14ac:dyDescent="0.3">
      <c r="B517" s="4">
        <v>44600</v>
      </c>
      <c r="C517" s="24">
        <v>6.4624353058495521</v>
      </c>
      <c r="E517" s="4">
        <v>44601</v>
      </c>
      <c r="F517" s="23">
        <v>1722487744296</v>
      </c>
      <c r="G517" s="19">
        <v>2.4270217770521398</v>
      </c>
      <c r="H517" s="31">
        <v>1625111953950</v>
      </c>
      <c r="I517" s="31">
        <v>97375790346</v>
      </c>
      <c r="J517" s="21">
        <v>66836011537</v>
      </c>
      <c r="K517" s="19">
        <v>7.1747554523887738</v>
      </c>
      <c r="L517" s="23">
        <v>62518185156</v>
      </c>
      <c r="M517" s="21">
        <v>4317826381</v>
      </c>
    </row>
    <row r="518" spans="2:13" x14ac:dyDescent="0.3">
      <c r="B518" s="4">
        <v>44601</v>
      </c>
      <c r="C518" s="24">
        <v>6.711242629628579</v>
      </c>
      <c r="E518" s="4">
        <v>44602</v>
      </c>
      <c r="F518" s="23">
        <v>1721351601217</v>
      </c>
      <c r="G518" s="19">
        <v>2.4260723507846276</v>
      </c>
      <c r="H518" s="31">
        <v>1624158047074</v>
      </c>
      <c r="I518" s="31">
        <v>97193554143</v>
      </c>
      <c r="J518" s="21">
        <v>63878311513</v>
      </c>
      <c r="K518" s="19">
        <v>6.8236314086564622</v>
      </c>
      <c r="L518" s="23">
        <v>59802172762</v>
      </c>
      <c r="M518" s="21">
        <v>4076138751</v>
      </c>
    </row>
    <row r="519" spans="2:13" x14ac:dyDescent="0.3">
      <c r="B519" s="4">
        <v>44602</v>
      </c>
      <c r="C519" s="24">
        <v>6.3882086845961243</v>
      </c>
      <c r="E519" s="4">
        <v>44603</v>
      </c>
      <c r="F519" s="23">
        <v>1714053020190</v>
      </c>
      <c r="G519" s="19">
        <v>2.4409343149681768</v>
      </c>
      <c r="H519" s="31">
        <v>1617950101471</v>
      </c>
      <c r="I519" s="31">
        <v>96102918719</v>
      </c>
      <c r="J519" s="21">
        <v>65417115920</v>
      </c>
      <c r="K519" s="19">
        <v>6.5989622438254383</v>
      </c>
      <c r="L519" s="23">
        <v>61643442616</v>
      </c>
      <c r="M519" s="21">
        <v>3773673304</v>
      </c>
    </row>
    <row r="520" spans="2:13" x14ac:dyDescent="0.3">
      <c r="B520" s="4">
        <v>44603</v>
      </c>
      <c r="C520" s="24">
        <v>6.2182923334600595</v>
      </c>
      <c r="E520" s="4">
        <v>44606</v>
      </c>
      <c r="F520" s="23">
        <v>1715895472516</v>
      </c>
      <c r="G520" s="19">
        <v>2.4615041525139372</v>
      </c>
      <c r="H520" s="31">
        <v>1620967058056</v>
      </c>
      <c r="I520" s="31">
        <v>94928414460</v>
      </c>
      <c r="J520" s="21">
        <v>60832788497</v>
      </c>
      <c r="K520" s="19">
        <v>7.0552584395193367</v>
      </c>
      <c r="L520" s="23">
        <v>57186121797</v>
      </c>
      <c r="M520" s="21">
        <v>3646666700</v>
      </c>
    </row>
    <row r="521" spans="2:13" x14ac:dyDescent="0.3">
      <c r="B521" s="4">
        <v>44606</v>
      </c>
      <c r="C521" s="24">
        <v>6.6323257309100985</v>
      </c>
      <c r="E521" s="4">
        <v>44607</v>
      </c>
      <c r="F521" s="23">
        <v>1718151852542</v>
      </c>
      <c r="G521" s="19">
        <v>2.441191382821287</v>
      </c>
      <c r="H521" s="31">
        <v>1621715362408</v>
      </c>
      <c r="I521" s="31">
        <v>96436490134</v>
      </c>
      <c r="J521" s="21">
        <v>56436373792</v>
      </c>
      <c r="K521" s="19">
        <v>6.8214844662349448</v>
      </c>
      <c r="L521" s="23">
        <v>52448290556</v>
      </c>
      <c r="M521" s="21">
        <v>3988083236</v>
      </c>
    </row>
    <row r="522" spans="2:13" x14ac:dyDescent="0.3">
      <c r="B522" s="4">
        <v>44607</v>
      </c>
      <c r="C522" s="24">
        <v>6.3394434346000894</v>
      </c>
      <c r="E522" s="4">
        <v>44608</v>
      </c>
      <c r="F522" s="23">
        <v>1720239913155</v>
      </c>
      <c r="G522" s="19">
        <v>2.4303862907352012</v>
      </c>
      <c r="H522" s="31">
        <v>1623266716602</v>
      </c>
      <c r="I522" s="31">
        <v>96973196553</v>
      </c>
      <c r="J522" s="21">
        <v>56053246533</v>
      </c>
      <c r="K522" s="19">
        <v>6.9469146903044932</v>
      </c>
      <c r="L522" s="23">
        <v>52139589576</v>
      </c>
      <c r="M522" s="21">
        <v>3913656957</v>
      </c>
    </row>
    <row r="523" spans="2:13" x14ac:dyDescent="0.3">
      <c r="B523" s="4">
        <v>44608</v>
      </c>
      <c r="C523" s="24">
        <v>6.4618787166720022</v>
      </c>
      <c r="E523" s="4">
        <v>44609</v>
      </c>
      <c r="F523" s="23">
        <v>1721282350417</v>
      </c>
      <c r="G523" s="19">
        <v>2.4288677714193163</v>
      </c>
      <c r="H523" s="31">
        <v>1623648372691</v>
      </c>
      <c r="I523" s="31">
        <v>97633977726</v>
      </c>
      <c r="J523" s="21">
        <v>64759319784</v>
      </c>
      <c r="K523" s="19">
        <v>7.1268914394833498</v>
      </c>
      <c r="L523" s="23">
        <v>60873550211</v>
      </c>
      <c r="M523" s="21">
        <v>3885769573</v>
      </c>
    </row>
    <row r="524" spans="2:13" x14ac:dyDescent="0.3">
      <c r="B524" s="4">
        <v>44609</v>
      </c>
      <c r="C524" s="24">
        <v>6.699254799722647</v>
      </c>
      <c r="E524" s="4">
        <v>44610</v>
      </c>
      <c r="F524" s="23">
        <v>1716786541237</v>
      </c>
      <c r="G524" s="19">
        <v>2.4077638355055284</v>
      </c>
      <c r="H524" s="31">
        <v>1619880036907</v>
      </c>
      <c r="I524" s="31">
        <v>96906504330</v>
      </c>
      <c r="J524" s="21">
        <v>56858664398</v>
      </c>
      <c r="K524" s="19">
        <v>7.0425145126127662</v>
      </c>
      <c r="L524" s="23">
        <v>53048129513</v>
      </c>
      <c r="M524" s="21">
        <v>3810534885</v>
      </c>
    </row>
    <row r="525" spans="2:13" x14ac:dyDescent="0.3">
      <c r="B525" s="4">
        <v>44610</v>
      </c>
      <c r="C525" s="24">
        <v>6.5705416389521307</v>
      </c>
      <c r="E525" s="4">
        <v>44613</v>
      </c>
      <c r="F525" s="23">
        <v>1723187857817</v>
      </c>
      <c r="G525" s="19">
        <v>2.4089960065378517</v>
      </c>
      <c r="H525" s="31">
        <v>1626818273093</v>
      </c>
      <c r="I525" s="31">
        <v>96369584724</v>
      </c>
      <c r="J525" s="21">
        <v>68637246202</v>
      </c>
      <c r="K525" s="19">
        <v>7.6245794551232429</v>
      </c>
      <c r="L525" s="23">
        <v>65110853737</v>
      </c>
      <c r="M525" s="21">
        <v>3526392465</v>
      </c>
    </row>
    <row r="526" spans="2:13" x14ac:dyDescent="0.3">
      <c r="B526" s="4">
        <v>44613</v>
      </c>
      <c r="C526" s="24">
        <v>7.2328495850143666</v>
      </c>
      <c r="E526" s="4">
        <v>44614</v>
      </c>
      <c r="F526" s="23">
        <v>1725288468627</v>
      </c>
      <c r="G526" s="19">
        <v>2.4372149583707086</v>
      </c>
      <c r="H526" s="31">
        <v>1629678176463</v>
      </c>
      <c r="I526" s="31">
        <v>95610292164</v>
      </c>
      <c r="J526" s="21">
        <v>73985353299</v>
      </c>
      <c r="K526" s="19">
        <v>7.5646791998353358</v>
      </c>
      <c r="L526" s="23">
        <v>69722025017</v>
      </c>
      <c r="M526" s="21">
        <v>4263328282</v>
      </c>
    </row>
    <row r="527" spans="2:13" x14ac:dyDescent="0.3">
      <c r="B527" s="4">
        <v>44614</v>
      </c>
      <c r="C527" s="24">
        <v>7.1287725056200761</v>
      </c>
      <c r="E527" s="4">
        <v>44615</v>
      </c>
      <c r="F527" s="23">
        <v>1733921734099</v>
      </c>
      <c r="G527" s="19">
        <v>2.4194885867476148</v>
      </c>
      <c r="H527" s="31">
        <v>1636222284911</v>
      </c>
      <c r="I527" s="31">
        <v>97699449188</v>
      </c>
      <c r="J527" s="21">
        <v>81655921082</v>
      </c>
      <c r="K527" s="19">
        <v>7.8463068926442405</v>
      </c>
      <c r="L527" s="23">
        <v>77264170810</v>
      </c>
      <c r="M527" s="21">
        <v>4391750272</v>
      </c>
    </row>
    <row r="528" spans="2:13" x14ac:dyDescent="0.3">
      <c r="B528" s="4">
        <v>44615</v>
      </c>
      <c r="C528" s="24">
        <v>7.4243041771845544</v>
      </c>
      <c r="E528" s="4">
        <v>44616</v>
      </c>
      <c r="F528" s="23">
        <v>1727121320487</v>
      </c>
      <c r="G528" s="19">
        <v>2.4578171382839762</v>
      </c>
      <c r="H528" s="31">
        <v>1631483045935</v>
      </c>
      <c r="I528" s="31">
        <v>95638274552</v>
      </c>
      <c r="J528" s="21">
        <v>100913919081</v>
      </c>
      <c r="K528" s="19">
        <v>7.4070454508135253</v>
      </c>
      <c r="L528" s="23">
        <v>95916330536</v>
      </c>
      <c r="M528" s="21">
        <v>4997588545</v>
      </c>
    </row>
    <row r="529" spans="2:13" x14ac:dyDescent="0.3">
      <c r="B529" s="4">
        <v>44616</v>
      </c>
      <c r="C529" s="24">
        <v>7.0402242448353141</v>
      </c>
      <c r="E529" s="4">
        <v>44617</v>
      </c>
      <c r="F529" s="23">
        <v>1725245309618</v>
      </c>
      <c r="G529" s="19">
        <v>2.4346298912757458</v>
      </c>
      <c r="H529" s="31">
        <v>1629540443327</v>
      </c>
      <c r="I529" s="31">
        <v>95704866291</v>
      </c>
      <c r="J529" s="21">
        <v>74452098002</v>
      </c>
      <c r="K529" s="19">
        <v>7.310100991586431</v>
      </c>
      <c r="L529" s="23">
        <v>70484218088</v>
      </c>
      <c r="M529" s="21">
        <v>3967879914</v>
      </c>
    </row>
    <row r="530" spans="2:13" x14ac:dyDescent="0.3">
      <c r="B530" s="4">
        <v>44617</v>
      </c>
      <c r="C530" s="24">
        <v>6.9205135431165692</v>
      </c>
      <c r="E530" s="4">
        <v>44620</v>
      </c>
      <c r="F530" s="23">
        <v>1727160179233</v>
      </c>
      <c r="G530" s="19">
        <v>2.4296358537442488</v>
      </c>
      <c r="H530" s="31">
        <v>1631115584992</v>
      </c>
      <c r="I530" s="31">
        <v>96044594241</v>
      </c>
      <c r="J530" s="21">
        <v>68624057160</v>
      </c>
      <c r="K530" s="19">
        <v>7.2326851298285595</v>
      </c>
      <c r="L530" s="23">
        <v>64725515302</v>
      </c>
      <c r="M530" s="21">
        <v>3898541858</v>
      </c>
    </row>
    <row r="531" spans="2:13" x14ac:dyDescent="0.3">
      <c r="B531" s="4">
        <v>44620</v>
      </c>
      <c r="C531" s="24">
        <v>6.8217953210457818</v>
      </c>
      <c r="E531" s="4">
        <v>44621</v>
      </c>
      <c r="F531" s="23">
        <v>1729768996558</v>
      </c>
      <c r="G531" s="19">
        <v>2.4172442447720641</v>
      </c>
      <c r="H531" s="31">
        <v>1632648729898</v>
      </c>
      <c r="I531" s="31">
        <v>97120266660</v>
      </c>
      <c r="J531" s="21">
        <v>73225828672</v>
      </c>
      <c r="K531" s="19">
        <v>7.5589859124416039</v>
      </c>
      <c r="L531" s="23">
        <v>68509343808</v>
      </c>
      <c r="M531" s="21">
        <v>4716484864</v>
      </c>
    </row>
    <row r="532" spans="2:13" x14ac:dyDescent="0.3">
      <c r="B532" s="4">
        <v>44621</v>
      </c>
      <c r="C532" s="24">
        <v>7.0721106760695429</v>
      </c>
      <c r="E532" s="4">
        <v>44622</v>
      </c>
      <c r="F532" s="23">
        <v>1731695533583</v>
      </c>
      <c r="G532" s="19">
        <v>2.4277589957899757</v>
      </c>
      <c r="H532" s="31">
        <v>1634632732179</v>
      </c>
      <c r="I532" s="31">
        <v>97062801404</v>
      </c>
      <c r="J532" s="21">
        <v>66531348253</v>
      </c>
      <c r="K532" s="19">
        <v>7.4105690293593343</v>
      </c>
      <c r="L532" s="23">
        <v>62309671550</v>
      </c>
      <c r="M532" s="21">
        <v>4221676703</v>
      </c>
    </row>
    <row r="533" spans="2:13" x14ac:dyDescent="0.3">
      <c r="B533" s="4">
        <v>44622</v>
      </c>
      <c r="C533" s="24">
        <v>6.9403391685687268</v>
      </c>
      <c r="E533" s="4">
        <v>44623</v>
      </c>
      <c r="F533" s="23">
        <v>1730264921651</v>
      </c>
      <c r="G533" s="19">
        <v>2.4348481851321289</v>
      </c>
      <c r="H533" s="31">
        <v>1633449371353</v>
      </c>
      <c r="I533" s="31">
        <v>96815550298</v>
      </c>
      <c r="J533" s="21">
        <v>74717670286</v>
      </c>
      <c r="K533" s="19">
        <v>7.3977705949501109</v>
      </c>
      <c r="L533" s="23">
        <v>70308606136</v>
      </c>
      <c r="M533" s="21">
        <v>4409064150</v>
      </c>
    </row>
    <row r="534" spans="2:13" x14ac:dyDescent="0.3">
      <c r="B534" s="4">
        <v>44623</v>
      </c>
      <c r="C534" s="24">
        <v>6.9612306841730716</v>
      </c>
      <c r="E534" s="4">
        <v>44624</v>
      </c>
      <c r="F534" s="23">
        <v>1722952961074</v>
      </c>
      <c r="G534" s="19">
        <v>2.4525165102086115</v>
      </c>
      <c r="H534" s="31">
        <v>1628113579392</v>
      </c>
      <c r="I534" s="31">
        <v>94839381682</v>
      </c>
      <c r="J534" s="21">
        <v>70337181658</v>
      </c>
      <c r="K534" s="19">
        <v>6.991302939612507</v>
      </c>
      <c r="L534" s="23">
        <v>65791422735</v>
      </c>
      <c r="M534" s="21">
        <v>4545758923</v>
      </c>
    </row>
    <row r="535" spans="2:13" x14ac:dyDescent="0.3">
      <c r="B535" s="4">
        <v>44624</v>
      </c>
      <c r="C535" s="24">
        <v>6.5394682631014813</v>
      </c>
      <c r="E535" s="4">
        <v>44627</v>
      </c>
      <c r="F535" s="23">
        <v>1723932505138</v>
      </c>
      <c r="G535" s="19">
        <v>2.5135290783034496</v>
      </c>
      <c r="H535" s="31">
        <v>1631354292087</v>
      </c>
      <c r="I535" s="31">
        <v>92578213051</v>
      </c>
      <c r="J535" s="21">
        <v>74647790059</v>
      </c>
      <c r="K535" s="19">
        <v>7.2873944083550954</v>
      </c>
      <c r="L535" s="23">
        <v>69776572670</v>
      </c>
      <c r="M535" s="21">
        <v>4871217389</v>
      </c>
    </row>
    <row r="536" spans="2:13" x14ac:dyDescent="0.3">
      <c r="B536" s="4">
        <v>44627</v>
      </c>
      <c r="C536" s="24">
        <v>6.8118480816061924</v>
      </c>
      <c r="E536" s="4">
        <v>44628</v>
      </c>
      <c r="F536" s="23">
        <v>1720186603367</v>
      </c>
      <c r="G536" s="19">
        <v>2.5721901062261305</v>
      </c>
      <c r="H536" s="31">
        <v>1629409843842</v>
      </c>
      <c r="I536" s="31">
        <v>90776759525</v>
      </c>
      <c r="J536" s="21">
        <v>81426330615</v>
      </c>
      <c r="K536" s="19">
        <v>7.3377623561897565</v>
      </c>
      <c r="L536" s="23">
        <v>75838462587</v>
      </c>
      <c r="M536" s="21">
        <v>5587868028</v>
      </c>
    </row>
    <row r="537" spans="2:13" x14ac:dyDescent="0.3">
      <c r="B537" s="4">
        <v>44628</v>
      </c>
      <c r="C537" s="24">
        <v>6.8342096680417113</v>
      </c>
      <c r="E537" s="4">
        <v>44629</v>
      </c>
      <c r="F537" s="23">
        <v>1712435270936</v>
      </c>
      <c r="G537" s="19">
        <v>2.5886758418506313</v>
      </c>
      <c r="H537" s="31">
        <v>1621587889053</v>
      </c>
      <c r="I537" s="31">
        <v>90847381883</v>
      </c>
      <c r="J537" s="21">
        <v>81051449379</v>
      </c>
      <c r="K537" s="19">
        <v>6.9784607378667829</v>
      </c>
      <c r="L537" s="23">
        <v>74562794248</v>
      </c>
      <c r="M537" s="21">
        <v>6488655131</v>
      </c>
    </row>
    <row r="538" spans="2:13" x14ac:dyDescent="0.3">
      <c r="B538" s="4">
        <v>44629</v>
      </c>
      <c r="C538" s="24">
        <v>6.4197930592481525</v>
      </c>
      <c r="E538" s="4">
        <v>44630</v>
      </c>
      <c r="F538" s="23">
        <v>1712313510026</v>
      </c>
      <c r="G538" s="19">
        <v>2.5467060711059775</v>
      </c>
      <c r="H538" s="31">
        <v>1619487036942</v>
      </c>
      <c r="I538" s="31">
        <v>92826473084</v>
      </c>
      <c r="J538" s="21">
        <v>75367516692</v>
      </c>
      <c r="K538" s="19">
        <v>6.9880741247359177</v>
      </c>
      <c r="L538" s="23">
        <v>69565625518</v>
      </c>
      <c r="M538" s="21">
        <v>5801891174</v>
      </c>
    </row>
    <row r="539" spans="2:13" x14ac:dyDescent="0.3">
      <c r="B539" s="4">
        <v>44630</v>
      </c>
      <c r="C539" s="24">
        <v>6.4501229308117232</v>
      </c>
      <c r="E539" s="4">
        <v>44631</v>
      </c>
      <c r="F539" s="23">
        <v>1707359871128</v>
      </c>
      <c r="G539" s="19">
        <v>2.5265281457860747</v>
      </c>
      <c r="H539" s="31">
        <v>1613372437341</v>
      </c>
      <c r="I539" s="31">
        <v>93987433787</v>
      </c>
      <c r="J539" s="21">
        <v>74597044486</v>
      </c>
      <c r="K539" s="19">
        <v>7.1046296950749444</v>
      </c>
      <c r="L539" s="23">
        <v>69008158165</v>
      </c>
      <c r="M539" s="21">
        <v>5588886321</v>
      </c>
    </row>
    <row r="540" spans="2:13" x14ac:dyDescent="0.3">
      <c r="B540" s="4">
        <v>44631</v>
      </c>
      <c r="C540" s="24">
        <v>6.5723436240627509</v>
      </c>
      <c r="E540" s="4">
        <v>44634</v>
      </c>
      <c r="F540" s="23">
        <v>1706107094337</v>
      </c>
      <c r="G540" s="19">
        <v>2.5952220031894977</v>
      </c>
      <c r="H540" s="31">
        <v>1614770054078</v>
      </c>
      <c r="I540" s="31">
        <v>91337040259</v>
      </c>
      <c r="J540" s="21">
        <v>68797457402</v>
      </c>
      <c r="K540" s="19">
        <v>7.0952078118463406</v>
      </c>
      <c r="L540" s="23">
        <v>63926230943</v>
      </c>
      <c r="M540" s="21">
        <v>4871226459</v>
      </c>
    </row>
    <row r="541" spans="2:13" x14ac:dyDescent="0.3">
      <c r="B541" s="4">
        <v>44634</v>
      </c>
      <c r="C541" s="24">
        <v>6.5928293035358774</v>
      </c>
      <c r="E541" s="4">
        <v>44635</v>
      </c>
      <c r="F541" s="23">
        <v>1690501519280</v>
      </c>
      <c r="G541" s="19">
        <v>2.7014400288624003</v>
      </c>
      <c r="H541" s="31">
        <v>1602365610313</v>
      </c>
      <c r="I541" s="31">
        <v>88135908967</v>
      </c>
      <c r="J541" s="21">
        <v>77360113251</v>
      </c>
      <c r="K541" s="19">
        <v>6.8838442605320518</v>
      </c>
      <c r="L541" s="23">
        <v>71038098049</v>
      </c>
      <c r="M541" s="21">
        <v>6322015202</v>
      </c>
    </row>
    <row r="542" spans="2:13" x14ac:dyDescent="0.3">
      <c r="B542" s="4">
        <v>44635</v>
      </c>
      <c r="C542" s="24">
        <v>6.3212834493543157</v>
      </c>
      <c r="E542" s="4">
        <v>44636</v>
      </c>
      <c r="F542" s="23">
        <v>1688435381385</v>
      </c>
      <c r="G542" s="19">
        <v>2.6047964064924733</v>
      </c>
      <c r="H542" s="31">
        <v>1598027475544</v>
      </c>
      <c r="I542" s="31">
        <v>90407905841</v>
      </c>
      <c r="J542" s="21">
        <v>86475672973</v>
      </c>
      <c r="K542" s="19">
        <v>7.2565402983670753</v>
      </c>
      <c r="L542" s="23">
        <v>79714260277</v>
      </c>
      <c r="M542" s="21">
        <v>6761412696</v>
      </c>
    </row>
    <row r="543" spans="2:13" x14ac:dyDescent="0.3">
      <c r="B543" s="4">
        <v>44636</v>
      </c>
      <c r="C543" s="24">
        <v>6.6891614967272899</v>
      </c>
      <c r="E543" s="4">
        <v>44637</v>
      </c>
      <c r="F543" s="23">
        <v>1686235489866</v>
      </c>
      <c r="G543" s="19">
        <v>2.5566263791713895</v>
      </c>
      <c r="H543" s="31">
        <v>1593823899439</v>
      </c>
      <c r="I543" s="31">
        <v>92411590427</v>
      </c>
      <c r="J543" s="21">
        <v>92564656677</v>
      </c>
      <c r="K543" s="19">
        <v>7.2589662970137141</v>
      </c>
      <c r="L543" s="23">
        <v>86039518167</v>
      </c>
      <c r="M543" s="21">
        <v>6525138510</v>
      </c>
    </row>
    <row r="544" spans="2:13" x14ac:dyDescent="0.3">
      <c r="B544" s="4">
        <v>44637</v>
      </c>
      <c r="C544" s="24">
        <v>6.7472616980033502</v>
      </c>
      <c r="E544" s="4">
        <v>44638</v>
      </c>
      <c r="F544" s="23">
        <v>1679333499071</v>
      </c>
      <c r="G544" s="19">
        <v>2.5229625861892249</v>
      </c>
      <c r="H544" s="31">
        <v>1586739100444</v>
      </c>
      <c r="I544" s="31">
        <v>92594398627</v>
      </c>
      <c r="J544" s="21">
        <v>70129487006</v>
      </c>
      <c r="K544" s="19">
        <v>7.0822530607656491</v>
      </c>
      <c r="L544" s="23">
        <v>64869141393</v>
      </c>
      <c r="M544" s="21">
        <v>5260345613</v>
      </c>
    </row>
    <row r="545" spans="2:13" x14ac:dyDescent="0.3">
      <c r="B545" s="4">
        <v>44638</v>
      </c>
      <c r="C545" s="24">
        <v>6.5510200458261991</v>
      </c>
      <c r="E545" s="4">
        <v>44641</v>
      </c>
      <c r="F545" s="23">
        <v>1685083333718</v>
      </c>
      <c r="G545" s="19">
        <v>2.5226810020636412</v>
      </c>
      <c r="H545" s="31">
        <v>1591468115379</v>
      </c>
      <c r="I545" s="31">
        <v>93615218339</v>
      </c>
      <c r="J545" s="21">
        <v>76640161405</v>
      </c>
      <c r="K545" s="19">
        <v>7.5510031329646283</v>
      </c>
      <c r="L545" s="23">
        <v>70568560485</v>
      </c>
      <c r="M545" s="21">
        <v>6071600920</v>
      </c>
    </row>
    <row r="546" spans="2:13" x14ac:dyDescent="0.3">
      <c r="B546" s="4">
        <v>44641</v>
      </c>
      <c r="C546" s="24">
        <v>6.9527961781702992</v>
      </c>
      <c r="E546" s="4">
        <v>44642</v>
      </c>
      <c r="F546" s="23">
        <v>1684895215549</v>
      </c>
      <c r="G546" s="19">
        <v>2.5214065717091816</v>
      </c>
      <c r="H546" s="31">
        <v>1591700179880</v>
      </c>
      <c r="I546" s="31">
        <v>93195035669</v>
      </c>
      <c r="J546" s="21">
        <v>67975891441</v>
      </c>
      <c r="K546" s="19">
        <v>7.0613456282616998</v>
      </c>
      <c r="L546" s="23">
        <v>62549698424</v>
      </c>
      <c r="M546" s="21">
        <v>5426193017</v>
      </c>
    </row>
    <row r="547" spans="2:13" x14ac:dyDescent="0.3">
      <c r="B547" s="4">
        <v>44642</v>
      </c>
      <c r="C547" s="24">
        <v>6.497671897377951</v>
      </c>
      <c r="E547" s="4">
        <v>44643</v>
      </c>
      <c r="F547" s="23">
        <v>1685484187238</v>
      </c>
      <c r="G547" s="19">
        <v>2.5062771303079092</v>
      </c>
      <c r="H547" s="31">
        <v>1591740182070</v>
      </c>
      <c r="I547" s="31">
        <v>93744005168</v>
      </c>
      <c r="J547" s="21">
        <v>68731436699</v>
      </c>
      <c r="K547" s="19">
        <v>7.291068819230393</v>
      </c>
      <c r="L547" s="23">
        <v>63764800927</v>
      </c>
      <c r="M547" s="21">
        <v>4966635772</v>
      </c>
    </row>
    <row r="548" spans="2:13" x14ac:dyDescent="0.3">
      <c r="B548" s="4">
        <v>44643</v>
      </c>
      <c r="C548" s="24">
        <v>6.7642053495740058</v>
      </c>
      <c r="E548" s="4">
        <v>44644</v>
      </c>
      <c r="F548" s="23">
        <v>1684925214003</v>
      </c>
      <c r="G548" s="19">
        <v>2.5232589919977171</v>
      </c>
      <c r="H548" s="31">
        <v>1591278046597</v>
      </c>
      <c r="I548" s="31">
        <v>93647167406</v>
      </c>
      <c r="J548" s="21">
        <v>67032531296</v>
      </c>
      <c r="K548" s="19">
        <v>7.2865038350589817</v>
      </c>
      <c r="L548" s="23">
        <v>61499455506</v>
      </c>
      <c r="M548" s="21">
        <v>5533075790</v>
      </c>
    </row>
    <row r="549" spans="2:13" x14ac:dyDescent="0.3">
      <c r="B549" s="4">
        <v>44644</v>
      </c>
      <c r="C549" s="24">
        <v>6.6850529099032912</v>
      </c>
      <c r="E549" s="4">
        <v>44645</v>
      </c>
      <c r="F549" s="23">
        <v>1679275786513</v>
      </c>
      <c r="G549" s="19">
        <v>2.5454189473090771</v>
      </c>
      <c r="H549" s="31">
        <v>1587204158673</v>
      </c>
      <c r="I549" s="31">
        <v>92071627840</v>
      </c>
      <c r="J549" s="21">
        <v>64833639706</v>
      </c>
      <c r="K549" s="19">
        <v>7.0616357670137937</v>
      </c>
      <c r="L549" s="23">
        <v>59990114887</v>
      </c>
      <c r="M549" s="21">
        <v>4843524819</v>
      </c>
    </row>
    <row r="550" spans="2:13" x14ac:dyDescent="0.3">
      <c r="B550" s="4">
        <v>44645</v>
      </c>
      <c r="C550" s="24">
        <v>6.5340823509882533</v>
      </c>
      <c r="E550" s="4">
        <v>44648</v>
      </c>
      <c r="F550" s="23">
        <v>1677821956532</v>
      </c>
      <c r="G550" s="19">
        <v>2.5500029356461389</v>
      </c>
      <c r="H550" s="31">
        <v>1585948924735</v>
      </c>
      <c r="I550" s="31">
        <v>91873031797</v>
      </c>
      <c r="J550" s="21">
        <v>59344533295</v>
      </c>
      <c r="K550" s="19">
        <v>6.8197699262760718</v>
      </c>
      <c r="L550" s="23">
        <v>54192988634</v>
      </c>
      <c r="M550" s="21">
        <v>5151544661</v>
      </c>
    </row>
    <row r="551" spans="2:13" x14ac:dyDescent="0.3">
      <c r="B551" s="4">
        <v>44648</v>
      </c>
      <c r="C551" s="24">
        <v>6.227763427913132</v>
      </c>
      <c r="E551" s="4">
        <v>44649</v>
      </c>
      <c r="F551" s="23">
        <v>1675347228947</v>
      </c>
      <c r="G551" s="19">
        <v>2.5556792510184638</v>
      </c>
      <c r="H551" s="31">
        <v>1583834092285</v>
      </c>
      <c r="I551" s="31">
        <v>91513136662</v>
      </c>
      <c r="J551" s="21">
        <v>59450204658</v>
      </c>
      <c r="K551" s="19">
        <v>6.8827835940272015</v>
      </c>
      <c r="L551" s="23">
        <v>54437701375</v>
      </c>
      <c r="M551" s="21">
        <v>5012503283</v>
      </c>
    </row>
    <row r="552" spans="2:13" x14ac:dyDescent="0.3">
      <c r="B552" s="4">
        <v>44649</v>
      </c>
      <c r="C552" s="24">
        <v>6.3024664099282006</v>
      </c>
      <c r="E552" s="4">
        <v>44650</v>
      </c>
      <c r="F552" s="23">
        <v>1679652065216</v>
      </c>
      <c r="G552" s="19">
        <v>2.5068201090656794</v>
      </c>
      <c r="H552" s="31">
        <v>1586427863516</v>
      </c>
      <c r="I552" s="31">
        <v>93224201700</v>
      </c>
      <c r="J552" s="21">
        <v>72810105441</v>
      </c>
      <c r="K552" s="19">
        <v>7.5996598963302668</v>
      </c>
      <c r="L552" s="23">
        <v>67908203801</v>
      </c>
      <c r="M552" s="21">
        <v>4901901640</v>
      </c>
    </row>
    <row r="553" spans="2:13" x14ac:dyDescent="0.3">
      <c r="B553" s="4">
        <v>44650</v>
      </c>
      <c r="C553" s="24">
        <v>7.0880168340983287</v>
      </c>
      <c r="E553" s="4">
        <v>44651</v>
      </c>
      <c r="F553" s="23">
        <v>1672839140304</v>
      </c>
      <c r="G553" s="19">
        <v>2.5117989202261071</v>
      </c>
      <c r="H553" s="31">
        <v>1580691357675</v>
      </c>
      <c r="I553" s="31">
        <v>92147782629</v>
      </c>
      <c r="J553" s="21">
        <v>70295422543</v>
      </c>
      <c r="K553" s="19">
        <v>6.9684118090794049</v>
      </c>
      <c r="L553" s="23">
        <v>65933122833</v>
      </c>
      <c r="M553" s="21">
        <v>4362299710</v>
      </c>
    </row>
    <row r="554" spans="2:13" x14ac:dyDescent="0.3">
      <c r="B554" s="4">
        <v>44651</v>
      </c>
      <c r="C554" s="24">
        <v>6.5359753898330037</v>
      </c>
      <c r="E554" s="4">
        <v>44652</v>
      </c>
      <c r="F554" s="23">
        <v>1660552397029</v>
      </c>
      <c r="G554" s="19">
        <v>2.4731881101644486</v>
      </c>
      <c r="H554" s="31">
        <v>1570014352568</v>
      </c>
      <c r="I554" s="31">
        <v>90538044461</v>
      </c>
      <c r="J554" s="21">
        <v>63664225214</v>
      </c>
      <c r="K554" s="19">
        <v>6.8071164882449766</v>
      </c>
      <c r="L554" s="23">
        <v>59318098912</v>
      </c>
      <c r="M554" s="21">
        <v>4346126302</v>
      </c>
    </row>
    <row r="555" spans="2:13" x14ac:dyDescent="0.3">
      <c r="B555" s="4">
        <v>44652</v>
      </c>
      <c r="C555" s="24">
        <v>6.3424192754713324</v>
      </c>
      <c r="E555" s="4">
        <v>44657</v>
      </c>
      <c r="F555" s="23">
        <v>1666959635685</v>
      </c>
      <c r="G555" s="19">
        <v>2.4810641925321479</v>
      </c>
      <c r="H555" s="31">
        <v>1576305837056</v>
      </c>
      <c r="I555" s="31">
        <v>90653798629</v>
      </c>
      <c r="J555" s="21">
        <v>72512710688</v>
      </c>
      <c r="K555" s="19">
        <v>7.5087610483602925</v>
      </c>
      <c r="L555" s="23">
        <v>67694386426</v>
      </c>
      <c r="M555" s="21">
        <v>4818324262</v>
      </c>
    </row>
    <row r="556" spans="2:13" x14ac:dyDescent="0.3">
      <c r="B556" s="4">
        <v>44657</v>
      </c>
      <c r="C556" s="24">
        <v>7.009818929197972</v>
      </c>
      <c r="E556" s="4">
        <v>44658</v>
      </c>
      <c r="F556" s="23">
        <v>1662036226030</v>
      </c>
      <c r="G556" s="19">
        <v>2.5120525110812384</v>
      </c>
      <c r="H556" s="31">
        <v>1572401567928</v>
      </c>
      <c r="I556" s="31">
        <v>89634658102</v>
      </c>
      <c r="J556" s="21">
        <v>63831804517</v>
      </c>
      <c r="K556" s="19">
        <v>6.9180030518978999</v>
      </c>
      <c r="L556" s="23">
        <v>58920202584</v>
      </c>
      <c r="M556" s="21">
        <v>4911601933</v>
      </c>
    </row>
    <row r="557" spans="2:13" x14ac:dyDescent="0.3">
      <c r="B557" s="4">
        <v>44658</v>
      </c>
      <c r="C557" s="24">
        <v>6.3856903996188583</v>
      </c>
      <c r="E557" s="4">
        <v>44659</v>
      </c>
      <c r="F557" s="23">
        <v>1656503071399</v>
      </c>
      <c r="G557" s="19">
        <v>2.4987991319501455</v>
      </c>
      <c r="H557" s="31">
        <v>1566538991960</v>
      </c>
      <c r="I557" s="31">
        <v>89964079439</v>
      </c>
      <c r="J557" s="21">
        <v>64815229821</v>
      </c>
      <c r="K557" s="19">
        <v>6.9983991838437545</v>
      </c>
      <c r="L557" s="23">
        <v>59640819790</v>
      </c>
      <c r="M557" s="21">
        <v>5174410031</v>
      </c>
    </row>
    <row r="558" spans="2:13" x14ac:dyDescent="0.3">
      <c r="B558" s="4">
        <v>44659</v>
      </c>
      <c r="C558" s="24">
        <v>6.4396942770212142</v>
      </c>
      <c r="E558" s="4">
        <v>44662</v>
      </c>
      <c r="F558" s="23">
        <v>1645946597760</v>
      </c>
      <c r="G558" s="19">
        <v>2.5566271840654773</v>
      </c>
      <c r="H558" s="31">
        <v>1558877749082</v>
      </c>
      <c r="I558" s="31">
        <v>87068848678</v>
      </c>
      <c r="J558" s="21">
        <v>65204406446</v>
      </c>
      <c r="K558" s="19">
        <v>6.768043458925904</v>
      </c>
      <c r="L558" s="23">
        <v>60268197030</v>
      </c>
      <c r="M558" s="21">
        <v>4936209416</v>
      </c>
    </row>
    <row r="559" spans="2:13" x14ac:dyDescent="0.3">
      <c r="B559" s="4">
        <v>44662</v>
      </c>
      <c r="C559" s="24">
        <v>6.255678088688005</v>
      </c>
      <c r="E559" s="4">
        <v>44663</v>
      </c>
      <c r="F559" s="23">
        <v>1644913293067</v>
      </c>
      <c r="G559" s="19">
        <v>2.5134556741676892</v>
      </c>
      <c r="H559" s="31">
        <v>1556566367080</v>
      </c>
      <c r="I559" s="31">
        <v>88346925987</v>
      </c>
      <c r="J559" s="21">
        <v>63380454562</v>
      </c>
      <c r="K559" s="19">
        <v>6.9186640502255692</v>
      </c>
      <c r="L559" s="23">
        <v>58201428003</v>
      </c>
      <c r="M559" s="21">
        <v>5179026559</v>
      </c>
    </row>
    <row r="560" spans="2:13" x14ac:dyDescent="0.3">
      <c r="B560" s="4">
        <v>44663</v>
      </c>
      <c r="C560" s="24">
        <v>6.3533171287410406</v>
      </c>
      <c r="E560" s="4">
        <v>44664</v>
      </c>
      <c r="F560" s="23">
        <v>1639011251123</v>
      </c>
      <c r="G560" s="19">
        <v>2.5330443974302566</v>
      </c>
      <c r="H560" s="31">
        <v>1551444896861</v>
      </c>
      <c r="I560" s="31">
        <v>87566354262</v>
      </c>
      <c r="J560" s="21">
        <v>58864164357</v>
      </c>
      <c r="K560" s="19">
        <v>6.7419234348254831</v>
      </c>
      <c r="L560" s="23">
        <v>53792680652</v>
      </c>
      <c r="M560" s="21">
        <v>5071483705</v>
      </c>
    </row>
    <row r="561" spans="2:13" x14ac:dyDescent="0.3">
      <c r="B561" s="4">
        <v>44664</v>
      </c>
      <c r="C561" s="24">
        <v>6.1610682538581676</v>
      </c>
      <c r="E561" s="4">
        <v>44665</v>
      </c>
      <c r="F561" s="23">
        <v>1639181260370</v>
      </c>
      <c r="G561" s="19">
        <v>2.5019364397848722</v>
      </c>
      <c r="H561" s="31">
        <v>1550214694307</v>
      </c>
      <c r="I561" s="31">
        <v>88966566063</v>
      </c>
      <c r="J561" s="21">
        <v>65886556669</v>
      </c>
      <c r="K561" s="19">
        <v>7.5753651470951633</v>
      </c>
      <c r="L561" s="23">
        <v>60896952562</v>
      </c>
      <c r="M561" s="21">
        <v>4989604107</v>
      </c>
    </row>
    <row r="562" spans="2:13" x14ac:dyDescent="0.3">
      <c r="B562" s="4">
        <v>44665</v>
      </c>
      <c r="C562" s="24">
        <v>7.0016810002689738</v>
      </c>
      <c r="E562" s="4">
        <v>44666</v>
      </c>
      <c r="F562" s="23">
        <v>1630358050967</v>
      </c>
      <c r="G562" s="19">
        <v>2.5044297284478843</v>
      </c>
      <c r="H562" s="31">
        <v>1541406889199</v>
      </c>
      <c r="I562" s="31">
        <v>88951161768</v>
      </c>
      <c r="J562" s="21">
        <v>65128199803</v>
      </c>
      <c r="K562" s="19">
        <v>7.1505927426365332</v>
      </c>
      <c r="L562" s="23">
        <v>59807734918</v>
      </c>
      <c r="M562" s="21">
        <v>5320464885</v>
      </c>
    </row>
    <row r="563" spans="2:13" x14ac:dyDescent="0.3">
      <c r="B563" s="4">
        <v>44666</v>
      </c>
      <c r="C563" s="24">
        <v>6.5664452042551469</v>
      </c>
      <c r="E563" s="4">
        <v>44669</v>
      </c>
      <c r="F563" s="23">
        <v>1629582385151</v>
      </c>
      <c r="G563" s="19">
        <v>2.5081165784424346</v>
      </c>
      <c r="H563" s="31">
        <v>1541020086668</v>
      </c>
      <c r="I563" s="31">
        <v>88562298483</v>
      </c>
      <c r="J563" s="21">
        <v>57024917194</v>
      </c>
      <c r="K563" s="19">
        <v>7.3291016089581094</v>
      </c>
      <c r="L563" s="23">
        <v>52278628486</v>
      </c>
      <c r="M563" s="21">
        <v>4746288708</v>
      </c>
    </row>
    <row r="564" spans="2:13" x14ac:dyDescent="0.3">
      <c r="B564" s="4">
        <v>44669</v>
      </c>
      <c r="C564" s="24">
        <v>6.7190870062531252</v>
      </c>
      <c r="E564" s="4">
        <v>44670</v>
      </c>
      <c r="F564" s="23">
        <v>1627930640980</v>
      </c>
      <c r="G564" s="19">
        <v>2.506181623237921</v>
      </c>
      <c r="H564" s="31">
        <v>1540073032685</v>
      </c>
      <c r="I564" s="31">
        <v>87857608295</v>
      </c>
      <c r="J564" s="21">
        <v>53578178237</v>
      </c>
      <c r="K564" s="19">
        <v>6.8765749002745924</v>
      </c>
      <c r="L564" s="23">
        <v>48823352796</v>
      </c>
      <c r="M564" s="21">
        <v>4754825441</v>
      </c>
    </row>
    <row r="565" spans="2:13" x14ac:dyDescent="0.3">
      <c r="B565" s="4">
        <v>44670</v>
      </c>
      <c r="C565" s="24">
        <v>6.2663094086385245</v>
      </c>
      <c r="E565" s="4">
        <v>44671</v>
      </c>
      <c r="F565" s="23">
        <v>1625741616228</v>
      </c>
      <c r="G565" s="19">
        <v>2.5406708322996807</v>
      </c>
      <c r="H565" s="31">
        <v>1539704085716</v>
      </c>
      <c r="I565" s="31">
        <v>86037530512</v>
      </c>
      <c r="J565" s="21">
        <v>56427857316</v>
      </c>
      <c r="K565" s="19">
        <v>6.8783497088523919</v>
      </c>
      <c r="L565" s="23">
        <v>51677674964</v>
      </c>
      <c r="M565" s="21">
        <v>4750182352</v>
      </c>
    </row>
    <row r="566" spans="2:13" x14ac:dyDescent="0.3">
      <c r="B566" s="4">
        <v>44671</v>
      </c>
      <c r="C566" s="24">
        <v>6.2993198297821742</v>
      </c>
      <c r="E566" s="4">
        <v>44672</v>
      </c>
      <c r="F566" s="23">
        <v>1613943240673</v>
      </c>
      <c r="G566" s="19">
        <v>2.5883439003749777</v>
      </c>
      <c r="H566" s="31">
        <v>1529628570279</v>
      </c>
      <c r="I566" s="31">
        <v>84314670394</v>
      </c>
      <c r="J566" s="21">
        <v>53903886597</v>
      </c>
      <c r="K566" s="19">
        <v>6.2965384818425401</v>
      </c>
      <c r="L566" s="23">
        <v>48764042527</v>
      </c>
      <c r="M566" s="21">
        <v>5139844070</v>
      </c>
    </row>
    <row r="567" spans="2:13" x14ac:dyDescent="0.3">
      <c r="B567" s="4">
        <v>44672</v>
      </c>
      <c r="C567" s="24">
        <v>5.6961508656511253</v>
      </c>
      <c r="E567" s="4">
        <v>44673</v>
      </c>
      <c r="F567" s="23">
        <v>1600772393400</v>
      </c>
      <c r="G567" s="19">
        <v>2.5662486738459176</v>
      </c>
      <c r="H567" s="31">
        <v>1516997139383</v>
      </c>
      <c r="I567" s="31">
        <v>83775254017</v>
      </c>
      <c r="J567" s="21">
        <v>44122876214</v>
      </c>
      <c r="K567" s="19">
        <v>5.8591413040351235</v>
      </c>
      <c r="L567" s="23">
        <v>39022001116</v>
      </c>
      <c r="M567" s="21">
        <v>5100875098</v>
      </c>
    </row>
    <row r="568" spans="2:13" x14ac:dyDescent="0.3">
      <c r="B568" s="4">
        <v>44673</v>
      </c>
      <c r="C568" s="24">
        <v>5.1817886349012587</v>
      </c>
      <c r="E568" s="4">
        <v>44676</v>
      </c>
      <c r="F568" s="23">
        <v>1571122503703</v>
      </c>
      <c r="G568" s="19">
        <v>2.6680863960664438</v>
      </c>
      <c r="H568" s="31">
        <v>1493445392328</v>
      </c>
      <c r="I568" s="31">
        <v>77677111375</v>
      </c>
      <c r="J568" s="21">
        <v>56972047416</v>
      </c>
      <c r="K568" s="19">
        <v>6.3550520373525128</v>
      </c>
      <c r="L568" s="23">
        <v>51609191774</v>
      </c>
      <c r="M568" s="21">
        <v>5362855642</v>
      </c>
    </row>
    <row r="569" spans="2:13" x14ac:dyDescent="0.3">
      <c r="B569" s="4">
        <v>44676</v>
      </c>
      <c r="C569" s="24">
        <v>5.7568424201894794</v>
      </c>
      <c r="E569" s="4">
        <v>44677</v>
      </c>
      <c r="F569" s="23">
        <v>1541425698829</v>
      </c>
      <c r="G569" s="19">
        <v>2.6608933648254283</v>
      </c>
      <c r="H569" s="31">
        <v>1465449981821</v>
      </c>
      <c r="I569" s="31">
        <v>75975717008</v>
      </c>
      <c r="J569" s="21">
        <v>50367883279</v>
      </c>
      <c r="K569" s="19">
        <v>6.0067883463001852</v>
      </c>
      <c r="L569" s="23">
        <v>44766103410</v>
      </c>
      <c r="M569" s="21">
        <v>5601779869</v>
      </c>
    </row>
    <row r="570" spans="2:13" x14ac:dyDescent="0.3">
      <c r="B570" s="4">
        <v>44677</v>
      </c>
      <c r="C570" s="24">
        <v>5.3387295785878361</v>
      </c>
      <c r="E570" s="4">
        <v>44678</v>
      </c>
      <c r="F570" s="23">
        <v>1532627266816</v>
      </c>
      <c r="G570" s="19">
        <v>2.5680397563208874</v>
      </c>
      <c r="H570" s="31">
        <v>1454001431477</v>
      </c>
      <c r="I570" s="31">
        <v>78625835339</v>
      </c>
      <c r="J570" s="21">
        <v>58635476618</v>
      </c>
      <c r="K570" s="19">
        <v>6.391559081721276</v>
      </c>
      <c r="L570" s="23">
        <v>53247744992</v>
      </c>
      <c r="M570" s="21">
        <v>5387731626</v>
      </c>
    </row>
    <row r="571" spans="2:13" x14ac:dyDescent="0.3">
      <c r="B571" s="4">
        <v>44678</v>
      </c>
      <c r="C571" s="24">
        <v>5.8042694920351225</v>
      </c>
      <c r="E571" s="4">
        <v>44679</v>
      </c>
      <c r="F571" s="23">
        <v>1522348484831</v>
      </c>
      <c r="G571" s="19">
        <v>2.5444360029212807</v>
      </c>
      <c r="H571" s="31">
        <v>1444456820773</v>
      </c>
      <c r="I571" s="31">
        <v>77891664058</v>
      </c>
      <c r="J571" s="21">
        <v>53159839212</v>
      </c>
      <c r="K571" s="19">
        <v>6.3264459673020976</v>
      </c>
      <c r="L571" s="23">
        <v>48459293634</v>
      </c>
      <c r="M571" s="21">
        <v>4700545578</v>
      </c>
    </row>
    <row r="572" spans="2:13" x14ac:dyDescent="0.3">
      <c r="B572" s="4">
        <v>44679</v>
      </c>
      <c r="C572" s="24">
        <v>5.7670434548628773</v>
      </c>
      <c r="E572" s="4">
        <v>44680</v>
      </c>
      <c r="F572" s="23">
        <v>1512042148057</v>
      </c>
      <c r="G572" s="19">
        <v>2.4576009926496729</v>
      </c>
      <c r="H572" s="31">
        <v>1433766873956</v>
      </c>
      <c r="I572" s="31">
        <v>78275274101</v>
      </c>
      <c r="J572" s="21">
        <v>64718985862</v>
      </c>
      <c r="K572" s="19">
        <v>6.7086578602337674</v>
      </c>
      <c r="L572" s="23">
        <v>60352761045</v>
      </c>
      <c r="M572" s="21">
        <v>4366224817</v>
      </c>
    </row>
    <row r="573" spans="2:13" x14ac:dyDescent="0.3">
      <c r="B573" s="4">
        <v>44680</v>
      </c>
      <c r="C573" s="24">
        <v>6.2560625661639104</v>
      </c>
      <c r="E573" s="4">
        <v>44686</v>
      </c>
      <c r="F573" s="23">
        <v>1518395605688</v>
      </c>
      <c r="G573" s="19">
        <v>2.4502426512961191</v>
      </c>
      <c r="H573" s="31">
        <v>1439755326348</v>
      </c>
      <c r="I573" s="31">
        <v>78640279340</v>
      </c>
      <c r="J573" s="21">
        <v>66693454178</v>
      </c>
      <c r="K573" s="19">
        <v>7.4065778470029127</v>
      </c>
      <c r="L573" s="23">
        <v>61826488751</v>
      </c>
      <c r="M573" s="21">
        <v>4866965427</v>
      </c>
    </row>
    <row r="574" spans="2:13" x14ac:dyDescent="0.3">
      <c r="B574" s="4">
        <v>44686</v>
      </c>
      <c r="C574" s="24">
        <v>6.8660816505165387</v>
      </c>
      <c r="E574" s="4">
        <v>44687</v>
      </c>
      <c r="F574" s="23">
        <v>1516937370537</v>
      </c>
      <c r="G574" s="19">
        <v>2.4988200749245428</v>
      </c>
      <c r="H574" s="31">
        <v>1438779380341</v>
      </c>
      <c r="I574" s="31">
        <v>78157990196</v>
      </c>
      <c r="J574" s="21">
        <v>56584421994</v>
      </c>
      <c r="K574" s="19">
        <v>7.4504571387184049</v>
      </c>
      <c r="L574" s="23">
        <v>51287361480</v>
      </c>
      <c r="M574" s="21">
        <v>5297060514</v>
      </c>
    </row>
    <row r="575" spans="2:13" x14ac:dyDescent="0.3">
      <c r="B575" s="4">
        <v>44687</v>
      </c>
      <c r="C575" s="24">
        <v>6.7529944638334438</v>
      </c>
      <c r="E575" s="4">
        <v>44690</v>
      </c>
      <c r="F575" s="23">
        <v>1519322646222</v>
      </c>
      <c r="G575" s="19">
        <v>2.4979270547789603</v>
      </c>
      <c r="H575" s="31">
        <v>1440870101378</v>
      </c>
      <c r="I575" s="31">
        <v>78452544844</v>
      </c>
      <c r="J575" s="21">
        <v>47650909214</v>
      </c>
      <c r="K575" s="19">
        <v>7.0993144551396323</v>
      </c>
      <c r="L575" s="23">
        <v>42988909689</v>
      </c>
      <c r="M575" s="21">
        <v>4661999525</v>
      </c>
    </row>
    <row r="576" spans="2:13" x14ac:dyDescent="0.3">
      <c r="B576" s="4">
        <v>44690</v>
      </c>
      <c r="C576" s="24">
        <v>6.4047421759613243</v>
      </c>
      <c r="E576" s="4">
        <v>44691</v>
      </c>
      <c r="F576" s="23">
        <v>1522120647743</v>
      </c>
      <c r="G576" s="19">
        <v>2.4738062435573922</v>
      </c>
      <c r="H576" s="31">
        <v>1442343682120</v>
      </c>
      <c r="I576" s="31">
        <v>79776965623</v>
      </c>
      <c r="J576" s="21">
        <v>58008571040</v>
      </c>
      <c r="K576" s="19">
        <v>6.8521859819228732</v>
      </c>
      <c r="L576" s="23">
        <v>52402747096</v>
      </c>
      <c r="M576" s="21">
        <v>5605823944</v>
      </c>
    </row>
    <row r="577" spans="2:13" x14ac:dyDescent="0.3">
      <c r="B577" s="4">
        <v>44691</v>
      </c>
      <c r="C577" s="24">
        <v>6.1900054186451268</v>
      </c>
      <c r="E577" s="4">
        <v>44692</v>
      </c>
      <c r="F577" s="23">
        <v>1527776885489</v>
      </c>
      <c r="G577" s="19">
        <v>2.4602965319386616</v>
      </c>
      <c r="H577" s="31">
        <v>1446591092850</v>
      </c>
      <c r="I577" s="31">
        <v>81185792639</v>
      </c>
      <c r="J577" s="21">
        <v>82280773418</v>
      </c>
      <c r="K577" s="19">
        <v>7.6344721234497088</v>
      </c>
      <c r="L577" s="23">
        <v>76131303943</v>
      </c>
      <c r="M577" s="21">
        <v>6149469475</v>
      </c>
    </row>
    <row r="578" spans="2:13" x14ac:dyDescent="0.3">
      <c r="B578" s="4">
        <v>44692</v>
      </c>
      <c r="C578" s="24">
        <v>7.0638898193385282</v>
      </c>
      <c r="E578" s="4">
        <v>44693</v>
      </c>
      <c r="F578" s="23">
        <v>1527031768039</v>
      </c>
      <c r="G578" s="19">
        <v>2.4598983912089389</v>
      </c>
      <c r="H578" s="31">
        <v>1445893452233</v>
      </c>
      <c r="I578" s="31">
        <v>81138315806</v>
      </c>
      <c r="J578" s="21">
        <v>55328704764</v>
      </c>
      <c r="K578" s="19">
        <v>6.7387669093338705</v>
      </c>
      <c r="L578" s="23">
        <v>50547116652</v>
      </c>
      <c r="M578" s="21">
        <v>4781588112</v>
      </c>
    </row>
    <row r="579" spans="2:13" x14ac:dyDescent="0.3">
      <c r="B579" s="4">
        <v>44693</v>
      </c>
      <c r="C579" s="24">
        <v>6.1563927532669585</v>
      </c>
      <c r="E579" s="4">
        <v>44694</v>
      </c>
      <c r="F579" s="23">
        <v>1525917654667</v>
      </c>
      <c r="G579" s="19">
        <v>2.4369791754410288</v>
      </c>
      <c r="H579" s="31">
        <v>1443722129615</v>
      </c>
      <c r="I579" s="31">
        <v>82195525052</v>
      </c>
      <c r="J579" s="21">
        <v>54345130446</v>
      </c>
      <c r="K579" s="19">
        <v>7.1800997888118339</v>
      </c>
      <c r="L579" s="23">
        <v>49400008529</v>
      </c>
      <c r="M579" s="21">
        <v>4945121917</v>
      </c>
    </row>
    <row r="580" spans="2:13" x14ac:dyDescent="0.3">
      <c r="B580" s="4">
        <v>44694</v>
      </c>
      <c r="C580" s="24">
        <v>6.5267483562086595</v>
      </c>
      <c r="E580" s="4">
        <v>44697</v>
      </c>
      <c r="F580" s="23">
        <v>1527257340627</v>
      </c>
      <c r="G580" s="19">
        <v>2.4458126255054116</v>
      </c>
      <c r="H580" s="31">
        <v>1445466592926</v>
      </c>
      <c r="I580" s="31">
        <v>81790747701</v>
      </c>
      <c r="J580" s="21">
        <v>56026273897</v>
      </c>
      <c r="K580" s="19">
        <v>7.1286189592272571</v>
      </c>
      <c r="L580" s="23">
        <v>50817899976</v>
      </c>
      <c r="M580" s="21">
        <v>5208373921</v>
      </c>
    </row>
    <row r="581" spans="2:13" x14ac:dyDescent="0.3">
      <c r="B581" s="4">
        <v>44697</v>
      </c>
      <c r="C581" s="24">
        <v>6.4659207196790884</v>
      </c>
      <c r="E581" s="4">
        <v>44698</v>
      </c>
      <c r="F581" s="23">
        <v>1526763758646</v>
      </c>
      <c r="G581" s="19">
        <v>2.4272473811647686</v>
      </c>
      <c r="H581" s="31">
        <v>1444992090738</v>
      </c>
      <c r="I581" s="31">
        <v>81771667908</v>
      </c>
      <c r="J581" s="21">
        <v>57648223517</v>
      </c>
      <c r="K581" s="19">
        <v>7.299781118373482</v>
      </c>
      <c r="L581" s="23">
        <v>53174474017</v>
      </c>
      <c r="M581" s="21">
        <v>4473749500</v>
      </c>
    </row>
    <row r="582" spans="2:13" x14ac:dyDescent="0.3">
      <c r="B582" s="4">
        <v>44698</v>
      </c>
      <c r="C582" s="24">
        <v>6.7332867819295776</v>
      </c>
      <c r="E582" s="4">
        <v>44699</v>
      </c>
      <c r="F582" s="23">
        <v>1527535844083</v>
      </c>
      <c r="G582" s="19">
        <v>2.4306284177513824</v>
      </c>
      <c r="H582" s="31">
        <v>1446427234039</v>
      </c>
      <c r="I582" s="31">
        <v>81108610044</v>
      </c>
      <c r="J582" s="21">
        <v>56814607681</v>
      </c>
      <c r="K582" s="19">
        <v>7.3777734633020735</v>
      </c>
      <c r="L582" s="23">
        <v>52082025896</v>
      </c>
      <c r="M582" s="21">
        <v>4732581785</v>
      </c>
    </row>
    <row r="583" spans="2:13" x14ac:dyDescent="0.3">
      <c r="B583" s="4">
        <v>44699</v>
      </c>
      <c r="C583" s="24">
        <v>6.7632146776051973</v>
      </c>
      <c r="E583" s="4">
        <v>44700</v>
      </c>
      <c r="F583" s="23">
        <v>1526095153162</v>
      </c>
      <c r="G583" s="19">
        <v>2.4177769519685031</v>
      </c>
      <c r="H583" s="31">
        <v>1446738888466</v>
      </c>
      <c r="I583" s="31">
        <v>79356264696</v>
      </c>
      <c r="J583" s="21">
        <v>58038665836</v>
      </c>
      <c r="K583" s="19">
        <v>7.1975399168289256</v>
      </c>
      <c r="L583" s="23">
        <v>53920494820</v>
      </c>
      <c r="M583" s="21">
        <v>4118171016</v>
      </c>
    </row>
    <row r="584" spans="2:13" x14ac:dyDescent="0.3">
      <c r="B584" s="4">
        <v>44700</v>
      </c>
      <c r="C584" s="24">
        <v>6.6868338238297564</v>
      </c>
      <c r="E584" s="4">
        <v>44701</v>
      </c>
      <c r="F584" s="23">
        <v>1523489004078</v>
      </c>
      <c r="G584" s="19">
        <v>2.3751368344180936</v>
      </c>
      <c r="H584" s="31">
        <v>1443708541042</v>
      </c>
      <c r="I584" s="31">
        <v>79780463036</v>
      </c>
      <c r="J584" s="21">
        <v>69809122443</v>
      </c>
      <c r="K584" s="19">
        <v>7.5856138931747523</v>
      </c>
      <c r="L584" s="23">
        <v>65311932325</v>
      </c>
      <c r="M584" s="21">
        <v>4497190118</v>
      </c>
    </row>
    <row r="585" spans="2:13" x14ac:dyDescent="0.3">
      <c r="B585" s="4">
        <v>44701</v>
      </c>
      <c r="C585" s="24">
        <v>7.0969392523038053</v>
      </c>
      <c r="E585" s="4">
        <v>44704</v>
      </c>
      <c r="F585" s="23">
        <v>1529146188454</v>
      </c>
      <c r="G585" s="19">
        <v>2.3783873953611745</v>
      </c>
      <c r="H585" s="31">
        <v>1449488760556</v>
      </c>
      <c r="I585" s="31">
        <v>79657427898</v>
      </c>
      <c r="J585" s="21">
        <v>68499938645</v>
      </c>
      <c r="K585" s="19">
        <v>7.9713974250053896</v>
      </c>
      <c r="L585" s="23">
        <v>64152640321</v>
      </c>
      <c r="M585" s="21">
        <v>4347298324</v>
      </c>
    </row>
    <row r="586" spans="2:13" x14ac:dyDescent="0.3">
      <c r="B586" s="4">
        <v>44704</v>
      </c>
      <c r="C586" s="24">
        <v>7.4654985387996966</v>
      </c>
      <c r="E586" s="4">
        <v>44705</v>
      </c>
      <c r="F586" s="23">
        <v>1524534493226</v>
      </c>
      <c r="G586" s="19">
        <v>2.4397281327423124</v>
      </c>
      <c r="H586" s="31">
        <v>1447241395192</v>
      </c>
      <c r="I586" s="31">
        <v>77293098034</v>
      </c>
      <c r="J586" s="21">
        <v>72382591584</v>
      </c>
      <c r="K586" s="19">
        <v>7.3104787566462139</v>
      </c>
      <c r="L586" s="23">
        <v>66769697027</v>
      </c>
      <c r="M586" s="21">
        <v>5612894557</v>
      </c>
    </row>
    <row r="587" spans="2:13" x14ac:dyDescent="0.3">
      <c r="B587" s="4">
        <v>44705</v>
      </c>
      <c r="C587" s="24">
        <v>6.7435890456771759</v>
      </c>
      <c r="E587" s="4">
        <v>44706</v>
      </c>
      <c r="F587" s="23">
        <v>1526655911995</v>
      </c>
      <c r="G587" s="19">
        <v>2.4166106910559733</v>
      </c>
      <c r="H587" s="31">
        <v>1448800286881</v>
      </c>
      <c r="I587" s="31">
        <v>77855625114</v>
      </c>
      <c r="J587" s="21">
        <v>54229163788</v>
      </c>
      <c r="K587" s="19">
        <v>7.1174866195596289</v>
      </c>
      <c r="L587" s="23">
        <v>49571148520</v>
      </c>
      <c r="M587" s="21">
        <v>4658015268</v>
      </c>
    </row>
    <row r="588" spans="2:13" x14ac:dyDescent="0.3">
      <c r="B588" s="4">
        <v>44706</v>
      </c>
      <c r="C588" s="24">
        <v>6.5061299430432431</v>
      </c>
      <c r="E588" s="4">
        <v>44707</v>
      </c>
      <c r="F588" s="23">
        <v>1527535678037</v>
      </c>
      <c r="G588" s="19">
        <v>2.4049307673661762</v>
      </c>
      <c r="H588" s="31">
        <v>1448707011380</v>
      </c>
      <c r="I588" s="31">
        <v>78828666657</v>
      </c>
      <c r="J588" s="21">
        <v>61557665878</v>
      </c>
      <c r="K588" s="19">
        <v>7.4831225435123265</v>
      </c>
      <c r="L588" s="23">
        <v>56229086444</v>
      </c>
      <c r="M588" s="21">
        <v>5328579434</v>
      </c>
    </row>
    <row r="589" spans="2:13" x14ac:dyDescent="0.3">
      <c r="B589" s="4">
        <v>44707</v>
      </c>
      <c r="C589" s="24">
        <v>6.8353654799731096</v>
      </c>
      <c r="E589" s="4">
        <v>44708</v>
      </c>
      <c r="F589" s="23">
        <v>1521898080200</v>
      </c>
      <c r="G589" s="19">
        <v>2.3912111923891901</v>
      </c>
      <c r="H589" s="31">
        <v>1443794420334</v>
      </c>
      <c r="I589" s="31">
        <v>78103659866</v>
      </c>
      <c r="J589" s="21">
        <v>57302330101</v>
      </c>
      <c r="K589" s="19">
        <v>7.0273567818386073</v>
      </c>
      <c r="L589" s="23">
        <v>52951774172</v>
      </c>
      <c r="M589" s="21">
        <v>4350555929</v>
      </c>
    </row>
    <row r="590" spans="2:13" x14ac:dyDescent="0.3">
      <c r="B590" s="4">
        <v>44708</v>
      </c>
      <c r="C590" s="24">
        <v>6.4938198618121605</v>
      </c>
      <c r="E590" s="4">
        <v>44711</v>
      </c>
      <c r="F590" s="23">
        <v>1523196306219</v>
      </c>
      <c r="G590" s="19">
        <v>2.3752509112071234</v>
      </c>
      <c r="H590" s="31">
        <v>1445005450956</v>
      </c>
      <c r="I590" s="31">
        <v>78190855263</v>
      </c>
      <c r="J590" s="21">
        <v>57978598280</v>
      </c>
      <c r="K590" s="19">
        <v>7.1520417950205664</v>
      </c>
      <c r="L590" s="23">
        <v>53608931875</v>
      </c>
      <c r="M590" s="21">
        <v>4369666405</v>
      </c>
    </row>
    <row r="591" spans="2:13" x14ac:dyDescent="0.3">
      <c r="B591" s="4">
        <v>44711</v>
      </c>
      <c r="C591" s="24">
        <v>6.6130146766357845</v>
      </c>
      <c r="E591" s="4">
        <v>44712</v>
      </c>
      <c r="F591" s="23">
        <v>1522625844473</v>
      </c>
      <c r="G591" s="19">
        <v>2.3431544250697494</v>
      </c>
      <c r="H591" s="31">
        <v>1444564453720</v>
      </c>
      <c r="I591" s="31">
        <v>78061390753</v>
      </c>
      <c r="J591" s="21">
        <v>68173455364</v>
      </c>
      <c r="K591" s="19">
        <v>7.2923651161343095</v>
      </c>
      <c r="L591" s="23">
        <v>63699654421</v>
      </c>
      <c r="M591" s="21">
        <v>4473800943</v>
      </c>
    </row>
    <row r="592" spans="2:13" x14ac:dyDescent="0.3">
      <c r="B592" s="4">
        <v>44712</v>
      </c>
      <c r="C592" s="24">
        <v>6.813812433729276</v>
      </c>
      <c r="E592" s="4">
        <v>44713</v>
      </c>
      <c r="F592" s="23">
        <v>1519204760810</v>
      </c>
      <c r="G592" s="19">
        <v>2.3395351345005033</v>
      </c>
      <c r="H592" s="31">
        <v>1444271337081</v>
      </c>
      <c r="I592" s="31">
        <v>74933423729</v>
      </c>
      <c r="J592" s="21">
        <v>65156826393</v>
      </c>
      <c r="K592" s="19">
        <v>7.3633082415283582</v>
      </c>
      <c r="L592" s="23">
        <v>60657071241</v>
      </c>
      <c r="M592" s="21">
        <v>4499755152</v>
      </c>
    </row>
    <row r="593" spans="2:13" x14ac:dyDescent="0.3">
      <c r="B593" s="4">
        <v>44713</v>
      </c>
      <c r="C593" s="24">
        <v>6.8547953806389135</v>
      </c>
      <c r="E593" s="4">
        <v>44714</v>
      </c>
      <c r="F593" s="23">
        <v>1514364076019</v>
      </c>
      <c r="G593" s="19">
        <v>2.3213808294123233</v>
      </c>
      <c r="H593" s="31">
        <v>1440704743538</v>
      </c>
      <c r="I593" s="31">
        <v>73659332481</v>
      </c>
      <c r="J593" s="21">
        <v>65731947643</v>
      </c>
      <c r="K593" s="19">
        <v>7.3761625414290561</v>
      </c>
      <c r="L593" s="23">
        <v>61584832721</v>
      </c>
      <c r="M593" s="21">
        <v>4147114922</v>
      </c>
    </row>
    <row r="594" spans="2:13" x14ac:dyDescent="0.3">
      <c r="B594" s="4">
        <v>44714</v>
      </c>
      <c r="C594" s="24">
        <v>6.9107907573949729</v>
      </c>
      <c r="E594" s="4">
        <v>44718</v>
      </c>
      <c r="F594" s="23">
        <v>1524481089056</v>
      </c>
      <c r="G594" s="19">
        <v>2.3023348742966658</v>
      </c>
      <c r="H594" s="31">
        <v>1449891516883</v>
      </c>
      <c r="I594" s="31">
        <v>74589572173</v>
      </c>
      <c r="J594" s="21">
        <v>91918276851</v>
      </c>
      <c r="K594" s="19">
        <v>8.2645173014763031</v>
      </c>
      <c r="L594" s="23">
        <v>87143755784</v>
      </c>
      <c r="M594" s="21">
        <v>4774521067</v>
      </c>
    </row>
    <row r="595" spans="2:13" x14ac:dyDescent="0.3">
      <c r="B595" s="4">
        <v>44718</v>
      </c>
      <c r="C595" s="24">
        <v>7.8352325790434838</v>
      </c>
      <c r="E595" s="4">
        <v>44719</v>
      </c>
      <c r="F595" s="23">
        <v>1528034327409</v>
      </c>
      <c r="G595" s="19">
        <v>2.2999994197360882</v>
      </c>
      <c r="H595" s="31">
        <v>1453354856802</v>
      </c>
      <c r="I595" s="31">
        <v>74679470607</v>
      </c>
      <c r="J595" s="21">
        <v>80334312057</v>
      </c>
      <c r="K595" s="19">
        <v>7.7344780782632823</v>
      </c>
      <c r="L595" s="23">
        <v>75426485605</v>
      </c>
      <c r="M595" s="21">
        <v>4907826452</v>
      </c>
    </row>
    <row r="596" spans="2:13" x14ac:dyDescent="0.3">
      <c r="B596" s="4">
        <v>44719</v>
      </c>
      <c r="C596" s="24">
        <v>7.2619592362772938</v>
      </c>
      <c r="E596" s="4">
        <v>44720</v>
      </c>
      <c r="F596" s="23">
        <v>1532093689468</v>
      </c>
      <c r="G596" s="19">
        <v>2.2914113800223346</v>
      </c>
      <c r="H596" s="31">
        <v>1456240238450</v>
      </c>
      <c r="I596" s="31">
        <v>75853451018</v>
      </c>
      <c r="J596" s="21">
        <v>87974097240</v>
      </c>
      <c r="K596" s="19">
        <v>7.9907415891177003</v>
      </c>
      <c r="L596" s="23">
        <v>82608803955</v>
      </c>
      <c r="M596" s="21">
        <v>5365293285</v>
      </c>
    </row>
    <row r="597" spans="2:13" x14ac:dyDescent="0.3">
      <c r="B597" s="4">
        <v>44720</v>
      </c>
      <c r="C597" s="24">
        <v>7.5034086861916993</v>
      </c>
      <c r="E597" s="4">
        <v>44721</v>
      </c>
      <c r="F597" s="23">
        <v>1532775163237</v>
      </c>
      <c r="G597" s="19">
        <v>2.3167183062004688</v>
      </c>
      <c r="H597" s="31">
        <v>1458088981643</v>
      </c>
      <c r="I597" s="31">
        <v>74686181594</v>
      </c>
      <c r="J597" s="21">
        <v>76982966740</v>
      </c>
      <c r="K597" s="19">
        <v>7.8826903665382684</v>
      </c>
      <c r="L597" s="23">
        <v>72551493906</v>
      </c>
      <c r="M597" s="21">
        <v>4431472834</v>
      </c>
    </row>
    <row r="598" spans="2:13" x14ac:dyDescent="0.3">
      <c r="B598" s="4">
        <v>44721</v>
      </c>
      <c r="C598" s="24">
        <v>7.4289285839334758</v>
      </c>
      <c r="E598" s="4">
        <v>44722</v>
      </c>
      <c r="F598" s="23">
        <v>1533287528336</v>
      </c>
      <c r="G598" s="19">
        <v>2.2809126925691712</v>
      </c>
      <c r="H598" s="31">
        <v>1456998905239</v>
      </c>
      <c r="I598" s="31">
        <v>76288623097</v>
      </c>
      <c r="J598" s="21">
        <v>79073179570</v>
      </c>
      <c r="K598" s="19">
        <v>7.5294984272933538</v>
      </c>
      <c r="L598" s="23">
        <v>74322425508</v>
      </c>
      <c r="M598" s="21">
        <v>4750754062</v>
      </c>
    </row>
    <row r="599" spans="2:13" x14ac:dyDescent="0.3">
      <c r="B599" s="4">
        <v>44722</v>
      </c>
      <c r="C599" s="24">
        <v>7.0771225972988088</v>
      </c>
      <c r="E599" s="4">
        <v>44725</v>
      </c>
      <c r="F599" s="23">
        <v>1542206543022</v>
      </c>
      <c r="G599" s="19">
        <v>2.3078888506554627</v>
      </c>
      <c r="H599" s="31">
        <v>1466528586267</v>
      </c>
      <c r="I599" s="31">
        <v>75677956755</v>
      </c>
      <c r="J599" s="21">
        <v>88969208471</v>
      </c>
      <c r="K599" s="19">
        <v>8.1576892221059971</v>
      </c>
      <c r="L599" s="23">
        <v>84322178564</v>
      </c>
      <c r="M599" s="21">
        <v>4647029907</v>
      </c>
    </row>
    <row r="600" spans="2:13" x14ac:dyDescent="0.3">
      <c r="B600" s="4">
        <v>44725</v>
      </c>
      <c r="C600" s="24">
        <v>7.7315976963002475</v>
      </c>
      <c r="E600" s="4">
        <v>44726</v>
      </c>
      <c r="F600" s="23">
        <v>1547928205535</v>
      </c>
      <c r="G600" s="19">
        <v>2.2992202702322095</v>
      </c>
      <c r="H600" s="31">
        <v>1470486707154</v>
      </c>
      <c r="I600" s="31">
        <v>77441498381</v>
      </c>
      <c r="J600" s="21">
        <v>91910146462</v>
      </c>
      <c r="K600" s="19">
        <v>8.3620696694944225</v>
      </c>
      <c r="L600" s="23">
        <v>84911498755</v>
      </c>
      <c r="M600" s="21">
        <v>6998647707</v>
      </c>
    </row>
    <row r="601" spans="2:13" x14ac:dyDescent="0.3">
      <c r="B601" s="4">
        <v>44726</v>
      </c>
      <c r="C601" s="24">
        <v>7.7253262633420059</v>
      </c>
      <c r="E601" s="4">
        <v>44727</v>
      </c>
      <c r="F601" s="23">
        <v>1553480942101</v>
      </c>
      <c r="G601" s="19">
        <v>2.2945514659572201</v>
      </c>
      <c r="H601" s="31">
        <v>1475423947891</v>
      </c>
      <c r="I601" s="31">
        <v>78056994210</v>
      </c>
      <c r="J601" s="21">
        <v>117131167845</v>
      </c>
      <c r="K601" s="19">
        <v>9.0212494338239804</v>
      </c>
      <c r="L601" s="23">
        <v>109889639689</v>
      </c>
      <c r="M601" s="21">
        <v>7241528156</v>
      </c>
    </row>
    <row r="602" spans="2:13" x14ac:dyDescent="0.3">
      <c r="B602" s="4">
        <v>44727</v>
      </c>
      <c r="C602" s="24">
        <v>8.4635188743218031</v>
      </c>
      <c r="E602" s="4">
        <v>44728</v>
      </c>
      <c r="F602" s="23">
        <v>1560046622452</v>
      </c>
      <c r="G602" s="19">
        <v>2.3114525636039414</v>
      </c>
      <c r="H602" s="31">
        <v>1479031105235</v>
      </c>
      <c r="I602" s="31">
        <v>81015517217</v>
      </c>
      <c r="J602" s="21">
        <v>93575918793</v>
      </c>
      <c r="K602" s="19">
        <v>8.6609696674220817</v>
      </c>
      <c r="L602" s="23">
        <v>85289951496</v>
      </c>
      <c r="M602" s="21">
        <v>8285967297</v>
      </c>
    </row>
    <row r="603" spans="2:13" x14ac:dyDescent="0.3">
      <c r="B603" s="4">
        <v>44728</v>
      </c>
      <c r="C603" s="24">
        <v>7.8940574922574536</v>
      </c>
      <c r="E603" s="4">
        <v>44729</v>
      </c>
      <c r="F603" s="23">
        <v>1560211281473</v>
      </c>
      <c r="G603" s="19">
        <v>2.287552859996782</v>
      </c>
      <c r="H603" s="31">
        <v>1476938962458</v>
      </c>
      <c r="I603" s="31">
        <v>83272319015</v>
      </c>
      <c r="J603" s="21">
        <v>89120449233</v>
      </c>
      <c r="K603" s="19">
        <v>8.1541163160531909</v>
      </c>
      <c r="L603" s="23">
        <v>82739895078</v>
      </c>
      <c r="M603" s="21">
        <v>6380554155</v>
      </c>
    </row>
    <row r="604" spans="2:13" x14ac:dyDescent="0.3">
      <c r="B604" s="4">
        <v>44729</v>
      </c>
      <c r="C604" s="24">
        <v>7.5703245916115538</v>
      </c>
      <c r="E604" s="4">
        <v>44732</v>
      </c>
      <c r="F604" s="23">
        <v>1568567222144</v>
      </c>
      <c r="G604" s="19">
        <v>2.2880727543925494</v>
      </c>
      <c r="H604" s="31">
        <v>1483145642717</v>
      </c>
      <c r="I604" s="31">
        <v>85421579427</v>
      </c>
      <c r="J604" s="21">
        <v>95879480306</v>
      </c>
      <c r="K604" s="19">
        <v>8.2366264561998488</v>
      </c>
      <c r="L604" s="23">
        <v>89085525449</v>
      </c>
      <c r="M604" s="21">
        <v>6793954857</v>
      </c>
    </row>
    <row r="605" spans="2:13" x14ac:dyDescent="0.3">
      <c r="B605" s="4">
        <v>44732</v>
      </c>
      <c r="C605" s="24">
        <v>7.6529846994986315</v>
      </c>
      <c r="E605" s="4">
        <v>44733</v>
      </c>
      <c r="F605" s="23">
        <v>1567803652290</v>
      </c>
      <c r="G605" s="19">
        <v>2.2943894033484815</v>
      </c>
      <c r="H605" s="31">
        <v>1480928049270</v>
      </c>
      <c r="I605" s="31">
        <v>86875603020</v>
      </c>
      <c r="J605" s="21">
        <v>85463645353</v>
      </c>
      <c r="K605" s="19">
        <v>7.9148144843738732</v>
      </c>
      <c r="L605" s="23">
        <v>78074618114</v>
      </c>
      <c r="M605" s="21">
        <v>7389027239</v>
      </c>
    </row>
    <row r="606" spans="2:13" x14ac:dyDescent="0.3">
      <c r="B606" s="4">
        <v>44733</v>
      </c>
      <c r="C606" s="24">
        <v>7.2305143989385705</v>
      </c>
      <c r="E606" s="4">
        <v>44734</v>
      </c>
      <c r="F606" s="23">
        <v>1573020572561</v>
      </c>
      <c r="G606" s="19">
        <v>2.3308302371852698</v>
      </c>
      <c r="H606" s="31">
        <v>1485053500538</v>
      </c>
      <c r="I606" s="31">
        <v>87967072023</v>
      </c>
      <c r="J606" s="21">
        <v>80952390484</v>
      </c>
      <c r="K606" s="19">
        <v>8.1264770345145987</v>
      </c>
      <c r="L606" s="23">
        <v>73653149051</v>
      </c>
      <c r="M606" s="21">
        <v>7299241433</v>
      </c>
    </row>
    <row r="607" spans="2:13" x14ac:dyDescent="0.3">
      <c r="B607" s="4">
        <v>44734</v>
      </c>
      <c r="C607" s="24">
        <v>7.393736252926737</v>
      </c>
      <c r="E607" s="4">
        <v>44735</v>
      </c>
      <c r="F607" s="23">
        <v>1579570157157</v>
      </c>
      <c r="G607" s="19">
        <v>2.2978640493053937</v>
      </c>
      <c r="H607" s="31">
        <v>1488024375079</v>
      </c>
      <c r="I607" s="31">
        <v>91545782078</v>
      </c>
      <c r="J607" s="21">
        <v>89615369032</v>
      </c>
      <c r="K607" s="19">
        <v>8.3316907137956804</v>
      </c>
      <c r="L607" s="23">
        <v>82224365381</v>
      </c>
      <c r="M607" s="21">
        <v>7391003651</v>
      </c>
    </row>
    <row r="608" spans="2:13" x14ac:dyDescent="0.3">
      <c r="B608" s="4">
        <v>44735</v>
      </c>
      <c r="C608" s="24">
        <v>7.6445367451200879</v>
      </c>
      <c r="E608" s="4">
        <v>44736</v>
      </c>
      <c r="F608" s="23">
        <v>1579638646525</v>
      </c>
      <c r="G608" s="19">
        <v>2.2742306922349491</v>
      </c>
      <c r="H608" s="31">
        <v>1486849602632</v>
      </c>
      <c r="I608" s="31">
        <v>92789043893</v>
      </c>
      <c r="J608" s="21">
        <v>93617470483</v>
      </c>
      <c r="K608" s="19">
        <v>8.0709028707262291</v>
      </c>
      <c r="L608" s="23">
        <v>87149237670</v>
      </c>
      <c r="M608" s="21">
        <v>6468232813</v>
      </c>
    </row>
    <row r="609" spans="2:13" x14ac:dyDescent="0.3">
      <c r="B609" s="4">
        <v>44736</v>
      </c>
      <c r="C609" s="24">
        <v>7.5132667958608321</v>
      </c>
      <c r="E609" s="4">
        <v>44739</v>
      </c>
      <c r="F609" s="23">
        <v>1589185787159</v>
      </c>
      <c r="G609" s="19">
        <v>2.2649452477080385</v>
      </c>
      <c r="H609" s="31">
        <v>1496113860178</v>
      </c>
      <c r="I609" s="31">
        <v>93071926981</v>
      </c>
      <c r="J609" s="21">
        <v>107267020206</v>
      </c>
      <c r="K609" s="19">
        <v>8.7324318713936879</v>
      </c>
      <c r="L609" s="23">
        <v>101126729656</v>
      </c>
      <c r="M609" s="21">
        <v>6140290550</v>
      </c>
    </row>
    <row r="610" spans="2:13" x14ac:dyDescent="0.3">
      <c r="B610" s="4">
        <v>44739</v>
      </c>
      <c r="C610" s="24">
        <v>8.2325609064366674</v>
      </c>
      <c r="E610" s="4">
        <v>44740</v>
      </c>
      <c r="F610" s="23">
        <v>1597708553157</v>
      </c>
      <c r="G610" s="19">
        <v>2.2521475520081826</v>
      </c>
      <c r="H610" s="31">
        <v>1504669436917</v>
      </c>
      <c r="I610" s="31">
        <v>93039116240</v>
      </c>
      <c r="J610" s="21">
        <v>106966266344</v>
      </c>
      <c r="K610" s="19">
        <v>8.7615454612959009</v>
      </c>
      <c r="L610" s="23">
        <v>100845018052</v>
      </c>
      <c r="M610" s="21">
        <v>6121248292</v>
      </c>
    </row>
    <row r="611" spans="2:13" x14ac:dyDescent="0.3">
      <c r="B611" s="4">
        <v>44740</v>
      </c>
      <c r="C611" s="24">
        <v>8.260157528227726</v>
      </c>
      <c r="E611" s="4">
        <v>44741</v>
      </c>
      <c r="F611" s="23">
        <v>1596099034408</v>
      </c>
      <c r="G611" s="19">
        <v>2.2883788574781421</v>
      </c>
      <c r="H611" s="31">
        <v>1505245987750</v>
      </c>
      <c r="I611" s="31">
        <v>90853046658</v>
      </c>
      <c r="J611" s="21">
        <v>107946892443</v>
      </c>
      <c r="K611" s="19">
        <v>8.2043092032066482</v>
      </c>
      <c r="L611" s="23">
        <v>101097950196</v>
      </c>
      <c r="M611" s="21">
        <v>6848942247</v>
      </c>
    </row>
    <row r="612" spans="2:13" x14ac:dyDescent="0.3">
      <c r="B612" s="4">
        <v>44741</v>
      </c>
      <c r="C612" s="24">
        <v>7.6837676791515328</v>
      </c>
      <c r="E612" s="4">
        <v>44742</v>
      </c>
      <c r="F612" s="23">
        <v>1603331345927</v>
      </c>
      <c r="G612" s="19">
        <v>2.2704181172265532</v>
      </c>
      <c r="H612" s="31">
        <v>1509769354702</v>
      </c>
      <c r="I612" s="31">
        <v>93561991225</v>
      </c>
      <c r="J612" s="21">
        <v>103906835310</v>
      </c>
      <c r="K612" s="19">
        <v>8.9626319368141143</v>
      </c>
      <c r="L612" s="23">
        <v>96257507510</v>
      </c>
      <c r="M612" s="21">
        <v>7649327800</v>
      </c>
    </row>
    <row r="613" spans="2:13" x14ac:dyDescent="0.3">
      <c r="B613" s="4">
        <v>44742</v>
      </c>
      <c r="C613" s="24">
        <v>8.3028282825992505</v>
      </c>
      <c r="E613" s="4">
        <v>44743</v>
      </c>
      <c r="F613" s="23">
        <v>1600446844194</v>
      </c>
      <c r="G613" s="19">
        <v>2.2707764888509003</v>
      </c>
      <c r="H613" s="31">
        <v>1507199104063</v>
      </c>
      <c r="I613" s="31">
        <v>93247740131</v>
      </c>
      <c r="J613" s="21">
        <v>90204633475</v>
      </c>
      <c r="K613" s="19">
        <v>8.582440238047548</v>
      </c>
      <c r="L613" s="23">
        <v>83927622345</v>
      </c>
      <c r="M613" s="21">
        <v>6277011130</v>
      </c>
    </row>
    <row r="614" spans="2:13" x14ac:dyDescent="0.3">
      <c r="B614" s="4">
        <v>44743</v>
      </c>
      <c r="C614" s="24">
        <v>7.9852195541265294</v>
      </c>
      <c r="E614" s="4">
        <v>44746</v>
      </c>
      <c r="F614" s="23">
        <v>1610665429196</v>
      </c>
      <c r="G614" s="19">
        <v>2.2673541719950632</v>
      </c>
      <c r="H614" s="31">
        <v>1515367880960</v>
      </c>
      <c r="I614" s="31">
        <v>95297548236</v>
      </c>
      <c r="J614" s="21">
        <v>96984002528</v>
      </c>
      <c r="K614" s="19">
        <v>8.5809717420637313</v>
      </c>
      <c r="L614" s="23">
        <v>89788236256</v>
      </c>
      <c r="M614" s="21">
        <v>7195766272</v>
      </c>
    </row>
    <row r="615" spans="2:13" x14ac:dyDescent="0.3">
      <c r="B615" s="4">
        <v>44746</v>
      </c>
      <c r="C615" s="24">
        <v>7.9443031634009724</v>
      </c>
      <c r="E615" s="4">
        <v>44747</v>
      </c>
      <c r="F615" s="23">
        <v>1614661999824</v>
      </c>
      <c r="G615" s="19">
        <v>2.2764099585271831</v>
      </c>
      <c r="H615" s="31">
        <v>1518731438768</v>
      </c>
      <c r="I615" s="31">
        <v>95930561056</v>
      </c>
      <c r="J615" s="21">
        <v>100366189543</v>
      </c>
      <c r="K615" s="19">
        <v>8.5005336165340388</v>
      </c>
      <c r="L615" s="23">
        <v>93212732786</v>
      </c>
      <c r="M615" s="21">
        <v>7153456757</v>
      </c>
    </row>
    <row r="616" spans="2:13" x14ac:dyDescent="0.3">
      <c r="B616" s="4">
        <v>44747</v>
      </c>
      <c r="C616" s="24">
        <v>7.894670228532755</v>
      </c>
      <c r="E616" s="4">
        <v>44748</v>
      </c>
      <c r="F616" s="23">
        <v>1618439926889</v>
      </c>
      <c r="G616" s="19">
        <v>2.3144454586696255</v>
      </c>
      <c r="H616" s="31">
        <v>1523174672384</v>
      </c>
      <c r="I616" s="31">
        <v>95265254505</v>
      </c>
      <c r="J616" s="21">
        <v>89544424059</v>
      </c>
      <c r="K616" s="19">
        <v>8.2426817862813824</v>
      </c>
      <c r="L616" s="23">
        <v>83217582519</v>
      </c>
      <c r="M616" s="21">
        <v>6326841540</v>
      </c>
    </row>
    <row r="617" spans="2:13" x14ac:dyDescent="0.3">
      <c r="B617" s="4">
        <v>44748</v>
      </c>
      <c r="C617" s="24">
        <v>7.6602877168071597</v>
      </c>
      <c r="E617" s="4">
        <v>44749</v>
      </c>
      <c r="F617" s="23">
        <v>1624956784509</v>
      </c>
      <c r="G617" s="19">
        <v>2.3109548340901651</v>
      </c>
      <c r="H617" s="31">
        <v>1527690462273</v>
      </c>
      <c r="I617" s="31">
        <v>97266322236</v>
      </c>
      <c r="J617" s="21">
        <v>87482280261</v>
      </c>
      <c r="K617" s="19">
        <v>8.309717696890818</v>
      </c>
      <c r="L617" s="23">
        <v>80985318305</v>
      </c>
      <c r="M617" s="21">
        <v>6496961956</v>
      </c>
    </row>
    <row r="618" spans="2:13" x14ac:dyDescent="0.3">
      <c r="B618" s="4">
        <v>44749</v>
      </c>
      <c r="C618" s="24">
        <v>7.6925879240873583</v>
      </c>
      <c r="E618" s="4">
        <v>44750</v>
      </c>
      <c r="F618" s="23">
        <v>1620632773596</v>
      </c>
      <c r="G618" s="19">
        <v>2.3109372800982353</v>
      </c>
      <c r="H618" s="31">
        <v>1523424003188</v>
      </c>
      <c r="I618" s="31">
        <v>97208770408</v>
      </c>
      <c r="J618" s="21">
        <v>81051022561</v>
      </c>
      <c r="K618" s="19">
        <v>7.8758732784527039</v>
      </c>
      <c r="L618" s="23">
        <v>74832411121</v>
      </c>
      <c r="M618" s="21">
        <v>6218611440</v>
      </c>
    </row>
    <row r="619" spans="2:13" x14ac:dyDescent="0.3">
      <c r="B619" s="4">
        <v>44750</v>
      </c>
      <c r="C619" s="24">
        <v>7.2715996478206462</v>
      </c>
      <c r="E619" s="4">
        <v>44753</v>
      </c>
      <c r="F619" s="23">
        <v>1620084177245</v>
      </c>
      <c r="G619" s="19">
        <v>2.3418434093997877</v>
      </c>
      <c r="H619" s="31">
        <v>1524498046501</v>
      </c>
      <c r="I619" s="31">
        <v>95586130744</v>
      </c>
      <c r="J619" s="21">
        <v>78204831578</v>
      </c>
      <c r="K619" s="19">
        <v>7.7545579121332331</v>
      </c>
      <c r="L619" s="23">
        <v>72482602713</v>
      </c>
      <c r="M619" s="21">
        <v>5722228865</v>
      </c>
    </row>
    <row r="620" spans="2:13" x14ac:dyDescent="0.3">
      <c r="B620" s="4">
        <v>44753</v>
      </c>
      <c r="C620" s="24">
        <v>7.1871587601273141</v>
      </c>
      <c r="E620" s="4">
        <v>44754</v>
      </c>
      <c r="F620" s="23">
        <v>1616407194839</v>
      </c>
      <c r="G620" s="19">
        <v>2.3611700818427002</v>
      </c>
      <c r="H620" s="31">
        <v>1522298938855</v>
      </c>
      <c r="I620" s="31">
        <v>94108255984</v>
      </c>
      <c r="J620" s="21">
        <v>72052734358</v>
      </c>
      <c r="K620" s="19">
        <v>7.3786244495368809</v>
      </c>
      <c r="L620" s="23">
        <v>66542142902</v>
      </c>
      <c r="M620" s="21">
        <v>5510591456</v>
      </c>
    </row>
    <row r="621" spans="2:13" x14ac:dyDescent="0.3">
      <c r="B621" s="4">
        <v>44754</v>
      </c>
      <c r="C621" s="24">
        <v>6.8143074224185876</v>
      </c>
      <c r="E621" s="4">
        <v>44755</v>
      </c>
      <c r="F621" s="23">
        <v>1620013358282</v>
      </c>
      <c r="G621" s="19">
        <v>2.3571131427206407</v>
      </c>
      <c r="H621" s="31">
        <v>1524635105774</v>
      </c>
      <c r="I621" s="31">
        <v>95378252508</v>
      </c>
      <c r="J621" s="21">
        <v>72283779983</v>
      </c>
      <c r="K621" s="19">
        <v>7.672828609027647</v>
      </c>
      <c r="L621" s="23">
        <v>66423620587</v>
      </c>
      <c r="M621" s="21">
        <v>5860159396</v>
      </c>
    </row>
    <row r="622" spans="2:13" x14ac:dyDescent="0.3">
      <c r="B622" s="4">
        <v>44755</v>
      </c>
      <c r="C622" s="24">
        <v>7.0507803614447759</v>
      </c>
      <c r="E622" s="4">
        <v>44756</v>
      </c>
      <c r="F622" s="23">
        <v>1623194384058</v>
      </c>
      <c r="G622" s="19">
        <v>2.3574368439203104</v>
      </c>
      <c r="H622" s="31">
        <v>1526425535515</v>
      </c>
      <c r="I622" s="31">
        <v>96768848543</v>
      </c>
      <c r="J622" s="21">
        <v>79022503607</v>
      </c>
      <c r="K622" s="19">
        <v>7.690544282245388</v>
      </c>
      <c r="L622" s="23">
        <v>73201991121</v>
      </c>
      <c r="M622" s="21">
        <v>5820512486</v>
      </c>
    </row>
    <row r="623" spans="2:13" x14ac:dyDescent="0.3">
      <c r="B623" s="4">
        <v>44756</v>
      </c>
      <c r="C623" s="24">
        <v>7.1240865395046225</v>
      </c>
      <c r="E623" s="4">
        <v>44757</v>
      </c>
      <c r="F623" s="23">
        <v>1617200855870</v>
      </c>
      <c r="G623" s="19">
        <v>2.3878544808343745</v>
      </c>
      <c r="H623" s="31">
        <v>1521216417581</v>
      </c>
      <c r="I623" s="31">
        <v>95984438289</v>
      </c>
      <c r="J623" s="21">
        <v>80597690485</v>
      </c>
      <c r="K623" s="19">
        <v>7.4102931846449023</v>
      </c>
      <c r="L623" s="23">
        <v>74467683914</v>
      </c>
      <c r="M623" s="21">
        <v>6130006571</v>
      </c>
    </row>
    <row r="624" spans="2:13" x14ac:dyDescent="0.3">
      <c r="B624" s="4">
        <v>44757</v>
      </c>
      <c r="C624" s="24">
        <v>6.846689616830961</v>
      </c>
      <c r="E624" s="4">
        <v>44760</v>
      </c>
      <c r="F624" s="23">
        <v>1624103771466</v>
      </c>
      <c r="G624" s="19">
        <v>2.360071125806678</v>
      </c>
      <c r="H624" s="31">
        <v>1526366641666</v>
      </c>
      <c r="I624" s="31">
        <v>97737129800</v>
      </c>
      <c r="J624" s="21">
        <v>77114566398</v>
      </c>
      <c r="K624" s="19">
        <v>7.5521695785986385</v>
      </c>
      <c r="L624" s="23">
        <v>71408603580</v>
      </c>
      <c r="M624" s="21">
        <v>5705962818</v>
      </c>
    </row>
    <row r="625" spans="2:13" x14ac:dyDescent="0.3">
      <c r="B625" s="4">
        <v>44760</v>
      </c>
      <c r="C625" s="24">
        <v>6.9933594753516317</v>
      </c>
      <c r="E625" s="4">
        <v>44761</v>
      </c>
      <c r="F625" s="23">
        <v>1627434840236</v>
      </c>
      <c r="G625" s="19">
        <v>2.3628244862384551</v>
      </c>
      <c r="H625" s="31">
        <v>1529284823880</v>
      </c>
      <c r="I625" s="31">
        <v>98150016356</v>
      </c>
      <c r="J625" s="21">
        <v>72947285634</v>
      </c>
      <c r="K625" s="19">
        <v>7.3200905002446364</v>
      </c>
      <c r="L625" s="23">
        <v>67266172779</v>
      </c>
      <c r="M625" s="21">
        <v>5681112855</v>
      </c>
    </row>
    <row r="626" spans="2:13" x14ac:dyDescent="0.3">
      <c r="B626" s="4">
        <v>44761</v>
      </c>
      <c r="C626" s="24">
        <v>6.7500040346651646</v>
      </c>
      <c r="E626" s="4">
        <v>44762</v>
      </c>
      <c r="F626" s="23">
        <v>1630055473614</v>
      </c>
      <c r="G626" s="19">
        <v>2.3495825460780009</v>
      </c>
      <c r="H626" s="31">
        <v>1531095178393</v>
      </c>
      <c r="I626" s="31">
        <v>98960295221</v>
      </c>
      <c r="J626" s="21">
        <v>72381011760</v>
      </c>
      <c r="K626" s="19">
        <v>7.6012635735245571</v>
      </c>
      <c r="L626" s="23">
        <v>67255753843</v>
      </c>
      <c r="M626" s="21">
        <v>5125257917</v>
      </c>
    </row>
    <row r="627" spans="2:13" x14ac:dyDescent="0.3">
      <c r="B627" s="4">
        <v>44762</v>
      </c>
      <c r="C627" s="24">
        <v>7.0630224608058194</v>
      </c>
      <c r="E627" s="4">
        <v>44763</v>
      </c>
      <c r="F627" s="23">
        <v>1629249662204</v>
      </c>
      <c r="G627" s="19">
        <v>2.369740074431764</v>
      </c>
      <c r="H627" s="31">
        <v>1530613969965</v>
      </c>
      <c r="I627" s="31">
        <v>98635692239</v>
      </c>
      <c r="J627" s="21">
        <v>78177780917</v>
      </c>
      <c r="K627" s="19">
        <v>7.6799144554258287</v>
      </c>
      <c r="L627" s="23">
        <v>72528178476</v>
      </c>
      <c r="M627" s="21">
        <v>5649602441</v>
      </c>
    </row>
    <row r="628" spans="2:13" x14ac:dyDescent="0.3">
      <c r="B628" s="4">
        <v>44763</v>
      </c>
      <c r="C628" s="24">
        <v>7.124917077077245</v>
      </c>
      <c r="E628" s="4">
        <v>44764</v>
      </c>
      <c r="F628" s="23">
        <v>1626748854650</v>
      </c>
      <c r="G628" s="19">
        <v>2.363162296510787</v>
      </c>
      <c r="H628" s="31">
        <v>1527551306799</v>
      </c>
      <c r="I628" s="31">
        <v>99197547851</v>
      </c>
      <c r="J628" s="21">
        <v>69659124881</v>
      </c>
      <c r="K628" s="19">
        <v>7.4016174633824372</v>
      </c>
      <c r="L628" s="23">
        <v>63286992825</v>
      </c>
      <c r="M628" s="21">
        <v>6372132056</v>
      </c>
    </row>
    <row r="629" spans="2:13" x14ac:dyDescent="0.3">
      <c r="B629" s="4">
        <v>44764</v>
      </c>
      <c r="C629" s="24">
        <v>6.7245477473152322</v>
      </c>
      <c r="E629" s="4">
        <v>44767</v>
      </c>
      <c r="F629" s="23">
        <v>1625751849627</v>
      </c>
      <c r="G629" s="19">
        <v>2.3776038524901661</v>
      </c>
      <c r="H629" s="31">
        <v>1527034863760</v>
      </c>
      <c r="I629" s="31">
        <v>98716985867</v>
      </c>
      <c r="J629" s="21">
        <v>60056105908</v>
      </c>
      <c r="K629" s="19">
        <v>6.9678243588193354</v>
      </c>
      <c r="L629" s="23">
        <v>54268111258</v>
      </c>
      <c r="M629" s="21">
        <v>5787994650</v>
      </c>
    </row>
    <row r="630" spans="2:13" x14ac:dyDescent="0.3">
      <c r="B630" s="4">
        <v>44767</v>
      </c>
      <c r="C630" s="24">
        <v>6.2962901409203731</v>
      </c>
      <c r="E630" s="4">
        <v>44768</v>
      </c>
      <c r="F630" s="23">
        <v>1626378699535</v>
      </c>
      <c r="G630" s="19">
        <v>2.3562277112453578</v>
      </c>
      <c r="H630" s="31">
        <v>1527043497087</v>
      </c>
      <c r="I630" s="31">
        <v>99335202448</v>
      </c>
      <c r="J630" s="21">
        <v>60253342591</v>
      </c>
      <c r="K630" s="19">
        <v>7.2253923737940795</v>
      </c>
      <c r="L630" s="23">
        <v>55305936907</v>
      </c>
      <c r="M630" s="21">
        <v>4947405684</v>
      </c>
    </row>
    <row r="631" spans="2:13" x14ac:dyDescent="0.3">
      <c r="B631" s="4">
        <v>44768</v>
      </c>
      <c r="C631" s="24">
        <v>6.6321149594290452</v>
      </c>
      <c r="E631" s="4">
        <v>44769</v>
      </c>
      <c r="F631" s="23">
        <v>1630746648561</v>
      </c>
      <c r="G631" s="19">
        <v>2.3617907673602794</v>
      </c>
      <c r="H631" s="31">
        <v>1530976634346</v>
      </c>
      <c r="I631" s="31">
        <v>99770014215</v>
      </c>
      <c r="J631" s="21">
        <v>63586994050</v>
      </c>
      <c r="K631" s="19">
        <v>7.3272766308643735</v>
      </c>
      <c r="L631" s="23">
        <v>58619747385</v>
      </c>
      <c r="M631" s="21">
        <v>4967246665</v>
      </c>
    </row>
    <row r="632" spans="2:13" x14ac:dyDescent="0.3">
      <c r="B632" s="4">
        <v>44769</v>
      </c>
      <c r="C632" s="24">
        <v>6.7548892904662079</v>
      </c>
      <c r="E632" s="4">
        <v>44770</v>
      </c>
      <c r="F632" s="23">
        <v>1632021617419</v>
      </c>
      <c r="G632" s="19">
        <v>2.3585101624754441</v>
      </c>
      <c r="H632" s="31">
        <v>1531264615643</v>
      </c>
      <c r="I632" s="31">
        <v>100757001776</v>
      </c>
      <c r="J632" s="21">
        <v>74542334168</v>
      </c>
      <c r="K632" s="19">
        <v>7.4022502018601264</v>
      </c>
      <c r="L632" s="23">
        <v>68685570105</v>
      </c>
      <c r="M632" s="21">
        <v>5856764063</v>
      </c>
    </row>
    <row r="633" spans="2:13" x14ac:dyDescent="0.3">
      <c r="B633" s="4">
        <v>44770</v>
      </c>
      <c r="C633" s="24">
        <v>6.8206580978366409</v>
      </c>
      <c r="E633" s="4">
        <v>44771</v>
      </c>
      <c r="F633" s="23">
        <v>1627471854375</v>
      </c>
      <c r="G633" s="19">
        <v>2.3727479543594789</v>
      </c>
      <c r="H633" s="31">
        <v>1527734161860</v>
      </c>
      <c r="I633" s="31">
        <v>99737692515</v>
      </c>
      <c r="J633" s="21">
        <v>71082591936</v>
      </c>
      <c r="K633" s="19">
        <v>7.0079169561326973</v>
      </c>
      <c r="L633" s="23">
        <v>65519434989</v>
      </c>
      <c r="M633" s="21">
        <v>5563156947</v>
      </c>
    </row>
    <row r="634" spans="2:13" x14ac:dyDescent="0.3">
      <c r="B634" s="4">
        <v>44771</v>
      </c>
      <c r="C634" s="24">
        <v>6.4594543742728474</v>
      </c>
      <c r="E634" s="4">
        <v>44774</v>
      </c>
      <c r="F634" s="23">
        <v>1631575211005</v>
      </c>
      <c r="G634" s="19">
        <v>2.3658865626289387</v>
      </c>
      <c r="H634" s="31">
        <v>1530526780112</v>
      </c>
      <c r="I634" s="31">
        <v>101048430893</v>
      </c>
      <c r="J634" s="21">
        <v>71202052133</v>
      </c>
      <c r="K634" s="19">
        <v>7.1668294453721453</v>
      </c>
      <c r="L634" s="23">
        <v>65673925386</v>
      </c>
      <c r="M634" s="21">
        <v>5528126747</v>
      </c>
    </row>
    <row r="635" spans="2:13" x14ac:dyDescent="0.3">
      <c r="B635" s="4">
        <v>44774</v>
      </c>
      <c r="C635" s="24">
        <v>6.6103968656742538</v>
      </c>
      <c r="E635" s="4">
        <v>44775</v>
      </c>
      <c r="F635" s="23">
        <v>1617896337942</v>
      </c>
      <c r="G635" s="19">
        <v>2.4057523654953377</v>
      </c>
      <c r="H635" s="31">
        <v>1518472476091</v>
      </c>
      <c r="I635" s="31">
        <v>99423861851</v>
      </c>
      <c r="J635" s="21">
        <v>79331864180</v>
      </c>
      <c r="K635" s="19">
        <v>6.7203603775631819</v>
      </c>
      <c r="L635" s="23">
        <v>72674611600</v>
      </c>
      <c r="M635" s="21">
        <v>6657252580</v>
      </c>
    </row>
    <row r="636" spans="2:13" x14ac:dyDescent="0.3">
      <c r="B636" s="4">
        <v>44775</v>
      </c>
      <c r="C636" s="24">
        <v>6.1564112390360526</v>
      </c>
      <c r="E636" s="4">
        <v>44776</v>
      </c>
      <c r="F636" s="23">
        <v>1614888373569</v>
      </c>
      <c r="G636" s="19">
        <v>2.4211152941709169</v>
      </c>
      <c r="H636" s="31">
        <v>1515401070541</v>
      </c>
      <c r="I636" s="31">
        <v>99487303028</v>
      </c>
      <c r="J636" s="21">
        <v>79301262448</v>
      </c>
      <c r="K636" s="19">
        <v>7.1147273850696413</v>
      </c>
      <c r="L636" s="23">
        <v>72666727554</v>
      </c>
      <c r="M636" s="21">
        <v>6634534894</v>
      </c>
    </row>
    <row r="637" spans="2:13" x14ac:dyDescent="0.3">
      <c r="B637" s="4">
        <v>44776</v>
      </c>
      <c r="C637" s="24">
        <v>6.5194921310471194</v>
      </c>
      <c r="E637" s="4">
        <v>44777</v>
      </c>
      <c r="F637" s="23">
        <v>1618795881433</v>
      </c>
      <c r="G637" s="19">
        <v>2.4061550171888793</v>
      </c>
      <c r="H637" s="31">
        <v>1517750758138</v>
      </c>
      <c r="I637" s="31">
        <v>101045123295</v>
      </c>
      <c r="J637" s="21">
        <v>63098033452</v>
      </c>
      <c r="K637" s="19">
        <v>7.0184707439616858</v>
      </c>
      <c r="L637" s="23">
        <v>56667222602</v>
      </c>
      <c r="M637" s="21">
        <v>6430810850</v>
      </c>
    </row>
    <row r="638" spans="2:13" x14ac:dyDescent="0.3">
      <c r="B638" s="4">
        <v>44777</v>
      </c>
      <c r="C638" s="24">
        <v>6.3031638581296399</v>
      </c>
      <c r="E638" s="4">
        <v>44778</v>
      </c>
      <c r="F638" s="23">
        <v>1619824064763</v>
      </c>
      <c r="G638" s="19">
        <v>2.3775313570886145</v>
      </c>
      <c r="H638" s="31">
        <v>1514591483546</v>
      </c>
      <c r="I638" s="31">
        <v>105232581217</v>
      </c>
      <c r="J638" s="21">
        <v>76063308215</v>
      </c>
      <c r="K638" s="19">
        <v>7.6435384909157955</v>
      </c>
      <c r="L638" s="23">
        <v>68590974430</v>
      </c>
      <c r="M638" s="21">
        <v>7472333785</v>
      </c>
    </row>
    <row r="639" spans="2:13" x14ac:dyDescent="0.3">
      <c r="B639" s="4">
        <v>44778</v>
      </c>
      <c r="C639" s="24">
        <v>6.892649892418647</v>
      </c>
      <c r="E639" s="4">
        <v>44781</v>
      </c>
      <c r="F639" s="23">
        <v>1624564295725</v>
      </c>
      <c r="G639" s="19">
        <v>2.3715370174679222</v>
      </c>
      <c r="H639" s="31">
        <v>1518632194045</v>
      </c>
      <c r="I639" s="31">
        <v>105932101680</v>
      </c>
      <c r="J639" s="21">
        <v>70324331980</v>
      </c>
      <c r="K639" s="19">
        <v>7.3849799921476951</v>
      </c>
      <c r="L639" s="23">
        <v>64714479340</v>
      </c>
      <c r="M639" s="21">
        <v>5609852640</v>
      </c>
    </row>
    <row r="640" spans="2:13" x14ac:dyDescent="0.3">
      <c r="B640" s="4">
        <v>44781</v>
      </c>
      <c r="C640" s="24">
        <v>6.7958716659274181</v>
      </c>
      <c r="E640" s="4">
        <v>44782</v>
      </c>
      <c r="F640" s="23">
        <v>1629827876374</v>
      </c>
      <c r="G640" s="19">
        <v>2.3700091729032629</v>
      </c>
      <c r="H640" s="31">
        <v>1523187930857</v>
      </c>
      <c r="I640" s="31">
        <v>106639945517</v>
      </c>
      <c r="J640" s="21">
        <v>70598267059</v>
      </c>
      <c r="K640" s="19">
        <v>7.4108048920905469</v>
      </c>
      <c r="L640" s="23">
        <v>65325703690</v>
      </c>
      <c r="M640" s="21">
        <v>5272563369</v>
      </c>
    </row>
    <row r="641" spans="2:13" x14ac:dyDescent="0.3">
      <c r="B641" s="4">
        <v>44782</v>
      </c>
      <c r="C641" s="24">
        <v>6.857336088441472</v>
      </c>
      <c r="E641" s="4">
        <v>44783</v>
      </c>
      <c r="F641" s="23">
        <v>1632447916545</v>
      </c>
      <c r="G641" s="19">
        <v>2.3848160022545324</v>
      </c>
      <c r="H641" s="31">
        <v>1526348361774</v>
      </c>
      <c r="I641" s="31">
        <v>106099554771</v>
      </c>
      <c r="J641" s="21">
        <v>71496178162</v>
      </c>
      <c r="K641" s="19">
        <v>7.401967322443026</v>
      </c>
      <c r="L641" s="23">
        <v>66328650507</v>
      </c>
      <c r="M641" s="21">
        <v>5167527655</v>
      </c>
    </row>
    <row r="642" spans="2:13" x14ac:dyDescent="0.3">
      <c r="B642" s="4">
        <v>44783</v>
      </c>
      <c r="C642" s="24">
        <v>6.8669754973770489</v>
      </c>
      <c r="E642" s="4">
        <v>44784</v>
      </c>
      <c r="F642" s="23">
        <v>1635823639316</v>
      </c>
      <c r="G642" s="19">
        <v>2.3508299083517765</v>
      </c>
      <c r="H642" s="31">
        <v>1527830160186</v>
      </c>
      <c r="I642" s="31">
        <v>107993479130</v>
      </c>
      <c r="J642" s="21">
        <v>83877800179</v>
      </c>
      <c r="K642" s="19">
        <v>7.8667813756143943</v>
      </c>
      <c r="L642" s="23">
        <v>78244252037</v>
      </c>
      <c r="M642" s="21">
        <v>5633548142</v>
      </c>
    </row>
    <row r="643" spans="2:13" x14ac:dyDescent="0.3">
      <c r="B643" s="4">
        <v>44784</v>
      </c>
      <c r="C643" s="24">
        <v>7.3384187873307747</v>
      </c>
      <c r="E643" s="4">
        <v>44785</v>
      </c>
      <c r="F643" s="23">
        <v>1629747472943</v>
      </c>
      <c r="G643" s="19">
        <v>2.3454014033826982</v>
      </c>
      <c r="H643" s="31">
        <v>1522318621934</v>
      </c>
      <c r="I643" s="31">
        <v>107428851009</v>
      </c>
      <c r="J643" s="21">
        <v>72210166235</v>
      </c>
      <c r="K643" s="19">
        <v>7.2266536836356305</v>
      </c>
      <c r="L643" s="23">
        <v>66608984860</v>
      </c>
      <c r="M643" s="21">
        <v>5601181375</v>
      </c>
    </row>
    <row r="644" spans="2:13" x14ac:dyDescent="0.3">
      <c r="B644" s="4">
        <v>44785</v>
      </c>
      <c r="C644" s="24">
        <v>6.6660982919664775</v>
      </c>
      <c r="E644" s="4">
        <v>44788</v>
      </c>
      <c r="F644" s="23">
        <v>1634884674820</v>
      </c>
      <c r="G644" s="19">
        <v>2.3486458587224033</v>
      </c>
      <c r="H644" s="31">
        <v>1527777003376</v>
      </c>
      <c r="I644" s="31">
        <v>107107671444</v>
      </c>
      <c r="J644" s="21">
        <v>74076004719</v>
      </c>
      <c r="K644" s="19">
        <v>7.5896204220808396</v>
      </c>
      <c r="L644" s="23">
        <v>68905424246</v>
      </c>
      <c r="M644" s="21">
        <v>5170580473</v>
      </c>
    </row>
    <row r="645" spans="2:13" x14ac:dyDescent="0.3">
      <c r="B645" s="4">
        <v>44788</v>
      </c>
      <c r="C645" s="24">
        <v>7.0598571971234909</v>
      </c>
      <c r="E645" s="4">
        <v>44789</v>
      </c>
      <c r="F645" s="23">
        <v>1638582068773</v>
      </c>
      <c r="G645" s="19">
        <v>2.3491757673517353</v>
      </c>
      <c r="H645" s="31">
        <v>1530483739115</v>
      </c>
      <c r="I645" s="31">
        <v>108098329658</v>
      </c>
      <c r="J645" s="21">
        <v>74940124732</v>
      </c>
      <c r="K645" s="19">
        <v>7.3473306699204093</v>
      </c>
      <c r="L645" s="23">
        <v>69260183741</v>
      </c>
      <c r="M645" s="21">
        <v>5679940991</v>
      </c>
    </row>
    <row r="646" spans="2:13" x14ac:dyDescent="0.3">
      <c r="B646" s="4">
        <v>44789</v>
      </c>
      <c r="C646" s="24">
        <v>6.7904540327950329</v>
      </c>
      <c r="E646" s="4">
        <v>44790</v>
      </c>
      <c r="F646" s="23">
        <v>1642264044669</v>
      </c>
      <c r="G646" s="19">
        <v>2.3408335061080994</v>
      </c>
      <c r="H646" s="31">
        <v>1533086559130</v>
      </c>
      <c r="I646" s="31">
        <v>109177485539</v>
      </c>
      <c r="J646" s="21">
        <v>81112747161</v>
      </c>
      <c r="K646" s="19">
        <v>7.550996034025963</v>
      </c>
      <c r="L646" s="23">
        <v>75211168913</v>
      </c>
      <c r="M646" s="21">
        <v>5901578248</v>
      </c>
    </row>
    <row r="647" spans="2:13" x14ac:dyDescent="0.3">
      <c r="B647" s="4">
        <v>44790</v>
      </c>
      <c r="C647" s="24">
        <v>7.0016028066373064</v>
      </c>
      <c r="E647" s="4">
        <v>44791</v>
      </c>
      <c r="F647" s="23">
        <v>1645917114167</v>
      </c>
      <c r="G647" s="19">
        <v>2.355132700625556</v>
      </c>
      <c r="H647" s="31">
        <v>1536274001563</v>
      </c>
      <c r="I647" s="31">
        <v>109643112604</v>
      </c>
      <c r="J647" s="21">
        <v>78906542332</v>
      </c>
      <c r="K647" s="19">
        <v>7.4875664383256471</v>
      </c>
      <c r="L647" s="23">
        <v>72915316081</v>
      </c>
      <c r="M647" s="21">
        <v>5991226251</v>
      </c>
    </row>
    <row r="648" spans="2:13" x14ac:dyDescent="0.3">
      <c r="B648" s="4">
        <v>44791</v>
      </c>
      <c r="C648" s="24">
        <v>6.9190495159561998</v>
      </c>
      <c r="E648" s="4">
        <v>44792</v>
      </c>
      <c r="F648" s="23">
        <v>1638516467432</v>
      </c>
      <c r="G648" s="19">
        <v>2.3625288524125514</v>
      </c>
      <c r="H648" s="31">
        <v>1530763997947</v>
      </c>
      <c r="I648" s="31">
        <v>107752469485</v>
      </c>
      <c r="J648" s="21">
        <v>79577129435</v>
      </c>
      <c r="K648" s="19">
        <v>7.1064467275722878</v>
      </c>
      <c r="L648" s="23">
        <v>74061234951</v>
      </c>
      <c r="M648" s="21">
        <v>5515894484</v>
      </c>
    </row>
    <row r="649" spans="2:13" x14ac:dyDescent="0.3">
      <c r="B649" s="4">
        <v>44792</v>
      </c>
      <c r="C649" s="24">
        <v>6.6138628585163701</v>
      </c>
      <c r="E649" s="4">
        <v>44795</v>
      </c>
      <c r="F649" s="23">
        <v>1641118165673</v>
      </c>
      <c r="G649" s="19">
        <v>2.3451543489622568</v>
      </c>
      <c r="H649" s="31">
        <v>1531987471412</v>
      </c>
      <c r="I649" s="31">
        <v>109130694261</v>
      </c>
      <c r="J649" s="21">
        <v>73988483445</v>
      </c>
      <c r="K649" s="19">
        <v>7.2110200948069334</v>
      </c>
      <c r="L649" s="23">
        <v>68033561019</v>
      </c>
      <c r="M649" s="21">
        <v>5954922426</v>
      </c>
    </row>
    <row r="650" spans="2:13" x14ac:dyDescent="0.3">
      <c r="B650" s="4">
        <v>44795</v>
      </c>
      <c r="C650" s="24">
        <v>6.6306451056530733</v>
      </c>
      <c r="E650" s="4">
        <v>44796</v>
      </c>
      <c r="F650" s="23">
        <v>1645146998769</v>
      </c>
      <c r="G650" s="19">
        <v>2.3533349357770206</v>
      </c>
      <c r="H650" s="31">
        <v>1534899195749</v>
      </c>
      <c r="I650" s="31">
        <v>110247803020</v>
      </c>
      <c r="J650" s="21">
        <v>74722644662</v>
      </c>
      <c r="K650" s="19">
        <v>7.4579635858223883</v>
      </c>
      <c r="L650" s="23">
        <v>68403222674</v>
      </c>
      <c r="M650" s="21">
        <v>6319421988</v>
      </c>
    </row>
    <row r="651" spans="2:13" x14ac:dyDescent="0.3">
      <c r="B651" s="4">
        <v>44796</v>
      </c>
      <c r="C651" s="24">
        <v>6.8272308369597505</v>
      </c>
      <c r="E651" s="4">
        <v>44797</v>
      </c>
      <c r="F651" s="23">
        <v>1636574231066</v>
      </c>
      <c r="G651" s="19">
        <v>2.3942195467250977</v>
      </c>
      <c r="H651" s="31">
        <v>1529359669298</v>
      </c>
      <c r="I651" s="31">
        <v>107214561768</v>
      </c>
      <c r="J651" s="21">
        <v>79324062294</v>
      </c>
      <c r="K651" s="19">
        <v>7.0475277211614076</v>
      </c>
      <c r="L651" s="23">
        <v>73107200376</v>
      </c>
      <c r="M651" s="21">
        <v>6216861918</v>
      </c>
    </row>
    <row r="652" spans="2:13" x14ac:dyDescent="0.3">
      <c r="B652" s="4">
        <v>44797</v>
      </c>
      <c r="C652" s="24">
        <v>6.4951920812725801</v>
      </c>
      <c r="E652" s="4">
        <v>44798</v>
      </c>
      <c r="F652" s="23">
        <v>1633819601289</v>
      </c>
      <c r="G652" s="19">
        <v>2.3776356528890865</v>
      </c>
      <c r="H652" s="31">
        <v>1526286896277</v>
      </c>
      <c r="I652" s="31">
        <v>107532705012</v>
      </c>
      <c r="J652" s="21">
        <v>68747050161</v>
      </c>
      <c r="K652" s="19">
        <v>6.9717698036849596</v>
      </c>
      <c r="L652" s="23">
        <v>62638054835</v>
      </c>
      <c r="M652" s="21">
        <v>6108995326</v>
      </c>
    </row>
    <row r="653" spans="2:13" x14ac:dyDescent="0.3">
      <c r="B653" s="4">
        <v>44798</v>
      </c>
      <c r="C653" s="24">
        <v>6.3522449070542555</v>
      </c>
      <c r="E653" s="4">
        <v>44799</v>
      </c>
      <c r="F653" s="23">
        <v>1628498495796</v>
      </c>
      <c r="G653" s="19">
        <v>2.3767013670776742</v>
      </c>
      <c r="H653" s="31">
        <v>1520947388193</v>
      </c>
      <c r="I653" s="31">
        <v>107551107603</v>
      </c>
      <c r="J653" s="21">
        <v>60662686356</v>
      </c>
      <c r="K653" s="19">
        <v>6.5309042867747005</v>
      </c>
      <c r="L653" s="23">
        <v>55359434324</v>
      </c>
      <c r="M653" s="21">
        <v>5303252032</v>
      </c>
    </row>
    <row r="654" spans="2:13" x14ac:dyDescent="0.3">
      <c r="B654" s="4">
        <v>44799</v>
      </c>
      <c r="C654" s="24">
        <v>5.9599597158999593</v>
      </c>
      <c r="E654" s="4">
        <v>44802</v>
      </c>
      <c r="F654" s="23">
        <v>1629149130355</v>
      </c>
      <c r="G654" s="19">
        <v>2.3729640602521593</v>
      </c>
      <c r="H654" s="31">
        <v>1521870409427</v>
      </c>
      <c r="I654" s="31">
        <v>107278720928</v>
      </c>
      <c r="J654" s="21">
        <v>55918986260</v>
      </c>
      <c r="K654" s="19">
        <v>6.6134395497343279</v>
      </c>
      <c r="L654" s="23">
        <v>50270117138</v>
      </c>
      <c r="M654" s="21">
        <v>5648869122</v>
      </c>
    </row>
    <row r="655" spans="2:13" x14ac:dyDescent="0.3">
      <c r="B655" s="4">
        <v>44802</v>
      </c>
      <c r="C655" s="24">
        <v>5.9453577950149814</v>
      </c>
      <c r="E655" s="4">
        <v>44803</v>
      </c>
      <c r="F655" s="23">
        <v>1627188585179</v>
      </c>
      <c r="G655" s="19">
        <v>2.3792242545066102</v>
      </c>
      <c r="H655" s="31">
        <v>1520934041375</v>
      </c>
      <c r="I655" s="31">
        <v>106254543804</v>
      </c>
      <c r="J655" s="21">
        <v>54654247458</v>
      </c>
      <c r="K655" s="19">
        <v>6.5204138462850931</v>
      </c>
      <c r="L655" s="23">
        <v>49418607755</v>
      </c>
      <c r="M655" s="21">
        <v>5235639703</v>
      </c>
    </row>
    <row r="656" spans="2:13" x14ac:dyDescent="0.3">
      <c r="B656" s="4">
        <v>44803</v>
      </c>
      <c r="C656" s="24">
        <v>5.8957864988893478</v>
      </c>
      <c r="E656" s="4">
        <v>44804</v>
      </c>
      <c r="F656" s="23">
        <v>1615378836518</v>
      </c>
      <c r="G656" s="19">
        <v>2.3891407874560291</v>
      </c>
      <c r="H656" s="31">
        <v>1510646316582</v>
      </c>
      <c r="I656" s="31">
        <v>104732519936</v>
      </c>
      <c r="J656" s="21">
        <v>63440844004</v>
      </c>
      <c r="K656" s="19">
        <v>6.3318923785400534</v>
      </c>
      <c r="L656" s="23">
        <v>56958382624</v>
      </c>
      <c r="M656" s="21">
        <v>6482461380</v>
      </c>
    </row>
    <row r="657" spans="2:13" x14ac:dyDescent="0.3">
      <c r="B657" s="4">
        <v>44804</v>
      </c>
      <c r="C657" s="24">
        <v>5.6848920359277413</v>
      </c>
      <c r="E657" s="4">
        <v>44805</v>
      </c>
      <c r="F657" s="23">
        <v>1610996429724</v>
      </c>
      <c r="G657" s="19">
        <v>2.3972477603167595</v>
      </c>
      <c r="H657" s="31">
        <v>1506717685928</v>
      </c>
      <c r="I657" s="31">
        <v>104278743796</v>
      </c>
      <c r="J657" s="21">
        <v>48792488420</v>
      </c>
      <c r="K657" s="19">
        <v>6.1414642469233813</v>
      </c>
      <c r="L657" s="23">
        <v>43510070847</v>
      </c>
      <c r="M657" s="21">
        <v>5282417573</v>
      </c>
    </row>
    <row r="658" spans="2:13" x14ac:dyDescent="0.3">
      <c r="B658" s="4">
        <v>44805</v>
      </c>
      <c r="C658" s="24">
        <v>5.4765713563898171</v>
      </c>
      <c r="E658" s="4">
        <v>44806</v>
      </c>
      <c r="F658" s="23">
        <v>1607931877201</v>
      </c>
      <c r="G658" s="19">
        <v>2.388189702223273</v>
      </c>
      <c r="H658" s="31">
        <v>1503442858286</v>
      </c>
      <c r="I658" s="31">
        <v>104489018915</v>
      </c>
      <c r="J658" s="21">
        <v>47329327538</v>
      </c>
      <c r="K658" s="19">
        <v>6.3408229190766434</v>
      </c>
      <c r="L658" s="23">
        <v>42253670916</v>
      </c>
      <c r="M658" s="21">
        <v>5075656622</v>
      </c>
    </row>
    <row r="659" spans="2:13" x14ac:dyDescent="0.3">
      <c r="B659" s="4">
        <v>44806</v>
      </c>
      <c r="C659" s="24">
        <v>5.6608250929444042</v>
      </c>
      <c r="E659" s="4">
        <v>44809</v>
      </c>
      <c r="F659" s="23">
        <v>1609525159459</v>
      </c>
      <c r="G659" s="19">
        <v>2.3842914318180646</v>
      </c>
      <c r="H659" s="31">
        <v>1504379233730</v>
      </c>
      <c r="I659" s="31">
        <v>105145925729</v>
      </c>
      <c r="J659" s="21">
        <v>50658572969</v>
      </c>
      <c r="K659" s="19">
        <v>6.5843118343166216</v>
      </c>
      <c r="L659" s="23">
        <v>45327648967</v>
      </c>
      <c r="M659" s="21">
        <v>5330924002</v>
      </c>
    </row>
    <row r="660" spans="2:13" x14ac:dyDescent="0.3">
      <c r="B660" s="4">
        <v>44809</v>
      </c>
      <c r="C660" s="24">
        <v>5.8914287952367301</v>
      </c>
      <c r="E660" s="4">
        <v>44810</v>
      </c>
      <c r="F660" s="23">
        <v>1611317826660</v>
      </c>
      <c r="G660" s="19">
        <v>2.3559392159173225</v>
      </c>
      <c r="H660" s="31">
        <v>1504532003931</v>
      </c>
      <c r="I660" s="31">
        <v>106785822729</v>
      </c>
      <c r="J660" s="21">
        <v>60271883421</v>
      </c>
      <c r="K660" s="19">
        <v>6.9371547270498004</v>
      </c>
      <c r="L660" s="23">
        <v>55223869547</v>
      </c>
      <c r="M660" s="21">
        <v>5048013874</v>
      </c>
    </row>
    <row r="661" spans="2:13" x14ac:dyDescent="0.3">
      <c r="B661" s="4">
        <v>44810</v>
      </c>
      <c r="C661" s="24">
        <v>6.3561399765462383</v>
      </c>
      <c r="E661" s="4">
        <v>44811</v>
      </c>
      <c r="F661" s="23">
        <v>1614521012524</v>
      </c>
      <c r="G661" s="19">
        <v>2.3559995328360714</v>
      </c>
      <c r="H661" s="31">
        <v>1506618355121</v>
      </c>
      <c r="I661" s="31">
        <v>107902657403</v>
      </c>
      <c r="J661" s="21">
        <v>60098622965</v>
      </c>
      <c r="K661" s="19">
        <v>6.8948884914973965</v>
      </c>
      <c r="L661" s="23">
        <v>54962069084</v>
      </c>
      <c r="M661" s="21">
        <v>5136553881</v>
      </c>
    </row>
    <row r="662" spans="2:13" x14ac:dyDescent="0.3">
      <c r="B662" s="4">
        <v>44811</v>
      </c>
      <c r="C662" s="24">
        <v>6.305591025219532</v>
      </c>
      <c r="E662" s="4">
        <v>44812</v>
      </c>
      <c r="F662" s="23">
        <v>1612381505167</v>
      </c>
      <c r="G662" s="19">
        <v>2.364488074957761</v>
      </c>
      <c r="H662" s="31">
        <v>1505185018277</v>
      </c>
      <c r="I662" s="31">
        <v>107196486890</v>
      </c>
      <c r="J662" s="21">
        <v>52195499031</v>
      </c>
      <c r="K662" s="19">
        <v>6.6240101467068486</v>
      </c>
      <c r="L662" s="23">
        <v>47624135181</v>
      </c>
      <c r="M662" s="21">
        <v>4571363850</v>
      </c>
    </row>
    <row r="663" spans="2:13" x14ac:dyDescent="0.3">
      <c r="B663" s="4">
        <v>44812</v>
      </c>
      <c r="C663" s="24">
        <v>6.043868925934067</v>
      </c>
      <c r="E663" s="4">
        <v>44813</v>
      </c>
      <c r="F663" s="23">
        <v>1603758624038</v>
      </c>
      <c r="G663" s="19">
        <v>2.3321766836248945</v>
      </c>
      <c r="H663" s="31">
        <v>1497110476315</v>
      </c>
      <c r="I663" s="31">
        <v>106648147723</v>
      </c>
      <c r="J663" s="21">
        <v>51200225402</v>
      </c>
      <c r="K663" s="19">
        <v>6.5697661777133289</v>
      </c>
      <c r="L663" s="23">
        <v>46806399280</v>
      </c>
      <c r="M663" s="21">
        <v>4393826122</v>
      </c>
    </row>
    <row r="664" spans="2:13" x14ac:dyDescent="0.3">
      <c r="B664" s="4">
        <v>44813</v>
      </c>
      <c r="C664" s="24">
        <v>6.0059715846148913</v>
      </c>
      <c r="E664" s="4">
        <v>44817</v>
      </c>
      <c r="F664" s="23">
        <v>1606560840928</v>
      </c>
      <c r="G664" s="19">
        <v>2.331731079750567</v>
      </c>
      <c r="H664" s="31">
        <v>1499327757312</v>
      </c>
      <c r="I664" s="31">
        <v>107233083616</v>
      </c>
      <c r="J664" s="21">
        <v>53482762055</v>
      </c>
      <c r="K664" s="19">
        <v>6.9362222498714878</v>
      </c>
      <c r="L664" s="23">
        <v>48551444244</v>
      </c>
      <c r="M664" s="21">
        <v>4931317811</v>
      </c>
    </row>
    <row r="665" spans="2:13" x14ac:dyDescent="0.3">
      <c r="B665" s="4">
        <v>44817</v>
      </c>
      <c r="C665" s="24">
        <v>6.296675693044997</v>
      </c>
      <c r="E665" s="4">
        <v>44818</v>
      </c>
      <c r="F665" s="23">
        <v>1605559572955</v>
      </c>
      <c r="G665" s="19">
        <v>2.3519759962775857</v>
      </c>
      <c r="H665" s="31">
        <v>1498981047064</v>
      </c>
      <c r="I665" s="31">
        <v>106578525891</v>
      </c>
      <c r="J665" s="21">
        <v>49933765672</v>
      </c>
      <c r="K665" s="19">
        <v>6.9124202810824142</v>
      </c>
      <c r="L665" s="23">
        <v>45223187637</v>
      </c>
      <c r="M665" s="21">
        <v>4710578035</v>
      </c>
    </row>
    <row r="666" spans="2:13" x14ac:dyDescent="0.3">
      <c r="B666" s="4">
        <v>44818</v>
      </c>
      <c r="C666" s="24">
        <v>6.2603265583970051</v>
      </c>
      <c r="E666" s="4">
        <v>44819</v>
      </c>
      <c r="F666" s="23">
        <v>1598399948166</v>
      </c>
      <c r="G666" s="19">
        <v>2.3774069692902757</v>
      </c>
      <c r="H666" s="31">
        <v>1493409168890</v>
      </c>
      <c r="I666" s="31">
        <v>104990779276</v>
      </c>
      <c r="J666" s="21">
        <v>62313041620</v>
      </c>
      <c r="K666" s="19">
        <v>6.7822983989922365</v>
      </c>
      <c r="L666" s="23">
        <v>56146184774</v>
      </c>
      <c r="M666" s="21">
        <v>6166856846</v>
      </c>
    </row>
    <row r="667" spans="2:13" x14ac:dyDescent="0.3">
      <c r="B667" s="4">
        <v>44819</v>
      </c>
      <c r="C667" s="24">
        <v>6.1110831569486548</v>
      </c>
      <c r="E667" s="4">
        <v>44820</v>
      </c>
      <c r="F667" s="23">
        <v>1590958208979</v>
      </c>
      <c r="G667" s="19">
        <v>2.4222145750653219</v>
      </c>
      <c r="H667" s="31">
        <v>1487843542859</v>
      </c>
      <c r="I667" s="31">
        <v>103114666120</v>
      </c>
      <c r="J667" s="21">
        <v>51453552199</v>
      </c>
      <c r="K667" s="19">
        <v>6.440755158390254</v>
      </c>
      <c r="L667" s="23">
        <v>46035493936</v>
      </c>
      <c r="M667" s="21">
        <v>5418058263</v>
      </c>
    </row>
    <row r="668" spans="2:13" x14ac:dyDescent="0.3">
      <c r="B668" s="4">
        <v>44820</v>
      </c>
      <c r="C668" s="24">
        <v>5.7625437382940845</v>
      </c>
      <c r="E668" s="4">
        <v>44823</v>
      </c>
      <c r="F668" s="23">
        <v>1587876208683</v>
      </c>
      <c r="G668" s="19">
        <v>2.4255784389944317</v>
      </c>
      <c r="H668" s="31">
        <v>1484971722508</v>
      </c>
      <c r="I668" s="31">
        <v>102904486175</v>
      </c>
      <c r="J668" s="21">
        <v>41485285570</v>
      </c>
      <c r="K668" s="19">
        <v>6.2371588593754694</v>
      </c>
      <c r="L668" s="23">
        <v>36176209198</v>
      </c>
      <c r="M668" s="21">
        <v>5309076372</v>
      </c>
    </row>
    <row r="669" spans="2:13" x14ac:dyDescent="0.3">
      <c r="B669" s="4">
        <v>44823</v>
      </c>
      <c r="C669" s="24">
        <v>5.4389589127257878</v>
      </c>
      <c r="E669" s="4">
        <v>44824</v>
      </c>
      <c r="F669" s="23">
        <v>1590274990172</v>
      </c>
      <c r="G669" s="19">
        <v>2.4169320865934081</v>
      </c>
      <c r="H669" s="31">
        <v>1485755413117</v>
      </c>
      <c r="I669" s="31">
        <v>104519577055</v>
      </c>
      <c r="J669" s="21">
        <v>44447406315</v>
      </c>
      <c r="K669" s="19">
        <v>6.8304170841551715</v>
      </c>
      <c r="L669" s="23">
        <v>39124667096</v>
      </c>
      <c r="M669" s="21">
        <v>5322739219</v>
      </c>
    </row>
    <row r="670" spans="2:13" x14ac:dyDescent="0.3">
      <c r="B670" s="4">
        <v>44824</v>
      </c>
      <c r="C670" s="24">
        <v>6.0124496950503801</v>
      </c>
      <c r="E670" s="4">
        <v>44825</v>
      </c>
      <c r="F670" s="23">
        <v>1590243374005</v>
      </c>
      <c r="G670" s="19">
        <v>2.4218734206296086</v>
      </c>
      <c r="H670" s="31">
        <v>1486373982927</v>
      </c>
      <c r="I670" s="31">
        <v>103869391078</v>
      </c>
      <c r="J670" s="21">
        <v>41685540632</v>
      </c>
      <c r="K670" s="19">
        <v>6.5566254311124146</v>
      </c>
      <c r="L670" s="23">
        <v>36990732214</v>
      </c>
      <c r="M670" s="21">
        <v>4694808418</v>
      </c>
    </row>
    <row r="671" spans="2:13" x14ac:dyDescent="0.3">
      <c r="B671" s="4">
        <v>44825</v>
      </c>
      <c r="C671" s="24">
        <v>5.8181895178204686</v>
      </c>
      <c r="E671" s="4">
        <v>44826</v>
      </c>
      <c r="F671" s="23">
        <v>1588043653893</v>
      </c>
      <c r="G671" s="19">
        <v>2.4288439520942169</v>
      </c>
      <c r="H671" s="31">
        <v>1484471790186</v>
      </c>
      <c r="I671" s="31">
        <v>103571863707</v>
      </c>
      <c r="J671" s="21">
        <v>42182380990</v>
      </c>
      <c r="K671" s="19">
        <v>6.6090152035022394</v>
      </c>
      <c r="L671" s="23">
        <v>37847211005</v>
      </c>
      <c r="M671" s="21">
        <v>4335169985</v>
      </c>
    </row>
    <row r="672" spans="2:13" x14ac:dyDescent="0.3">
      <c r="B672" s="4">
        <v>44826</v>
      </c>
      <c r="C672" s="24">
        <v>5.9297931285931966</v>
      </c>
      <c r="E672" s="4">
        <v>44827</v>
      </c>
      <c r="F672" s="23">
        <v>1579191643693</v>
      </c>
      <c r="G672" s="19">
        <v>2.4368087476610047</v>
      </c>
      <c r="H672" s="31">
        <v>1477065570078</v>
      </c>
      <c r="I672" s="31">
        <v>102126073615</v>
      </c>
      <c r="J672" s="21">
        <v>41877640021</v>
      </c>
      <c r="K672" s="19">
        <v>6.2773080493257121</v>
      </c>
      <c r="L672" s="23">
        <v>37363816870</v>
      </c>
      <c r="M672" s="21">
        <v>4513823151</v>
      </c>
    </row>
    <row r="673" spans="2:13" x14ac:dyDescent="0.3">
      <c r="B673" s="4">
        <v>44827</v>
      </c>
      <c r="C673" s="24">
        <v>5.6007021473504253</v>
      </c>
      <c r="E673" s="4">
        <v>44830</v>
      </c>
      <c r="F673" s="23">
        <v>1572911392844</v>
      </c>
      <c r="G673" s="19">
        <v>2.4510080626635449</v>
      </c>
      <c r="H673" s="31">
        <v>1472607296678</v>
      </c>
      <c r="I673" s="31">
        <v>100304096166</v>
      </c>
      <c r="J673" s="21">
        <v>40937356553</v>
      </c>
      <c r="K673" s="19">
        <v>6.1355557270752223</v>
      </c>
      <c r="L673" s="23">
        <v>36490054704</v>
      </c>
      <c r="M673" s="21">
        <v>4447301849</v>
      </c>
    </row>
    <row r="674" spans="2:13" x14ac:dyDescent="0.3">
      <c r="B674" s="4">
        <v>44830</v>
      </c>
      <c r="C674" s="24">
        <v>5.4690088215773747</v>
      </c>
      <c r="E674" s="4">
        <v>44831</v>
      </c>
      <c r="F674" s="23">
        <v>1572836883358</v>
      </c>
      <c r="G674" s="19">
        <v>2.4110229713242206</v>
      </c>
      <c r="H674" s="31">
        <v>1471195993491</v>
      </c>
      <c r="I674" s="31">
        <v>101640889867</v>
      </c>
      <c r="J674" s="21">
        <v>42656832409</v>
      </c>
      <c r="K674" s="19">
        <v>6.406209670072287</v>
      </c>
      <c r="L674" s="23">
        <v>37870023771</v>
      </c>
      <c r="M674" s="21">
        <v>4786808638</v>
      </c>
    </row>
    <row r="675" spans="2:13" x14ac:dyDescent="0.3">
      <c r="B675" s="4">
        <v>44831</v>
      </c>
      <c r="C675" s="24">
        <v>5.6873260105563217</v>
      </c>
      <c r="E675" s="4">
        <v>44832</v>
      </c>
      <c r="F675" s="23">
        <v>1563114054320</v>
      </c>
      <c r="G675" s="19">
        <v>2.4428639016365681</v>
      </c>
      <c r="H675" s="31">
        <v>1463996937749</v>
      </c>
      <c r="I675" s="31">
        <v>99117116571</v>
      </c>
      <c r="J675" s="21">
        <v>38306828087</v>
      </c>
      <c r="K675" s="19">
        <v>5.9209340903104053</v>
      </c>
      <c r="L675" s="23">
        <v>33917737472</v>
      </c>
      <c r="M675" s="21">
        <v>4389090615</v>
      </c>
    </row>
    <row r="676" spans="2:13" x14ac:dyDescent="0.3">
      <c r="B676" s="4">
        <v>44832</v>
      </c>
      <c r="C676" s="24">
        <v>5.2425298071681468</v>
      </c>
      <c r="E676" s="4">
        <v>44833</v>
      </c>
      <c r="F676" s="23">
        <v>1557665181256</v>
      </c>
      <c r="G676" s="19">
        <v>2.4344464094000049</v>
      </c>
      <c r="H676" s="31">
        <v>1459872885035</v>
      </c>
      <c r="I676" s="31">
        <v>97792296221</v>
      </c>
      <c r="J676" s="21">
        <v>37456067083</v>
      </c>
      <c r="K676" s="19">
        <v>5.9993254179595041</v>
      </c>
      <c r="L676" s="23">
        <v>33931765638</v>
      </c>
      <c r="M676" s="21">
        <v>3524301445</v>
      </c>
    </row>
    <row r="677" spans="2:13" x14ac:dyDescent="0.3">
      <c r="B677" s="4">
        <v>44833</v>
      </c>
      <c r="C677" s="24">
        <v>5.4348392642827834</v>
      </c>
      <c r="E677" s="4">
        <v>44834</v>
      </c>
      <c r="F677" s="23">
        <v>1538235558076</v>
      </c>
      <c r="G677" s="19">
        <v>2.4212573250576357</v>
      </c>
      <c r="H677" s="31">
        <v>1443562961433</v>
      </c>
      <c r="I677" s="31">
        <v>94672596643</v>
      </c>
      <c r="J677" s="21">
        <v>29883218133</v>
      </c>
      <c r="K677" s="19">
        <v>5.3303815824043381</v>
      </c>
      <c r="L677" s="23">
        <v>26367712384</v>
      </c>
      <c r="M677" s="21">
        <v>3515505749</v>
      </c>
    </row>
    <row r="678" spans="2:13" x14ac:dyDescent="0.3">
      <c r="B678" s="4">
        <v>44834</v>
      </c>
      <c r="C678" s="24">
        <v>4.7033076503430271</v>
      </c>
      <c r="E678" s="4">
        <v>44844</v>
      </c>
      <c r="F678" s="23">
        <v>1536662772466</v>
      </c>
      <c r="G678" s="19">
        <v>2.4639162816162661</v>
      </c>
      <c r="H678" s="31">
        <v>1444248920913</v>
      </c>
      <c r="I678" s="31">
        <v>92413851553</v>
      </c>
      <c r="J678" s="21">
        <v>39589266766</v>
      </c>
      <c r="K678" s="19">
        <v>6.307084150213683</v>
      </c>
      <c r="L678" s="23">
        <v>35884874900</v>
      </c>
      <c r="M678" s="21">
        <v>3704391866</v>
      </c>
    </row>
    <row r="679" spans="2:13" x14ac:dyDescent="0.3">
      <c r="B679" s="4">
        <v>44844</v>
      </c>
      <c r="C679" s="24">
        <v>5.7169264349337814</v>
      </c>
      <c r="E679" s="4">
        <v>44845</v>
      </c>
      <c r="F679" s="23">
        <v>1537051112417</v>
      </c>
      <c r="G679" s="19">
        <v>2.4552262665672822</v>
      </c>
      <c r="H679" s="31">
        <v>1443429697155</v>
      </c>
      <c r="I679" s="31">
        <v>93621415262</v>
      </c>
      <c r="J679" s="21">
        <v>34554411194</v>
      </c>
      <c r="K679" s="19">
        <v>6.1307656400521742</v>
      </c>
      <c r="L679" s="23">
        <v>30491848733</v>
      </c>
      <c r="M679" s="21">
        <v>4062562461</v>
      </c>
    </row>
    <row r="680" spans="2:13" x14ac:dyDescent="0.3">
      <c r="B680" s="4">
        <v>44845</v>
      </c>
      <c r="C680" s="24">
        <v>5.4099714639734522</v>
      </c>
      <c r="E680" s="4">
        <v>44846</v>
      </c>
      <c r="F680" s="23">
        <v>1542276307578</v>
      </c>
      <c r="G680" s="19">
        <v>2.4189213656512525</v>
      </c>
      <c r="H680" s="31">
        <v>1444795233610</v>
      </c>
      <c r="I680" s="31">
        <v>97481073968</v>
      </c>
      <c r="J680" s="21">
        <v>50024089312</v>
      </c>
      <c r="K680" s="19">
        <v>7.0464302904837837</v>
      </c>
      <c r="L680" s="23">
        <v>44561046888</v>
      </c>
      <c r="M680" s="21">
        <v>5463042424</v>
      </c>
    </row>
    <row r="681" spans="2:13" x14ac:dyDescent="0.3">
      <c r="B681" s="4">
        <v>44846</v>
      </c>
      <c r="C681" s="24">
        <v>6.2769020862904243</v>
      </c>
      <c r="E681" s="4">
        <v>44847</v>
      </c>
      <c r="F681" s="23">
        <v>1544006500096</v>
      </c>
      <c r="G681" s="19">
        <v>2.4259891161264342</v>
      </c>
      <c r="H681" s="31">
        <v>1445754692572</v>
      </c>
      <c r="I681" s="31">
        <v>98251807524</v>
      </c>
      <c r="J681" s="21">
        <v>48639238066</v>
      </c>
      <c r="K681" s="19">
        <v>6.6800569166077999</v>
      </c>
      <c r="L681" s="23">
        <v>43800983283</v>
      </c>
      <c r="M681" s="21">
        <v>4838254783</v>
      </c>
    </row>
    <row r="682" spans="2:13" x14ac:dyDescent="0.3">
      <c r="B682" s="4">
        <v>44847</v>
      </c>
      <c r="C682" s="24">
        <v>6.0155765790738478</v>
      </c>
      <c r="E682" s="4">
        <v>44848</v>
      </c>
      <c r="F682" s="23">
        <v>1545432271730</v>
      </c>
      <c r="G682" s="19">
        <v>2.3775081430493525</v>
      </c>
      <c r="H682" s="31">
        <v>1443944283419</v>
      </c>
      <c r="I682" s="31">
        <v>101487988311</v>
      </c>
      <c r="J682" s="21">
        <v>61918672991</v>
      </c>
      <c r="K682" s="19">
        <v>7.1954660626292926</v>
      </c>
      <c r="L682" s="23">
        <v>56566514333</v>
      </c>
      <c r="M682" s="21">
        <v>5352158658</v>
      </c>
    </row>
    <row r="683" spans="2:13" x14ac:dyDescent="0.3">
      <c r="B683" s="4">
        <v>44848</v>
      </c>
      <c r="C683" s="24">
        <v>6.5735006017247244</v>
      </c>
      <c r="E683" s="4">
        <v>44851</v>
      </c>
      <c r="F683" s="23">
        <v>1548695881930</v>
      </c>
      <c r="G683" s="19">
        <v>2.3693830078229885</v>
      </c>
      <c r="H683" s="31">
        <v>1446331392733</v>
      </c>
      <c r="I683" s="31">
        <v>102364489197</v>
      </c>
      <c r="J683" s="21">
        <v>57136596084</v>
      </c>
      <c r="K683" s="19">
        <v>7.0791734890002092</v>
      </c>
      <c r="L683" s="23">
        <v>52250882821</v>
      </c>
      <c r="M683" s="21">
        <v>4885713263</v>
      </c>
    </row>
    <row r="684" spans="2:13" x14ac:dyDescent="0.3">
      <c r="B684" s="4">
        <v>44851</v>
      </c>
      <c r="C684" s="24">
        <v>6.473837956665764</v>
      </c>
      <c r="E684" s="4">
        <v>44852</v>
      </c>
      <c r="F684" s="23">
        <v>1552802906333</v>
      </c>
      <c r="G684" s="19">
        <v>2.3745020114914275</v>
      </c>
      <c r="H684" s="31">
        <v>1448446742358</v>
      </c>
      <c r="I684" s="31">
        <v>104356163975</v>
      </c>
      <c r="J684" s="21">
        <v>56620446329</v>
      </c>
      <c r="K684" s="19">
        <v>7.1347166148554377</v>
      </c>
      <c r="L684" s="23">
        <v>50745554029</v>
      </c>
      <c r="M684" s="21">
        <v>5874892300</v>
      </c>
    </row>
    <row r="685" spans="2:13" x14ac:dyDescent="0.3">
      <c r="B685" s="4">
        <v>44852</v>
      </c>
      <c r="C685" s="24">
        <v>6.3944241159277526</v>
      </c>
      <c r="E685" s="4">
        <v>44853</v>
      </c>
      <c r="F685" s="23">
        <v>1553772126437</v>
      </c>
      <c r="G685" s="19">
        <v>2.4049693520878797</v>
      </c>
      <c r="H685" s="31">
        <v>1450330082370</v>
      </c>
      <c r="I685" s="31">
        <v>103442044067</v>
      </c>
      <c r="J685" s="21">
        <v>52096763785</v>
      </c>
      <c r="K685" s="19">
        <v>6.8711257922625455</v>
      </c>
      <c r="L685" s="23">
        <v>47112720752</v>
      </c>
      <c r="M685" s="21">
        <v>4984043033</v>
      </c>
    </row>
    <row r="686" spans="2:13" x14ac:dyDescent="0.3">
      <c r="B686" s="4">
        <v>44853</v>
      </c>
      <c r="C686" s="24">
        <v>6.2137723571216661</v>
      </c>
      <c r="E686" s="4">
        <v>44854</v>
      </c>
      <c r="F686" s="23">
        <v>1555744781901</v>
      </c>
      <c r="G686" s="19">
        <v>2.4180697406469207</v>
      </c>
      <c r="H686" s="31">
        <v>1450919260697</v>
      </c>
      <c r="I686" s="31">
        <v>104825521204</v>
      </c>
      <c r="J686" s="21">
        <v>56676931082</v>
      </c>
      <c r="K686" s="19">
        <v>7.1201898640947574</v>
      </c>
      <c r="L686" s="23">
        <v>50063528511</v>
      </c>
      <c r="M686" s="21">
        <v>6613402571</v>
      </c>
    </row>
    <row r="687" spans="2:13" x14ac:dyDescent="0.3">
      <c r="B687" s="4">
        <v>44854</v>
      </c>
      <c r="C687" s="24">
        <v>6.2893636169028504</v>
      </c>
      <c r="E687" s="4">
        <v>44855</v>
      </c>
      <c r="F687" s="23">
        <v>1551608718126</v>
      </c>
      <c r="G687" s="19">
        <v>2.4126081054974655</v>
      </c>
      <c r="H687" s="31">
        <v>1446717881612</v>
      </c>
      <c r="I687" s="31">
        <v>104890836514</v>
      </c>
      <c r="J687" s="21">
        <v>47688348268</v>
      </c>
      <c r="K687" s="19">
        <v>6.6964097606046966</v>
      </c>
      <c r="L687" s="23">
        <v>42048456311</v>
      </c>
      <c r="M687" s="21">
        <v>5639891957</v>
      </c>
    </row>
    <row r="688" spans="2:13" x14ac:dyDescent="0.3">
      <c r="B688" s="4">
        <v>44855</v>
      </c>
      <c r="C688" s="24">
        <v>5.9044547250189225</v>
      </c>
      <c r="E688" s="4">
        <v>44858</v>
      </c>
      <c r="F688" s="23">
        <v>1553273258001</v>
      </c>
      <c r="G688" s="19">
        <v>2.4634644701161381</v>
      </c>
      <c r="H688" s="31">
        <v>1449655873797</v>
      </c>
      <c r="I688" s="31">
        <v>103617384204</v>
      </c>
      <c r="J688" s="21">
        <v>67154413444</v>
      </c>
      <c r="K688" s="19">
        <v>7.6258049911539816</v>
      </c>
      <c r="L688" s="23">
        <v>61355225986</v>
      </c>
      <c r="M688" s="21">
        <v>5799187458</v>
      </c>
    </row>
    <row r="689" spans="2:13" x14ac:dyDescent="0.3">
      <c r="B689" s="4">
        <v>44858</v>
      </c>
      <c r="C689" s="24">
        <v>6.9672708696590204</v>
      </c>
      <c r="E689" s="4">
        <v>44859</v>
      </c>
      <c r="F689" s="23">
        <v>1553099694282</v>
      </c>
      <c r="G689" s="19">
        <v>2.4680669115374982</v>
      </c>
      <c r="H689" s="31">
        <v>1449534505123</v>
      </c>
      <c r="I689" s="31">
        <v>103565189159</v>
      </c>
      <c r="J689" s="21">
        <v>55651679364</v>
      </c>
      <c r="K689" s="19">
        <v>6.9339319002554154</v>
      </c>
      <c r="L689" s="23">
        <v>49603673344</v>
      </c>
      <c r="M689" s="21">
        <v>6048006020</v>
      </c>
    </row>
    <row r="690" spans="2:13" x14ac:dyDescent="0.3">
      <c r="B690" s="4">
        <v>44859</v>
      </c>
      <c r="C690" s="24">
        <v>6.1803794045486518</v>
      </c>
      <c r="E690" s="4">
        <v>44860</v>
      </c>
      <c r="F690" s="23">
        <v>1558475456357</v>
      </c>
      <c r="G690" s="19">
        <v>2.4498642640136601</v>
      </c>
      <c r="H690" s="31">
        <v>1453517222740</v>
      </c>
      <c r="I690" s="31">
        <v>104958233617</v>
      </c>
      <c r="J690" s="21">
        <v>69297253713</v>
      </c>
      <c r="K690" s="19">
        <v>7.582324732593845</v>
      </c>
      <c r="L690" s="23">
        <v>62855335482</v>
      </c>
      <c r="M690" s="21">
        <v>6441918231</v>
      </c>
    </row>
    <row r="691" spans="2:13" x14ac:dyDescent="0.3">
      <c r="B691" s="4">
        <v>44860</v>
      </c>
      <c r="C691" s="24">
        <v>6.8774668441333189</v>
      </c>
      <c r="E691" s="4">
        <v>44861</v>
      </c>
      <c r="F691" s="23">
        <v>1557898376080</v>
      </c>
      <c r="G691" s="19">
        <v>2.4624881529685276</v>
      </c>
      <c r="H691" s="31">
        <v>1452567918771</v>
      </c>
      <c r="I691" s="31">
        <v>105330457309</v>
      </c>
      <c r="J691" s="21">
        <v>68138005792</v>
      </c>
      <c r="K691" s="19">
        <v>7.3769168256750435</v>
      </c>
      <c r="L691" s="23">
        <v>60801083740</v>
      </c>
      <c r="M691" s="21">
        <v>7336922052</v>
      </c>
    </row>
    <row r="692" spans="2:13" x14ac:dyDescent="0.3">
      <c r="B692" s="4">
        <v>44861</v>
      </c>
      <c r="C692" s="24">
        <v>6.5825897375109852</v>
      </c>
      <c r="E692" s="4">
        <v>44862</v>
      </c>
      <c r="F692" s="23">
        <v>1544235248101</v>
      </c>
      <c r="G692" s="19">
        <v>2.5074273111404484</v>
      </c>
      <c r="H692" s="31">
        <v>1441188245763</v>
      </c>
      <c r="I692" s="31">
        <v>103047002338</v>
      </c>
      <c r="J692" s="21">
        <v>61147244156</v>
      </c>
      <c r="K692" s="19">
        <v>6.7243853757744079</v>
      </c>
      <c r="L692" s="23">
        <v>54153394983</v>
      </c>
      <c r="M692" s="21">
        <v>6993849173</v>
      </c>
    </row>
    <row r="693" spans="2:13" x14ac:dyDescent="0.3">
      <c r="B693" s="4">
        <v>44862</v>
      </c>
      <c r="C693" s="24">
        <v>5.9552691588716309</v>
      </c>
      <c r="E693" s="4">
        <v>44865</v>
      </c>
      <c r="F693" s="23">
        <v>1546674458171</v>
      </c>
      <c r="G693" s="19">
        <v>2.5200076065759172</v>
      </c>
      <c r="H693" s="31">
        <v>1442817041461</v>
      </c>
      <c r="I693" s="31">
        <v>103857416710</v>
      </c>
      <c r="J693" s="21">
        <v>63282158351</v>
      </c>
      <c r="K693" s="19">
        <v>7.1693165001101749</v>
      </c>
      <c r="L693" s="23">
        <v>56540014256</v>
      </c>
      <c r="M693" s="21">
        <v>6742144095</v>
      </c>
    </row>
    <row r="694" spans="2:13" x14ac:dyDescent="0.3">
      <c r="B694" s="4">
        <v>44865</v>
      </c>
      <c r="C694" s="24">
        <v>6.4054903891501009</v>
      </c>
      <c r="E694" s="4">
        <v>44866</v>
      </c>
      <c r="F694" s="23">
        <v>1552953664754</v>
      </c>
      <c r="G694" s="19">
        <v>2.4613219961809283</v>
      </c>
      <c r="H694" s="31">
        <v>1446436491052</v>
      </c>
      <c r="I694" s="31">
        <v>106517173702</v>
      </c>
      <c r="J694" s="21">
        <v>73651274391</v>
      </c>
      <c r="K694" s="19">
        <v>7.5367144530350574</v>
      </c>
      <c r="L694" s="23">
        <v>66751827120</v>
      </c>
      <c r="M694" s="21">
        <v>6899447271</v>
      </c>
    </row>
    <row r="695" spans="2:13" x14ac:dyDescent="0.3">
      <c r="B695" s="4">
        <v>44866</v>
      </c>
      <c r="C695" s="24">
        <v>6.8306959299984324</v>
      </c>
      <c r="E695" s="4">
        <v>44867</v>
      </c>
      <c r="F695" s="23">
        <v>1555157355232</v>
      </c>
      <c r="G695" s="19">
        <v>2.4355626649633582</v>
      </c>
      <c r="H695" s="31">
        <v>1447694907123</v>
      </c>
      <c r="I695" s="31">
        <v>107462448109</v>
      </c>
      <c r="J695" s="21">
        <v>82484591629</v>
      </c>
      <c r="K695" s="19">
        <v>7.8418386061749912</v>
      </c>
      <c r="L695" s="23">
        <v>75780827048</v>
      </c>
      <c r="M695" s="21">
        <v>6703764581</v>
      </c>
    </row>
    <row r="696" spans="2:13" x14ac:dyDescent="0.3">
      <c r="B696" s="4">
        <v>44867</v>
      </c>
      <c r="C696" s="24">
        <v>7.2045093928057415</v>
      </c>
      <c r="E696" s="4">
        <v>44868</v>
      </c>
      <c r="F696" s="23">
        <v>1559113122089</v>
      </c>
      <c r="G696" s="19">
        <v>2.4458236645854359</v>
      </c>
      <c r="H696" s="31">
        <v>1452145293927</v>
      </c>
      <c r="I696" s="31">
        <v>106967828162</v>
      </c>
      <c r="J696" s="21">
        <v>69193842661</v>
      </c>
      <c r="K696" s="19">
        <v>7.8065022948370695</v>
      </c>
      <c r="L696" s="23">
        <v>63290450858</v>
      </c>
      <c r="M696" s="21">
        <v>5903391803</v>
      </c>
    </row>
    <row r="697" spans="2:13" x14ac:dyDescent="0.3">
      <c r="B697" s="4">
        <v>44868</v>
      </c>
      <c r="C697" s="24">
        <v>7.1404771127522366</v>
      </c>
      <c r="E697" s="4">
        <v>44869</v>
      </c>
      <c r="F697" s="23">
        <v>1561130769188</v>
      </c>
      <c r="G697" s="19">
        <v>2.3873497763199221</v>
      </c>
      <c r="H697" s="31">
        <v>1453139729518</v>
      </c>
      <c r="I697" s="31">
        <v>107991039670</v>
      </c>
      <c r="J697" s="21">
        <v>91370937886</v>
      </c>
      <c r="K697" s="19">
        <v>8.4575375292061885</v>
      </c>
      <c r="L697" s="23">
        <v>84296356296</v>
      </c>
      <c r="M697" s="21">
        <v>7074581590</v>
      </c>
    </row>
    <row r="698" spans="2:13" x14ac:dyDescent="0.3">
      <c r="B698" s="4">
        <v>44869</v>
      </c>
      <c r="C698" s="24">
        <v>7.8026954023199773</v>
      </c>
      <c r="E698" s="4">
        <v>44872</v>
      </c>
      <c r="F698" s="23">
        <v>1565366103958</v>
      </c>
      <c r="G698" s="19">
        <v>2.384559337991242</v>
      </c>
      <c r="H698" s="31">
        <v>1458829674227</v>
      </c>
      <c r="I698" s="31">
        <v>106536429731</v>
      </c>
      <c r="J698" s="21">
        <v>82539373373</v>
      </c>
      <c r="K698" s="19">
        <v>8.2050592400027753</v>
      </c>
      <c r="L698" s="23">
        <v>76636580274</v>
      </c>
      <c r="M698" s="21">
        <v>5902793099</v>
      </c>
    </row>
    <row r="699" spans="2:13" x14ac:dyDescent="0.3">
      <c r="B699" s="4">
        <v>44872</v>
      </c>
      <c r="C699" s="24">
        <v>7.6182754411980005</v>
      </c>
      <c r="E699" s="4">
        <v>44873</v>
      </c>
      <c r="F699" s="23">
        <v>1569459326903</v>
      </c>
      <c r="G699" s="19">
        <v>2.400077558181732</v>
      </c>
      <c r="H699" s="31">
        <v>1463218866915</v>
      </c>
      <c r="I699" s="31">
        <v>106240459988</v>
      </c>
      <c r="J699" s="21">
        <v>65395706506</v>
      </c>
      <c r="K699" s="19">
        <v>7.826346675181898</v>
      </c>
      <c r="L699" s="23">
        <v>59771551487</v>
      </c>
      <c r="M699" s="21">
        <v>5624155019</v>
      </c>
    </row>
    <row r="700" spans="2:13" x14ac:dyDescent="0.3">
      <c r="B700" s="4">
        <v>44873</v>
      </c>
      <c r="C700" s="24">
        <v>7.153265990143046</v>
      </c>
      <c r="E700" s="4">
        <v>44874</v>
      </c>
      <c r="F700" s="23">
        <v>1571170926049</v>
      </c>
      <c r="G700" s="19">
        <v>2.4144557453317614</v>
      </c>
      <c r="H700" s="31">
        <v>1465748854094</v>
      </c>
      <c r="I700" s="31">
        <v>105422071955</v>
      </c>
      <c r="J700" s="21">
        <v>61305238466</v>
      </c>
      <c r="K700" s="19">
        <v>7.8748044470579943</v>
      </c>
      <c r="L700" s="23">
        <v>56172578057</v>
      </c>
      <c r="M700" s="21">
        <v>5132660409</v>
      </c>
    </row>
    <row r="701" spans="2:13" x14ac:dyDescent="0.3">
      <c r="B701" s="4">
        <v>44874</v>
      </c>
      <c r="C701" s="24">
        <v>7.2155019465637178</v>
      </c>
      <c r="E701" s="4">
        <v>44875</v>
      </c>
      <c r="F701" s="23">
        <v>1572195207206</v>
      </c>
      <c r="G701" s="19">
        <v>2.4298333521668241</v>
      </c>
      <c r="H701" s="31">
        <v>1466319609089</v>
      </c>
      <c r="I701" s="31">
        <v>105875598117</v>
      </c>
      <c r="J701" s="21">
        <v>64639916189</v>
      </c>
      <c r="K701" s="19">
        <v>7.6710444020507031</v>
      </c>
      <c r="L701" s="23">
        <v>57842121065</v>
      </c>
      <c r="M701" s="21">
        <v>6797795124</v>
      </c>
    </row>
    <row r="702" spans="2:13" x14ac:dyDescent="0.3">
      <c r="B702" s="4">
        <v>44875</v>
      </c>
      <c r="C702" s="24">
        <v>6.8643263351556589</v>
      </c>
      <c r="E702" s="4">
        <v>44876</v>
      </c>
      <c r="F702" s="23">
        <v>1567278395408</v>
      </c>
      <c r="G702" s="19">
        <v>2.3832457709367372</v>
      </c>
      <c r="H702" s="31">
        <v>1459897382000</v>
      </c>
      <c r="I702" s="31">
        <v>107381013408</v>
      </c>
      <c r="J702" s="21">
        <v>96702549760</v>
      </c>
      <c r="K702" s="19">
        <v>7.9081415689543437</v>
      </c>
      <c r="L702" s="23">
        <v>88871740356</v>
      </c>
      <c r="M702" s="21">
        <v>7830809404</v>
      </c>
    </row>
    <row r="703" spans="2:13" x14ac:dyDescent="0.3">
      <c r="B703" s="4">
        <v>44876</v>
      </c>
      <c r="C703" s="24">
        <v>7.2677536006947259</v>
      </c>
      <c r="E703" s="4">
        <v>44879</v>
      </c>
      <c r="F703" s="23">
        <v>1567037150956</v>
      </c>
      <c r="G703" s="19">
        <v>2.3851637149281859</v>
      </c>
      <c r="H703" s="31">
        <v>1460445296557</v>
      </c>
      <c r="I703" s="31">
        <v>106591854399</v>
      </c>
      <c r="J703" s="21">
        <v>80361815243</v>
      </c>
      <c r="K703" s="19">
        <v>7.5314421081189824</v>
      </c>
      <c r="L703" s="23">
        <v>74042117944</v>
      </c>
      <c r="M703" s="21">
        <v>6319697299</v>
      </c>
    </row>
    <row r="704" spans="2:13" x14ac:dyDescent="0.3">
      <c r="B704" s="4">
        <v>44879</v>
      </c>
      <c r="C704" s="24">
        <v>6.9391653631956487</v>
      </c>
      <c r="E704" s="4">
        <v>44880</v>
      </c>
      <c r="F704" s="23">
        <v>1573589526874</v>
      </c>
      <c r="G704" s="19">
        <v>2.3524028583025896</v>
      </c>
      <c r="H704" s="31">
        <v>1463699589763</v>
      </c>
      <c r="I704" s="31">
        <v>109889937111</v>
      </c>
      <c r="J704" s="21">
        <v>87884661661</v>
      </c>
      <c r="K704" s="19">
        <v>8.303996032155279</v>
      </c>
      <c r="L704" s="23">
        <v>80864815765</v>
      </c>
      <c r="M704" s="21">
        <v>7019845896</v>
      </c>
    </row>
    <row r="705" spans="2:13" x14ac:dyDescent="0.3">
      <c r="B705" s="4">
        <v>44880</v>
      </c>
      <c r="C705" s="24">
        <v>7.6407088172419435</v>
      </c>
      <c r="E705" s="4">
        <v>44881</v>
      </c>
      <c r="F705" s="23">
        <v>1574217246303</v>
      </c>
      <c r="G705" s="19">
        <v>2.3663322259132515</v>
      </c>
      <c r="H705" s="31">
        <v>1465564893966</v>
      </c>
      <c r="I705" s="31">
        <v>108652352337</v>
      </c>
      <c r="J705" s="21">
        <v>74999470426</v>
      </c>
      <c r="K705" s="19">
        <v>7.9578605167696761</v>
      </c>
      <c r="L705" s="23">
        <v>69207343867</v>
      </c>
      <c r="M705" s="21">
        <v>5792126559</v>
      </c>
    </row>
    <row r="706" spans="2:13" x14ac:dyDescent="0.3">
      <c r="B706" s="4">
        <v>44881</v>
      </c>
      <c r="C706" s="24">
        <v>7.343283707224364</v>
      </c>
      <c r="E706" s="4">
        <v>44882</v>
      </c>
      <c r="F706" s="23">
        <v>1577444534837</v>
      </c>
      <c r="G706" s="19">
        <v>2.3732934474201959</v>
      </c>
      <c r="H706" s="31">
        <v>1468377106870</v>
      </c>
      <c r="I706" s="31">
        <v>109067427967</v>
      </c>
      <c r="J706" s="21">
        <v>74983876122</v>
      </c>
      <c r="K706" s="19">
        <v>8.2152139014239811</v>
      </c>
      <c r="L706" s="23">
        <v>68283501157</v>
      </c>
      <c r="M706" s="21">
        <v>6700374965</v>
      </c>
    </row>
    <row r="707" spans="2:13" x14ac:dyDescent="0.3">
      <c r="B707" s="4">
        <v>44882</v>
      </c>
      <c r="C707" s="24">
        <v>7.4811225686731637</v>
      </c>
      <c r="E707" s="4">
        <v>44883</v>
      </c>
      <c r="F707" s="23">
        <v>1570813819110</v>
      </c>
      <c r="G707" s="19">
        <v>2.3727489998625826</v>
      </c>
      <c r="H707" s="31">
        <v>1465063561891</v>
      </c>
      <c r="I707" s="31">
        <v>105750257219</v>
      </c>
      <c r="J707" s="21">
        <v>76970058845</v>
      </c>
      <c r="K707" s="19">
        <v>7.8665343099668696</v>
      </c>
      <c r="L707" s="23">
        <v>71141219452</v>
      </c>
      <c r="M707" s="21">
        <v>5828839393</v>
      </c>
    </row>
    <row r="708" spans="2:13" x14ac:dyDescent="0.3">
      <c r="B708" s="4">
        <v>44883</v>
      </c>
      <c r="C708" s="24">
        <v>7.2708122102260093</v>
      </c>
      <c r="E708" s="4">
        <v>44886</v>
      </c>
      <c r="F708" s="23">
        <v>1575614139547</v>
      </c>
      <c r="G708" s="19">
        <v>2.3864707435196713</v>
      </c>
      <c r="H708" s="31">
        <v>1471155259533</v>
      </c>
      <c r="I708" s="31">
        <v>104458880014</v>
      </c>
      <c r="J708" s="21">
        <v>66168510888</v>
      </c>
      <c r="K708" s="19">
        <v>7.7926697906652391</v>
      </c>
      <c r="L708" s="23">
        <v>60980402897</v>
      </c>
      <c r="M708" s="21">
        <v>5188107991</v>
      </c>
    </row>
    <row r="709" spans="2:13" x14ac:dyDescent="0.3">
      <c r="B709" s="4">
        <v>44886</v>
      </c>
      <c r="C709" s="24">
        <v>7.1816659782837418</v>
      </c>
      <c r="E709" s="4">
        <v>44887</v>
      </c>
      <c r="F709" s="23">
        <v>1574248654195</v>
      </c>
      <c r="G709" s="19">
        <v>2.3930411098476219</v>
      </c>
      <c r="H709" s="31">
        <v>1471176180045</v>
      </c>
      <c r="I709" s="31">
        <v>103072474150</v>
      </c>
      <c r="J709" s="21">
        <v>69157270441</v>
      </c>
      <c r="K709" s="19">
        <v>7.8197025514497538</v>
      </c>
      <c r="L709" s="23">
        <v>63197587138</v>
      </c>
      <c r="M709" s="21">
        <v>5959683303</v>
      </c>
    </row>
    <row r="710" spans="2:13" x14ac:dyDescent="0.3">
      <c r="B710" s="4">
        <v>44887</v>
      </c>
      <c r="C710" s="24">
        <v>7.1458334060493458</v>
      </c>
      <c r="E710" s="4">
        <v>44888</v>
      </c>
      <c r="F710" s="23">
        <v>1573776579156</v>
      </c>
      <c r="G710" s="19">
        <v>2.3915550327747921</v>
      </c>
      <c r="H710" s="31">
        <v>1471633386861</v>
      </c>
      <c r="I710" s="31">
        <v>102143192295</v>
      </c>
      <c r="J710" s="21">
        <v>64108171569</v>
      </c>
      <c r="K710" s="19">
        <v>7.7215368171155445</v>
      </c>
      <c r="L710" s="23">
        <v>58278895083</v>
      </c>
      <c r="M710" s="21">
        <v>5829276486</v>
      </c>
    </row>
    <row r="711" spans="2:13" x14ac:dyDescent="0.3">
      <c r="B711" s="4">
        <v>44888</v>
      </c>
      <c r="C711" s="24">
        <v>7.019427056344262</v>
      </c>
      <c r="E711" s="4">
        <v>44889</v>
      </c>
      <c r="F711" s="23">
        <v>1574251810566</v>
      </c>
      <c r="G711" s="19">
        <v>2.3948213227210009</v>
      </c>
      <c r="H711" s="31">
        <v>1471629351588</v>
      </c>
      <c r="I711" s="31">
        <v>102622458978</v>
      </c>
      <c r="J711" s="21">
        <v>56649564383</v>
      </c>
      <c r="K711" s="19">
        <v>7.5747201631422385</v>
      </c>
      <c r="L711" s="23">
        <v>51272570593</v>
      </c>
      <c r="M711" s="21">
        <v>5376993790</v>
      </c>
    </row>
    <row r="712" spans="2:13" x14ac:dyDescent="0.3">
      <c r="B712" s="4">
        <v>44889</v>
      </c>
      <c r="C712" s="24">
        <v>6.8557521759775204</v>
      </c>
      <c r="E712" s="4">
        <v>44890</v>
      </c>
      <c r="F712" s="23">
        <v>1566068296161</v>
      </c>
      <c r="G712" s="19">
        <v>2.3815965470298015</v>
      </c>
      <c r="H712" s="31">
        <v>1464550183465</v>
      </c>
      <c r="I712" s="31">
        <v>101518112696</v>
      </c>
      <c r="J712" s="21">
        <v>52496932138</v>
      </c>
      <c r="K712" s="19">
        <v>7.0967637914735171</v>
      </c>
      <c r="L712" s="23">
        <v>47375155804</v>
      </c>
      <c r="M712" s="21">
        <v>5121776334</v>
      </c>
    </row>
    <row r="713" spans="2:13" x14ac:dyDescent="0.3">
      <c r="B713" s="4">
        <v>44890</v>
      </c>
      <c r="C713" s="24">
        <v>6.4043797729253829</v>
      </c>
      <c r="E713" s="4">
        <v>44893</v>
      </c>
      <c r="F713" s="23">
        <v>1563811488144</v>
      </c>
      <c r="G713" s="19">
        <v>2.3927594095880971</v>
      </c>
      <c r="H713" s="31">
        <v>1464227520831</v>
      </c>
      <c r="I713" s="31">
        <v>99583967313</v>
      </c>
      <c r="J713" s="21">
        <v>56115787721</v>
      </c>
      <c r="K713" s="19">
        <v>7.4012452679906815</v>
      </c>
      <c r="L713" s="23">
        <v>51564682600</v>
      </c>
      <c r="M713" s="21">
        <v>4551105121</v>
      </c>
    </row>
    <row r="714" spans="2:13" x14ac:dyDescent="0.3">
      <c r="B714" s="4">
        <v>44893</v>
      </c>
      <c r="C714" s="24">
        <v>6.8009891438425027</v>
      </c>
      <c r="E714" s="4">
        <v>44894</v>
      </c>
      <c r="F714" s="23">
        <v>1566829769947</v>
      </c>
      <c r="G714" s="19">
        <v>2.3403775847463573</v>
      </c>
      <c r="H714" s="31">
        <v>1466097274453</v>
      </c>
      <c r="I714" s="31">
        <v>100732495494</v>
      </c>
      <c r="J714" s="21">
        <v>78965384338</v>
      </c>
      <c r="K714" s="19">
        <v>8.1591885558402595</v>
      </c>
      <c r="L714" s="23">
        <v>72703025130</v>
      </c>
      <c r="M714" s="21">
        <v>6262359208</v>
      </c>
    </row>
    <row r="715" spans="2:13" x14ac:dyDescent="0.3">
      <c r="B715" s="4">
        <v>44894</v>
      </c>
      <c r="C715" s="24">
        <v>7.5121231358358891</v>
      </c>
      <c r="E715" s="4">
        <v>44895</v>
      </c>
      <c r="F715" s="23">
        <v>1564269976387</v>
      </c>
      <c r="G715" s="19">
        <v>2.3337364202540223</v>
      </c>
      <c r="H715" s="31">
        <v>1464357168827</v>
      </c>
      <c r="I715" s="31">
        <v>99912807560</v>
      </c>
      <c r="J715" s="21">
        <v>69795932424</v>
      </c>
      <c r="K715" s="19">
        <v>7.4957844827583715</v>
      </c>
      <c r="L715" s="23">
        <v>64162960940</v>
      </c>
      <c r="M715" s="21">
        <v>5632971484</v>
      </c>
    </row>
    <row r="716" spans="2:13" x14ac:dyDescent="0.3">
      <c r="B716" s="4">
        <v>44895</v>
      </c>
      <c r="C716" s="24">
        <v>6.8908274490864692</v>
      </c>
      <c r="E716" s="4">
        <v>44896</v>
      </c>
      <c r="F716" s="23">
        <v>1565380338344</v>
      </c>
      <c r="G716" s="19">
        <v>2.3176357314607277</v>
      </c>
      <c r="H716" s="31">
        <v>1465563180549</v>
      </c>
      <c r="I716" s="31">
        <v>99817157795</v>
      </c>
      <c r="J716" s="21">
        <v>83224592445</v>
      </c>
      <c r="K716" s="19">
        <v>7.8655820276163064</v>
      </c>
      <c r="L716" s="23">
        <v>77587193116</v>
      </c>
      <c r="M716" s="21">
        <v>5637399329</v>
      </c>
    </row>
    <row r="717" spans="2:13" x14ac:dyDescent="0.3">
      <c r="B717" s="4">
        <v>44896</v>
      </c>
      <c r="C717" s="24">
        <v>7.3327896697086103</v>
      </c>
      <c r="E717" s="4">
        <v>44897</v>
      </c>
      <c r="F717" s="23">
        <v>1560290260154</v>
      </c>
      <c r="G717" s="19">
        <v>2.3149521605233589</v>
      </c>
      <c r="H717" s="31">
        <v>1463828710315</v>
      </c>
      <c r="I717" s="31">
        <v>96461549839</v>
      </c>
      <c r="J717" s="21">
        <v>65350611578</v>
      </c>
      <c r="K717" s="19">
        <v>7.5612325295816234</v>
      </c>
      <c r="L717" s="23">
        <v>60619392820</v>
      </c>
      <c r="M717" s="21">
        <v>4731218758</v>
      </c>
    </row>
    <row r="718" spans="2:13" x14ac:dyDescent="0.3">
      <c r="B718" s="4">
        <v>44897</v>
      </c>
      <c r="C718" s="24">
        <v>7.0138184455549109</v>
      </c>
      <c r="E718" s="4">
        <v>44900</v>
      </c>
      <c r="F718" s="23">
        <v>1567281516102</v>
      </c>
      <c r="G718" s="19">
        <v>2.2909223214404655</v>
      </c>
      <c r="H718" s="31">
        <v>1470745688212</v>
      </c>
      <c r="I718" s="31">
        <v>96535827890</v>
      </c>
      <c r="J718" s="21">
        <v>88286946836</v>
      </c>
      <c r="K718" s="19">
        <v>8.3698599118870156</v>
      </c>
      <c r="L718" s="23">
        <v>82974274884</v>
      </c>
      <c r="M718" s="21">
        <v>5312671952</v>
      </c>
    </row>
    <row r="719" spans="2:13" x14ac:dyDescent="0.3">
      <c r="B719" s="4">
        <v>44900</v>
      </c>
      <c r="C719" s="24">
        <v>7.8662031246764323</v>
      </c>
      <c r="E719" s="4">
        <v>44901</v>
      </c>
      <c r="F719" s="23">
        <v>1568077472870</v>
      </c>
      <c r="G719" s="19">
        <v>2.2880313558496934</v>
      </c>
      <c r="H719" s="31">
        <v>1471571166144</v>
      </c>
      <c r="I719" s="31">
        <v>96506306726</v>
      </c>
      <c r="J719" s="21">
        <v>79021780973</v>
      </c>
      <c r="K719" s="19">
        <v>7.9184728337959012</v>
      </c>
      <c r="L719" s="23">
        <v>74286819862</v>
      </c>
      <c r="M719" s="21">
        <v>4734961111</v>
      </c>
    </row>
    <row r="720" spans="2:13" x14ac:dyDescent="0.3">
      <c r="B720" s="4">
        <v>44901</v>
      </c>
      <c r="C720" s="24">
        <v>7.4440003470350131</v>
      </c>
      <c r="E720" s="4">
        <v>44902</v>
      </c>
      <c r="F720" s="23">
        <v>1570900794562</v>
      </c>
      <c r="G720" s="19">
        <v>2.2965640070359266</v>
      </c>
      <c r="H720" s="31">
        <v>1474255596458</v>
      </c>
      <c r="I720" s="31">
        <v>96645198104</v>
      </c>
      <c r="J720" s="21">
        <v>77244228964</v>
      </c>
      <c r="K720" s="19">
        <v>8.1447343130014147</v>
      </c>
      <c r="L720" s="23">
        <v>72330673887</v>
      </c>
      <c r="M720" s="21">
        <v>4913555077</v>
      </c>
    </row>
    <row r="721" spans="2:13" x14ac:dyDescent="0.3">
      <c r="B721" s="4">
        <v>44902</v>
      </c>
      <c r="C721" s="24">
        <v>7.6266425258063411</v>
      </c>
      <c r="E721" s="4">
        <v>44903</v>
      </c>
      <c r="F721" s="23">
        <v>1571082208819</v>
      </c>
      <c r="G721" s="19">
        <v>2.3003029936774815</v>
      </c>
      <c r="H721" s="31">
        <v>1474201385346</v>
      </c>
      <c r="I721" s="31">
        <v>96880823473</v>
      </c>
      <c r="J721" s="21">
        <v>66544817469</v>
      </c>
      <c r="K721" s="19">
        <v>7.6520331227742044</v>
      </c>
      <c r="L721" s="23">
        <v>61905866724</v>
      </c>
      <c r="M721" s="21">
        <v>4638950745</v>
      </c>
    </row>
    <row r="722" spans="2:13" x14ac:dyDescent="0.3">
      <c r="B722" s="4">
        <v>44903</v>
      </c>
      <c r="C722" s="24">
        <v>7.118597070113986</v>
      </c>
      <c r="E722" s="4">
        <v>44904</v>
      </c>
      <c r="F722" s="23">
        <v>1568264132219</v>
      </c>
      <c r="G722" s="19">
        <v>2.2856484002390594</v>
      </c>
      <c r="H722" s="31">
        <v>1471568283116</v>
      </c>
      <c r="I722" s="31">
        <v>96695849103</v>
      </c>
      <c r="J722" s="21">
        <v>72967822761</v>
      </c>
      <c r="K722" s="19">
        <v>7.2325455747355987</v>
      </c>
      <c r="L722" s="23">
        <v>68047211365</v>
      </c>
      <c r="M722" s="21">
        <v>4920611396</v>
      </c>
    </row>
    <row r="723" spans="2:13" x14ac:dyDescent="0.3">
      <c r="B723" s="4">
        <v>44904</v>
      </c>
      <c r="C723" s="24">
        <v>6.7448162602170516</v>
      </c>
      <c r="E723" s="4">
        <v>44907</v>
      </c>
      <c r="F723" s="23">
        <v>1572185247036</v>
      </c>
      <c r="G723" s="19">
        <v>2.309448721308621</v>
      </c>
      <c r="H723" s="31">
        <v>1476854814941</v>
      </c>
      <c r="I723" s="31">
        <v>95330432095</v>
      </c>
      <c r="J723" s="21">
        <v>70778245385</v>
      </c>
      <c r="K723" s="19">
        <v>7.7813789592873981</v>
      </c>
      <c r="L723" s="23">
        <v>66421429317</v>
      </c>
      <c r="M723" s="21">
        <v>4356816068</v>
      </c>
    </row>
    <row r="724" spans="2:13" x14ac:dyDescent="0.3">
      <c r="B724" s="4">
        <v>44907</v>
      </c>
      <c r="C724" s="24">
        <v>7.3023894520368371</v>
      </c>
      <c r="E724" s="4">
        <v>44908</v>
      </c>
      <c r="F724" s="23">
        <v>1571559752124</v>
      </c>
      <c r="G724" s="19">
        <v>2.3141830993119412</v>
      </c>
      <c r="H724" s="31">
        <v>1476942207917</v>
      </c>
      <c r="I724" s="31">
        <v>94617544207</v>
      </c>
      <c r="J724" s="21">
        <v>58258275180</v>
      </c>
      <c r="K724" s="19">
        <v>7.1373892366171177</v>
      </c>
      <c r="L724" s="23">
        <v>53993635278</v>
      </c>
      <c r="M724" s="21">
        <v>4264639902</v>
      </c>
    </row>
    <row r="725" spans="2:13" x14ac:dyDescent="0.3">
      <c r="B725" s="4">
        <v>44908</v>
      </c>
      <c r="C725" s="24">
        <v>6.6149159083124696</v>
      </c>
      <c r="E725" s="4">
        <v>44909</v>
      </c>
      <c r="F725" s="23">
        <v>1569455136294</v>
      </c>
      <c r="G725" s="19">
        <v>2.3110541270743874</v>
      </c>
      <c r="H725" s="31">
        <v>1474676385976</v>
      </c>
      <c r="I725" s="31">
        <v>94778750318</v>
      </c>
      <c r="J725" s="21">
        <v>62619173007</v>
      </c>
      <c r="K725" s="19">
        <v>7.7242413680083892</v>
      </c>
      <c r="L725" s="23">
        <v>57281260470</v>
      </c>
      <c r="M725" s="21">
        <v>5337912537</v>
      </c>
    </row>
    <row r="726" spans="2:13" x14ac:dyDescent="0.3">
      <c r="B726" s="4">
        <v>44909</v>
      </c>
      <c r="C726" s="24">
        <v>7.0657956738677639</v>
      </c>
      <c r="E726" s="4">
        <v>44910</v>
      </c>
      <c r="F726" s="23">
        <v>1572481195177</v>
      </c>
      <c r="G726" s="19">
        <v>2.3161460050130023</v>
      </c>
      <c r="H726" s="31">
        <v>1477176780232</v>
      </c>
      <c r="I726" s="31">
        <v>95304414945</v>
      </c>
      <c r="J726" s="21">
        <v>59408623924</v>
      </c>
      <c r="K726" s="19">
        <v>7.7544850387937023</v>
      </c>
      <c r="L726" s="23">
        <v>54295121687</v>
      </c>
      <c r="M726" s="21">
        <v>5113502237</v>
      </c>
    </row>
    <row r="727" spans="2:13" x14ac:dyDescent="0.3">
      <c r="B727" s="4">
        <v>44910</v>
      </c>
      <c r="C727" s="24">
        <v>7.0870301480125057</v>
      </c>
      <c r="E727" s="4">
        <v>44911</v>
      </c>
      <c r="F727" s="23">
        <v>1566413010501</v>
      </c>
      <c r="G727" s="19">
        <v>2.31222366903082</v>
      </c>
      <c r="H727" s="31">
        <v>1471803167639</v>
      </c>
      <c r="I727" s="31">
        <v>94609842862</v>
      </c>
      <c r="J727" s="21">
        <v>54466230754</v>
      </c>
      <c r="K727" s="19">
        <v>7.1556042194643021</v>
      </c>
      <c r="L727" s="23">
        <v>49518019547</v>
      </c>
      <c r="M727" s="21">
        <v>4948211207</v>
      </c>
    </row>
    <row r="728" spans="2:13" x14ac:dyDescent="0.3">
      <c r="B728" s="4">
        <v>44911</v>
      </c>
      <c r="C728" s="24">
        <v>6.5055236006763124</v>
      </c>
      <c r="E728" s="4">
        <v>44914</v>
      </c>
      <c r="F728" s="23">
        <v>1562658581170</v>
      </c>
      <c r="G728" s="19">
        <v>2.3482490831649994</v>
      </c>
      <c r="H728" s="31">
        <v>1469734484524</v>
      </c>
      <c r="I728" s="31">
        <v>92924096646</v>
      </c>
      <c r="J728" s="21">
        <v>57831566329</v>
      </c>
      <c r="K728" s="19">
        <v>7.6432829776901769</v>
      </c>
      <c r="L728" s="23">
        <v>52776671530</v>
      </c>
      <c r="M728" s="21">
        <v>5054894799</v>
      </c>
    </row>
    <row r="729" spans="2:13" x14ac:dyDescent="0.3">
      <c r="B729" s="4">
        <v>44914</v>
      </c>
      <c r="C729" s="24">
        <v>6.9752050779595409</v>
      </c>
      <c r="E729" s="4">
        <v>44915</v>
      </c>
      <c r="F729" s="23">
        <v>1561524805018</v>
      </c>
      <c r="G729" s="19">
        <v>2.3733709676615735</v>
      </c>
      <c r="H729" s="31">
        <v>1469984005842</v>
      </c>
      <c r="I729" s="31">
        <v>91540799176</v>
      </c>
      <c r="J729" s="21">
        <v>45953007314</v>
      </c>
      <c r="K729" s="19">
        <v>7.1838081600288044</v>
      </c>
      <c r="L729" s="23">
        <v>41295745627</v>
      </c>
      <c r="M729" s="21">
        <v>4657261687</v>
      </c>
    </row>
    <row r="730" spans="2:13" x14ac:dyDescent="0.3">
      <c r="B730" s="4">
        <v>44915</v>
      </c>
      <c r="C730" s="24">
        <v>6.4557410221841138</v>
      </c>
      <c r="E730" s="4">
        <v>44916</v>
      </c>
      <c r="F730" s="23">
        <v>1557887836064</v>
      </c>
      <c r="G730" s="19">
        <v>2.3734673530030399</v>
      </c>
      <c r="H730" s="31">
        <v>1466238870488</v>
      </c>
      <c r="I730" s="31">
        <v>91648965576</v>
      </c>
      <c r="J730" s="21">
        <v>39472363375</v>
      </c>
      <c r="K730" s="19">
        <v>6.8697761567513549</v>
      </c>
      <c r="L730" s="23">
        <v>34764079028</v>
      </c>
      <c r="M730" s="21">
        <v>4708284347</v>
      </c>
    </row>
    <row r="731" spans="2:13" x14ac:dyDescent="0.3">
      <c r="B731" s="4">
        <v>44916</v>
      </c>
      <c r="C731" s="24">
        <v>6.0503456291455011</v>
      </c>
      <c r="E731" s="4">
        <v>44917</v>
      </c>
      <c r="F731" s="23">
        <v>1552789256160</v>
      </c>
      <c r="G731" s="19">
        <v>2.3774606718825604</v>
      </c>
      <c r="H731" s="31">
        <v>1461744920525</v>
      </c>
      <c r="I731" s="31">
        <v>91044335635</v>
      </c>
      <c r="J731" s="21">
        <v>46653457101</v>
      </c>
      <c r="K731" s="19">
        <v>7.097658842812371</v>
      </c>
      <c r="L731" s="23">
        <v>42011666827</v>
      </c>
      <c r="M731" s="21">
        <v>4641790274</v>
      </c>
    </row>
    <row r="732" spans="2:13" x14ac:dyDescent="0.3">
      <c r="B732" s="4">
        <v>44917</v>
      </c>
      <c r="C732" s="24">
        <v>6.3914765825478819</v>
      </c>
      <c r="E732" s="4">
        <v>44918</v>
      </c>
      <c r="F732" s="23">
        <v>1546635274690</v>
      </c>
      <c r="G732" s="19">
        <v>2.3735809289108283</v>
      </c>
      <c r="H732" s="31">
        <v>1456190472026</v>
      </c>
      <c r="I732" s="31">
        <v>90444802664</v>
      </c>
      <c r="J732" s="21">
        <v>40377154878</v>
      </c>
      <c r="K732" s="19">
        <v>6.9008708675688286</v>
      </c>
      <c r="L732" s="23">
        <v>35836602358</v>
      </c>
      <c r="M732" s="21">
        <v>4540552520</v>
      </c>
    </row>
    <row r="733" spans="2:13" x14ac:dyDescent="0.3">
      <c r="B733" s="4">
        <v>44918</v>
      </c>
      <c r="C733" s="24">
        <v>6.1248437625732057</v>
      </c>
      <c r="E733" s="4">
        <v>44921</v>
      </c>
      <c r="F733" s="23">
        <v>1550788035375</v>
      </c>
      <c r="G733" s="19">
        <v>2.3580706614708502</v>
      </c>
      <c r="H733" s="31">
        <v>1458321700162</v>
      </c>
      <c r="I733" s="31">
        <v>92466335213</v>
      </c>
      <c r="J733" s="21">
        <v>46709849519</v>
      </c>
      <c r="K733" s="19">
        <v>7.4837927553596</v>
      </c>
      <c r="L733" s="23">
        <v>41767320541</v>
      </c>
      <c r="M733" s="21">
        <v>4942528978</v>
      </c>
    </row>
    <row r="734" spans="2:13" x14ac:dyDescent="0.3">
      <c r="B734" s="4">
        <v>44921</v>
      </c>
      <c r="C734" s="24">
        <v>6.6919070408987675</v>
      </c>
      <c r="E734" s="4">
        <v>44922</v>
      </c>
      <c r="F734" s="23">
        <v>1550577276870</v>
      </c>
      <c r="G734" s="19">
        <v>2.3353303441640167</v>
      </c>
      <c r="H734" s="31">
        <v>1456302774265</v>
      </c>
      <c r="I734" s="31">
        <v>94274502605</v>
      </c>
      <c r="J734" s="21">
        <v>49467927424</v>
      </c>
      <c r="K734" s="19">
        <v>7.3998383698206478</v>
      </c>
      <c r="L734" s="23">
        <v>43843409149</v>
      </c>
      <c r="M734" s="21">
        <v>5624518275</v>
      </c>
    </row>
    <row r="735" spans="2:13" x14ac:dyDescent="0.3">
      <c r="B735" s="4">
        <v>44922</v>
      </c>
      <c r="C735" s="24">
        <v>6.5584745142791743</v>
      </c>
      <c r="E735" s="4">
        <v>44923</v>
      </c>
      <c r="F735" s="23">
        <v>1547834258095</v>
      </c>
      <c r="G735" s="19">
        <v>2.3411324269090934</v>
      </c>
      <c r="H735" s="31">
        <v>1452984653510</v>
      </c>
      <c r="I735" s="31">
        <v>94849604585</v>
      </c>
      <c r="J735" s="21">
        <v>44167745397</v>
      </c>
      <c r="K735" s="19">
        <v>6.7880614932624068</v>
      </c>
      <c r="L735" s="23">
        <v>38890878737</v>
      </c>
      <c r="M735" s="21">
        <v>5276866660</v>
      </c>
    </row>
    <row r="736" spans="2:13" x14ac:dyDescent="0.3">
      <c r="B736" s="4">
        <v>44923</v>
      </c>
      <c r="C736" s="24">
        <v>5.9770693301383364</v>
      </c>
      <c r="E736" s="4">
        <v>44924</v>
      </c>
      <c r="F736" s="23">
        <v>1548458828291</v>
      </c>
      <c r="G736" s="19">
        <v>2.3510153349148903</v>
      </c>
      <c r="H736" s="31">
        <v>1452447457136</v>
      </c>
      <c r="I736" s="31">
        <v>96011371155</v>
      </c>
      <c r="J736" s="21">
        <v>43022456135</v>
      </c>
      <c r="K736" s="19">
        <v>6.9998428087419819</v>
      </c>
      <c r="L736" s="23">
        <v>37651261957</v>
      </c>
      <c r="M736" s="21">
        <v>5371194178</v>
      </c>
    </row>
    <row r="737" spans="2:13" x14ac:dyDescent="0.3">
      <c r="B737" s="4">
        <v>44924</v>
      </c>
      <c r="C737" s="24">
        <v>6.1259383802441523</v>
      </c>
      <c r="E737" s="4">
        <v>44925</v>
      </c>
      <c r="F737" s="23">
        <v>1540391547322</v>
      </c>
      <c r="G737" s="19">
        <v>2.3277988209475815</v>
      </c>
      <c r="H737" s="31">
        <v>1444510657578</v>
      </c>
      <c r="I737" s="31">
        <v>95880889744</v>
      </c>
      <c r="J737" s="21">
        <v>38315259792</v>
      </c>
      <c r="K737" s="19">
        <v>6.3447604765727217</v>
      </c>
      <c r="L737" s="23">
        <v>33279126350</v>
      </c>
      <c r="M737" s="21">
        <v>5036133442</v>
      </c>
    </row>
    <row r="738" spans="2:13" x14ac:dyDescent="0.3">
      <c r="B738" s="4">
        <v>44925</v>
      </c>
      <c r="C738" s="24">
        <v>5.510809184293624</v>
      </c>
      <c r="E738" s="4">
        <v>44929</v>
      </c>
      <c r="F738" s="23">
        <v>1545147093336</v>
      </c>
      <c r="G738" s="19">
        <v>2.3106304235433477</v>
      </c>
      <c r="H738" s="31">
        <v>1449503135462</v>
      </c>
      <c r="I738" s="31">
        <v>95643957874</v>
      </c>
      <c r="J738" s="21">
        <v>58660646299</v>
      </c>
      <c r="K738" s="19">
        <v>7.4380325042336732</v>
      </c>
      <c r="L738" s="23">
        <v>54115513318</v>
      </c>
      <c r="M738" s="21">
        <v>4545132981</v>
      </c>
    </row>
    <row r="739" spans="2:13" x14ac:dyDescent="0.3">
      <c r="B739" s="4">
        <v>44929</v>
      </c>
      <c r="C739" s="24">
        <v>6.8617202918447218</v>
      </c>
      <c r="E739" s="4">
        <v>44930</v>
      </c>
      <c r="F739" s="23">
        <v>1544728973122</v>
      </c>
      <c r="G739" s="19">
        <v>2.3041810953403994</v>
      </c>
      <c r="H739" s="31">
        <v>1450533682515</v>
      </c>
      <c r="I739" s="31">
        <v>94195290607</v>
      </c>
      <c r="J739" s="21">
        <v>55289279771</v>
      </c>
      <c r="K739" s="19">
        <v>7.0562542738121667</v>
      </c>
      <c r="L739" s="23">
        <v>50313725057</v>
      </c>
      <c r="M739" s="21">
        <v>4975554714</v>
      </c>
    </row>
    <row r="740" spans="2:13" x14ac:dyDescent="0.3">
      <c r="B740" s="4">
        <v>44930</v>
      </c>
      <c r="C740" s="24">
        <v>6.4212527082163744</v>
      </c>
      <c r="E740" s="4">
        <v>44931</v>
      </c>
      <c r="F740" s="23">
        <v>1547075012980</v>
      </c>
      <c r="G740" s="19">
        <v>2.2783969203814012</v>
      </c>
      <c r="H740" s="31">
        <v>1452206628975</v>
      </c>
      <c r="I740" s="31">
        <v>94868384005</v>
      </c>
      <c r="J740" s="21">
        <v>64008017213</v>
      </c>
      <c r="K740" s="19">
        <v>7.5969305863110881</v>
      </c>
      <c r="L740" s="23">
        <v>58915722339</v>
      </c>
      <c r="M740" s="21">
        <v>5092294874</v>
      </c>
    </row>
    <row r="741" spans="2:13" x14ac:dyDescent="0.3">
      <c r="B741" s="4">
        <v>44931</v>
      </c>
      <c r="C741" s="24">
        <v>6.9925405057049241</v>
      </c>
      <c r="E741" s="4">
        <v>44932</v>
      </c>
      <c r="F741" s="23">
        <v>1544207099237</v>
      </c>
      <c r="G741" s="19">
        <v>2.2719557451774768</v>
      </c>
      <c r="H741" s="31">
        <v>1449148949196</v>
      </c>
      <c r="I741" s="31">
        <v>95058150041</v>
      </c>
      <c r="J741" s="21">
        <v>61740879997</v>
      </c>
      <c r="K741" s="19">
        <v>7.3687025599359668</v>
      </c>
      <c r="L741" s="23">
        <v>56894846314</v>
      </c>
      <c r="M741" s="21">
        <v>4846033683</v>
      </c>
    </row>
    <row r="742" spans="2:13" x14ac:dyDescent="0.3">
      <c r="B742" s="4">
        <v>44932</v>
      </c>
      <c r="C742" s="24">
        <v>6.7903340493609132</v>
      </c>
      <c r="E742" s="4">
        <v>44935</v>
      </c>
      <c r="F742" s="23">
        <v>1547096486437</v>
      </c>
      <c r="G742" s="19">
        <v>2.2613277644229042</v>
      </c>
      <c r="H742" s="31">
        <v>1451454238691</v>
      </c>
      <c r="I742" s="31">
        <v>95642247746</v>
      </c>
      <c r="J742" s="21">
        <v>61521860108</v>
      </c>
      <c r="K742" s="19">
        <v>7.6238153432589479</v>
      </c>
      <c r="L742" s="23">
        <v>56889232660</v>
      </c>
      <c r="M742" s="21">
        <v>4632627448</v>
      </c>
    </row>
    <row r="743" spans="2:13" x14ac:dyDescent="0.3">
      <c r="B743" s="4">
        <v>44935</v>
      </c>
      <c r="C743" s="24">
        <v>7.0497381590570303</v>
      </c>
      <c r="E743" s="4">
        <v>44936</v>
      </c>
      <c r="F743" s="23">
        <v>1547152226238</v>
      </c>
      <c r="G743" s="19">
        <v>2.2620307088302378</v>
      </c>
      <c r="H743" s="31">
        <v>1451206102148</v>
      </c>
      <c r="I743" s="31">
        <v>95946124090</v>
      </c>
      <c r="J743" s="21">
        <v>56928862949</v>
      </c>
      <c r="K743" s="19">
        <v>7.6209846818529003</v>
      </c>
      <c r="L743" s="23">
        <v>52348317082</v>
      </c>
      <c r="M743" s="21">
        <v>4580545867</v>
      </c>
    </row>
    <row r="744" spans="2:13" x14ac:dyDescent="0.3">
      <c r="B744" s="4">
        <v>44936</v>
      </c>
      <c r="C744" s="24">
        <v>7.0077936206120608</v>
      </c>
      <c r="E744" s="4">
        <v>44937</v>
      </c>
      <c r="F744" s="23">
        <v>1544796216315</v>
      </c>
      <c r="G744" s="19">
        <v>2.2668417704578676</v>
      </c>
      <c r="H744" s="31">
        <v>1449696235498</v>
      </c>
      <c r="I744" s="31">
        <v>95099980817</v>
      </c>
      <c r="J744" s="21">
        <v>55311413803</v>
      </c>
      <c r="K744" s="19">
        <v>7.4590870650190011</v>
      </c>
      <c r="L744" s="23">
        <v>50814954797</v>
      </c>
      <c r="M744" s="21">
        <v>4496459006</v>
      </c>
    </row>
    <row r="745" spans="2:13" x14ac:dyDescent="0.3">
      <c r="B745" s="4">
        <v>44937</v>
      </c>
      <c r="C745" s="24">
        <v>6.8527116914026482</v>
      </c>
      <c r="E745" s="4">
        <v>44938</v>
      </c>
      <c r="F745" s="23">
        <v>1542829982104</v>
      </c>
      <c r="G745" s="19">
        <v>2.2600489972679672</v>
      </c>
      <c r="H745" s="31">
        <v>1447614577723</v>
      </c>
      <c r="I745" s="31">
        <v>95215404381</v>
      </c>
      <c r="J745" s="21">
        <v>50292669835</v>
      </c>
      <c r="K745" s="19">
        <v>7.3825537027349677</v>
      </c>
      <c r="L745" s="23">
        <v>46034999890</v>
      </c>
      <c r="M745" s="21">
        <v>4257669945</v>
      </c>
    </row>
    <row r="746" spans="2:13" x14ac:dyDescent="0.3">
      <c r="B746" s="4">
        <v>44938</v>
      </c>
      <c r="C746" s="24">
        <v>6.7575624839230279</v>
      </c>
      <c r="E746" s="4">
        <v>44939</v>
      </c>
      <c r="F746" s="23">
        <v>1539035979400</v>
      </c>
      <c r="G746" s="19">
        <v>2.2319751831725783</v>
      </c>
      <c r="H746" s="31">
        <v>1443064682300</v>
      </c>
      <c r="I746" s="31">
        <v>95971297100</v>
      </c>
      <c r="J746" s="21">
        <v>52066618724</v>
      </c>
      <c r="K746" s="19">
        <v>7.4151366807534691</v>
      </c>
      <c r="L746" s="23">
        <v>47663839613</v>
      </c>
      <c r="M746" s="21">
        <v>4402779111</v>
      </c>
    </row>
    <row r="747" spans="2:13" x14ac:dyDescent="0.3">
      <c r="B747" s="4">
        <v>44939</v>
      </c>
      <c r="C747" s="24">
        <v>6.7881090441732859</v>
      </c>
      <c r="E747" s="4">
        <v>44942</v>
      </c>
      <c r="F747" s="23">
        <v>1539410235897</v>
      </c>
      <c r="G747" s="19">
        <v>2.202758300397043</v>
      </c>
      <c r="H747" s="31">
        <v>1443338562592</v>
      </c>
      <c r="I747" s="31">
        <v>96071673305</v>
      </c>
      <c r="J747" s="21">
        <v>73479824085</v>
      </c>
      <c r="K747" s="19">
        <v>8.0140963274665449</v>
      </c>
      <c r="L747" s="23">
        <v>68935125286</v>
      </c>
      <c r="M747" s="21">
        <v>4544698799</v>
      </c>
    </row>
    <row r="748" spans="2:13" x14ac:dyDescent="0.3">
      <c r="B748" s="4">
        <v>44942</v>
      </c>
      <c r="C748" s="24">
        <v>7.5184275584126663</v>
      </c>
      <c r="E748" s="4">
        <v>44943</v>
      </c>
      <c r="F748" s="23">
        <v>1537151569235</v>
      </c>
      <c r="G748" s="19">
        <v>2.2008787575335771</v>
      </c>
      <c r="H748" s="31">
        <v>1441937323549</v>
      </c>
      <c r="I748" s="31">
        <v>95214245686</v>
      </c>
      <c r="J748" s="21">
        <v>52893018029</v>
      </c>
      <c r="K748" s="19">
        <v>7.4813754865922384</v>
      </c>
      <c r="L748" s="23">
        <v>49194058675</v>
      </c>
      <c r="M748" s="21">
        <v>3698959354</v>
      </c>
    </row>
    <row r="749" spans="2:13" x14ac:dyDescent="0.3">
      <c r="B749" s="4">
        <v>44943</v>
      </c>
      <c r="C749" s="24">
        <v>6.9581815969612091</v>
      </c>
      <c r="E749" s="4">
        <v>44944</v>
      </c>
      <c r="F749" s="23">
        <v>1532626778081</v>
      </c>
      <c r="G749" s="19">
        <v>2.1927975880543773</v>
      </c>
      <c r="H749" s="31">
        <v>1438680992751</v>
      </c>
      <c r="I749" s="31">
        <v>93945785330</v>
      </c>
      <c r="J749" s="21">
        <v>46859307767</v>
      </c>
      <c r="K749" s="19">
        <v>7.3732563033233376</v>
      </c>
      <c r="L749" s="23">
        <v>43981678828</v>
      </c>
      <c r="M749" s="21">
        <v>2877628939</v>
      </c>
    </row>
    <row r="750" spans="2:13" x14ac:dyDescent="0.3">
      <c r="B750" s="4">
        <v>44944</v>
      </c>
      <c r="C750" s="24">
        <v>6.9204648148402423</v>
      </c>
      <c r="E750" s="4">
        <v>44945</v>
      </c>
      <c r="F750" s="23">
        <v>1530557448346</v>
      </c>
      <c r="G750" s="19">
        <v>2.1772470997054278</v>
      </c>
      <c r="H750" s="31">
        <v>1436356809232</v>
      </c>
      <c r="I750" s="31">
        <v>94200639114</v>
      </c>
      <c r="J750" s="21">
        <v>54542370915</v>
      </c>
      <c r="K750" s="19">
        <v>7.9423649995642078</v>
      </c>
      <c r="L750" s="23">
        <v>51224272364</v>
      </c>
      <c r="M750" s="21">
        <v>3318098551</v>
      </c>
    </row>
    <row r="751" spans="2:13" x14ac:dyDescent="0.3">
      <c r="B751" s="4">
        <v>44945</v>
      </c>
      <c r="C751" s="24">
        <v>7.4591892711449752</v>
      </c>
      <c r="E751" s="4">
        <v>44946</v>
      </c>
      <c r="F751" s="23">
        <v>1511359637718</v>
      </c>
      <c r="G751" s="19">
        <v>2.1345101559673378</v>
      </c>
      <c r="H751" s="31">
        <v>1418772750818</v>
      </c>
      <c r="I751" s="31">
        <v>92586886900</v>
      </c>
      <c r="J751" s="21">
        <v>58091934186</v>
      </c>
      <c r="K751" s="19">
        <v>7.7573954946527532</v>
      </c>
      <c r="L751" s="23">
        <v>55201515366</v>
      </c>
      <c r="M751" s="21">
        <v>2890418820</v>
      </c>
    </row>
    <row r="752" spans="2:13" x14ac:dyDescent="0.3">
      <c r="B752" s="4">
        <v>44946</v>
      </c>
      <c r="C752" s="24">
        <v>7.3714189861044943</v>
      </c>
      <c r="E752" s="4">
        <v>44956</v>
      </c>
      <c r="F752" s="23">
        <v>1531083338789</v>
      </c>
      <c r="G752" s="19">
        <v>2.147449471094272</v>
      </c>
      <c r="H752" s="31">
        <v>1439192453361</v>
      </c>
      <c r="I752" s="31">
        <v>91890885428</v>
      </c>
      <c r="J752" s="21">
        <v>95236502699</v>
      </c>
      <c r="K752" s="19">
        <v>8.9696080617386293</v>
      </c>
      <c r="L752" s="23">
        <v>91330517388</v>
      </c>
      <c r="M752" s="21">
        <v>3905985311</v>
      </c>
    </row>
    <row r="753" spans="2:13" x14ac:dyDescent="0.3">
      <c r="B753" s="4">
        <v>44956</v>
      </c>
      <c r="C753" s="24">
        <v>8.6017327582396259</v>
      </c>
      <c r="E753" s="4">
        <v>44957</v>
      </c>
      <c r="F753" s="23">
        <v>1535763389846</v>
      </c>
      <c r="G753" s="19">
        <v>2.1631834752771151</v>
      </c>
      <c r="H753" s="31">
        <v>1445064425461</v>
      </c>
      <c r="I753" s="31">
        <v>90698964385</v>
      </c>
      <c r="J753" s="21">
        <v>72672271137</v>
      </c>
      <c r="K753" s="19">
        <v>8.0756900150352617</v>
      </c>
      <c r="L753" s="23">
        <v>68596308589</v>
      </c>
      <c r="M753" s="21">
        <v>4075962548</v>
      </c>
    </row>
    <row r="754" spans="2:13" x14ac:dyDescent="0.3">
      <c r="B754" s="4">
        <v>44957</v>
      </c>
      <c r="C754" s="24">
        <v>7.6227495807327683</v>
      </c>
      <c r="E754" s="4">
        <v>44958</v>
      </c>
      <c r="F754" s="23">
        <v>1545666318947</v>
      </c>
      <c r="G754" s="19">
        <v>2.153301285416422</v>
      </c>
      <c r="H754" s="31">
        <v>1453111568602</v>
      </c>
      <c r="I754" s="31">
        <v>92554750345</v>
      </c>
      <c r="J754" s="21">
        <v>85427348836</v>
      </c>
      <c r="K754" s="19">
        <v>8.5055951880410969</v>
      </c>
      <c r="L754" s="23">
        <v>80845814983</v>
      </c>
      <c r="M754" s="21">
        <v>4581533853</v>
      </c>
    </row>
    <row r="755" spans="2:13" x14ac:dyDescent="0.3">
      <c r="B755" s="4">
        <v>44958</v>
      </c>
      <c r="C755" s="24">
        <v>8.0494336329314482</v>
      </c>
      <c r="E755" s="4">
        <v>44959</v>
      </c>
      <c r="F755" s="23">
        <v>1551395635084</v>
      </c>
      <c r="G755" s="19">
        <v>2.1619138438083714</v>
      </c>
      <c r="H755" s="31">
        <v>1457697446724</v>
      </c>
      <c r="I755" s="31">
        <v>93698188360</v>
      </c>
      <c r="J755" s="21">
        <v>85226432724</v>
      </c>
      <c r="K755" s="19">
        <v>8.3225145962634333</v>
      </c>
      <c r="L755" s="23">
        <v>80364496875</v>
      </c>
      <c r="M755" s="21">
        <v>4861935849</v>
      </c>
    </row>
    <row r="756" spans="2:13" x14ac:dyDescent="0.3">
      <c r="B756" s="4">
        <v>44959</v>
      </c>
      <c r="C756" s="24">
        <v>7.8477378072308879</v>
      </c>
      <c r="E756" s="4">
        <v>44960</v>
      </c>
      <c r="F756" s="23">
        <v>1551834151129</v>
      </c>
      <c r="G756" s="19">
        <v>2.1751055823332446</v>
      </c>
      <c r="H756" s="31">
        <v>1458104672266</v>
      </c>
      <c r="I756" s="31">
        <v>93729478863</v>
      </c>
      <c r="J756" s="21">
        <v>74242189495</v>
      </c>
      <c r="K756" s="19">
        <v>8.1186553045538954</v>
      </c>
      <c r="L756" s="23">
        <v>69727710579</v>
      </c>
      <c r="M756" s="21">
        <v>4514478916</v>
      </c>
    </row>
    <row r="757" spans="2:13" x14ac:dyDescent="0.3">
      <c r="B757" s="4">
        <v>44960</v>
      </c>
      <c r="C757" s="24">
        <v>7.6249805025580777</v>
      </c>
      <c r="E757" s="4">
        <v>44963</v>
      </c>
      <c r="F757" s="23">
        <v>1557713443642</v>
      </c>
      <c r="G757" s="19">
        <v>2.1976820477911332</v>
      </c>
      <c r="H757" s="31">
        <v>1464142892683</v>
      </c>
      <c r="I757" s="31">
        <v>93570550959</v>
      </c>
      <c r="J757" s="21">
        <v>71643820615</v>
      </c>
      <c r="K757" s="19">
        <v>8.1924299095429767</v>
      </c>
      <c r="L757" s="23">
        <v>67011216709</v>
      </c>
      <c r="M757" s="21">
        <v>4632603906</v>
      </c>
    </row>
    <row r="758" spans="2:13" x14ac:dyDescent="0.3">
      <c r="B758" s="4">
        <v>44963</v>
      </c>
      <c r="C758" s="24">
        <v>7.662694302580749</v>
      </c>
      <c r="E758" s="4">
        <v>44964</v>
      </c>
      <c r="F758" s="23">
        <v>1564241439234</v>
      </c>
      <c r="G758" s="19">
        <v>2.1997539129660328</v>
      </c>
      <c r="H758" s="31">
        <v>1469466500547</v>
      </c>
      <c r="I758" s="31">
        <v>94774938687</v>
      </c>
      <c r="J758" s="21">
        <v>69433286907</v>
      </c>
      <c r="K758" s="19">
        <v>8.2119053466256453</v>
      </c>
      <c r="L758" s="23">
        <v>64511502563</v>
      </c>
      <c r="M758" s="21">
        <v>4921784344</v>
      </c>
    </row>
    <row r="759" spans="2:13" x14ac:dyDescent="0.3">
      <c r="B759" s="4">
        <v>44964</v>
      </c>
      <c r="C759" s="24">
        <v>7.6298037499726243</v>
      </c>
      <c r="E759" s="4">
        <v>44965</v>
      </c>
      <c r="F759" s="23">
        <v>1565615278662</v>
      </c>
      <c r="G759" s="19">
        <v>2.2118841061896695</v>
      </c>
      <c r="H759" s="31">
        <v>1470943744560</v>
      </c>
      <c r="I759" s="31">
        <v>94671534102</v>
      </c>
      <c r="J759" s="21">
        <v>63573111950</v>
      </c>
      <c r="K759" s="19">
        <v>7.9006438910850791</v>
      </c>
      <c r="L759" s="23">
        <v>59634289573</v>
      </c>
      <c r="M759" s="21">
        <v>3938822377</v>
      </c>
    </row>
    <row r="760" spans="2:13" x14ac:dyDescent="0.3">
      <c r="B760" s="4">
        <v>44965</v>
      </c>
      <c r="C760" s="24">
        <v>7.4111408292341912</v>
      </c>
      <c r="E760" s="4">
        <v>44966</v>
      </c>
      <c r="F760" s="23">
        <v>1570441547143</v>
      </c>
      <c r="G760" s="19">
        <v>2.1896042084278924</v>
      </c>
      <c r="H760" s="31">
        <v>1472808339856</v>
      </c>
      <c r="I760" s="31">
        <v>97633207287</v>
      </c>
      <c r="J760" s="21">
        <v>75278207262</v>
      </c>
      <c r="K760" s="19">
        <v>8.3566270814203492</v>
      </c>
      <c r="L760" s="23">
        <v>69740506789</v>
      </c>
      <c r="M760" s="21">
        <v>5537700473</v>
      </c>
    </row>
    <row r="761" spans="2:13" x14ac:dyDescent="0.3">
      <c r="B761" s="4">
        <v>44966</v>
      </c>
      <c r="C761" s="24">
        <v>7.7418874452809785</v>
      </c>
      <c r="E761" s="4">
        <v>44967</v>
      </c>
      <c r="F761" s="23">
        <v>1566842967282</v>
      </c>
      <c r="G761" s="19">
        <v>2.1914211400444725</v>
      </c>
      <c r="H761" s="31">
        <v>1470632069892</v>
      </c>
      <c r="I761" s="31">
        <v>96210897390</v>
      </c>
      <c r="J761" s="21">
        <v>71829261298</v>
      </c>
      <c r="K761" s="19">
        <v>8.0461892656196969</v>
      </c>
      <c r="L761" s="23">
        <v>67362675043</v>
      </c>
      <c r="M761" s="21">
        <v>4466586255</v>
      </c>
    </row>
    <row r="762" spans="2:13" x14ac:dyDescent="0.3">
      <c r="B762" s="4">
        <v>44967</v>
      </c>
      <c r="C762" s="24">
        <v>7.5458500204498993</v>
      </c>
      <c r="E762" s="4">
        <v>44970</v>
      </c>
      <c r="F762" s="23">
        <v>1573223999282</v>
      </c>
      <c r="G762" s="19">
        <v>2.1799724249246468</v>
      </c>
      <c r="H762" s="31">
        <v>1476905075422</v>
      </c>
      <c r="I762" s="31">
        <v>96318923860</v>
      </c>
      <c r="J762" s="21">
        <v>79699194837</v>
      </c>
      <c r="K762" s="19">
        <v>8.1413089438429722</v>
      </c>
      <c r="L762" s="23">
        <v>75216459486</v>
      </c>
      <c r="M762" s="21">
        <v>4482735351</v>
      </c>
    </row>
    <row r="763" spans="2:13" x14ac:dyDescent="0.3">
      <c r="B763" s="4">
        <v>44970</v>
      </c>
      <c r="C763" s="24">
        <v>7.6833954921372527</v>
      </c>
      <c r="E763" s="4">
        <v>44971</v>
      </c>
      <c r="F763" s="23">
        <v>1577230174422</v>
      </c>
      <c r="G763" s="19">
        <v>2.1826591132951547</v>
      </c>
      <c r="H763" s="31">
        <v>1480609290913</v>
      </c>
      <c r="I763" s="31">
        <v>96620883509</v>
      </c>
      <c r="J763" s="21">
        <v>74600932682</v>
      </c>
      <c r="K763" s="19">
        <v>8.1634163842818186</v>
      </c>
      <c r="L763" s="23">
        <v>69764055891</v>
      </c>
      <c r="M763" s="21">
        <v>4836876791</v>
      </c>
    </row>
    <row r="764" spans="2:13" x14ac:dyDescent="0.3">
      <c r="B764" s="4">
        <v>44971</v>
      </c>
      <c r="C764" s="24">
        <v>7.6341275694527102</v>
      </c>
      <c r="E764" s="4">
        <v>44972</v>
      </c>
      <c r="F764" s="23">
        <v>1581231709770</v>
      </c>
      <c r="G764" s="19">
        <v>2.1937131040233924</v>
      </c>
      <c r="H764" s="31">
        <v>1483799356036</v>
      </c>
      <c r="I764" s="31">
        <v>97432353734</v>
      </c>
      <c r="J764" s="21">
        <v>80771530199</v>
      </c>
      <c r="K764" s="19">
        <v>8.6188147040562946</v>
      </c>
      <c r="L764" s="23">
        <v>75829430006</v>
      </c>
      <c r="M764" s="21">
        <v>4942100193</v>
      </c>
    </row>
    <row r="765" spans="2:13" x14ac:dyDescent="0.3">
      <c r="B765" s="4">
        <v>44972</v>
      </c>
      <c r="C765" s="24">
        <v>8.0914624834483053</v>
      </c>
      <c r="E765" s="4">
        <v>44973</v>
      </c>
      <c r="F765" s="23">
        <v>1577808742715</v>
      </c>
      <c r="G765" s="19">
        <v>2.2158811281411381</v>
      </c>
      <c r="H765" s="31">
        <v>1481066081244</v>
      </c>
      <c r="I765" s="31">
        <v>96742661471</v>
      </c>
      <c r="J765" s="21">
        <v>101222305398</v>
      </c>
      <c r="K765" s="19">
        <v>8.4863826847317689</v>
      </c>
      <c r="L765" s="23">
        <v>95391720476</v>
      </c>
      <c r="M765" s="21">
        <v>5830584922</v>
      </c>
    </row>
    <row r="766" spans="2:13" x14ac:dyDescent="0.3">
      <c r="B766" s="4">
        <v>44973</v>
      </c>
      <c r="C766" s="24">
        <v>7.997551940071645</v>
      </c>
      <c r="E766" s="4">
        <v>44974</v>
      </c>
      <c r="F766" s="23">
        <v>1572035615242</v>
      </c>
      <c r="G766" s="19">
        <v>2.2281463572959073</v>
      </c>
      <c r="H766" s="31">
        <v>1476730018655</v>
      </c>
      <c r="I766" s="31">
        <v>95305596587</v>
      </c>
      <c r="J766" s="21">
        <v>69479310959</v>
      </c>
      <c r="K766" s="19">
        <v>7.6021926435178999</v>
      </c>
      <c r="L766" s="23">
        <v>64751763382</v>
      </c>
      <c r="M766" s="21">
        <v>4727547577</v>
      </c>
    </row>
    <row r="767" spans="2:13" x14ac:dyDescent="0.3">
      <c r="B767" s="4">
        <v>44974</v>
      </c>
      <c r="C767" s="24">
        <v>7.0849202797640558</v>
      </c>
      <c r="E767" s="4">
        <v>44977</v>
      </c>
      <c r="F767" s="23">
        <v>1579831426593</v>
      </c>
      <c r="G767" s="19">
        <v>2.1961612414314144</v>
      </c>
      <c r="H767" s="31">
        <v>1482119456846</v>
      </c>
      <c r="I767" s="31">
        <v>97711969747</v>
      </c>
      <c r="J767" s="21">
        <v>79775732250</v>
      </c>
      <c r="K767" s="19">
        <v>8.4010606981002756</v>
      </c>
      <c r="L767" s="23">
        <v>74344077642</v>
      </c>
      <c r="M767" s="21">
        <v>5431654608</v>
      </c>
    </row>
    <row r="768" spans="2:13" x14ac:dyDescent="0.3">
      <c r="B768" s="4">
        <v>44977</v>
      </c>
      <c r="C768" s="24">
        <v>7.82906143509227</v>
      </c>
      <c r="E768" s="4">
        <v>44978</v>
      </c>
      <c r="F768" s="23">
        <v>1582089867568</v>
      </c>
      <c r="G768" s="19">
        <v>2.1902886973231483</v>
      </c>
      <c r="H768" s="31">
        <v>1484471175607</v>
      </c>
      <c r="I768" s="31">
        <v>97618691961</v>
      </c>
      <c r="J768" s="21">
        <v>77199719999</v>
      </c>
      <c r="K768" s="19">
        <v>8.3802314627762122</v>
      </c>
      <c r="L768" s="23">
        <v>72326335564</v>
      </c>
      <c r="M768" s="21">
        <v>4873384435</v>
      </c>
    </row>
    <row r="769" spans="2:13" x14ac:dyDescent="0.3">
      <c r="B769" s="4">
        <v>44978</v>
      </c>
      <c r="C769" s="24">
        <v>7.8512128397433836</v>
      </c>
      <c r="E769" s="4">
        <v>44979</v>
      </c>
      <c r="F769" s="23">
        <v>1585030753478</v>
      </c>
      <c r="G769" s="19">
        <v>2.2029262589188625</v>
      </c>
      <c r="H769" s="31">
        <v>1487663774582</v>
      </c>
      <c r="I769" s="31">
        <v>97366978896</v>
      </c>
      <c r="J769" s="21">
        <v>64288653448</v>
      </c>
      <c r="K769" s="19">
        <v>8.2086151351309358</v>
      </c>
      <c r="L769" s="23">
        <v>59839260927</v>
      </c>
      <c r="M769" s="21">
        <v>4449392521</v>
      </c>
    </row>
    <row r="770" spans="2:13" x14ac:dyDescent="0.3">
      <c r="B770" s="4">
        <v>44979</v>
      </c>
      <c r="C770" s="24">
        <v>7.6405000972329811</v>
      </c>
      <c r="E770" s="4">
        <v>44980</v>
      </c>
      <c r="F770" s="23">
        <v>1585204288777</v>
      </c>
      <c r="G770" s="19">
        <v>2.2065524119981315</v>
      </c>
      <c r="H770" s="31">
        <v>1488194769106</v>
      </c>
      <c r="I770" s="31">
        <v>97009519671</v>
      </c>
      <c r="J770" s="21">
        <v>65517488598</v>
      </c>
      <c r="K770" s="19">
        <v>8.1177642194437745</v>
      </c>
      <c r="L770" s="23">
        <v>61024241752</v>
      </c>
      <c r="M770" s="21">
        <v>4493246846</v>
      </c>
    </row>
    <row r="771" spans="2:13" x14ac:dyDescent="0.3">
      <c r="B771" s="4">
        <v>44980</v>
      </c>
      <c r="C771" s="24">
        <v>7.5610408276271226</v>
      </c>
      <c r="E771" s="4">
        <v>44981</v>
      </c>
      <c r="F771" s="23">
        <v>1581748372102</v>
      </c>
      <c r="G771" s="19">
        <v>2.2157520475601116</v>
      </c>
      <c r="H771" s="31">
        <v>1486535886976</v>
      </c>
      <c r="I771" s="31">
        <v>95212485126</v>
      </c>
      <c r="J771" s="21">
        <v>58947893887</v>
      </c>
      <c r="K771" s="19">
        <v>8.1234733297068473</v>
      </c>
      <c r="L771" s="23">
        <v>55092755797</v>
      </c>
      <c r="M771" s="21">
        <v>3855138090</v>
      </c>
    </row>
    <row r="772" spans="2:13" x14ac:dyDescent="0.3">
      <c r="B772" s="4">
        <v>44981</v>
      </c>
      <c r="C772" s="24">
        <v>7.592205639015722</v>
      </c>
      <c r="E772" s="4">
        <v>44984</v>
      </c>
      <c r="F772" s="23">
        <v>1581132926174</v>
      </c>
      <c r="G772" s="19">
        <v>2.2225680100176879</v>
      </c>
      <c r="H772" s="31">
        <v>1487350169168</v>
      </c>
      <c r="I772" s="31">
        <v>93782757006</v>
      </c>
      <c r="J772" s="21">
        <v>58231076115</v>
      </c>
      <c r="K772" s="19">
        <v>7.7284046208092096</v>
      </c>
      <c r="L772" s="23">
        <v>54186147403</v>
      </c>
      <c r="M772" s="21">
        <v>4044928712</v>
      </c>
    </row>
    <row r="773" spans="2:13" x14ac:dyDescent="0.3">
      <c r="B773" s="4">
        <v>44984</v>
      </c>
      <c r="C773" s="24">
        <v>7.1915633354630843</v>
      </c>
      <c r="E773" s="4">
        <v>44985</v>
      </c>
      <c r="F773" s="23">
        <v>1581508084316</v>
      </c>
      <c r="G773" s="19">
        <v>2.2072205643051044</v>
      </c>
      <c r="H773" s="31">
        <v>1488008992796</v>
      </c>
      <c r="I773" s="31">
        <v>93499091520</v>
      </c>
      <c r="J773" s="21">
        <v>59610857814</v>
      </c>
      <c r="K773" s="19">
        <v>7.8798179717391719</v>
      </c>
      <c r="L773" s="23">
        <v>55383543559</v>
      </c>
      <c r="M773" s="21">
        <v>4227314255</v>
      </c>
    </row>
    <row r="774" spans="2:13" x14ac:dyDescent="0.3">
      <c r="B774" s="4">
        <v>44985</v>
      </c>
      <c r="C774" s="24">
        <v>7.3210193222938855</v>
      </c>
      <c r="E774" s="4">
        <v>44986</v>
      </c>
      <c r="F774" s="23">
        <v>1585937260236</v>
      </c>
      <c r="G774" s="19">
        <v>2.1908153460299875</v>
      </c>
      <c r="H774" s="31">
        <v>1491053253117</v>
      </c>
      <c r="I774" s="31">
        <v>94884007119</v>
      </c>
      <c r="J774" s="21">
        <v>79661812990</v>
      </c>
      <c r="K774" s="19">
        <v>8.6709307784735348</v>
      </c>
      <c r="L774" s="23">
        <v>74660963398</v>
      </c>
      <c r="M774" s="21">
        <v>5000849592</v>
      </c>
    </row>
    <row r="775" spans="2:13" x14ac:dyDescent="0.3">
      <c r="B775" s="4">
        <v>44986</v>
      </c>
      <c r="C775" s="24">
        <v>8.1266044693141772</v>
      </c>
      <c r="E775" s="4">
        <v>44987</v>
      </c>
      <c r="F775" s="23">
        <v>1586202180355</v>
      </c>
      <c r="G775" s="19">
        <v>2.1939925412075136</v>
      </c>
      <c r="H775" s="31">
        <v>1491229351255</v>
      </c>
      <c r="I775" s="31">
        <v>94972829100</v>
      </c>
      <c r="J775" s="21">
        <v>78484574266</v>
      </c>
      <c r="K775" s="19">
        <v>8.4090690253982654</v>
      </c>
      <c r="L775" s="23">
        <v>73643608828</v>
      </c>
      <c r="M775" s="21">
        <v>4840965438</v>
      </c>
    </row>
    <row r="776" spans="2:13" x14ac:dyDescent="0.3">
      <c r="B776" s="4">
        <v>44987</v>
      </c>
      <c r="C776" s="24">
        <v>7.8903936946289139</v>
      </c>
      <c r="E776" s="4">
        <v>44988</v>
      </c>
      <c r="F776" s="23">
        <v>1583979990784</v>
      </c>
      <c r="G776" s="19">
        <v>2.1839532414891099</v>
      </c>
      <c r="H776" s="31">
        <v>1488259637363</v>
      </c>
      <c r="I776" s="31">
        <v>95720353421</v>
      </c>
      <c r="J776" s="21">
        <v>73566043226</v>
      </c>
      <c r="K776" s="19">
        <v>8.462142290919326</v>
      </c>
      <c r="L776" s="23">
        <v>68572212860</v>
      </c>
      <c r="M776" s="21">
        <v>4993830366</v>
      </c>
    </row>
    <row r="777" spans="2:13" x14ac:dyDescent="0.3">
      <c r="B777" s="4">
        <v>44988</v>
      </c>
      <c r="C777" s="24">
        <v>7.8877128220951755</v>
      </c>
      <c r="E777" s="4">
        <v>44991</v>
      </c>
      <c r="F777" s="23">
        <v>1590158736646</v>
      </c>
      <c r="G777" s="19">
        <v>2.1956927204790704</v>
      </c>
      <c r="H777" s="31">
        <v>1493935872877</v>
      </c>
      <c r="I777" s="31">
        <v>96222863769</v>
      </c>
      <c r="J777" s="21">
        <v>79938757009</v>
      </c>
      <c r="K777" s="19">
        <v>8.4081414140157129</v>
      </c>
      <c r="L777" s="23">
        <v>75499043423</v>
      </c>
      <c r="M777" s="21">
        <v>4439713586</v>
      </c>
    </row>
    <row r="778" spans="2:13" x14ac:dyDescent="0.3">
      <c r="B778" s="4">
        <v>44991</v>
      </c>
      <c r="C778" s="24">
        <v>7.9411621780912416</v>
      </c>
      <c r="E778" s="4">
        <v>44992</v>
      </c>
      <c r="F778" s="23">
        <v>1586303632810</v>
      </c>
      <c r="G778" s="19">
        <v>2.2223568775712947</v>
      </c>
      <c r="H778" s="31">
        <v>1491873384738</v>
      </c>
      <c r="I778" s="31">
        <v>94430248072</v>
      </c>
      <c r="J778" s="21">
        <v>76168641397</v>
      </c>
      <c r="K778" s="19">
        <v>8.1689014337933337</v>
      </c>
      <c r="L778" s="23">
        <v>71672990638</v>
      </c>
      <c r="M778" s="21">
        <v>4495650759</v>
      </c>
    </row>
    <row r="779" spans="2:13" x14ac:dyDescent="0.3">
      <c r="B779" s="4">
        <v>44992</v>
      </c>
      <c r="C779" s="24">
        <v>7.6867538300358165</v>
      </c>
      <c r="E779" s="4">
        <v>44993</v>
      </c>
      <c r="F779" s="23">
        <v>1587428016452</v>
      </c>
      <c r="G779" s="19">
        <v>2.2230577909186349</v>
      </c>
      <c r="H779" s="31">
        <v>1493528640462</v>
      </c>
      <c r="I779" s="31">
        <v>93899375990</v>
      </c>
      <c r="J779" s="21">
        <v>57958633053</v>
      </c>
      <c r="K779" s="19">
        <v>8.0685315371259598</v>
      </c>
      <c r="L779" s="23">
        <v>54150772722</v>
      </c>
      <c r="M779" s="21">
        <v>3807860331</v>
      </c>
    </row>
    <row r="780" spans="2:13" x14ac:dyDescent="0.3">
      <c r="B780" s="4">
        <v>44993</v>
      </c>
      <c r="C780" s="24">
        <v>7.5384320583899944</v>
      </c>
      <c r="E780" s="4">
        <v>44994</v>
      </c>
      <c r="F780" s="23">
        <v>1590564704313</v>
      </c>
      <c r="G780" s="19">
        <v>2.2320636119589632</v>
      </c>
      <c r="H780" s="31">
        <v>1495698640391</v>
      </c>
      <c r="I780" s="31">
        <v>94866063922</v>
      </c>
      <c r="J780" s="21">
        <v>62271649635</v>
      </c>
      <c r="K780" s="19">
        <v>8.2313399309707602</v>
      </c>
      <c r="L780" s="23">
        <v>57257120166</v>
      </c>
      <c r="M780" s="21">
        <v>5014529469</v>
      </c>
    </row>
    <row r="781" spans="2:13" x14ac:dyDescent="0.3">
      <c r="B781" s="4">
        <v>44994</v>
      </c>
      <c r="C781" s="24">
        <v>7.5684974192475787</v>
      </c>
      <c r="E781" s="4">
        <v>44995</v>
      </c>
      <c r="F781" s="23">
        <v>1583184470509</v>
      </c>
      <c r="G781" s="19">
        <v>2.2515476567457382</v>
      </c>
      <c r="H781" s="31">
        <v>1490348431041</v>
      </c>
      <c r="I781" s="31">
        <v>92836039468</v>
      </c>
      <c r="J781" s="21">
        <v>63526388036</v>
      </c>
      <c r="K781" s="19">
        <v>7.8492736749957963</v>
      </c>
      <c r="L781" s="23">
        <v>59108096783</v>
      </c>
      <c r="M781" s="21">
        <v>4418291253</v>
      </c>
    </row>
    <row r="782" spans="2:13" x14ac:dyDescent="0.3">
      <c r="B782" s="4">
        <v>44995</v>
      </c>
      <c r="C782" s="24">
        <v>7.3033528648753796</v>
      </c>
      <c r="E782" s="4">
        <v>44998</v>
      </c>
      <c r="F782" s="23">
        <v>1585406986338</v>
      </c>
      <c r="G782" s="19">
        <v>2.2340657890427837</v>
      </c>
      <c r="H782" s="31">
        <v>1492160892805</v>
      </c>
      <c r="I782" s="31">
        <v>93246093533</v>
      </c>
      <c r="J782" s="21">
        <v>68565459458</v>
      </c>
      <c r="K782" s="19">
        <v>8.1710668805162321</v>
      </c>
      <c r="L782" s="23">
        <v>64033195072</v>
      </c>
      <c r="M782" s="21">
        <v>4532264386</v>
      </c>
    </row>
    <row r="783" spans="2:13" x14ac:dyDescent="0.3">
      <c r="B783" s="4">
        <v>44998</v>
      </c>
      <c r="C783" s="24">
        <v>7.63094893029856</v>
      </c>
      <c r="E783" s="4">
        <v>44999</v>
      </c>
      <c r="F783" s="23">
        <v>1586913472862</v>
      </c>
      <c r="G783" s="19">
        <v>2.2545942977848985</v>
      </c>
      <c r="H783" s="31">
        <v>1494213778420</v>
      </c>
      <c r="I783" s="31">
        <v>92699694442</v>
      </c>
      <c r="J783" s="21">
        <v>78499474518</v>
      </c>
      <c r="K783" s="19">
        <v>8.4207871390418845</v>
      </c>
      <c r="L783" s="23">
        <v>73356470177</v>
      </c>
      <c r="M783" s="21">
        <v>5143004341</v>
      </c>
    </row>
    <row r="784" spans="2:13" x14ac:dyDescent="0.3">
      <c r="B784" s="4">
        <v>44999</v>
      </c>
      <c r="C784" s="24">
        <v>7.869087333703713</v>
      </c>
      <c r="E784" s="4">
        <v>45000</v>
      </c>
      <c r="F784" s="23">
        <v>1587293603101</v>
      </c>
      <c r="G784" s="19">
        <v>2.2450808527394188</v>
      </c>
      <c r="H784" s="31">
        <v>1494457259670</v>
      </c>
      <c r="I784" s="31">
        <v>92836343431</v>
      </c>
      <c r="J784" s="21">
        <v>68244462480</v>
      </c>
      <c r="K784" s="19">
        <v>8.3406933453102514</v>
      </c>
      <c r="L784" s="23">
        <v>63516736587</v>
      </c>
      <c r="M784" s="21">
        <v>4727725893</v>
      </c>
    </row>
    <row r="785" spans="2:13" x14ac:dyDescent="0.3">
      <c r="B785" s="4">
        <v>45000</v>
      </c>
      <c r="C785" s="24">
        <v>7.7628807219673357</v>
      </c>
      <c r="E785" s="4">
        <v>45001</v>
      </c>
      <c r="F785" s="23">
        <v>1585551742093</v>
      </c>
      <c r="G785" s="19">
        <v>2.2704806019370039</v>
      </c>
      <c r="H785" s="31">
        <v>1494106964387</v>
      </c>
      <c r="I785" s="31">
        <v>91444777706</v>
      </c>
      <c r="J785" s="21">
        <v>68780619766</v>
      </c>
      <c r="K785" s="19">
        <v>8.1411142999843236</v>
      </c>
      <c r="L785" s="23">
        <v>63872015763</v>
      </c>
      <c r="M785" s="21">
        <v>4908604003</v>
      </c>
    </row>
    <row r="786" spans="2:13" x14ac:dyDescent="0.3">
      <c r="B786" s="4">
        <v>45001</v>
      </c>
      <c r="C786" s="24">
        <v>7.5601147920162735</v>
      </c>
      <c r="E786" s="4">
        <v>45002</v>
      </c>
      <c r="F786" s="23">
        <v>1585082599808</v>
      </c>
      <c r="G786" s="19">
        <v>2.2561903295533798</v>
      </c>
      <c r="H786" s="31">
        <v>1492889875353</v>
      </c>
      <c r="I786" s="31">
        <v>92192724455</v>
      </c>
      <c r="J786" s="21">
        <v>82346833131</v>
      </c>
      <c r="K786" s="19">
        <v>8.4641350448500052</v>
      </c>
      <c r="L786" s="23">
        <v>77247055159</v>
      </c>
      <c r="M786" s="21">
        <v>5099777972</v>
      </c>
    </row>
    <row r="787" spans="2:13" x14ac:dyDescent="0.3">
      <c r="B787" s="4">
        <v>45002</v>
      </c>
      <c r="C787" s="24">
        <v>7.9399471943580417</v>
      </c>
      <c r="E787" s="4">
        <v>45005</v>
      </c>
      <c r="F787" s="23">
        <v>1587445916805</v>
      </c>
      <c r="G787" s="19">
        <v>2.2668635448336736</v>
      </c>
      <c r="H787" s="31">
        <v>1495608339392</v>
      </c>
      <c r="I787" s="31">
        <v>91837577413</v>
      </c>
      <c r="J787" s="21">
        <v>86249519034</v>
      </c>
      <c r="K787" s="19">
        <v>8.1576032353232755</v>
      </c>
      <c r="L787" s="23">
        <v>81468924597</v>
      </c>
      <c r="M787" s="21">
        <v>4780594437</v>
      </c>
    </row>
    <row r="788" spans="2:13" x14ac:dyDescent="0.3">
      <c r="B788" s="4">
        <v>45005</v>
      </c>
      <c r="C788" s="24">
        <v>7.7054477557006429</v>
      </c>
      <c r="E788" s="4">
        <v>45006</v>
      </c>
      <c r="F788" s="23">
        <v>1590246448235</v>
      </c>
      <c r="G788" s="19">
        <v>2.2480151284402807</v>
      </c>
      <c r="H788" s="31">
        <v>1497510374015</v>
      </c>
      <c r="I788" s="31">
        <v>92736074220</v>
      </c>
      <c r="J788" s="21">
        <v>69624216208</v>
      </c>
      <c r="K788" s="19">
        <v>7.7976996172091821</v>
      </c>
      <c r="L788" s="23">
        <v>67093895654</v>
      </c>
      <c r="M788" s="21">
        <v>2530320554</v>
      </c>
    </row>
    <row r="789" spans="2:13" x14ac:dyDescent="0.3">
      <c r="B789" s="4">
        <v>45006</v>
      </c>
      <c r="C789" s="24">
        <v>7.5143114415147139</v>
      </c>
      <c r="E789" s="4">
        <v>45007</v>
      </c>
      <c r="F789" s="23">
        <v>1594987525619</v>
      </c>
      <c r="G789" s="19">
        <v>2.2441315052477018</v>
      </c>
      <c r="H789" s="31">
        <v>1501159920172</v>
      </c>
      <c r="I789" s="31">
        <v>93827605447</v>
      </c>
      <c r="J789" s="21">
        <v>81579351796</v>
      </c>
      <c r="K789" s="19">
        <v>8.5185673171308043</v>
      </c>
      <c r="L789" s="23">
        <v>76595630463</v>
      </c>
      <c r="M789" s="21">
        <v>4983721333</v>
      </c>
    </row>
    <row r="790" spans="2:13" x14ac:dyDescent="0.3">
      <c r="B790" s="4">
        <v>45007</v>
      </c>
      <c r="C790" s="24">
        <v>7.9981639953301649</v>
      </c>
      <c r="E790" s="4">
        <v>45008</v>
      </c>
      <c r="F790" s="23">
        <v>1600578706686</v>
      </c>
      <c r="G790" s="19">
        <v>2.2362316749392819</v>
      </c>
      <c r="H790" s="31">
        <v>1504972917910</v>
      </c>
      <c r="I790" s="31">
        <v>95605788776</v>
      </c>
      <c r="J790" s="21">
        <v>91722885773</v>
      </c>
      <c r="K790" s="19">
        <v>8.9880482676156177</v>
      </c>
      <c r="L790" s="23">
        <v>86095310492</v>
      </c>
      <c r="M790" s="21">
        <v>5627575281</v>
      </c>
    </row>
    <row r="791" spans="2:13" x14ac:dyDescent="0.3">
      <c r="B791" s="4">
        <v>45008</v>
      </c>
      <c r="C791" s="24">
        <v>8.4365946382515293</v>
      </c>
      <c r="E791" s="4">
        <v>45009</v>
      </c>
      <c r="F791" s="23">
        <v>1602369558550</v>
      </c>
      <c r="G791" s="19">
        <v>2.2447855232884883</v>
      </c>
      <c r="H791" s="31">
        <v>1507191491781</v>
      </c>
      <c r="I791" s="31">
        <v>95178066769</v>
      </c>
      <c r="J791" s="21">
        <v>95136189557</v>
      </c>
      <c r="K791" s="19">
        <v>8.8534544070483943</v>
      </c>
      <c r="L791" s="23">
        <v>89948560670</v>
      </c>
      <c r="M791" s="21">
        <v>5187628887</v>
      </c>
    </row>
    <row r="792" spans="2:13" x14ac:dyDescent="0.3">
      <c r="B792" s="4">
        <v>45009</v>
      </c>
      <c r="C792" s="24">
        <v>8.3706892674563349</v>
      </c>
      <c r="E792" s="4">
        <v>45012</v>
      </c>
      <c r="F792" s="23">
        <v>1610550969671</v>
      </c>
      <c r="G792" s="19">
        <v>2.2607847004820276</v>
      </c>
      <c r="H792" s="31">
        <v>1515320697458</v>
      </c>
      <c r="I792" s="31">
        <v>95230272213</v>
      </c>
      <c r="J792" s="21">
        <v>102217567874</v>
      </c>
      <c r="K792" s="19">
        <v>8.968100098590071</v>
      </c>
      <c r="L792" s="23">
        <v>96568001643</v>
      </c>
      <c r="M792" s="21">
        <v>5649566231</v>
      </c>
    </row>
    <row r="793" spans="2:13" x14ac:dyDescent="0.3">
      <c r="B793" s="4">
        <v>45012</v>
      </c>
      <c r="C793" s="24">
        <v>8.4724330960678014</v>
      </c>
      <c r="E793" s="4">
        <v>45013</v>
      </c>
      <c r="F793" s="23">
        <v>1611426614277</v>
      </c>
      <c r="G793" s="19">
        <v>2.269903576080067</v>
      </c>
      <c r="H793" s="31">
        <v>1516886393982</v>
      </c>
      <c r="I793" s="31">
        <v>94540220295</v>
      </c>
      <c r="J793" s="21">
        <v>85511250206</v>
      </c>
      <c r="K793" s="19">
        <v>8.5167450944591696</v>
      </c>
      <c r="L793" s="23">
        <v>79707329928</v>
      </c>
      <c r="M793" s="21">
        <v>5803920278</v>
      </c>
    </row>
    <row r="794" spans="2:13" x14ac:dyDescent="0.3">
      <c r="B794" s="4">
        <v>45013</v>
      </c>
      <c r="C794" s="24">
        <v>7.938686541494401</v>
      </c>
      <c r="E794" s="4">
        <v>45014</v>
      </c>
      <c r="F794" s="23">
        <v>1610549383371</v>
      </c>
      <c r="G794" s="19">
        <v>2.2700068113764749</v>
      </c>
      <c r="H794" s="31">
        <v>1515674977986</v>
      </c>
      <c r="I794" s="31">
        <v>94874405385</v>
      </c>
      <c r="J794" s="21">
        <v>85115828829</v>
      </c>
      <c r="K794" s="19">
        <v>8.6774374892910373</v>
      </c>
      <c r="L794" s="23">
        <v>79388921876</v>
      </c>
      <c r="M794" s="21">
        <v>5726906953</v>
      </c>
    </row>
    <row r="795" spans="2:13" x14ac:dyDescent="0.3">
      <c r="B795" s="4">
        <v>45014</v>
      </c>
      <c r="C795" s="24">
        <v>8.0935874842410716</v>
      </c>
      <c r="E795" s="4">
        <v>45015</v>
      </c>
      <c r="F795" s="23">
        <v>1610166578997</v>
      </c>
      <c r="G795" s="19">
        <v>2.2566363883807368</v>
      </c>
      <c r="H795" s="31">
        <v>1516584131113</v>
      </c>
      <c r="I795" s="31">
        <v>93582447884</v>
      </c>
      <c r="J795" s="21">
        <v>82798941701</v>
      </c>
      <c r="K795" s="19">
        <v>8.7687972060236117</v>
      </c>
      <c r="L795" s="23">
        <v>77773743070</v>
      </c>
      <c r="M795" s="21">
        <v>5025198631</v>
      </c>
    </row>
    <row r="796" spans="2:13" x14ac:dyDescent="0.3">
      <c r="B796" s="4">
        <v>45015</v>
      </c>
      <c r="C796" s="24">
        <v>8.2366050449890906</v>
      </c>
      <c r="E796" s="4">
        <v>45016</v>
      </c>
      <c r="F796" s="23">
        <v>1606585731552</v>
      </c>
      <c r="G796" s="19">
        <v>2.2389773779205053</v>
      </c>
      <c r="H796" s="31">
        <v>1512872458796</v>
      </c>
      <c r="I796" s="31">
        <v>93713272756</v>
      </c>
      <c r="J796" s="21">
        <v>80713529017</v>
      </c>
      <c r="K796" s="19">
        <v>8.4691677198736226</v>
      </c>
      <c r="L796" s="23">
        <v>75577023964</v>
      </c>
      <c r="M796" s="21">
        <v>5136505053</v>
      </c>
    </row>
    <row r="797" spans="2:13" x14ac:dyDescent="0.3">
      <c r="B797" s="4">
        <v>45016</v>
      </c>
      <c r="C797" s="24">
        <v>7.9302007918054311</v>
      </c>
      <c r="E797" s="4">
        <v>45019</v>
      </c>
      <c r="F797" s="23">
        <v>1618507225828</v>
      </c>
      <c r="G797" s="19">
        <v>2.2358779315323898</v>
      </c>
      <c r="H797" s="31">
        <v>1522810288290</v>
      </c>
      <c r="I797" s="31">
        <v>95696937538</v>
      </c>
      <c r="J797" s="21">
        <v>116446685469</v>
      </c>
      <c r="K797" s="19">
        <v>9.2951247449600967</v>
      </c>
      <c r="L797" s="23">
        <v>111062999858</v>
      </c>
      <c r="M797" s="21">
        <v>5383685611</v>
      </c>
    </row>
    <row r="798" spans="2:13" x14ac:dyDescent="0.3">
      <c r="B798" s="4">
        <v>45019</v>
      </c>
      <c r="C798" s="24">
        <v>8.865382763551672</v>
      </c>
      <c r="E798" s="4">
        <v>45020</v>
      </c>
      <c r="F798" s="23">
        <v>1619402250324</v>
      </c>
      <c r="G798" s="19">
        <v>2.2332165660992152</v>
      </c>
      <c r="H798" s="31">
        <v>1524292192979</v>
      </c>
      <c r="I798" s="31">
        <v>95110057345</v>
      </c>
      <c r="J798" s="21">
        <v>119839428991</v>
      </c>
      <c r="K798" s="19">
        <v>9.0485360440317439</v>
      </c>
      <c r="L798" s="23">
        <v>113394133137</v>
      </c>
      <c r="M798" s="21">
        <v>6445295854</v>
      </c>
    </row>
    <row r="799" spans="2:13" x14ac:dyDescent="0.3">
      <c r="B799" s="4">
        <v>45020</v>
      </c>
      <c r="C799" s="24">
        <v>8.5618807558648804</v>
      </c>
      <c r="E799" s="4">
        <v>45022</v>
      </c>
      <c r="F799" s="23">
        <v>1628153269802</v>
      </c>
      <c r="G799" s="19">
        <v>2.2456251052180995</v>
      </c>
      <c r="H799" s="31">
        <v>1532402565909</v>
      </c>
      <c r="I799" s="31">
        <v>95750703893</v>
      </c>
      <c r="J799" s="21">
        <v>118199294229</v>
      </c>
      <c r="K799" s="19">
        <v>9.9068790333012853</v>
      </c>
      <c r="L799" s="23">
        <v>111437537835</v>
      </c>
      <c r="M799" s="21">
        <v>6761756394</v>
      </c>
    </row>
    <row r="800" spans="2:13" x14ac:dyDescent="0.3">
      <c r="B800" s="4">
        <v>45022</v>
      </c>
      <c r="C800" s="24">
        <v>9.3401421243800975</v>
      </c>
      <c r="E800" s="4">
        <v>45023</v>
      </c>
      <c r="F800" s="23">
        <v>1627303809577</v>
      </c>
      <c r="G800" s="19">
        <v>2.2308825727140653</v>
      </c>
      <c r="H800" s="31">
        <v>1530279045350</v>
      </c>
      <c r="I800" s="31">
        <v>97024764227</v>
      </c>
      <c r="J800" s="21">
        <v>100932608163</v>
      </c>
      <c r="K800" s="19">
        <v>9.5781528052850025</v>
      </c>
      <c r="L800" s="23">
        <v>94438852264</v>
      </c>
      <c r="M800" s="21">
        <v>6493755899</v>
      </c>
    </row>
    <row r="801" spans="2:13" x14ac:dyDescent="0.3">
      <c r="B801" s="4">
        <v>45023</v>
      </c>
      <c r="C801" s="24">
        <v>8.9619179985870847</v>
      </c>
      <c r="E801" s="4">
        <v>45026</v>
      </c>
      <c r="F801" s="23">
        <v>1627331452574</v>
      </c>
      <c r="G801" s="19">
        <v>2.2425779655258111</v>
      </c>
      <c r="H801" s="31">
        <v>1531973862183</v>
      </c>
      <c r="I801" s="31">
        <v>95357590391</v>
      </c>
      <c r="J801" s="21">
        <v>113208498119</v>
      </c>
      <c r="K801" s="19">
        <v>9.2385518285719783</v>
      </c>
      <c r="L801" s="23">
        <v>106236725132</v>
      </c>
      <c r="M801" s="21">
        <v>6971772987</v>
      </c>
    </row>
    <row r="802" spans="2:13" x14ac:dyDescent="0.3">
      <c r="B802" s="4">
        <v>45026</v>
      </c>
      <c r="C802" s="24">
        <v>8.6696096806977661</v>
      </c>
      <c r="E802" s="4">
        <v>45027</v>
      </c>
      <c r="F802" s="23">
        <v>1628412610608</v>
      </c>
      <c r="G802" s="19">
        <v>2.2429420207301205</v>
      </c>
      <c r="H802" s="31">
        <v>1533240132414</v>
      </c>
      <c r="I802" s="31">
        <v>95172478194</v>
      </c>
      <c r="J802" s="21">
        <v>92211327985</v>
      </c>
      <c r="K802" s="19">
        <v>8.5140845108151524</v>
      </c>
      <c r="L802" s="23">
        <v>85635102799</v>
      </c>
      <c r="M802" s="21">
        <v>6576225186</v>
      </c>
    </row>
    <row r="803" spans="2:13" x14ac:dyDescent="0.3">
      <c r="B803" s="4">
        <v>45027</v>
      </c>
      <c r="C803" s="24">
        <v>7.9068864775663199</v>
      </c>
      <c r="E803" s="4">
        <v>45028</v>
      </c>
      <c r="F803" s="23">
        <v>1636045529856</v>
      </c>
      <c r="G803" s="19">
        <v>2.2452161562101165</v>
      </c>
      <c r="H803" s="31">
        <v>1539331656415</v>
      </c>
      <c r="I803" s="31">
        <v>96713873441</v>
      </c>
      <c r="J803" s="21">
        <v>104995441780</v>
      </c>
      <c r="K803" s="19">
        <v>9.2755905401726029</v>
      </c>
      <c r="L803" s="23">
        <v>98221075888</v>
      </c>
      <c r="M803" s="21">
        <v>6774365892</v>
      </c>
    </row>
    <row r="804" spans="2:13" x14ac:dyDescent="0.3">
      <c r="B804" s="4">
        <v>45028</v>
      </c>
      <c r="C804" s="24">
        <v>8.6771241389819131</v>
      </c>
      <c r="E804" s="4">
        <v>45029</v>
      </c>
      <c r="F804" s="23">
        <v>1635223066809</v>
      </c>
      <c r="G804" s="19">
        <v>2.2554959342640801</v>
      </c>
      <c r="H804" s="31">
        <v>1539268709421</v>
      </c>
      <c r="I804" s="31">
        <v>95954357388</v>
      </c>
      <c r="J804" s="21">
        <v>99173870761</v>
      </c>
      <c r="K804" s="19">
        <v>8.7255414198487991</v>
      </c>
      <c r="L804" s="23">
        <v>92975016312</v>
      </c>
      <c r="M804" s="21">
        <v>6198854449</v>
      </c>
    </row>
    <row r="805" spans="2:13" x14ac:dyDescent="0.3">
      <c r="B805" s="4">
        <v>45029</v>
      </c>
      <c r="C805" s="24">
        <v>8.180152187429794</v>
      </c>
      <c r="E805" s="4">
        <v>45030</v>
      </c>
      <c r="F805" s="23">
        <v>1635760540896</v>
      </c>
      <c r="G805" s="19">
        <v>2.2452144207422937</v>
      </c>
      <c r="H805" s="31">
        <v>1538164915593</v>
      </c>
      <c r="I805" s="31">
        <v>97595625303</v>
      </c>
      <c r="J805" s="21">
        <v>98872599399</v>
      </c>
      <c r="K805" s="19">
        <v>8.8689273925729175</v>
      </c>
      <c r="L805" s="23">
        <v>92181358167</v>
      </c>
      <c r="M805" s="21">
        <v>6691241232</v>
      </c>
    </row>
    <row r="806" spans="2:13" x14ac:dyDescent="0.3">
      <c r="B806" s="4">
        <v>45030</v>
      </c>
      <c r="C806" s="24">
        <v>8.268719316589042</v>
      </c>
      <c r="E806" s="4">
        <v>45033</v>
      </c>
      <c r="F806" s="23">
        <v>1640093921597</v>
      </c>
      <c r="G806" s="19">
        <v>2.2285473724702451</v>
      </c>
      <c r="H806" s="31">
        <v>1541882373314</v>
      </c>
      <c r="I806" s="31">
        <v>98211548283</v>
      </c>
      <c r="J806" s="21">
        <v>96403158205</v>
      </c>
      <c r="K806" s="19">
        <v>8.6030040651596043</v>
      </c>
      <c r="L806" s="23">
        <v>90301595522</v>
      </c>
      <c r="M806" s="21">
        <v>6101562683</v>
      </c>
    </row>
    <row r="807" spans="2:13" x14ac:dyDescent="0.3">
      <c r="B807" s="4">
        <v>45033</v>
      </c>
      <c r="C807" s="24">
        <v>8.0585014830548545</v>
      </c>
      <c r="E807" s="4">
        <v>45034</v>
      </c>
      <c r="F807" s="23">
        <v>1641574773538</v>
      </c>
      <c r="G807" s="19">
        <v>2.2276140652007164</v>
      </c>
      <c r="H807" s="31">
        <v>1542912393981</v>
      </c>
      <c r="I807" s="31">
        <v>98662379557</v>
      </c>
      <c r="J807" s="21">
        <v>93944159240</v>
      </c>
      <c r="K807" s="19">
        <v>8.8642541039286833</v>
      </c>
      <c r="L807" s="23">
        <v>87250705793</v>
      </c>
      <c r="M807" s="21">
        <v>6693453447</v>
      </c>
    </row>
    <row r="808" spans="2:13" x14ac:dyDescent="0.3">
      <c r="B808" s="4">
        <v>45034</v>
      </c>
      <c r="C808" s="24">
        <v>8.2326824057303085</v>
      </c>
      <c r="E808" s="4">
        <v>45035</v>
      </c>
      <c r="F808" s="23">
        <v>1644013703918</v>
      </c>
      <c r="G808" s="19">
        <v>2.2436700507468852</v>
      </c>
      <c r="H808" s="31">
        <v>1545288042908</v>
      </c>
      <c r="I808" s="31">
        <v>98725661010</v>
      </c>
      <c r="J808" s="21">
        <v>99555780527</v>
      </c>
      <c r="K808" s="19">
        <v>9.1973093443565457</v>
      </c>
      <c r="L808" s="23">
        <v>92355614409</v>
      </c>
      <c r="M808" s="21">
        <v>7200166118</v>
      </c>
    </row>
    <row r="809" spans="2:13" x14ac:dyDescent="0.3">
      <c r="B809" s="4">
        <v>45035</v>
      </c>
      <c r="C809" s="24">
        <v>8.5321329501034668</v>
      </c>
      <c r="E809" s="4">
        <v>45036</v>
      </c>
      <c r="F809" s="23">
        <v>1648638260412</v>
      </c>
      <c r="G809" s="19">
        <v>2.2523459229653846</v>
      </c>
      <c r="H809" s="31">
        <v>1548527287360</v>
      </c>
      <c r="I809" s="31">
        <v>100110973052</v>
      </c>
      <c r="J809" s="21">
        <v>103592432810</v>
      </c>
      <c r="K809" s="19">
        <v>9.0989885026893198</v>
      </c>
      <c r="L809" s="23">
        <v>96091742338</v>
      </c>
      <c r="M809" s="21">
        <v>7500690472</v>
      </c>
    </row>
    <row r="810" spans="2:13" x14ac:dyDescent="0.3">
      <c r="B810" s="4">
        <v>45036</v>
      </c>
      <c r="C810" s="24">
        <v>8.4401691805083754</v>
      </c>
      <c r="E810" s="4">
        <v>45037</v>
      </c>
      <c r="F810" s="23">
        <v>1638128030562</v>
      </c>
      <c r="G810" s="19">
        <v>2.2854521708915976</v>
      </c>
      <c r="H810" s="31">
        <v>1541555687429</v>
      </c>
      <c r="I810" s="31">
        <v>96572343133</v>
      </c>
      <c r="J810" s="21">
        <v>103339116624</v>
      </c>
      <c r="K810" s="19">
        <v>8.4867345080416214</v>
      </c>
      <c r="L810" s="23">
        <v>96240013182</v>
      </c>
      <c r="M810" s="21">
        <v>7099103442</v>
      </c>
    </row>
    <row r="811" spans="2:13" x14ac:dyDescent="0.3">
      <c r="B811" s="4">
        <v>45037</v>
      </c>
      <c r="C811" s="24">
        <v>7.9037199814457351</v>
      </c>
      <c r="E811" s="4">
        <v>45040</v>
      </c>
      <c r="F811" s="23">
        <v>1638972631685</v>
      </c>
      <c r="G811" s="19">
        <v>2.3035100204049042</v>
      </c>
      <c r="H811" s="31">
        <v>1544367378168</v>
      </c>
      <c r="I811" s="31">
        <v>94605253517</v>
      </c>
      <c r="J811" s="21">
        <v>86598457186</v>
      </c>
      <c r="K811" s="19">
        <v>7.9951090566413594</v>
      </c>
      <c r="L811" s="23">
        <v>80487251625</v>
      </c>
      <c r="M811" s="21">
        <v>6111205561</v>
      </c>
    </row>
    <row r="812" spans="2:13" x14ac:dyDescent="0.3">
      <c r="B812" s="4">
        <v>45040</v>
      </c>
      <c r="C812" s="24">
        <v>7.4308986016813474</v>
      </c>
      <c r="E812" s="4">
        <v>45041</v>
      </c>
      <c r="F812" s="23">
        <v>1629714284520</v>
      </c>
      <c r="G812" s="19">
        <v>2.3081159818438257</v>
      </c>
      <c r="H812" s="31">
        <v>1536831056855</v>
      </c>
      <c r="I812" s="31">
        <v>92883227665</v>
      </c>
      <c r="J812" s="21">
        <v>88178220716</v>
      </c>
      <c r="K812" s="19">
        <v>7.7776584060196337</v>
      </c>
      <c r="L812" s="23">
        <v>81148812247</v>
      </c>
      <c r="M812" s="21">
        <v>7029408469</v>
      </c>
    </row>
    <row r="813" spans="2:13" x14ac:dyDescent="0.3">
      <c r="B813" s="4">
        <v>45041</v>
      </c>
      <c r="C813" s="24">
        <v>7.1576375275722288</v>
      </c>
      <c r="E813" s="4">
        <v>45042</v>
      </c>
      <c r="F813" s="23">
        <v>1624611975425</v>
      </c>
      <c r="G813" s="19">
        <v>2.2979336739485605</v>
      </c>
      <c r="H813" s="31">
        <v>1531976599425</v>
      </c>
      <c r="I813" s="31">
        <v>92635376000</v>
      </c>
      <c r="J813" s="21">
        <v>90208236202</v>
      </c>
      <c r="K813" s="19">
        <v>8.0397122093156117</v>
      </c>
      <c r="L813" s="23">
        <v>83317687497</v>
      </c>
      <c r="M813" s="21">
        <v>6890548705</v>
      </c>
    </row>
    <row r="814" spans="2:13" x14ac:dyDescent="0.3">
      <c r="B814" s="4">
        <v>45042</v>
      </c>
      <c r="C814" s="24">
        <v>7.4255994532650265</v>
      </c>
      <c r="E814" s="4">
        <v>45043</v>
      </c>
      <c r="F814" s="23">
        <v>1616908897597</v>
      </c>
      <c r="G814" s="19">
        <v>2.276388817438161</v>
      </c>
      <c r="H814" s="31">
        <v>1524001082557</v>
      </c>
      <c r="I814" s="31">
        <v>92907815040</v>
      </c>
      <c r="J814" s="21">
        <v>80523568194</v>
      </c>
      <c r="K814" s="19">
        <v>7.7076477549042508</v>
      </c>
      <c r="L814" s="23">
        <v>73917027557</v>
      </c>
      <c r="M814" s="21">
        <v>6606540637</v>
      </c>
    </row>
    <row r="815" spans="2:13" x14ac:dyDescent="0.3">
      <c r="B815" s="4">
        <v>45043</v>
      </c>
      <c r="C815" s="24">
        <v>7.0752752799814242</v>
      </c>
      <c r="E815" s="4">
        <v>45044</v>
      </c>
      <c r="F815" s="23">
        <v>1607045675914</v>
      </c>
      <c r="G815" s="19">
        <v>2.2335200637585348</v>
      </c>
      <c r="H815" s="31">
        <v>1513756030986</v>
      </c>
      <c r="I815" s="31">
        <v>93289644928</v>
      </c>
      <c r="J815" s="21">
        <v>89453885160</v>
      </c>
      <c r="K815" s="19">
        <v>8.0116817280576917</v>
      </c>
      <c r="L815" s="23">
        <v>83151905718</v>
      </c>
      <c r="M815" s="21">
        <v>6301979442</v>
      </c>
    </row>
    <row r="816" spans="2:13" x14ac:dyDescent="0.3">
      <c r="B816" s="4">
        <v>45044</v>
      </c>
      <c r="C816" s="24">
        <v>7.447262938915558</v>
      </c>
      <c r="E816" s="4">
        <v>45050</v>
      </c>
      <c r="F816" s="23">
        <v>1617379110038</v>
      </c>
      <c r="G816" s="19">
        <v>2.232302073251013</v>
      </c>
      <c r="H816" s="31">
        <v>1524371184958</v>
      </c>
      <c r="I816" s="31">
        <v>93007925080</v>
      </c>
      <c r="J816" s="21">
        <v>97145470527</v>
      </c>
      <c r="K816" s="19">
        <v>8.2934301288633048</v>
      </c>
      <c r="L816" s="23">
        <v>91245881045</v>
      </c>
      <c r="M816" s="21">
        <v>5899589482</v>
      </c>
    </row>
    <row r="817" spans="2:13" x14ac:dyDescent="0.3">
      <c r="B817" s="4">
        <v>45050</v>
      </c>
      <c r="C817" s="24">
        <v>7.7897748076988957</v>
      </c>
      <c r="E817" s="4">
        <v>45051</v>
      </c>
      <c r="F817" s="23">
        <v>1612479047286</v>
      </c>
      <c r="G817" s="19">
        <v>2.2373343482534458</v>
      </c>
      <c r="H817" s="31">
        <v>1520546245035</v>
      </c>
      <c r="I817" s="31">
        <v>91932802251</v>
      </c>
      <c r="J817" s="21">
        <v>85173183988</v>
      </c>
      <c r="K817" s="19">
        <v>7.9528948409507372</v>
      </c>
      <c r="L817" s="23">
        <v>79420936733</v>
      </c>
      <c r="M817" s="21">
        <v>5752247255</v>
      </c>
    </row>
    <row r="818" spans="2:13" x14ac:dyDescent="0.3">
      <c r="B818" s="4">
        <v>45051</v>
      </c>
      <c r="C818" s="24">
        <v>7.4157889658832064</v>
      </c>
      <c r="E818" s="4">
        <v>45054</v>
      </c>
      <c r="F818" s="23">
        <v>1619553992253</v>
      </c>
      <c r="G818" s="19">
        <v>2.2171378890635096</v>
      </c>
      <c r="H818" s="31">
        <v>1526220038374</v>
      </c>
      <c r="I818" s="31">
        <v>93333953879</v>
      </c>
      <c r="J818" s="21">
        <v>94980031228</v>
      </c>
      <c r="K818" s="19">
        <v>8.3560218992768931</v>
      </c>
      <c r="L818" s="23">
        <v>88169915941</v>
      </c>
      <c r="M818" s="21">
        <v>6810115287</v>
      </c>
    </row>
    <row r="819" spans="2:13" x14ac:dyDescent="0.3">
      <c r="B819" s="4">
        <v>45054</v>
      </c>
      <c r="C819" s="24">
        <v>7.7568909899790173</v>
      </c>
      <c r="E819" s="4">
        <v>45055</v>
      </c>
      <c r="F819" s="23">
        <v>1620448325396</v>
      </c>
      <c r="G819" s="19">
        <v>2.2422350915854068</v>
      </c>
      <c r="H819" s="31">
        <v>1527667517978</v>
      </c>
      <c r="I819" s="31">
        <v>92780807418</v>
      </c>
      <c r="J819" s="21">
        <v>105741305927</v>
      </c>
      <c r="K819" s="19">
        <v>8.656024099685613</v>
      </c>
      <c r="L819" s="23">
        <v>98647260642</v>
      </c>
      <c r="M819" s="21">
        <v>7094045285</v>
      </c>
    </row>
    <row r="820" spans="2:13" x14ac:dyDescent="0.3">
      <c r="B820" s="4">
        <v>45055</v>
      </c>
      <c r="C820" s="24">
        <v>8.0753028156718347</v>
      </c>
      <c r="E820" s="4">
        <v>45056</v>
      </c>
      <c r="F820" s="23">
        <v>1621036722839</v>
      </c>
      <c r="G820" s="19">
        <v>2.2577336764362044</v>
      </c>
      <c r="H820" s="31">
        <v>1528126137026</v>
      </c>
      <c r="I820" s="31">
        <v>92910585813</v>
      </c>
      <c r="J820" s="21">
        <v>82429867499</v>
      </c>
      <c r="K820" s="19">
        <v>8.0826993419840854</v>
      </c>
      <c r="L820" s="23">
        <v>75579491136</v>
      </c>
      <c r="M820" s="21">
        <v>6850376363</v>
      </c>
    </row>
    <row r="821" spans="2:13" x14ac:dyDescent="0.3">
      <c r="B821" s="4">
        <v>45056</v>
      </c>
      <c r="C821" s="24">
        <v>7.4109824728257658</v>
      </c>
      <c r="E821" s="4">
        <v>45057</v>
      </c>
      <c r="F821" s="23">
        <v>1620195670822</v>
      </c>
      <c r="G821" s="19">
        <v>2.2590901690364102</v>
      </c>
      <c r="H821" s="31">
        <v>1527231962579</v>
      </c>
      <c r="I821" s="31">
        <v>92963708243</v>
      </c>
      <c r="J821" s="21">
        <v>70215496768</v>
      </c>
      <c r="K821" s="19">
        <v>7.8392845120930756</v>
      </c>
      <c r="L821" s="23">
        <v>64534502609</v>
      </c>
      <c r="M821" s="21">
        <v>5680994159</v>
      </c>
    </row>
    <row r="822" spans="2:13" x14ac:dyDescent="0.3">
      <c r="B822" s="4">
        <v>45057</v>
      </c>
      <c r="C822" s="24">
        <v>7.2050238207375994</v>
      </c>
      <c r="E822" s="4">
        <v>45058</v>
      </c>
      <c r="F822" s="23">
        <v>1613636490832</v>
      </c>
      <c r="G822" s="19">
        <v>2.2748673493310125</v>
      </c>
      <c r="H822" s="31">
        <v>1521252820701</v>
      </c>
      <c r="I822" s="31">
        <v>92383670131</v>
      </c>
      <c r="J822" s="21">
        <v>63501794204</v>
      </c>
      <c r="K822" s="19">
        <v>7.4891727099549623</v>
      </c>
      <c r="L822" s="23">
        <v>57847179779</v>
      </c>
      <c r="M822" s="21">
        <v>5654614425</v>
      </c>
    </row>
    <row r="823" spans="2:13" x14ac:dyDescent="0.3">
      <c r="B823" s="4">
        <v>45058</v>
      </c>
      <c r="C823" s="24">
        <v>6.8222878672844836</v>
      </c>
      <c r="E823" s="4">
        <v>45061</v>
      </c>
      <c r="F823" s="23">
        <v>1617128146222</v>
      </c>
      <c r="G823" s="19">
        <v>2.2534538044766093</v>
      </c>
      <c r="H823" s="31">
        <v>1523372443904</v>
      </c>
      <c r="I823" s="31">
        <v>93755702318</v>
      </c>
      <c r="J823" s="21">
        <v>74474456918</v>
      </c>
      <c r="K823" s="19">
        <v>7.9387588938892559</v>
      </c>
      <c r="L823" s="23">
        <v>68528285805</v>
      </c>
      <c r="M823" s="21">
        <v>5946171113</v>
      </c>
    </row>
    <row r="824" spans="2:13" x14ac:dyDescent="0.3">
      <c r="B824" s="4">
        <v>45061</v>
      </c>
      <c r="C824" s="24">
        <v>7.3049144757971396</v>
      </c>
      <c r="E824" s="4">
        <v>45062</v>
      </c>
      <c r="F824" s="23">
        <v>1616135854317</v>
      </c>
      <c r="G824" s="19">
        <v>2.2676326393587964</v>
      </c>
      <c r="H824" s="31">
        <v>1521936985948</v>
      </c>
      <c r="I824" s="31">
        <v>94198868369</v>
      </c>
      <c r="J824" s="21">
        <v>66696052008</v>
      </c>
      <c r="K824" s="19">
        <v>7.7003232374718182</v>
      </c>
      <c r="L824" s="23">
        <v>60449257223</v>
      </c>
      <c r="M824" s="21">
        <v>6246794785</v>
      </c>
    </row>
    <row r="825" spans="2:13" x14ac:dyDescent="0.3">
      <c r="B825" s="4">
        <v>45062</v>
      </c>
      <c r="C825" s="24">
        <v>6.9791060500304454</v>
      </c>
      <c r="E825" s="4">
        <v>45063</v>
      </c>
      <c r="F825" s="23">
        <v>1616614213757</v>
      </c>
      <c r="G825" s="19">
        <v>2.268354126287369</v>
      </c>
      <c r="H825" s="31">
        <v>1522985411063</v>
      </c>
      <c r="I825" s="31">
        <v>93628802694</v>
      </c>
      <c r="J825" s="21">
        <v>61128491743</v>
      </c>
      <c r="K825" s="19">
        <v>7.8242238919119602</v>
      </c>
      <c r="L825" s="23">
        <v>55834141001</v>
      </c>
      <c r="M825" s="21">
        <v>5294350742</v>
      </c>
    </row>
    <row r="826" spans="2:13" x14ac:dyDescent="0.3">
      <c r="B826" s="4">
        <v>45063</v>
      </c>
      <c r="C826" s="24">
        <v>7.1465663154437529</v>
      </c>
      <c r="E826" s="4">
        <v>45064</v>
      </c>
      <c r="F826" s="23">
        <v>1620674892382</v>
      </c>
      <c r="G826" s="19">
        <v>2.2667066832053071</v>
      </c>
      <c r="H826" s="31">
        <v>1526479702792</v>
      </c>
      <c r="I826" s="31">
        <v>94195189590</v>
      </c>
      <c r="J826" s="21">
        <v>72937175907</v>
      </c>
      <c r="K826" s="19">
        <v>8.2902866831818951</v>
      </c>
      <c r="L826" s="23">
        <v>67253743589</v>
      </c>
      <c r="M826" s="21">
        <v>5683432318</v>
      </c>
    </row>
    <row r="827" spans="2:13" x14ac:dyDescent="0.3">
      <c r="B827" s="4">
        <v>45064</v>
      </c>
      <c r="C827" s="24">
        <v>7.6442884981032897</v>
      </c>
      <c r="E827" s="4">
        <v>45065</v>
      </c>
      <c r="F827" s="23">
        <v>1616203349856</v>
      </c>
      <c r="G827" s="19">
        <v>2.2656353877440094</v>
      </c>
      <c r="H827" s="31">
        <v>1522165910602</v>
      </c>
      <c r="I827" s="31">
        <v>94037439254</v>
      </c>
      <c r="J827" s="21">
        <v>67914099213</v>
      </c>
      <c r="K827" s="19">
        <v>8.0104465805295995</v>
      </c>
      <c r="L827" s="23">
        <v>61544367389</v>
      </c>
      <c r="M827" s="21">
        <v>6369731824</v>
      </c>
    </row>
    <row r="828" spans="2:13" x14ac:dyDescent="0.3">
      <c r="B828" s="4">
        <v>45065</v>
      </c>
      <c r="C828" s="24">
        <v>7.2591387210463605</v>
      </c>
      <c r="E828" s="4">
        <v>45068</v>
      </c>
      <c r="F828" s="23">
        <v>1614926993837</v>
      </c>
      <c r="G828" s="19">
        <v>2.2552561781602458</v>
      </c>
      <c r="H828" s="31">
        <v>1521318243031</v>
      </c>
      <c r="I828" s="31">
        <v>93608750806</v>
      </c>
      <c r="J828" s="21">
        <v>61240949688</v>
      </c>
      <c r="K828" s="19">
        <v>7.7001900334160354</v>
      </c>
      <c r="L828" s="23">
        <v>55523328453</v>
      </c>
      <c r="M828" s="21">
        <v>5717621235</v>
      </c>
    </row>
    <row r="829" spans="2:13" x14ac:dyDescent="0.3">
      <c r="B829" s="4">
        <v>45068</v>
      </c>
      <c r="C829" s="24">
        <v>6.9812793980830596</v>
      </c>
      <c r="E829" s="4">
        <v>45069</v>
      </c>
      <c r="F829" s="23">
        <v>1611026314848</v>
      </c>
      <c r="G829" s="19">
        <v>2.280266275803029</v>
      </c>
      <c r="H829" s="31">
        <v>1519073581455</v>
      </c>
      <c r="I829" s="31">
        <v>91952733393</v>
      </c>
      <c r="J829" s="21">
        <v>56836187150</v>
      </c>
      <c r="K829" s="19">
        <v>7.4230999092939109</v>
      </c>
      <c r="L829" s="23">
        <v>51880228510</v>
      </c>
      <c r="M829" s="21">
        <v>4955958640</v>
      </c>
    </row>
    <row r="830" spans="2:13" x14ac:dyDescent="0.3">
      <c r="B830" s="4">
        <v>45069</v>
      </c>
      <c r="C830" s="24">
        <v>6.7758260864747042</v>
      </c>
      <c r="E830" s="4">
        <v>45070</v>
      </c>
      <c r="F830" s="23">
        <v>1611524873257</v>
      </c>
      <c r="G830" s="19">
        <v>2.3046592572963553</v>
      </c>
      <c r="H830" s="31">
        <v>1519970349806</v>
      </c>
      <c r="I830" s="31">
        <v>91554523451</v>
      </c>
      <c r="J830" s="21">
        <v>62936151165</v>
      </c>
      <c r="K830" s="19">
        <v>7.8421694616185498</v>
      </c>
      <c r="L830" s="23">
        <v>58298723899</v>
      </c>
      <c r="M830" s="21">
        <v>4637427266</v>
      </c>
    </row>
    <row r="831" spans="2:13" x14ac:dyDescent="0.3">
      <c r="B831" s="4">
        <v>45070</v>
      </c>
      <c r="C831" s="24">
        <v>7.2643220748192263</v>
      </c>
      <c r="E831" s="4">
        <v>45071</v>
      </c>
      <c r="F831" s="23">
        <v>1610419247321</v>
      </c>
      <c r="G831" s="19">
        <v>2.306557732246072</v>
      </c>
      <c r="H831" s="31">
        <v>1519017435687</v>
      </c>
      <c r="I831" s="31">
        <v>91401811634</v>
      </c>
      <c r="J831" s="21">
        <v>65906469059</v>
      </c>
      <c r="K831" s="19">
        <v>7.6929627912515253</v>
      </c>
      <c r="L831" s="23">
        <v>60366928599</v>
      </c>
      <c r="M831" s="21">
        <v>5539540460</v>
      </c>
    </row>
    <row r="832" spans="2:13" x14ac:dyDescent="0.3">
      <c r="B832" s="4">
        <v>45071</v>
      </c>
      <c r="C832" s="24">
        <v>7.0463573935133663</v>
      </c>
      <c r="E832" s="4">
        <v>45072</v>
      </c>
      <c r="F832" s="23">
        <v>1609108091441</v>
      </c>
      <c r="G832" s="19">
        <v>2.2961806136509781</v>
      </c>
      <c r="H832" s="31">
        <v>1516237323622</v>
      </c>
      <c r="I832" s="31">
        <v>92870767819</v>
      </c>
      <c r="J832" s="21">
        <v>67676513598</v>
      </c>
      <c r="K832" s="19">
        <v>8.2501572378090824</v>
      </c>
      <c r="L832" s="23">
        <v>61376820684</v>
      </c>
      <c r="M832" s="21">
        <v>6299692914</v>
      </c>
    </row>
    <row r="833" spans="2:13" x14ac:dyDescent="0.3">
      <c r="B833" s="4">
        <v>45072</v>
      </c>
      <c r="C833" s="24">
        <v>7.4821883468710073</v>
      </c>
      <c r="E833" s="4">
        <v>45075</v>
      </c>
      <c r="F833" s="23">
        <v>1610941897468</v>
      </c>
      <c r="G833" s="19">
        <v>2.2981257978434702</v>
      </c>
      <c r="H833" s="31">
        <v>1517676401937</v>
      </c>
      <c r="I833" s="31">
        <v>93265495531</v>
      </c>
      <c r="J833" s="21">
        <v>71411393348</v>
      </c>
      <c r="K833" s="19">
        <v>7.7567550429262209</v>
      </c>
      <c r="L833" s="23">
        <v>65492273574</v>
      </c>
      <c r="M833" s="21">
        <v>5919119774</v>
      </c>
    </row>
    <row r="834" spans="2:13" x14ac:dyDescent="0.3">
      <c r="B834" s="4">
        <v>45075</v>
      </c>
      <c r="C834" s="24">
        <v>7.1138161503476081</v>
      </c>
      <c r="E834" s="4">
        <v>45076</v>
      </c>
      <c r="F834" s="23">
        <v>1611942290849</v>
      </c>
      <c r="G834" s="19">
        <v>2.294368600743931</v>
      </c>
      <c r="H834" s="31">
        <v>1517157284941</v>
      </c>
      <c r="I834" s="31">
        <v>94785005908</v>
      </c>
      <c r="J834" s="21">
        <v>74113478800</v>
      </c>
      <c r="K834" s="19">
        <v>7.943259323052227</v>
      </c>
      <c r="L834" s="23">
        <v>67903551944</v>
      </c>
      <c r="M834" s="21">
        <v>6209926856</v>
      </c>
    </row>
    <row r="835" spans="2:13" x14ac:dyDescent="0.3">
      <c r="B835" s="4">
        <v>45076</v>
      </c>
      <c r="C835" s="24">
        <v>7.2776980757181668</v>
      </c>
      <c r="E835" s="4">
        <v>45077</v>
      </c>
      <c r="F835" s="23">
        <v>1613199818228</v>
      </c>
      <c r="G835" s="19">
        <v>2.3101001126314227</v>
      </c>
      <c r="H835" s="31">
        <v>1518686855870</v>
      </c>
      <c r="I835" s="31">
        <v>94512962358</v>
      </c>
      <c r="J835" s="21">
        <v>71521695983</v>
      </c>
      <c r="K835" s="19">
        <v>7.6225431288952796</v>
      </c>
      <c r="L835" s="23">
        <v>64977731975</v>
      </c>
      <c r="M835" s="21">
        <v>6543964008</v>
      </c>
    </row>
    <row r="836" spans="2:13" x14ac:dyDescent="0.3">
      <c r="B836" s="4">
        <v>45077</v>
      </c>
      <c r="C836" s="24">
        <v>6.9251093334666196</v>
      </c>
      <c r="E836" s="4">
        <v>45078</v>
      </c>
      <c r="F836" s="23">
        <v>1613830265088</v>
      </c>
      <c r="G836" s="19">
        <v>2.3073855254709899</v>
      </c>
      <c r="H836" s="31">
        <v>1519423267024</v>
      </c>
      <c r="I836" s="31">
        <v>94406998064</v>
      </c>
      <c r="J836" s="21">
        <v>77648049218</v>
      </c>
      <c r="K836" s="19">
        <v>7.8717317819729828</v>
      </c>
      <c r="L836" s="23">
        <v>72802667631</v>
      </c>
      <c r="M836" s="21">
        <v>4845381587</v>
      </c>
    </row>
    <row r="837" spans="2:13" x14ac:dyDescent="0.3">
      <c r="B837" s="4">
        <v>45078</v>
      </c>
      <c r="C837" s="24">
        <v>7.3805211898421916</v>
      </c>
      <c r="E837" s="4">
        <v>45079</v>
      </c>
      <c r="F837" s="23">
        <v>1608177274913</v>
      </c>
      <c r="G837" s="19">
        <v>2.2767104680765038</v>
      </c>
      <c r="H837" s="31">
        <v>1514502292018</v>
      </c>
      <c r="I837" s="31">
        <v>93674982895</v>
      </c>
      <c r="J837" s="21">
        <v>71041276535</v>
      </c>
      <c r="K837" s="19">
        <v>7.5536968969906955</v>
      </c>
      <c r="L837" s="23">
        <v>65377814329</v>
      </c>
      <c r="M837" s="21">
        <v>5663462206</v>
      </c>
    </row>
    <row r="838" spans="2:13" x14ac:dyDescent="0.3">
      <c r="B838" s="4">
        <v>45079</v>
      </c>
      <c r="C838" s="24">
        <v>6.9515106895031398</v>
      </c>
      <c r="E838" s="4">
        <v>45082</v>
      </c>
      <c r="F838" s="23">
        <v>1609966296157</v>
      </c>
      <c r="G838" s="19">
        <v>2.2778742437675832</v>
      </c>
      <c r="H838" s="31">
        <v>1516909416443</v>
      </c>
      <c r="I838" s="31">
        <v>93056879714</v>
      </c>
      <c r="J838" s="21">
        <v>67534497949</v>
      </c>
      <c r="K838" s="19">
        <v>7.7301062081988956</v>
      </c>
      <c r="L838" s="23">
        <v>62280185823</v>
      </c>
      <c r="M838" s="21">
        <v>5254312126</v>
      </c>
    </row>
    <row r="839" spans="2:13" x14ac:dyDescent="0.3">
      <c r="B839" s="4">
        <v>45082</v>
      </c>
      <c r="C839" s="24">
        <v>7.1286892728767492</v>
      </c>
      <c r="E839" s="4">
        <v>45083</v>
      </c>
      <c r="F839" s="23">
        <v>1603311319506</v>
      </c>
      <c r="G839" s="19">
        <v>2.2981127170404978</v>
      </c>
      <c r="H839" s="31">
        <v>1513256929577</v>
      </c>
      <c r="I839" s="31">
        <v>90054389929</v>
      </c>
      <c r="J839" s="21">
        <v>68590769657</v>
      </c>
      <c r="K839" s="19">
        <v>7.3176358892563504</v>
      </c>
      <c r="L839" s="23">
        <v>63482544217</v>
      </c>
      <c r="M839" s="21">
        <v>5108225440</v>
      </c>
    </row>
    <row r="840" spans="2:13" x14ac:dyDescent="0.3">
      <c r="B840" s="4">
        <v>45083</v>
      </c>
      <c r="C840" s="24">
        <v>6.77266265164607</v>
      </c>
      <c r="E840" s="4">
        <v>45084</v>
      </c>
      <c r="F840" s="23">
        <v>1602827838760</v>
      </c>
      <c r="G840" s="19">
        <v>2.2982919701842479</v>
      </c>
      <c r="H840" s="31">
        <v>1513474172980</v>
      </c>
      <c r="I840" s="31">
        <v>89353665780</v>
      </c>
      <c r="J840" s="21">
        <v>60754943230</v>
      </c>
      <c r="K840" s="19">
        <v>7.4602746656719843</v>
      </c>
      <c r="L840" s="23">
        <v>55685496061</v>
      </c>
      <c r="M840" s="21">
        <v>5069447169</v>
      </c>
    </row>
    <row r="841" spans="2:13" x14ac:dyDescent="0.3">
      <c r="B841" s="4">
        <v>45084</v>
      </c>
      <c r="C841" s="24">
        <v>6.8377826300744839</v>
      </c>
      <c r="E841" s="4">
        <v>45085</v>
      </c>
      <c r="F841" s="23">
        <v>1599826196623</v>
      </c>
      <c r="G841" s="19">
        <v>2.2863028043344125</v>
      </c>
      <c r="H841" s="31">
        <v>1511195723419</v>
      </c>
      <c r="I841" s="31">
        <v>88630473204</v>
      </c>
      <c r="J841" s="21">
        <v>61756680879</v>
      </c>
      <c r="K841" s="19">
        <v>7.1860662713062178</v>
      </c>
      <c r="L841" s="23">
        <v>56485774193</v>
      </c>
      <c r="M841" s="21">
        <v>5270906686</v>
      </c>
    </row>
    <row r="842" spans="2:13" x14ac:dyDescent="0.3">
      <c r="B842" s="4">
        <v>45085</v>
      </c>
      <c r="C842" s="24">
        <v>6.5727385435794039</v>
      </c>
      <c r="E842" s="4">
        <v>45086</v>
      </c>
      <c r="F842" s="23">
        <v>1599027956214</v>
      </c>
      <c r="G842" s="19">
        <v>2.2732009950064591</v>
      </c>
      <c r="H842" s="31">
        <v>1508792100478</v>
      </c>
      <c r="I842" s="31">
        <v>90235855736</v>
      </c>
      <c r="J842" s="21">
        <v>69714004206</v>
      </c>
      <c r="K842" s="19">
        <v>7.045275918173008</v>
      </c>
      <c r="L842" s="23">
        <v>64075091320</v>
      </c>
      <c r="M842" s="21">
        <v>5638912886</v>
      </c>
    </row>
    <row r="843" spans="2:13" x14ac:dyDescent="0.3">
      <c r="B843" s="4">
        <v>45086</v>
      </c>
      <c r="C843" s="24">
        <v>6.4754091085859597</v>
      </c>
      <c r="E843" s="4">
        <v>45089</v>
      </c>
      <c r="F843" s="23">
        <v>1601722119846</v>
      </c>
      <c r="G843" s="19">
        <v>2.2601321600262985</v>
      </c>
      <c r="H843" s="31">
        <v>1511993145396</v>
      </c>
      <c r="I843" s="31">
        <v>89728974450</v>
      </c>
      <c r="J843" s="21">
        <v>72048047399</v>
      </c>
      <c r="K843" s="19">
        <v>7.463890326804238</v>
      </c>
      <c r="L843" s="23">
        <v>67086373188</v>
      </c>
      <c r="M843" s="21">
        <v>4961674211</v>
      </c>
    </row>
    <row r="844" spans="2:13" x14ac:dyDescent="0.3">
      <c r="B844" s="4">
        <v>45089</v>
      </c>
      <c r="C844" s="24">
        <v>6.9498806695661024</v>
      </c>
      <c r="E844" s="4">
        <v>45090</v>
      </c>
      <c r="F844" s="23">
        <v>1602497105623</v>
      </c>
      <c r="G844" s="19">
        <v>2.2526700996037512</v>
      </c>
      <c r="H844" s="31">
        <v>1511669934152</v>
      </c>
      <c r="I844" s="31">
        <v>90827171471</v>
      </c>
      <c r="J844" s="21">
        <v>74118365935</v>
      </c>
      <c r="K844" s="19">
        <v>7.8667207944765005</v>
      </c>
      <c r="L844" s="23">
        <v>68137106576</v>
      </c>
      <c r="M844" s="21">
        <v>5981259359</v>
      </c>
    </row>
    <row r="845" spans="2:13" x14ac:dyDescent="0.3">
      <c r="B845" s="4">
        <v>45090</v>
      </c>
      <c r="C845" s="24">
        <v>7.2318862729239513</v>
      </c>
      <c r="E845" s="4">
        <v>45091</v>
      </c>
      <c r="F845" s="23">
        <v>1602719787222</v>
      </c>
      <c r="G845" s="19">
        <v>2.2519738403418263</v>
      </c>
      <c r="H845" s="31">
        <v>1510558936808</v>
      </c>
      <c r="I845" s="31">
        <v>92160850414</v>
      </c>
      <c r="J845" s="21">
        <v>78912944227</v>
      </c>
      <c r="K845" s="19">
        <v>7.887651522825526</v>
      </c>
      <c r="L845" s="23">
        <v>72131115580</v>
      </c>
      <c r="M845" s="21">
        <v>6781828647</v>
      </c>
    </row>
    <row r="846" spans="2:13" x14ac:dyDescent="0.3">
      <c r="B846" s="4">
        <v>45091</v>
      </c>
      <c r="C846" s="24">
        <v>7.2097817312590768</v>
      </c>
      <c r="E846" s="4">
        <v>45092</v>
      </c>
      <c r="F846" s="23">
        <v>1603624609201</v>
      </c>
      <c r="G846" s="19">
        <v>2.2324110263133443</v>
      </c>
      <c r="H846" s="31">
        <v>1509817683755</v>
      </c>
      <c r="I846" s="31">
        <v>93806925446</v>
      </c>
      <c r="J846" s="21">
        <v>86578186258</v>
      </c>
      <c r="K846" s="19">
        <v>8.0743871202027826</v>
      </c>
      <c r="L846" s="23">
        <v>79653336170</v>
      </c>
      <c r="M846" s="21">
        <v>6924850088</v>
      </c>
    </row>
    <row r="847" spans="2:13" x14ac:dyDescent="0.3">
      <c r="B847" s="4">
        <v>45092</v>
      </c>
      <c r="C847" s="24">
        <v>7.4285671651247132</v>
      </c>
      <c r="E847" s="4">
        <v>45093</v>
      </c>
      <c r="F847" s="23">
        <v>1603395991946</v>
      </c>
      <c r="G847" s="19">
        <v>2.2145123652117027</v>
      </c>
      <c r="H847" s="31">
        <v>1507078673826</v>
      </c>
      <c r="I847" s="31">
        <v>96317318120</v>
      </c>
      <c r="J847" s="21">
        <v>87264256264</v>
      </c>
      <c r="K847" s="19">
        <v>8.1747514683530973</v>
      </c>
      <c r="L847" s="23">
        <v>80107965020</v>
      </c>
      <c r="M847" s="21">
        <v>7156291244</v>
      </c>
    </row>
    <row r="848" spans="2:13" x14ac:dyDescent="0.3">
      <c r="B848" s="4">
        <v>45093</v>
      </c>
      <c r="C848" s="24">
        <v>7.5043635585785724</v>
      </c>
      <c r="E848" s="4">
        <v>45096</v>
      </c>
      <c r="F848" s="23">
        <v>1610139318382</v>
      </c>
      <c r="G848" s="19">
        <v>2.232237688495164</v>
      </c>
      <c r="H848" s="31">
        <v>1513276774449</v>
      </c>
      <c r="I848" s="31">
        <v>96862543933</v>
      </c>
      <c r="J848" s="21">
        <v>93261319283</v>
      </c>
      <c r="K848" s="19">
        <v>8.4281540069835899</v>
      </c>
      <c r="L848" s="23">
        <v>86430761234</v>
      </c>
      <c r="M848" s="21">
        <v>6830558049</v>
      </c>
    </row>
    <row r="849" spans="2:13" x14ac:dyDescent="0.3">
      <c r="B849" s="4">
        <v>45096</v>
      </c>
      <c r="C849" s="24">
        <v>7.8108670585122599</v>
      </c>
      <c r="E849" s="4">
        <v>45097</v>
      </c>
      <c r="F849" s="23">
        <v>1613774442798</v>
      </c>
      <c r="G849" s="19">
        <v>2.2443441549340393</v>
      </c>
      <c r="H849" s="31">
        <v>1516269956150</v>
      </c>
      <c r="I849" s="31">
        <v>97504486648</v>
      </c>
      <c r="J849" s="21">
        <v>91190033599</v>
      </c>
      <c r="K849" s="19">
        <v>8.3670893577190331</v>
      </c>
      <c r="L849" s="23">
        <v>84431105874</v>
      </c>
      <c r="M849" s="21">
        <v>6758927725</v>
      </c>
    </row>
    <row r="850" spans="2:13" x14ac:dyDescent="0.3">
      <c r="B850" s="4">
        <v>45097</v>
      </c>
      <c r="C850" s="24">
        <v>7.7469278114899316</v>
      </c>
      <c r="E850" s="4">
        <v>45098</v>
      </c>
      <c r="F850" s="23">
        <v>1601377658214</v>
      </c>
      <c r="G850" s="19">
        <v>2.2612554463141534</v>
      </c>
      <c r="H850" s="31">
        <v>1507157113814</v>
      </c>
      <c r="I850" s="31">
        <v>94220544400</v>
      </c>
      <c r="J850" s="21">
        <v>78113958478</v>
      </c>
      <c r="K850" s="19">
        <v>7.6446908681199091</v>
      </c>
      <c r="L850" s="23">
        <v>71714003432</v>
      </c>
      <c r="M850" s="21">
        <v>6399955046</v>
      </c>
    </row>
    <row r="851" spans="2:13" x14ac:dyDescent="0.3">
      <c r="B851" s="4">
        <v>45098</v>
      </c>
      <c r="C851" s="24">
        <v>7.0183536698800637</v>
      </c>
      <c r="E851" s="4">
        <v>45103</v>
      </c>
      <c r="F851" s="23">
        <v>1596160819906</v>
      </c>
      <c r="G851" s="19">
        <v>2.289403703157288</v>
      </c>
      <c r="H851" s="31">
        <v>1505323522793</v>
      </c>
      <c r="I851" s="31">
        <v>90837297113</v>
      </c>
      <c r="J851" s="21">
        <v>71449604911</v>
      </c>
      <c r="K851" s="19">
        <v>7.3129099812738732</v>
      </c>
      <c r="L851" s="23">
        <v>65394222202</v>
      </c>
      <c r="M851" s="21">
        <v>6055382709</v>
      </c>
    </row>
    <row r="852" spans="2:13" x14ac:dyDescent="0.3">
      <c r="B852" s="4">
        <v>45103</v>
      </c>
      <c r="C852" s="24">
        <v>6.6931379236363391</v>
      </c>
      <c r="E852" s="4">
        <v>45104</v>
      </c>
      <c r="F852" s="23">
        <v>1595550088648</v>
      </c>
      <c r="G852" s="19">
        <v>2.2592356413141514</v>
      </c>
      <c r="H852" s="31">
        <v>1504525109920</v>
      </c>
      <c r="I852" s="31">
        <v>91024978728</v>
      </c>
      <c r="J852" s="21">
        <v>59340001110</v>
      </c>
      <c r="K852" s="19">
        <v>7.057007988098503</v>
      </c>
      <c r="L852" s="23">
        <v>54124462832</v>
      </c>
      <c r="M852" s="21">
        <v>5215538278</v>
      </c>
    </row>
    <row r="853" spans="2:13" x14ac:dyDescent="0.3">
      <c r="B853" s="4">
        <v>45104</v>
      </c>
      <c r="C853" s="24">
        <v>6.4367502428744823</v>
      </c>
      <c r="E853" s="4">
        <v>45105</v>
      </c>
      <c r="F853" s="23">
        <v>1590518420859</v>
      </c>
      <c r="G853" s="19">
        <v>2.2555604245194996</v>
      </c>
      <c r="H853" s="31">
        <v>1500006269483</v>
      </c>
      <c r="I853" s="31">
        <v>90512151376</v>
      </c>
      <c r="J853" s="21">
        <v>62902309827</v>
      </c>
      <c r="K853" s="19">
        <v>7.0827106930660886</v>
      </c>
      <c r="L853" s="23">
        <v>58348821338</v>
      </c>
      <c r="M853" s="21">
        <v>4553488489</v>
      </c>
    </row>
    <row r="854" spans="2:13" x14ac:dyDescent="0.3">
      <c r="B854" s="4">
        <v>45105</v>
      </c>
      <c r="C854" s="24">
        <v>6.5699943603830198</v>
      </c>
      <c r="E854" s="4">
        <v>45106</v>
      </c>
      <c r="F854" s="23">
        <v>1592310981899</v>
      </c>
      <c r="G854" s="19">
        <v>2.2582791736086261</v>
      </c>
      <c r="H854" s="31">
        <v>1500846099188</v>
      </c>
      <c r="I854" s="31">
        <v>91464882711</v>
      </c>
      <c r="J854" s="21">
        <v>64676264429</v>
      </c>
      <c r="K854" s="19">
        <v>7.4778958884739062</v>
      </c>
      <c r="L854" s="23">
        <v>58897618428</v>
      </c>
      <c r="M854" s="21">
        <v>5778646001</v>
      </c>
    </row>
    <row r="855" spans="2:13" x14ac:dyDescent="0.3">
      <c r="B855" s="4">
        <v>45106</v>
      </c>
      <c r="C855" s="24">
        <v>6.8097664973699832</v>
      </c>
      <c r="E855" s="4">
        <v>45107</v>
      </c>
      <c r="F855" s="23">
        <v>1588287307916</v>
      </c>
      <c r="G855" s="19">
        <v>2.2351047050953046</v>
      </c>
      <c r="H855" s="31">
        <v>1495290061307</v>
      </c>
      <c r="I855" s="31">
        <v>92997246609</v>
      </c>
      <c r="J855" s="21">
        <v>68825873677</v>
      </c>
      <c r="K855" s="19">
        <v>7.4935796844463987</v>
      </c>
      <c r="L855" s="23">
        <v>62749937117</v>
      </c>
      <c r="M855" s="21">
        <v>6075936560</v>
      </c>
    </row>
    <row r="856" spans="2:13" x14ac:dyDescent="0.3">
      <c r="B856" s="4">
        <v>45107</v>
      </c>
      <c r="C856" s="24">
        <v>6.8320477294191946</v>
      </c>
      <c r="E856" s="4">
        <v>45110</v>
      </c>
      <c r="F856" s="23">
        <v>1591577763665</v>
      </c>
      <c r="G856" s="19">
        <v>2.2146052033970856</v>
      </c>
      <c r="H856" s="31">
        <v>1498246479269</v>
      </c>
      <c r="I856" s="31">
        <v>93331284396</v>
      </c>
      <c r="J856" s="21">
        <v>78751028342</v>
      </c>
      <c r="K856" s="19">
        <v>7.6873618173226994</v>
      </c>
      <c r="L856" s="23">
        <v>72866645436</v>
      </c>
      <c r="M856" s="21">
        <v>5884382906</v>
      </c>
    </row>
    <row r="857" spans="2:13" x14ac:dyDescent="0.3">
      <c r="B857" s="4">
        <v>45110</v>
      </c>
      <c r="C857" s="24">
        <v>7.1129517883686324</v>
      </c>
      <c r="E857" s="4">
        <v>45111</v>
      </c>
      <c r="F857" s="23">
        <v>1595227594495</v>
      </c>
      <c r="G857" s="19">
        <v>2.2157323316201891</v>
      </c>
      <c r="H857" s="31">
        <v>1500564751825</v>
      </c>
      <c r="I857" s="31">
        <v>94662842670</v>
      </c>
      <c r="J857" s="21">
        <v>73023029770</v>
      </c>
      <c r="K857" s="19">
        <v>7.8592918656443764</v>
      </c>
      <c r="L857" s="23">
        <v>66797258159</v>
      </c>
      <c r="M857" s="21">
        <v>6225771611</v>
      </c>
    </row>
    <row r="858" spans="2:13" x14ac:dyDescent="0.3">
      <c r="B858" s="4">
        <v>45111</v>
      </c>
      <c r="C858" s="24">
        <v>7.1892271431341372</v>
      </c>
      <c r="E858" s="4">
        <v>45112</v>
      </c>
      <c r="F858" s="23">
        <v>1596297435576</v>
      </c>
      <c r="G858" s="19">
        <v>2.2332975009399383</v>
      </c>
      <c r="H858" s="31">
        <v>1501497864779</v>
      </c>
      <c r="I858" s="31">
        <v>94799570797</v>
      </c>
      <c r="J858" s="21">
        <v>66723041874</v>
      </c>
      <c r="K858" s="19">
        <v>7.6898757142440282</v>
      </c>
      <c r="L858" s="23">
        <v>60858741042</v>
      </c>
      <c r="M858" s="21">
        <v>5864300832</v>
      </c>
    </row>
    <row r="859" spans="2:13" x14ac:dyDescent="0.3">
      <c r="B859" s="4">
        <v>45112</v>
      </c>
      <c r="C859" s="24">
        <v>7.0140110761452918</v>
      </c>
      <c r="E859" s="4">
        <v>45113</v>
      </c>
      <c r="F859" s="23">
        <v>1597396426048</v>
      </c>
      <c r="G859" s="19">
        <v>2.2448450505109618</v>
      </c>
      <c r="H859" s="31">
        <v>1502319458923</v>
      </c>
      <c r="I859" s="31">
        <v>95076967125</v>
      </c>
      <c r="J859" s="21">
        <v>63415094593</v>
      </c>
      <c r="K859" s="19">
        <v>7.7362884415462458</v>
      </c>
      <c r="L859" s="23">
        <v>58241266523</v>
      </c>
      <c r="M859" s="21">
        <v>5173828070</v>
      </c>
    </row>
    <row r="860" spans="2:13" x14ac:dyDescent="0.3">
      <c r="B860" s="4">
        <v>45113</v>
      </c>
      <c r="C860" s="24">
        <v>7.1051102251708222</v>
      </c>
      <c r="E860" s="4">
        <v>45114</v>
      </c>
      <c r="F860" s="23">
        <v>1592379836173</v>
      </c>
      <c r="G860" s="19">
        <v>2.2461864329262942</v>
      </c>
      <c r="H860" s="31">
        <v>1498107830010</v>
      </c>
      <c r="I860" s="31">
        <v>94272006163</v>
      </c>
      <c r="J860" s="21">
        <v>58166817189</v>
      </c>
      <c r="K860" s="19">
        <v>7.2735653509014169</v>
      </c>
      <c r="L860" s="23">
        <v>53107891104</v>
      </c>
      <c r="M860" s="21">
        <v>5058926085</v>
      </c>
    </row>
    <row r="861" spans="2:13" x14ac:dyDescent="0.3">
      <c r="B861" s="4">
        <v>45114</v>
      </c>
      <c r="C861" s="24">
        <v>6.6409636157047727</v>
      </c>
      <c r="E861" s="4">
        <v>45117</v>
      </c>
      <c r="F861" s="23">
        <v>1592860394613</v>
      </c>
      <c r="G861" s="19">
        <v>2.2396678001391757</v>
      </c>
      <c r="H861" s="31">
        <v>1498772171778</v>
      </c>
      <c r="I861" s="31">
        <v>94088222835</v>
      </c>
      <c r="J861" s="21">
        <v>55188974445</v>
      </c>
      <c r="K861" s="19">
        <v>7.2498100751633583</v>
      </c>
      <c r="L861" s="23">
        <v>50384296898</v>
      </c>
      <c r="M861" s="21">
        <v>4804677547</v>
      </c>
    </row>
    <row r="862" spans="2:13" x14ac:dyDescent="0.3">
      <c r="B862" s="4">
        <v>45117</v>
      </c>
      <c r="C862" s="24">
        <v>6.6186514055478263</v>
      </c>
      <c r="E862" s="4">
        <v>45118</v>
      </c>
      <c r="F862" s="23">
        <v>1593575876980</v>
      </c>
      <c r="G862" s="19">
        <v>2.2262900054949371</v>
      </c>
      <c r="H862" s="31">
        <v>1499126213737</v>
      </c>
      <c r="I862" s="31">
        <v>94449663243</v>
      </c>
      <c r="J862" s="21">
        <v>58691044892</v>
      </c>
      <c r="K862" s="19">
        <v>7.5879513067751434</v>
      </c>
      <c r="L862" s="23">
        <v>53372464496</v>
      </c>
      <c r="M862" s="21">
        <v>5318580396</v>
      </c>
    </row>
    <row r="863" spans="2:13" x14ac:dyDescent="0.3">
      <c r="B863" s="4">
        <v>45118</v>
      </c>
      <c r="C863" s="24">
        <v>6.9003314298368501</v>
      </c>
      <c r="E863" s="4">
        <v>45119</v>
      </c>
      <c r="F863" s="23">
        <v>1589550092669</v>
      </c>
      <c r="G863" s="19">
        <v>2.2398629675872312</v>
      </c>
      <c r="H863" s="31">
        <v>1496314128942</v>
      </c>
      <c r="I863" s="31">
        <v>93235963727</v>
      </c>
      <c r="J863" s="21">
        <v>68207222766</v>
      </c>
      <c r="K863" s="19">
        <v>7.4806813735693627</v>
      </c>
      <c r="L863" s="23">
        <v>62434351321</v>
      </c>
      <c r="M863" s="21">
        <v>5772871445</v>
      </c>
    </row>
    <row r="864" spans="2:13" x14ac:dyDescent="0.3">
      <c r="B864" s="4">
        <v>45119</v>
      </c>
      <c r="C864" s="24">
        <v>6.8475371090861463</v>
      </c>
      <c r="E864" s="4">
        <v>45120</v>
      </c>
      <c r="F864" s="23">
        <v>1588830505774</v>
      </c>
      <c r="G864" s="19">
        <v>2.2084591794214679</v>
      </c>
      <c r="H864" s="31">
        <v>1494577458752</v>
      </c>
      <c r="I864" s="31">
        <v>94253047022</v>
      </c>
      <c r="J864" s="21">
        <v>69505256442</v>
      </c>
      <c r="K864" s="19">
        <v>7.5494674183364623</v>
      </c>
      <c r="L864" s="23">
        <v>63384694139</v>
      </c>
      <c r="M864" s="21">
        <v>6120562303</v>
      </c>
    </row>
    <row r="865" spans="2:13" x14ac:dyDescent="0.3">
      <c r="B865" s="4">
        <v>45120</v>
      </c>
      <c r="C865" s="24">
        <v>6.8846689836028938</v>
      </c>
      <c r="E865" s="4">
        <v>45121</v>
      </c>
      <c r="F865" s="23">
        <v>1587887772997</v>
      </c>
      <c r="G865" s="19">
        <v>2.2066628119180818</v>
      </c>
      <c r="H865" s="31">
        <v>1493149065363</v>
      </c>
      <c r="I865" s="31">
        <v>94738707634</v>
      </c>
      <c r="J865" s="21">
        <v>70586284269</v>
      </c>
      <c r="K865" s="19">
        <v>7.6520488494663539</v>
      </c>
      <c r="L865" s="23">
        <v>64983684208</v>
      </c>
      <c r="M865" s="21">
        <v>5602600061</v>
      </c>
    </row>
    <row r="866" spans="2:13" x14ac:dyDescent="0.3">
      <c r="B866" s="4">
        <v>45121</v>
      </c>
      <c r="C866" s="24">
        <v>7.0446876631569149</v>
      </c>
      <c r="E866" s="4">
        <v>45124</v>
      </c>
      <c r="F866" s="23">
        <v>1589112403422</v>
      </c>
      <c r="G866" s="19">
        <v>2.2236255260484121</v>
      </c>
      <c r="H866" s="31">
        <v>1495366206862</v>
      </c>
      <c r="I866" s="31">
        <v>93746196560</v>
      </c>
      <c r="J866" s="21">
        <v>62334031699</v>
      </c>
      <c r="K866" s="19">
        <v>7.7683349918080289</v>
      </c>
      <c r="L866" s="23">
        <v>56766927046</v>
      </c>
      <c r="M866" s="21">
        <v>5567104653</v>
      </c>
    </row>
    <row r="867" spans="2:13" x14ac:dyDescent="0.3">
      <c r="B867" s="4">
        <v>45124</v>
      </c>
      <c r="C867" s="24">
        <v>7.0745384780867608</v>
      </c>
      <c r="E867" s="4">
        <v>45125</v>
      </c>
      <c r="F867" s="23">
        <v>1588766266542</v>
      </c>
      <c r="G867" s="19">
        <v>2.2304334537032786</v>
      </c>
      <c r="H867" s="31">
        <v>1495479835029</v>
      </c>
      <c r="I867" s="31">
        <v>93286431513</v>
      </c>
      <c r="J867" s="21">
        <v>56386493286</v>
      </c>
      <c r="K867" s="19">
        <v>7.2570704293449833</v>
      </c>
      <c r="L867" s="23">
        <v>51329827181</v>
      </c>
      <c r="M867" s="21">
        <v>5056666105</v>
      </c>
    </row>
    <row r="868" spans="2:13" x14ac:dyDescent="0.3">
      <c r="B868" s="4">
        <v>45125</v>
      </c>
      <c r="C868" s="24">
        <v>6.6062659560904304</v>
      </c>
      <c r="E868" s="4">
        <v>45126</v>
      </c>
      <c r="F868" s="23">
        <v>1588666943157</v>
      </c>
      <c r="G868" s="19">
        <v>2.2316071484679285</v>
      </c>
      <c r="H868" s="31">
        <v>1495657223161</v>
      </c>
      <c r="I868" s="31">
        <v>93009719996</v>
      </c>
      <c r="J868" s="21">
        <v>50692116407</v>
      </c>
      <c r="K868" s="19">
        <v>7.2179019547226826</v>
      </c>
      <c r="L868" s="23">
        <v>46067137033</v>
      </c>
      <c r="M868" s="21">
        <v>4624979374</v>
      </c>
    </row>
    <row r="869" spans="2:13" x14ac:dyDescent="0.3">
      <c r="B869" s="4">
        <v>45126</v>
      </c>
      <c r="C869" s="24">
        <v>6.5593646903456735</v>
      </c>
      <c r="E869" s="4">
        <v>45127</v>
      </c>
      <c r="F869" s="23">
        <v>1581884614408</v>
      </c>
      <c r="G869" s="19">
        <v>2.2432917963053449</v>
      </c>
      <c r="H869" s="31">
        <v>1490575163639</v>
      </c>
      <c r="I869" s="31">
        <v>91309450769</v>
      </c>
      <c r="J869" s="21">
        <v>54827903401</v>
      </c>
      <c r="K869" s="19">
        <v>6.9800382498601667</v>
      </c>
      <c r="L869" s="23">
        <v>50549685092</v>
      </c>
      <c r="M869" s="21">
        <v>4278218309</v>
      </c>
    </row>
    <row r="870" spans="2:13" x14ac:dyDescent="0.3">
      <c r="B870" s="4">
        <v>45127</v>
      </c>
      <c r="C870" s="24">
        <v>6.4353862463052138</v>
      </c>
      <c r="E870" s="4">
        <v>45128</v>
      </c>
      <c r="F870" s="23">
        <v>1575770120645</v>
      </c>
      <c r="G870" s="19">
        <v>2.2363749609531949</v>
      </c>
      <c r="H870" s="31">
        <v>1485369904788</v>
      </c>
      <c r="I870" s="31">
        <v>90400215857</v>
      </c>
      <c r="J870" s="21">
        <v>47306384797</v>
      </c>
      <c r="K870" s="19">
        <v>6.6555069653161709</v>
      </c>
      <c r="L870" s="23">
        <v>43187951421</v>
      </c>
      <c r="M870" s="21">
        <v>4118433376</v>
      </c>
    </row>
    <row r="871" spans="2:13" x14ac:dyDescent="0.3">
      <c r="B871" s="4">
        <v>45128</v>
      </c>
      <c r="C871" s="24">
        <v>6.0760870384335552</v>
      </c>
      <c r="E871" s="4">
        <v>45131</v>
      </c>
      <c r="F871" s="23">
        <v>1575288715034</v>
      </c>
      <c r="G871" s="19">
        <v>2.2392755978042476</v>
      </c>
      <c r="H871" s="31">
        <v>1485302758974</v>
      </c>
      <c r="I871" s="31">
        <v>89985956060</v>
      </c>
      <c r="J871" s="21">
        <v>45112977713</v>
      </c>
      <c r="K871" s="19">
        <v>6.8479839400916651</v>
      </c>
      <c r="L871" s="23">
        <v>41144107379</v>
      </c>
      <c r="M871" s="21">
        <v>3968870334</v>
      </c>
    </row>
    <row r="872" spans="2:13" x14ac:dyDescent="0.3">
      <c r="B872" s="4">
        <v>45131</v>
      </c>
      <c r="C872" s="24">
        <v>6.2455240341984162</v>
      </c>
      <c r="E872" s="4">
        <v>45132</v>
      </c>
      <c r="F872" s="23">
        <v>1577122541060</v>
      </c>
      <c r="G872" s="19">
        <v>2.1932087949642276</v>
      </c>
      <c r="H872" s="31">
        <v>1484896294730</v>
      </c>
      <c r="I872" s="31">
        <v>92226246330</v>
      </c>
      <c r="J872" s="21">
        <v>72025311280</v>
      </c>
      <c r="K872" s="19">
        <v>7.5984598707529845</v>
      </c>
      <c r="L872" s="23">
        <v>66305725805</v>
      </c>
      <c r="M872" s="21">
        <v>5719585475</v>
      </c>
    </row>
    <row r="873" spans="2:13" x14ac:dyDescent="0.3">
      <c r="B873" s="4">
        <v>45132</v>
      </c>
      <c r="C873" s="24">
        <v>6.9950603166687637</v>
      </c>
      <c r="E873" s="4">
        <v>45133</v>
      </c>
      <c r="F873" s="23">
        <v>1575449949802</v>
      </c>
      <c r="G873" s="19">
        <v>2.198731069003435</v>
      </c>
      <c r="H873" s="31">
        <v>1483553531098</v>
      </c>
      <c r="I873" s="31">
        <v>91896418704</v>
      </c>
      <c r="J873" s="21">
        <v>57733380565</v>
      </c>
      <c r="K873" s="19">
        <v>7.28978915582144</v>
      </c>
      <c r="L873" s="23">
        <v>52809449898</v>
      </c>
      <c r="M873" s="21">
        <v>4923930667</v>
      </c>
    </row>
    <row r="874" spans="2:13" x14ac:dyDescent="0.3">
      <c r="B874" s="4">
        <v>45133</v>
      </c>
      <c r="C874" s="24">
        <v>6.6680618980541428</v>
      </c>
      <c r="E874" s="4">
        <v>45134</v>
      </c>
      <c r="F874" s="23">
        <v>1573464884680</v>
      </c>
      <c r="G874" s="19">
        <v>2.2014360080707487</v>
      </c>
      <c r="H874" s="31">
        <v>1482143986486</v>
      </c>
      <c r="I874" s="31">
        <v>91320898194</v>
      </c>
      <c r="J874" s="21">
        <v>56009237099</v>
      </c>
      <c r="K874" s="19">
        <v>7.1822694305216546</v>
      </c>
      <c r="L874" s="23">
        <v>51504803125</v>
      </c>
      <c r="M874" s="21">
        <v>4504433974</v>
      </c>
    </row>
    <row r="875" spans="2:13" x14ac:dyDescent="0.3">
      <c r="B875" s="4">
        <v>45134</v>
      </c>
      <c r="C875" s="24">
        <v>6.6046493787419998</v>
      </c>
      <c r="E875" s="4">
        <v>45135</v>
      </c>
      <c r="F875" s="23">
        <v>1571986855032</v>
      </c>
      <c r="G875" s="19">
        <v>2.1634323612250634</v>
      </c>
      <c r="H875" s="31">
        <v>1479024477006</v>
      </c>
      <c r="I875" s="31">
        <v>92962378026</v>
      </c>
      <c r="J875" s="21">
        <v>75444091218</v>
      </c>
      <c r="K875" s="19">
        <v>7.9573423277042616</v>
      </c>
      <c r="L875" s="23">
        <v>69434559970</v>
      </c>
      <c r="M875" s="21">
        <v>6009531248</v>
      </c>
    </row>
    <row r="876" spans="2:13" x14ac:dyDescent="0.3">
      <c r="B876" s="4">
        <v>45135</v>
      </c>
      <c r="C876" s="24">
        <v>7.32349683235336</v>
      </c>
      <c r="E876" s="4">
        <v>45138</v>
      </c>
      <c r="F876" s="23">
        <v>1579353013900</v>
      </c>
      <c r="G876" s="19">
        <v>2.1578512522701261</v>
      </c>
      <c r="H876" s="31">
        <v>1486071136146</v>
      </c>
      <c r="I876" s="31">
        <v>93281877754</v>
      </c>
      <c r="J876" s="21">
        <v>90220624245</v>
      </c>
      <c r="K876" s="19">
        <v>8.1654423333766513</v>
      </c>
      <c r="L876" s="23">
        <v>84837089696</v>
      </c>
      <c r="M876" s="21">
        <v>5383534549</v>
      </c>
    </row>
    <row r="877" spans="2:13" x14ac:dyDescent="0.3">
      <c r="B877" s="4">
        <v>45138</v>
      </c>
      <c r="C877" s="24">
        <v>7.6782040629981738</v>
      </c>
      <c r="E877" s="4">
        <v>45139</v>
      </c>
      <c r="F877" s="23">
        <v>1581500427175</v>
      </c>
      <c r="G877" s="19">
        <v>2.1632862081755113</v>
      </c>
      <c r="H877" s="31">
        <v>1487898794652</v>
      </c>
      <c r="I877" s="31">
        <v>93601632523</v>
      </c>
      <c r="J877" s="21">
        <v>73142163492</v>
      </c>
      <c r="K877" s="19">
        <v>7.6468195997788611</v>
      </c>
      <c r="L877" s="23">
        <v>67398378954</v>
      </c>
      <c r="M877" s="21">
        <v>5743784538</v>
      </c>
    </row>
    <row r="878" spans="2:13" x14ac:dyDescent="0.3">
      <c r="B878" s="4">
        <v>45139</v>
      </c>
      <c r="C878" s="24">
        <v>7.04632212902946</v>
      </c>
      <c r="E878" s="4">
        <v>45140</v>
      </c>
      <c r="F878" s="23">
        <v>1584206748429</v>
      </c>
      <c r="G878" s="19">
        <v>2.1816191315723112</v>
      </c>
      <c r="H878" s="31">
        <v>1490882570316</v>
      </c>
      <c r="I878" s="31">
        <v>93324178113</v>
      </c>
      <c r="J878" s="21">
        <v>66124813729</v>
      </c>
      <c r="K878" s="19">
        <v>7.911211462605654</v>
      </c>
      <c r="L878" s="23">
        <v>61024294327</v>
      </c>
      <c r="M878" s="21">
        <v>5100519402</v>
      </c>
    </row>
    <row r="879" spans="2:13" x14ac:dyDescent="0.3">
      <c r="B879" s="4">
        <v>45140</v>
      </c>
      <c r="C879" s="24">
        <v>7.3009823325287506</v>
      </c>
      <c r="E879" s="4">
        <v>45141</v>
      </c>
      <c r="F879" s="23">
        <v>1587266504361</v>
      </c>
      <c r="G879" s="19">
        <v>2.1749765718108156</v>
      </c>
      <c r="H879" s="31">
        <v>1492566700034</v>
      </c>
      <c r="I879" s="31">
        <v>94699804327</v>
      </c>
      <c r="J879" s="21">
        <v>67713434435</v>
      </c>
      <c r="K879" s="19">
        <v>8.1314689291534137</v>
      </c>
      <c r="L879" s="23">
        <v>61938750478</v>
      </c>
      <c r="M879" s="21">
        <v>5774683957</v>
      </c>
    </row>
    <row r="880" spans="2:13" x14ac:dyDescent="0.3">
      <c r="B880" s="4">
        <v>45141</v>
      </c>
      <c r="C880" s="24">
        <v>7.4380073795535164</v>
      </c>
      <c r="E880" s="4">
        <v>45142</v>
      </c>
      <c r="F880" s="23">
        <v>1589283893224</v>
      </c>
      <c r="G880" s="19">
        <v>2.1702590364183694</v>
      </c>
      <c r="H880" s="31">
        <v>1493094123328</v>
      </c>
      <c r="I880" s="31">
        <v>96189769896</v>
      </c>
      <c r="J880" s="21">
        <v>92714489363</v>
      </c>
      <c r="K880" s="19">
        <v>8.8384037644184623</v>
      </c>
      <c r="L880" s="23">
        <v>86321074806</v>
      </c>
      <c r="M880" s="21">
        <v>6393414557</v>
      </c>
    </row>
    <row r="881" spans="2:13" x14ac:dyDescent="0.3">
      <c r="B881" s="4">
        <v>45142</v>
      </c>
      <c r="C881" s="24">
        <v>8.2289242787812658</v>
      </c>
      <c r="E881" s="4">
        <v>45145</v>
      </c>
      <c r="F881" s="23">
        <v>1593675811497</v>
      </c>
      <c r="G881" s="19">
        <v>2.1883305151524519</v>
      </c>
      <c r="H881" s="31">
        <v>1498567060634</v>
      </c>
      <c r="I881" s="31">
        <v>95108750863</v>
      </c>
      <c r="J881" s="21">
        <v>71769700740</v>
      </c>
      <c r="K881" s="19">
        <v>8.0646659431592447</v>
      </c>
      <c r="L881" s="23">
        <v>66731858990</v>
      </c>
      <c r="M881" s="21">
        <v>5037841750</v>
      </c>
    </row>
    <row r="882" spans="2:13" x14ac:dyDescent="0.3">
      <c r="B882" s="4">
        <v>45145</v>
      </c>
      <c r="C882" s="24">
        <v>7.4985703572874893</v>
      </c>
      <c r="E882" s="4">
        <v>45146</v>
      </c>
      <c r="F882" s="23">
        <v>1593121030522</v>
      </c>
      <c r="G882" s="19">
        <v>2.1936631005399359</v>
      </c>
      <c r="H882" s="31">
        <v>1498513279905</v>
      </c>
      <c r="I882" s="31">
        <v>94607750617</v>
      </c>
      <c r="J882" s="21">
        <v>60751681691</v>
      </c>
      <c r="K882" s="19">
        <v>7.6056649783950281</v>
      </c>
      <c r="L882" s="23">
        <v>57611177054</v>
      </c>
      <c r="M882" s="21">
        <v>3140504637</v>
      </c>
    </row>
    <row r="883" spans="2:13" x14ac:dyDescent="0.3">
      <c r="B883" s="4">
        <v>45146</v>
      </c>
      <c r="C883" s="24">
        <v>7.2124968311557955</v>
      </c>
      <c r="E883" s="4">
        <v>45147</v>
      </c>
      <c r="F883" s="23">
        <v>1589602119496</v>
      </c>
      <c r="G883" s="19">
        <v>2.2003813133972852</v>
      </c>
      <c r="H883" s="31">
        <v>1496365174272</v>
      </c>
      <c r="I883" s="31">
        <v>93236945224</v>
      </c>
      <c r="J883" s="21">
        <v>53733514169</v>
      </c>
      <c r="K883" s="19">
        <v>7.2966238574684361</v>
      </c>
      <c r="L883" s="23">
        <v>49238215402</v>
      </c>
      <c r="M883" s="21">
        <v>4495298767</v>
      </c>
    </row>
    <row r="884" spans="2:13" x14ac:dyDescent="0.3">
      <c r="B884" s="4">
        <v>45147</v>
      </c>
      <c r="C884" s="24">
        <v>6.6861946916674029</v>
      </c>
      <c r="E884" s="4">
        <v>45148</v>
      </c>
      <c r="F884" s="23">
        <v>1588555956178</v>
      </c>
      <c r="G884" s="19">
        <v>2.1941329432698891</v>
      </c>
      <c r="H884" s="31">
        <v>1495747706041</v>
      </c>
      <c r="I884" s="31">
        <v>92808250137</v>
      </c>
      <c r="J884" s="21">
        <v>52206084491</v>
      </c>
      <c r="K884" s="19">
        <v>7.5224272563591201</v>
      </c>
      <c r="L884" s="23">
        <v>47820933192</v>
      </c>
      <c r="M884" s="21">
        <v>4385151299</v>
      </c>
    </row>
    <row r="885" spans="2:13" x14ac:dyDescent="0.3">
      <c r="B885" s="4">
        <v>45148</v>
      </c>
      <c r="C885" s="24">
        <v>6.8905663923147582</v>
      </c>
      <c r="E885" s="4">
        <v>45149</v>
      </c>
      <c r="F885" s="23">
        <v>1581573154516</v>
      </c>
      <c r="G885" s="19">
        <v>2.2288363950096897</v>
      </c>
      <c r="H885" s="31">
        <v>1490399681443</v>
      </c>
      <c r="I885" s="31">
        <v>91173473073</v>
      </c>
      <c r="J885" s="21">
        <v>57543639064</v>
      </c>
      <c r="K885" s="19">
        <v>7.538265397259905</v>
      </c>
      <c r="L885" s="23">
        <v>52814658666</v>
      </c>
      <c r="M885" s="21">
        <v>4728980398</v>
      </c>
    </row>
    <row r="886" spans="2:13" x14ac:dyDescent="0.3">
      <c r="B886" s="4">
        <v>45149</v>
      </c>
      <c r="C886" s="24">
        <v>6.9187649645723619</v>
      </c>
      <c r="E886" s="4">
        <v>45152</v>
      </c>
      <c r="F886" s="23">
        <v>1580105099174</v>
      </c>
      <c r="G886" s="19">
        <v>2.2303573496076696</v>
      </c>
      <c r="H886" s="31">
        <v>1490377608331</v>
      </c>
      <c r="I886" s="31">
        <v>89727490843</v>
      </c>
      <c r="J886" s="21">
        <v>53741473081</v>
      </c>
      <c r="K886" s="19">
        <v>7.2452632021127386</v>
      </c>
      <c r="L886" s="23">
        <v>49032942027</v>
      </c>
      <c r="M886" s="21">
        <v>4708531054</v>
      </c>
    </row>
    <row r="887" spans="2:13" x14ac:dyDescent="0.3">
      <c r="B887" s="4">
        <v>45152</v>
      </c>
      <c r="C887" s="24">
        <v>6.6104732563638882</v>
      </c>
      <c r="E887" s="4">
        <v>45153</v>
      </c>
      <c r="F887" s="23">
        <v>1579227736220</v>
      </c>
      <c r="G887" s="19">
        <v>2.2345396489556455</v>
      </c>
      <c r="H887" s="31">
        <v>1490112209271</v>
      </c>
      <c r="I887" s="31">
        <v>89115526949</v>
      </c>
      <c r="J887" s="21">
        <v>50159020687</v>
      </c>
      <c r="K887" s="19">
        <v>7.1009388211558999</v>
      </c>
      <c r="L887" s="23">
        <v>47077915778</v>
      </c>
      <c r="M887" s="21">
        <v>3081104909</v>
      </c>
    </row>
    <row r="888" spans="2:13" x14ac:dyDescent="0.3">
      <c r="B888" s="4">
        <v>45153</v>
      </c>
      <c r="C888" s="24">
        <v>6.6647513286428621</v>
      </c>
      <c r="E888" s="4">
        <v>45154</v>
      </c>
      <c r="F888" s="23">
        <v>1576239043923</v>
      </c>
      <c r="G888" s="19">
        <v>2.248865741825711</v>
      </c>
      <c r="H888" s="31">
        <v>1487623808610</v>
      </c>
      <c r="I888" s="31">
        <v>88615235313</v>
      </c>
      <c r="J888" s="21">
        <v>50782750977</v>
      </c>
      <c r="K888" s="19">
        <v>7.2129939236426814</v>
      </c>
      <c r="L888" s="23">
        <v>47069982224</v>
      </c>
      <c r="M888" s="21">
        <v>3712768753</v>
      </c>
    </row>
    <row r="889" spans="2:13" x14ac:dyDescent="0.3">
      <c r="B889" s="4">
        <v>45154</v>
      </c>
      <c r="C889" s="24">
        <v>6.6856459966387192</v>
      </c>
      <c r="E889" s="4">
        <v>45155</v>
      </c>
      <c r="F889" s="23">
        <v>1579178014195</v>
      </c>
      <c r="G889" s="19">
        <v>2.2396288138487224</v>
      </c>
      <c r="H889" s="31">
        <v>1488707422044</v>
      </c>
      <c r="I889" s="31">
        <v>90470592151</v>
      </c>
      <c r="J889" s="21">
        <v>56291565355</v>
      </c>
      <c r="K889" s="19">
        <v>7.6110789096816607</v>
      </c>
      <c r="L889" s="23">
        <v>50637785122</v>
      </c>
      <c r="M889" s="21">
        <v>5653780233</v>
      </c>
    </row>
    <row r="890" spans="2:13" x14ac:dyDescent="0.3">
      <c r="B890" s="4">
        <v>45155</v>
      </c>
      <c r="C890" s="24">
        <v>6.8466416939107697</v>
      </c>
      <c r="E890" s="4">
        <v>45156</v>
      </c>
      <c r="F890" s="23">
        <v>1572831750779</v>
      </c>
      <c r="G890" s="19">
        <v>2.2587345176826092</v>
      </c>
      <c r="H890" s="31">
        <v>1484006725901</v>
      </c>
      <c r="I890" s="31">
        <v>88825024878</v>
      </c>
      <c r="J890" s="21">
        <v>52944784056</v>
      </c>
      <c r="K890" s="19">
        <v>7.1112360255613485</v>
      </c>
      <c r="L890" s="23">
        <v>48496482135</v>
      </c>
      <c r="M890" s="21">
        <v>4448301921</v>
      </c>
    </row>
    <row r="891" spans="2:13" x14ac:dyDescent="0.3">
      <c r="B891" s="4">
        <v>45156</v>
      </c>
      <c r="C891" s="24">
        <v>6.5137659359727191</v>
      </c>
      <c r="E891" s="4">
        <v>45159</v>
      </c>
      <c r="F891" s="23">
        <v>1571512439780</v>
      </c>
      <c r="G891" s="19">
        <v>2.2829754643832589</v>
      </c>
      <c r="H891" s="31">
        <v>1483824518807</v>
      </c>
      <c r="I891" s="31">
        <v>87687920973</v>
      </c>
      <c r="J891" s="21">
        <v>48014710751</v>
      </c>
      <c r="K891" s="19">
        <v>7.0807139191652668</v>
      </c>
      <c r="L891" s="23">
        <v>43178709558</v>
      </c>
      <c r="M891" s="21">
        <v>4836001193</v>
      </c>
    </row>
    <row r="892" spans="2:13" x14ac:dyDescent="0.3">
      <c r="B892" s="4">
        <v>45159</v>
      </c>
      <c r="C892" s="24">
        <v>6.3675503818911867</v>
      </c>
      <c r="E892" s="4">
        <v>45160</v>
      </c>
      <c r="F892" s="23">
        <v>1573167837407</v>
      </c>
      <c r="G892" s="19">
        <v>2.2656059156299317</v>
      </c>
      <c r="H892" s="31">
        <v>1483971738798</v>
      </c>
      <c r="I892" s="31">
        <v>89196098609</v>
      </c>
      <c r="J892" s="21">
        <v>59665956333</v>
      </c>
      <c r="K892" s="19">
        <v>7.2923150794090015</v>
      </c>
      <c r="L892" s="23">
        <v>53977595581</v>
      </c>
      <c r="M892" s="21">
        <v>5688360752</v>
      </c>
    </row>
    <row r="893" spans="2:13" x14ac:dyDescent="0.3">
      <c r="B893" s="4">
        <v>45160</v>
      </c>
      <c r="C893" s="24">
        <v>6.5970891677112533</v>
      </c>
      <c r="E893" s="4">
        <v>45161</v>
      </c>
      <c r="F893" s="23">
        <v>1568577062668</v>
      </c>
      <c r="G893" s="19">
        <v>2.2943419495634161</v>
      </c>
      <c r="H893" s="31">
        <v>1481231994654</v>
      </c>
      <c r="I893" s="31">
        <v>87345068014</v>
      </c>
      <c r="J893" s="21">
        <v>48993869533</v>
      </c>
      <c r="K893" s="19">
        <v>6.9418238498070863</v>
      </c>
      <c r="L893" s="23">
        <v>44289328706</v>
      </c>
      <c r="M893" s="21">
        <v>4704540827</v>
      </c>
    </row>
    <row r="894" spans="2:13" x14ac:dyDescent="0.3">
      <c r="B894" s="4">
        <v>45161</v>
      </c>
      <c r="C894" s="24">
        <v>6.2752487450735694</v>
      </c>
      <c r="E894" s="4">
        <v>45162</v>
      </c>
      <c r="F894" s="23">
        <v>1567624323050</v>
      </c>
      <c r="G894" s="19">
        <v>2.2857016111274406</v>
      </c>
      <c r="H894" s="31">
        <v>1478974259950</v>
      </c>
      <c r="I894" s="31">
        <v>88650063100</v>
      </c>
      <c r="J894" s="21">
        <v>55643600485</v>
      </c>
      <c r="K894" s="19">
        <v>7.0832233315256525</v>
      </c>
      <c r="L894" s="23">
        <v>50433443635</v>
      </c>
      <c r="M894" s="21">
        <v>5210156850</v>
      </c>
    </row>
    <row r="895" spans="2:13" x14ac:dyDescent="0.3">
      <c r="B895" s="4">
        <v>45162</v>
      </c>
      <c r="C895" s="24">
        <v>6.419989747804256</v>
      </c>
      <c r="E895" s="4">
        <v>45163</v>
      </c>
      <c r="F895" s="23">
        <v>1556662433958</v>
      </c>
      <c r="G895" s="19">
        <v>2.2892501447567182</v>
      </c>
      <c r="H895" s="31">
        <v>1469249739399</v>
      </c>
      <c r="I895" s="31">
        <v>87412694559</v>
      </c>
      <c r="J895" s="21">
        <v>49846443623</v>
      </c>
      <c r="K895" s="19">
        <v>6.5062894298814093</v>
      </c>
      <c r="L895" s="23">
        <v>44276587305</v>
      </c>
      <c r="M895" s="21">
        <v>5569856318</v>
      </c>
    </row>
    <row r="896" spans="2:13" x14ac:dyDescent="0.3">
      <c r="B896" s="4">
        <v>45163</v>
      </c>
      <c r="C896" s="24">
        <v>5.7792747292571054</v>
      </c>
      <c r="E896" s="4">
        <v>45166</v>
      </c>
      <c r="F896" s="23">
        <v>1565562511119</v>
      </c>
      <c r="G896" s="19">
        <v>2.2765209288926003</v>
      </c>
      <c r="H896" s="31">
        <v>1475411408347</v>
      </c>
      <c r="I896" s="31">
        <v>90151102772</v>
      </c>
      <c r="J896" s="21">
        <v>94078786357</v>
      </c>
      <c r="K896" s="19">
        <v>8.3523401848967431</v>
      </c>
      <c r="L896" s="23">
        <v>85601483294</v>
      </c>
      <c r="M896" s="21">
        <v>8477303063</v>
      </c>
    </row>
    <row r="897" spans="2:13" x14ac:dyDescent="0.3">
      <c r="B897" s="4">
        <v>45166</v>
      </c>
      <c r="C897" s="24">
        <v>7.599722918301075</v>
      </c>
      <c r="E897" s="4">
        <v>45167</v>
      </c>
      <c r="F897" s="23">
        <v>1571607681166</v>
      </c>
      <c r="G897" s="19">
        <v>2.2478609381314913</v>
      </c>
      <c r="H897" s="31">
        <v>1478478143122</v>
      </c>
      <c r="I897" s="31">
        <v>93129538044</v>
      </c>
      <c r="J897" s="21">
        <v>80398689044</v>
      </c>
      <c r="K897" s="19">
        <v>7.7537430098129816</v>
      </c>
      <c r="L897" s="23">
        <v>72950046572</v>
      </c>
      <c r="M897" s="21">
        <v>7448642472</v>
      </c>
    </row>
    <row r="898" spans="2:13" x14ac:dyDescent="0.3">
      <c r="B898" s="4">
        <v>45167</v>
      </c>
      <c r="C898" s="24">
        <v>7.0353872730887366</v>
      </c>
      <c r="E898" s="4">
        <v>45168</v>
      </c>
      <c r="F898" s="23">
        <v>1573421538610</v>
      </c>
      <c r="G898" s="19">
        <v>2.2474234828094781</v>
      </c>
      <c r="H898" s="31">
        <v>1479312522594</v>
      </c>
      <c r="I898" s="31">
        <v>94109016016</v>
      </c>
      <c r="J898" s="21">
        <v>74912484505</v>
      </c>
      <c r="K898" s="19">
        <v>7.61159690423026</v>
      </c>
      <c r="L898" s="23">
        <v>68486669155</v>
      </c>
      <c r="M898" s="21">
        <v>6425815350</v>
      </c>
    </row>
    <row r="899" spans="2:13" x14ac:dyDescent="0.3">
      <c r="B899" s="4">
        <v>45168</v>
      </c>
      <c r="C899" s="24">
        <v>6.9586921641404986</v>
      </c>
      <c r="E899" s="4">
        <v>45169</v>
      </c>
      <c r="F899" s="23">
        <v>1570987197332</v>
      </c>
      <c r="G899" s="19">
        <v>2.2561663861045544</v>
      </c>
      <c r="H899" s="31">
        <v>1477113583904</v>
      </c>
      <c r="I899" s="31">
        <v>93873613428</v>
      </c>
      <c r="J899" s="21">
        <v>59601846529</v>
      </c>
      <c r="K899" s="19">
        <v>7.1940415777582514</v>
      </c>
      <c r="L899" s="23">
        <v>53709492667</v>
      </c>
      <c r="M899" s="21">
        <v>5892353862</v>
      </c>
    </row>
    <row r="900" spans="2:13" x14ac:dyDescent="0.3">
      <c r="B900" s="4">
        <v>45169</v>
      </c>
      <c r="C900" s="24">
        <v>6.4828247087730411</v>
      </c>
      <c r="E900" s="4">
        <v>45170</v>
      </c>
      <c r="F900" s="23">
        <v>1565820254105</v>
      </c>
      <c r="G900" s="19">
        <v>2.238726214194005</v>
      </c>
      <c r="H900" s="31">
        <v>1472281922974</v>
      </c>
      <c r="I900" s="31">
        <v>93538331131</v>
      </c>
      <c r="J900" s="21">
        <v>54623593026</v>
      </c>
      <c r="K900" s="19">
        <v>7.3315019329325741</v>
      </c>
      <c r="L900" s="23">
        <v>48963978188</v>
      </c>
      <c r="M900" s="21">
        <v>5659614838</v>
      </c>
    </row>
    <row r="901" spans="2:13" x14ac:dyDescent="0.3">
      <c r="B901" s="4">
        <v>45170</v>
      </c>
      <c r="C901" s="24">
        <v>6.571876378738426</v>
      </c>
      <c r="E901" s="4">
        <v>45173</v>
      </c>
      <c r="F901" s="23">
        <v>1570248474246</v>
      </c>
      <c r="G901" s="19">
        <v>2.2121031096508306</v>
      </c>
      <c r="H901" s="31">
        <v>1476104435575</v>
      </c>
      <c r="I901" s="31">
        <v>94144038671</v>
      </c>
      <c r="J901" s="21">
        <v>64545263410</v>
      </c>
      <c r="K901" s="19">
        <v>7.2963300926958485</v>
      </c>
      <c r="L901" s="23">
        <v>60650452778</v>
      </c>
      <c r="M901" s="21">
        <v>3894810632</v>
      </c>
    </row>
    <row r="902" spans="2:13" x14ac:dyDescent="0.3">
      <c r="B902" s="4">
        <v>45173</v>
      </c>
      <c r="C902" s="24">
        <v>6.8560526421399555</v>
      </c>
      <c r="E902" s="4">
        <v>45174</v>
      </c>
      <c r="F902" s="23">
        <v>1571353243093</v>
      </c>
      <c r="G902" s="19">
        <v>2.2285590901456649</v>
      </c>
      <c r="H902" s="31">
        <v>1477929464619</v>
      </c>
      <c r="I902" s="31">
        <v>93423778474</v>
      </c>
      <c r="J902" s="21">
        <v>61169382565</v>
      </c>
      <c r="K902" s="19">
        <v>7.610827068561286</v>
      </c>
      <c r="L902" s="23">
        <v>55304201559</v>
      </c>
      <c r="M902" s="21">
        <v>5865181006</v>
      </c>
    </row>
    <row r="903" spans="2:13" x14ac:dyDescent="0.3">
      <c r="B903" s="4">
        <v>45174</v>
      </c>
      <c r="C903" s="24">
        <v>6.8810685441059833</v>
      </c>
      <c r="E903" s="4">
        <v>45175</v>
      </c>
      <c r="F903" s="23">
        <v>1574220203465</v>
      </c>
      <c r="G903" s="19">
        <v>2.2306898218368434</v>
      </c>
      <c r="H903" s="31">
        <v>1479808378196</v>
      </c>
      <c r="I903" s="31">
        <v>94411825269</v>
      </c>
      <c r="J903" s="21">
        <v>60181584163</v>
      </c>
      <c r="K903" s="19">
        <v>7.8040947946836479</v>
      </c>
      <c r="L903" s="23">
        <v>53706094759</v>
      </c>
      <c r="M903" s="21">
        <v>6475489404</v>
      </c>
    </row>
    <row r="904" spans="2:13" x14ac:dyDescent="0.3">
      <c r="B904" s="4">
        <v>45175</v>
      </c>
      <c r="C904" s="24">
        <v>6.9643805556248664</v>
      </c>
      <c r="E904" s="4">
        <v>45176</v>
      </c>
      <c r="F904" s="23">
        <v>1570206455026</v>
      </c>
      <c r="G904" s="19">
        <v>2.2547004373507518</v>
      </c>
      <c r="H904" s="31">
        <v>1477941755524</v>
      </c>
      <c r="I904" s="31">
        <v>92264699502</v>
      </c>
      <c r="J904" s="21">
        <v>56184584058</v>
      </c>
      <c r="K904" s="19">
        <v>7.3281532654412427</v>
      </c>
      <c r="L904" s="23">
        <v>50599139809</v>
      </c>
      <c r="M904" s="21">
        <v>5585444249</v>
      </c>
    </row>
    <row r="905" spans="2:13" x14ac:dyDescent="0.3">
      <c r="B905" s="4">
        <v>45176</v>
      </c>
      <c r="C905" s="24">
        <v>6.5996439741738051</v>
      </c>
      <c r="E905" s="4">
        <v>45177</v>
      </c>
      <c r="F905" s="23">
        <v>1566139044250</v>
      </c>
      <c r="G905" s="19">
        <v>2.2524254934899832</v>
      </c>
      <c r="H905" s="31">
        <v>1473721220951</v>
      </c>
      <c r="I905" s="31">
        <v>92417823299</v>
      </c>
      <c r="J905" s="21">
        <v>52027536609</v>
      </c>
      <c r="K905" s="19">
        <v>7.6321433318245777</v>
      </c>
      <c r="L905" s="23">
        <v>46231342960</v>
      </c>
      <c r="M905" s="21">
        <v>5796193649</v>
      </c>
    </row>
    <row r="906" spans="2:13" x14ac:dyDescent="0.3">
      <c r="B906" s="4">
        <v>45177</v>
      </c>
      <c r="C906" s="24">
        <v>6.7818747319361314</v>
      </c>
      <c r="E906" s="4">
        <v>45180</v>
      </c>
      <c r="F906" s="23">
        <v>1592785133577</v>
      </c>
      <c r="G906" s="19">
        <v>2.2696292785228631</v>
      </c>
      <c r="H906" s="31">
        <v>1499254366517</v>
      </c>
      <c r="I906" s="31">
        <v>93530767060</v>
      </c>
      <c r="J906" s="21">
        <v>92299994090</v>
      </c>
      <c r="K906" s="19">
        <v>10.974721825305451</v>
      </c>
      <c r="L906" s="23">
        <v>85804238540</v>
      </c>
      <c r="M906" s="21">
        <v>6495755550</v>
      </c>
    </row>
    <row r="907" spans="2:13" x14ac:dyDescent="0.3">
      <c r="B907" s="4">
        <v>45180</v>
      </c>
      <c r="C907" s="24">
        <v>10.202358718359623</v>
      </c>
      <c r="E907" s="4">
        <v>45181</v>
      </c>
      <c r="F907" s="23">
        <v>1600472299049</v>
      </c>
      <c r="G907" s="19">
        <v>2.2838868158523948</v>
      </c>
      <c r="H907" s="31">
        <v>1507786072549</v>
      </c>
      <c r="I907" s="31">
        <v>92686226500</v>
      </c>
      <c r="J907" s="21">
        <v>67633513730</v>
      </c>
      <c r="K907" s="19">
        <v>9.5498951973687607</v>
      </c>
      <c r="L907" s="23">
        <v>62340889329</v>
      </c>
      <c r="M907" s="21">
        <v>5292624401</v>
      </c>
    </row>
    <row r="908" spans="2:13" x14ac:dyDescent="0.3">
      <c r="B908" s="4">
        <v>45181</v>
      </c>
      <c r="C908" s="24">
        <v>8.802573262412615</v>
      </c>
      <c r="E908" s="4">
        <v>45182</v>
      </c>
      <c r="F908" s="23">
        <v>1604470696312</v>
      </c>
      <c r="G908" s="19">
        <v>2.3050322717335212</v>
      </c>
      <c r="H908" s="31">
        <v>1512690551420</v>
      </c>
      <c r="I908" s="31">
        <v>91780144892</v>
      </c>
      <c r="J908" s="21">
        <v>63673470371</v>
      </c>
      <c r="K908" s="19">
        <v>9.1212001947567849</v>
      </c>
      <c r="L908" s="23">
        <v>58578584002</v>
      </c>
      <c r="M908" s="21">
        <v>5094886369</v>
      </c>
    </row>
    <row r="909" spans="2:13" x14ac:dyDescent="0.3">
      <c r="B909" s="4">
        <v>45182</v>
      </c>
      <c r="C909" s="24">
        <v>8.3913596776557746</v>
      </c>
      <c r="E909" s="4">
        <v>45183</v>
      </c>
      <c r="F909" s="23">
        <v>1606044446519</v>
      </c>
      <c r="G909" s="19">
        <v>2.3099906264397307</v>
      </c>
      <c r="H909" s="31">
        <v>1514623988945</v>
      </c>
      <c r="I909" s="31">
        <v>91420457574</v>
      </c>
      <c r="J909" s="21">
        <v>55778635754</v>
      </c>
      <c r="K909" s="19">
        <v>8.3782442270079365</v>
      </c>
      <c r="L909" s="23">
        <v>51852140556</v>
      </c>
      <c r="M909" s="21">
        <v>3926495198</v>
      </c>
    </row>
    <row r="910" spans="2:13" x14ac:dyDescent="0.3">
      <c r="B910" s="4">
        <v>45183</v>
      </c>
      <c r="C910" s="24">
        <v>7.7884640131263394</v>
      </c>
      <c r="E910" s="4">
        <v>45184</v>
      </c>
      <c r="F910" s="23">
        <v>1606976700371</v>
      </c>
      <c r="G910" s="19">
        <v>2.318412866691149</v>
      </c>
      <c r="H910" s="31">
        <v>1516141785148</v>
      </c>
      <c r="I910" s="31">
        <v>90834915223</v>
      </c>
      <c r="J910" s="21">
        <v>63114338189</v>
      </c>
      <c r="K910" s="19">
        <v>8.7471240853647956</v>
      </c>
      <c r="L910" s="23">
        <v>57911349255</v>
      </c>
      <c r="M910" s="21">
        <v>5202988934</v>
      </c>
    </row>
    <row r="911" spans="2:13" x14ac:dyDescent="0.3">
      <c r="B911" s="4">
        <v>45184</v>
      </c>
      <c r="C911" s="24">
        <v>8.026032949398326</v>
      </c>
      <c r="E911" s="4">
        <v>45187</v>
      </c>
      <c r="F911" s="23">
        <v>1610039885468</v>
      </c>
      <c r="G911" s="19">
        <v>2.3123947584910387</v>
      </c>
      <c r="H911" s="31">
        <v>1519510153039</v>
      </c>
      <c r="I911" s="31">
        <v>90529732429</v>
      </c>
      <c r="J911" s="21">
        <v>59434727250</v>
      </c>
      <c r="K911" s="19">
        <v>8.509967933611442</v>
      </c>
      <c r="L911" s="23">
        <v>53842331539</v>
      </c>
      <c r="M911" s="21">
        <v>5592395711</v>
      </c>
    </row>
    <row r="912" spans="2:13" x14ac:dyDescent="0.3">
      <c r="B912" s="4">
        <v>45187</v>
      </c>
      <c r="C912" s="24">
        <v>7.709238959580925</v>
      </c>
      <c r="E912" s="4">
        <v>45188</v>
      </c>
      <c r="F912" s="23">
        <v>1609162303189</v>
      </c>
      <c r="G912" s="19">
        <v>2.3177848361803104</v>
      </c>
      <c r="H912" s="31">
        <v>1519558817390</v>
      </c>
      <c r="I912" s="31">
        <v>89603485799</v>
      </c>
      <c r="J912" s="21">
        <v>51322804620</v>
      </c>
      <c r="K912" s="19">
        <v>8.0852352175212285</v>
      </c>
      <c r="L912" s="23">
        <v>46098864808</v>
      </c>
      <c r="M912" s="21">
        <v>5223939812</v>
      </c>
    </row>
    <row r="913" spans="2:13" x14ac:dyDescent="0.3">
      <c r="B913" s="4">
        <v>45188</v>
      </c>
      <c r="C913" s="24">
        <v>7.2622719664884832</v>
      </c>
      <c r="E913" s="4">
        <v>45189</v>
      </c>
      <c r="F913" s="23">
        <v>1607725568349</v>
      </c>
      <c r="G913" s="19">
        <v>2.3276832728471351</v>
      </c>
      <c r="H913" s="31">
        <v>1519648476598</v>
      </c>
      <c r="I913" s="31">
        <v>88077091751</v>
      </c>
      <c r="J913" s="21">
        <v>46050111295</v>
      </c>
      <c r="K913" s="19">
        <v>8.0341861730110526</v>
      </c>
      <c r="L913" s="23">
        <v>41302915809</v>
      </c>
      <c r="M913" s="21">
        <v>4747195486</v>
      </c>
    </row>
    <row r="914" spans="2:13" x14ac:dyDescent="0.3">
      <c r="B914" s="4">
        <v>45189</v>
      </c>
      <c r="C914" s="24">
        <v>7.2059611967482304</v>
      </c>
      <c r="E914" s="4">
        <v>45190</v>
      </c>
      <c r="F914" s="23">
        <v>1607723386492</v>
      </c>
      <c r="G914" s="19">
        <v>2.3447677222961931</v>
      </c>
      <c r="H914" s="31">
        <v>1520522786994</v>
      </c>
      <c r="I914" s="31">
        <v>87200599498</v>
      </c>
      <c r="J914" s="21">
        <v>46297638667</v>
      </c>
      <c r="K914" s="19">
        <v>7.9971394905341162</v>
      </c>
      <c r="L914" s="23">
        <v>42338742565</v>
      </c>
      <c r="M914" s="21">
        <v>3958896102</v>
      </c>
    </row>
    <row r="915" spans="2:13" x14ac:dyDescent="0.3">
      <c r="B915" s="4">
        <v>45190</v>
      </c>
      <c r="C915" s="24">
        <v>7.3133066803136622</v>
      </c>
      <c r="E915" s="4">
        <v>45191</v>
      </c>
      <c r="F915" s="23">
        <v>1609813833039</v>
      </c>
      <c r="G915" s="19">
        <v>2.3090000998454783</v>
      </c>
      <c r="H915" s="31">
        <v>1520888947544</v>
      </c>
      <c r="I915" s="31">
        <v>88924885495</v>
      </c>
      <c r="J915" s="21">
        <v>67864804157</v>
      </c>
      <c r="K915" s="19">
        <v>8.8674480575570467</v>
      </c>
      <c r="L915" s="23">
        <v>62418979314</v>
      </c>
      <c r="M915" s="21">
        <v>5445824843</v>
      </c>
    </row>
    <row r="916" spans="2:13" x14ac:dyDescent="0.3">
      <c r="B916" s="4">
        <v>45191</v>
      </c>
      <c r="C916" s="24">
        <v>8.155877906788767</v>
      </c>
      <c r="E916" s="4">
        <v>45194</v>
      </c>
      <c r="F916" s="23">
        <v>1611961310308</v>
      </c>
      <c r="G916" s="19">
        <v>2.3226566009866678</v>
      </c>
      <c r="H916" s="31">
        <v>1524454837984</v>
      </c>
      <c r="I916" s="31">
        <v>87506472324</v>
      </c>
      <c r="J916" s="21">
        <v>61898603605</v>
      </c>
      <c r="K916" s="19">
        <v>8.6230281366729731</v>
      </c>
      <c r="L916" s="23">
        <v>57535070630</v>
      </c>
      <c r="M916" s="21">
        <v>4363532975</v>
      </c>
    </row>
    <row r="917" spans="2:13" x14ac:dyDescent="0.3">
      <c r="B917" s="4">
        <v>45194</v>
      </c>
      <c r="C917" s="24">
        <v>8.0151490339578686</v>
      </c>
      <c r="E917" s="4">
        <v>45195</v>
      </c>
      <c r="F917" s="23">
        <v>1610728563372</v>
      </c>
      <c r="G917" s="19">
        <v>2.3306413388344001</v>
      </c>
      <c r="H917" s="31">
        <v>1524300076549</v>
      </c>
      <c r="I917" s="31">
        <v>86428486823</v>
      </c>
      <c r="J917" s="21">
        <v>55642456879</v>
      </c>
      <c r="K917" s="19">
        <v>8.360355293382673</v>
      </c>
      <c r="L917" s="23">
        <v>51571008124</v>
      </c>
      <c r="M917" s="21">
        <v>4071448755</v>
      </c>
    </row>
    <row r="918" spans="2:13" x14ac:dyDescent="0.3">
      <c r="B918" s="4">
        <v>45195</v>
      </c>
      <c r="C918" s="24">
        <v>7.7486145461216163</v>
      </c>
      <c r="E918" s="4">
        <v>45196</v>
      </c>
      <c r="F918" s="23">
        <v>1610997800136</v>
      </c>
      <c r="G918" s="19">
        <v>2.3257918543274689</v>
      </c>
      <c r="H918" s="31">
        <v>1526272493833</v>
      </c>
      <c r="I918" s="31">
        <v>84725306303</v>
      </c>
      <c r="J918" s="21">
        <v>61711764512</v>
      </c>
      <c r="K918" s="19">
        <v>8.6134952815893602</v>
      </c>
      <c r="L918" s="23">
        <v>57888566209</v>
      </c>
      <c r="M918" s="21">
        <v>3823198303</v>
      </c>
    </row>
    <row r="919" spans="2:13" x14ac:dyDescent="0.3">
      <c r="B919" s="4">
        <v>45196</v>
      </c>
      <c r="C919" s="24">
        <v>8.0798676855567191</v>
      </c>
      <c r="E919" s="4">
        <v>45197</v>
      </c>
      <c r="F919" s="23">
        <v>1590652072045</v>
      </c>
      <c r="G919" s="19">
        <v>2.290941189575959</v>
      </c>
      <c r="H919" s="31">
        <v>1509432280146</v>
      </c>
      <c r="I919" s="31">
        <v>81219791899</v>
      </c>
      <c r="J919" s="21">
        <v>54980020946</v>
      </c>
      <c r="K919" s="19">
        <v>7.6674331644829232</v>
      </c>
      <c r="L919" s="23">
        <v>52340923542</v>
      </c>
      <c r="M919" s="21">
        <v>2639097404</v>
      </c>
    </row>
    <row r="920" spans="2:13" x14ac:dyDescent="0.3">
      <c r="B920" s="4">
        <v>45197</v>
      </c>
      <c r="C920" s="24">
        <v>7.2993885073227371</v>
      </c>
      <c r="E920" s="4">
        <v>45208</v>
      </c>
      <c r="F920" s="23">
        <v>1603704761058</v>
      </c>
      <c r="G920" s="19">
        <v>2.3154709909207027</v>
      </c>
      <c r="H920" s="31">
        <v>1521352617071</v>
      </c>
      <c r="I920" s="31">
        <v>82352143987</v>
      </c>
      <c r="J920" s="21">
        <v>71847774038</v>
      </c>
      <c r="K920" s="19">
        <v>9.3328476861600702</v>
      </c>
      <c r="L920" s="23">
        <v>66954206452</v>
      </c>
      <c r="M920" s="21">
        <v>4893567586</v>
      </c>
    </row>
    <row r="921" spans="2:13" x14ac:dyDescent="0.3">
      <c r="B921" s="4">
        <v>45208</v>
      </c>
      <c r="C921" s="24">
        <v>8.6971853913489205</v>
      </c>
      <c r="E921" s="4">
        <v>45209</v>
      </c>
      <c r="F921" s="23">
        <v>1611163145958</v>
      </c>
      <c r="G921" s="19">
        <v>2.3386574843934858</v>
      </c>
      <c r="H921" s="31">
        <v>1527719748025</v>
      </c>
      <c r="I921" s="31">
        <v>83443397933</v>
      </c>
      <c r="J921" s="21">
        <v>68859448592</v>
      </c>
      <c r="K921" s="19">
        <v>8.8899993772196364</v>
      </c>
      <c r="L921" s="23">
        <v>63695582755</v>
      </c>
      <c r="M921" s="21">
        <v>5163865837</v>
      </c>
    </row>
    <row r="922" spans="2:13" x14ac:dyDescent="0.3">
      <c r="B922" s="4">
        <v>45209</v>
      </c>
      <c r="C922" s="24">
        <v>8.2233259574689423</v>
      </c>
      <c r="E922" s="4">
        <v>45210</v>
      </c>
      <c r="F922" s="23">
        <v>1618101770972</v>
      </c>
      <c r="G922" s="19">
        <v>2.3448311769580239</v>
      </c>
      <c r="H922" s="31">
        <v>1532777507969</v>
      </c>
      <c r="I922" s="31">
        <v>85324263003</v>
      </c>
      <c r="J922" s="21">
        <v>71365461524</v>
      </c>
      <c r="K922" s="19">
        <v>8.5099338401057594</v>
      </c>
      <c r="L922" s="23">
        <v>65933082390</v>
      </c>
      <c r="M922" s="21">
        <v>5432379134</v>
      </c>
    </row>
    <row r="923" spans="2:13" x14ac:dyDescent="0.3">
      <c r="B923" s="4">
        <v>45210</v>
      </c>
      <c r="C923" s="24">
        <v>7.8621528822377247</v>
      </c>
      <c r="E923" s="4">
        <v>45211</v>
      </c>
      <c r="F923" s="23">
        <v>1624805231991</v>
      </c>
      <c r="G923" s="19">
        <v>2.3337720563863873</v>
      </c>
      <c r="H923" s="31">
        <v>1536900874095</v>
      </c>
      <c r="I923" s="31">
        <v>87904357896</v>
      </c>
      <c r="J923" s="21">
        <v>74892309423</v>
      </c>
      <c r="K923" s="19">
        <v>9.010334516648042</v>
      </c>
      <c r="L923" s="23">
        <v>69160254161</v>
      </c>
      <c r="M923" s="21">
        <v>5732055262</v>
      </c>
    </row>
    <row r="924" spans="2:13" x14ac:dyDescent="0.3">
      <c r="B924" s="4">
        <v>45211</v>
      </c>
      <c r="C924" s="24">
        <v>8.3207078276535746</v>
      </c>
      <c r="E924" s="4">
        <v>45212</v>
      </c>
      <c r="F924" s="23">
        <v>1623048241086</v>
      </c>
      <c r="G924" s="19">
        <v>2.347011521925995</v>
      </c>
      <c r="H924" s="31">
        <v>1535448468553</v>
      </c>
      <c r="I924" s="31">
        <v>87599772533</v>
      </c>
      <c r="J924" s="21">
        <v>70325117718</v>
      </c>
      <c r="K924" s="19">
        <v>8.6999022962045593</v>
      </c>
      <c r="L924" s="23">
        <v>65564521799</v>
      </c>
      <c r="M924" s="21">
        <v>4760595919</v>
      </c>
    </row>
    <row r="925" spans="2:13" x14ac:dyDescent="0.3">
      <c r="B925" s="4">
        <v>45212</v>
      </c>
      <c r="C925" s="24">
        <v>8.1109701946887256</v>
      </c>
      <c r="E925" s="4">
        <v>45215</v>
      </c>
      <c r="F925" s="23">
        <v>1626335143414</v>
      </c>
      <c r="G925" s="19">
        <v>2.3676167056705579</v>
      </c>
      <c r="H925" s="31">
        <v>1539731586159</v>
      </c>
      <c r="I925" s="31">
        <v>86603557255</v>
      </c>
      <c r="J925" s="21">
        <v>71318633335</v>
      </c>
      <c r="K925" s="19">
        <v>8.774386221042235</v>
      </c>
      <c r="L925" s="23">
        <v>65760202518</v>
      </c>
      <c r="M925" s="21">
        <v>5558430817</v>
      </c>
    </row>
    <row r="926" spans="2:13" x14ac:dyDescent="0.3">
      <c r="B926" s="4">
        <v>45215</v>
      </c>
      <c r="C926" s="24">
        <v>8.0905282095992934</v>
      </c>
      <c r="E926" s="4">
        <v>45216</v>
      </c>
      <c r="F926" s="23">
        <v>1626817632213</v>
      </c>
      <c r="G926" s="19">
        <v>2.3632976788672919</v>
      </c>
      <c r="H926" s="31">
        <v>1540303425298</v>
      </c>
      <c r="I926" s="31">
        <v>86514206915</v>
      </c>
      <c r="J926" s="21">
        <v>62283325239</v>
      </c>
      <c r="K926" s="19">
        <v>8.4707321891994365</v>
      </c>
      <c r="L926" s="23">
        <v>57894914826</v>
      </c>
      <c r="M926" s="21">
        <v>4388410413</v>
      </c>
    </row>
    <row r="927" spans="2:13" x14ac:dyDescent="0.3">
      <c r="B927" s="4">
        <v>45216</v>
      </c>
      <c r="C927" s="24">
        <v>7.8738942843160205</v>
      </c>
      <c r="E927" s="4">
        <v>45217</v>
      </c>
      <c r="F927" s="23">
        <v>1624486393841</v>
      </c>
      <c r="G927" s="19">
        <v>2.3844803220437272</v>
      </c>
      <c r="H927" s="31">
        <v>1539265001934</v>
      </c>
      <c r="I927" s="31">
        <v>85221391907</v>
      </c>
      <c r="J927" s="21">
        <v>66163967276</v>
      </c>
      <c r="K927" s="19">
        <v>8.6314826291746645</v>
      </c>
      <c r="L927" s="23">
        <v>60803209325</v>
      </c>
      <c r="M927" s="21">
        <v>5360757951</v>
      </c>
    </row>
    <row r="928" spans="2:13" x14ac:dyDescent="0.3">
      <c r="B928" s="4">
        <v>45217</v>
      </c>
      <c r="C928" s="24">
        <v>7.932139904754167</v>
      </c>
      <c r="E928" s="4">
        <v>45218</v>
      </c>
      <c r="F928" s="23">
        <v>1623821807915</v>
      </c>
      <c r="G928" s="19">
        <v>2.4249495619588766</v>
      </c>
      <c r="H928" s="31">
        <v>1539688412700</v>
      </c>
      <c r="I928" s="31">
        <v>84133395215</v>
      </c>
      <c r="J928" s="21">
        <v>71295062029</v>
      </c>
      <c r="K928" s="19">
        <v>8.7745455547819571</v>
      </c>
      <c r="L928" s="23">
        <v>66069319841</v>
      </c>
      <c r="M928" s="21">
        <v>5225742188</v>
      </c>
    </row>
    <row r="929" spans="2:13" x14ac:dyDescent="0.3">
      <c r="B929" s="4">
        <v>45218</v>
      </c>
      <c r="C929" s="24">
        <v>8.1313942399335239</v>
      </c>
      <c r="E929" s="4">
        <v>45219</v>
      </c>
      <c r="F929" s="23">
        <v>1618454618569</v>
      </c>
      <c r="G929" s="19">
        <v>2.4365428499589505</v>
      </c>
      <c r="H929" s="31">
        <v>1536755935332</v>
      </c>
      <c r="I929" s="31">
        <v>81698683237</v>
      </c>
      <c r="J929" s="21">
        <v>59482806758</v>
      </c>
      <c r="K929" s="19">
        <v>8.1306400089239705</v>
      </c>
      <c r="L929" s="23">
        <v>53984968098</v>
      </c>
      <c r="M929" s="21">
        <v>5497838660</v>
      </c>
    </row>
    <row r="930" spans="2:13" x14ac:dyDescent="0.3">
      <c r="B930" s="4">
        <v>45219</v>
      </c>
      <c r="C930" s="24">
        <v>7.3791464361094521</v>
      </c>
      <c r="E930" s="4">
        <v>45222</v>
      </c>
      <c r="F930" s="23">
        <v>1616340844394</v>
      </c>
      <c r="G930" s="19">
        <v>2.4710218722650108</v>
      </c>
      <c r="H930" s="31">
        <v>1536251087968</v>
      </c>
      <c r="I930" s="31">
        <v>80089756426</v>
      </c>
      <c r="J930" s="21">
        <v>62834278266</v>
      </c>
      <c r="K930" s="19">
        <v>8.7148182009185611</v>
      </c>
      <c r="L930" s="23">
        <v>56655025062</v>
      </c>
      <c r="M930" s="21">
        <v>6179253204</v>
      </c>
    </row>
    <row r="931" spans="2:13" x14ac:dyDescent="0.3">
      <c r="B931" s="4">
        <v>45222</v>
      </c>
      <c r="C931" s="24">
        <v>7.8577849099124526</v>
      </c>
      <c r="E931" s="4">
        <v>45223</v>
      </c>
      <c r="F931" s="23">
        <v>1619581122661</v>
      </c>
      <c r="G931" s="19">
        <v>2.453043308171825</v>
      </c>
      <c r="H931" s="31">
        <v>1538088528188</v>
      </c>
      <c r="I931" s="31">
        <v>81492594473</v>
      </c>
      <c r="J931" s="21">
        <v>66673003660</v>
      </c>
      <c r="K931" s="19">
        <v>8.2931479554640681</v>
      </c>
      <c r="L931" s="23">
        <v>60381368655</v>
      </c>
      <c r="M931" s="21">
        <v>6291635005</v>
      </c>
    </row>
    <row r="932" spans="2:13" x14ac:dyDescent="0.3">
      <c r="B932" s="4">
        <v>45223</v>
      </c>
      <c r="C932" s="24">
        <v>7.5105604445680285</v>
      </c>
      <c r="E932" s="4">
        <v>45224</v>
      </c>
      <c r="F932" s="23">
        <v>1620473254211</v>
      </c>
      <c r="G932" s="19">
        <v>2.4391512959674295</v>
      </c>
      <c r="H932" s="31">
        <v>1539090522525</v>
      </c>
      <c r="I932" s="31">
        <v>81382731686</v>
      </c>
      <c r="J932" s="21">
        <v>72472629018</v>
      </c>
      <c r="K932" s="19">
        <v>8.2953100613861004</v>
      </c>
      <c r="L932" s="23">
        <v>66610128669</v>
      </c>
      <c r="M932" s="21">
        <v>5862500349</v>
      </c>
    </row>
    <row r="933" spans="2:13" x14ac:dyDescent="0.3">
      <c r="B933" s="4">
        <v>45224</v>
      </c>
      <c r="C933" s="24">
        <v>7.6242807529576639</v>
      </c>
      <c r="E933" s="4">
        <v>45225</v>
      </c>
      <c r="F933" s="23">
        <v>1621059367528</v>
      </c>
      <c r="G933" s="19">
        <v>2.4281226176434636</v>
      </c>
      <c r="H933" s="31">
        <v>1539160913502</v>
      </c>
      <c r="I933" s="31">
        <v>81898454026</v>
      </c>
      <c r="J933" s="21">
        <v>70374014916</v>
      </c>
      <c r="K933" s="19">
        <v>8.3543407811341321</v>
      </c>
      <c r="L933" s="23">
        <v>64323547521</v>
      </c>
      <c r="M933" s="21">
        <v>6050467395</v>
      </c>
    </row>
    <row r="934" spans="2:13" x14ac:dyDescent="0.3">
      <c r="B934" s="4">
        <v>45225</v>
      </c>
      <c r="C934" s="24">
        <v>7.6360690360403538</v>
      </c>
      <c r="E934" s="4">
        <v>45226</v>
      </c>
      <c r="F934" s="23">
        <v>1620018247113</v>
      </c>
      <c r="G934" s="19">
        <v>2.3962959261164647</v>
      </c>
      <c r="H934" s="31">
        <v>1536736175889</v>
      </c>
      <c r="I934" s="31">
        <v>83282071224</v>
      </c>
      <c r="J934" s="21">
        <v>82380522128</v>
      </c>
      <c r="K934" s="19">
        <v>8.5437263307021674</v>
      </c>
      <c r="L934" s="23">
        <v>75879274981</v>
      </c>
      <c r="M934" s="21">
        <v>6501247147</v>
      </c>
    </row>
    <row r="935" spans="2:13" x14ac:dyDescent="0.3">
      <c r="B935" s="4">
        <v>45226</v>
      </c>
      <c r="C935" s="24">
        <v>7.8694786445085478</v>
      </c>
      <c r="E935" s="4">
        <v>45229</v>
      </c>
      <c r="F935" s="23">
        <v>1630347894754</v>
      </c>
      <c r="G935" s="19">
        <v>2.3961219731809611</v>
      </c>
      <c r="H935" s="31">
        <v>1546446551974</v>
      </c>
      <c r="I935" s="31">
        <v>83901342780</v>
      </c>
      <c r="J935" s="21">
        <v>91670694675</v>
      </c>
      <c r="K935" s="19">
        <v>8.8317486183431075</v>
      </c>
      <c r="L935" s="23">
        <v>85654138188</v>
      </c>
      <c r="M935" s="21">
        <v>6016556487</v>
      </c>
    </row>
    <row r="936" spans="2:13" x14ac:dyDescent="0.3">
      <c r="B936" s="4">
        <v>45229</v>
      </c>
      <c r="C936" s="24">
        <v>8.2521008407231058</v>
      </c>
      <c r="E936" s="4">
        <v>45230</v>
      </c>
      <c r="F936" s="23">
        <v>1632363714554</v>
      </c>
      <c r="G936" s="19">
        <v>2.4048556514704233</v>
      </c>
      <c r="H936" s="31">
        <v>1549144933520</v>
      </c>
      <c r="I936" s="31">
        <v>83218781034</v>
      </c>
      <c r="J936" s="21">
        <v>77628863126</v>
      </c>
      <c r="K936" s="19">
        <v>8.4545154176742034</v>
      </c>
      <c r="L936" s="23">
        <v>72452805574</v>
      </c>
      <c r="M936" s="21">
        <v>5176057552</v>
      </c>
    </row>
    <row r="937" spans="2:13" x14ac:dyDescent="0.3">
      <c r="B937" s="4">
        <v>45230</v>
      </c>
      <c r="C937" s="24">
        <v>7.8907939278318997</v>
      </c>
      <c r="E937" s="4">
        <v>45231</v>
      </c>
      <c r="F937" s="23">
        <v>1634419696832</v>
      </c>
      <c r="G937" s="19">
        <v>2.4063369625032274</v>
      </c>
      <c r="H937" s="31">
        <v>1552622833078</v>
      </c>
      <c r="I937" s="31">
        <v>81796863754</v>
      </c>
      <c r="J937" s="21">
        <v>67834951792</v>
      </c>
      <c r="K937" s="19">
        <v>8.3558745635908842</v>
      </c>
      <c r="L937" s="23">
        <v>62675950859</v>
      </c>
      <c r="M937" s="21">
        <v>5159000933</v>
      </c>
    </row>
    <row r="938" spans="2:13" x14ac:dyDescent="0.3">
      <c r="B938" s="4">
        <v>45231</v>
      </c>
      <c r="C938" s="24">
        <v>7.7203914751414828</v>
      </c>
      <c r="E938" s="4">
        <v>45232</v>
      </c>
      <c r="F938" s="23">
        <v>1630591139179</v>
      </c>
      <c r="G938" s="19">
        <v>2.4156820288430128</v>
      </c>
      <c r="H938" s="31">
        <v>1550363700875</v>
      </c>
      <c r="I938" s="31">
        <v>80227438304</v>
      </c>
      <c r="J938" s="21">
        <v>61663478589</v>
      </c>
      <c r="K938" s="19">
        <v>8.0428555258305412</v>
      </c>
      <c r="L938" s="23">
        <v>56402979023</v>
      </c>
      <c r="M938" s="21">
        <v>5260499566</v>
      </c>
    </row>
    <row r="939" spans="2:13" x14ac:dyDescent="0.3">
      <c r="B939" s="4">
        <v>45232</v>
      </c>
      <c r="C939" s="24">
        <v>7.3567210590250998</v>
      </c>
      <c r="E939" s="4">
        <v>45233</v>
      </c>
      <c r="F939" s="23">
        <v>1626469832882</v>
      </c>
      <c r="G939" s="19">
        <v>2.3892923751795041</v>
      </c>
      <c r="H939" s="31">
        <v>1546529794439</v>
      </c>
      <c r="I939" s="31">
        <v>79940038443</v>
      </c>
      <c r="J939" s="21">
        <v>67769025990</v>
      </c>
      <c r="K939" s="19">
        <v>8.3721720240364892</v>
      </c>
      <c r="L939" s="23">
        <v>62095979523</v>
      </c>
      <c r="M939" s="21">
        <v>5673046467</v>
      </c>
    </row>
    <row r="940" spans="2:13" x14ac:dyDescent="0.3">
      <c r="B940" s="4">
        <v>45233</v>
      </c>
      <c r="C940" s="24">
        <v>7.6713249891523683</v>
      </c>
      <c r="E940" s="4">
        <v>45236</v>
      </c>
      <c r="F940" s="23">
        <v>1636735701585</v>
      </c>
      <c r="G940" s="19">
        <v>2.3728128990843347</v>
      </c>
      <c r="H940" s="31">
        <v>1555997525823</v>
      </c>
      <c r="I940" s="31">
        <v>80738175762</v>
      </c>
      <c r="J940" s="21">
        <v>100491066605</v>
      </c>
      <c r="K940" s="19">
        <v>9.4444499252984606</v>
      </c>
      <c r="L940" s="23">
        <v>94552353339</v>
      </c>
      <c r="M940" s="21">
        <v>5938713266</v>
      </c>
    </row>
    <row r="941" spans="2:13" x14ac:dyDescent="0.3">
      <c r="B941" s="4">
        <v>45236</v>
      </c>
      <c r="C941" s="24">
        <v>8.8863119538715356</v>
      </c>
      <c r="E941" s="4">
        <v>45237</v>
      </c>
      <c r="F941" s="23">
        <v>1642798797301</v>
      </c>
      <c r="G941" s="19">
        <v>2.3803481713678627</v>
      </c>
      <c r="H941" s="31">
        <v>1561678861685</v>
      </c>
      <c r="I941" s="31">
        <v>81119935616</v>
      </c>
      <c r="J941" s="21">
        <v>92367278499</v>
      </c>
      <c r="K941" s="19">
        <v>9.3032127850743986</v>
      </c>
      <c r="L941" s="23">
        <v>86429330543</v>
      </c>
      <c r="M941" s="21">
        <v>5937947956</v>
      </c>
    </row>
    <row r="942" spans="2:13" x14ac:dyDescent="0.3">
      <c r="B942" s="4">
        <v>45237</v>
      </c>
      <c r="C942" s="24">
        <v>8.7051439208719792</v>
      </c>
      <c r="E942" s="4">
        <v>45238</v>
      </c>
      <c r="F942" s="23">
        <v>1650250319037</v>
      </c>
      <c r="G942" s="19">
        <v>2.3925521238618366</v>
      </c>
      <c r="H942" s="31">
        <v>1568962801027</v>
      </c>
      <c r="I942" s="31">
        <v>81287518010</v>
      </c>
      <c r="J942" s="21">
        <v>96885857589</v>
      </c>
      <c r="K942" s="19">
        <v>9.347555519363981</v>
      </c>
      <c r="L942" s="23">
        <v>90739598054</v>
      </c>
      <c r="M942" s="21">
        <v>6146259535</v>
      </c>
    </row>
    <row r="943" spans="2:13" x14ac:dyDescent="0.3">
      <c r="B943" s="4">
        <v>45238</v>
      </c>
      <c r="C943" s="24">
        <v>8.7545638932429402</v>
      </c>
      <c r="E943" s="4">
        <v>45239</v>
      </c>
      <c r="F943" s="23">
        <v>1650434099416</v>
      </c>
      <c r="G943" s="19">
        <v>2.3956126264932753</v>
      </c>
      <c r="H943" s="31">
        <v>1570215995641</v>
      </c>
      <c r="I943" s="31">
        <v>80218103775</v>
      </c>
      <c r="J943" s="21">
        <v>85651146923</v>
      </c>
      <c r="K943" s="19">
        <v>8.9012609523731339</v>
      </c>
      <c r="L943" s="23">
        <v>79806264572</v>
      </c>
      <c r="M943" s="21">
        <v>5844882351</v>
      </c>
    </row>
    <row r="944" spans="2:13" x14ac:dyDescent="0.3">
      <c r="B944" s="4">
        <v>45239</v>
      </c>
      <c r="C944" s="24">
        <v>8.2938339077715817</v>
      </c>
      <c r="E944" s="4">
        <v>45240</v>
      </c>
      <c r="F944" s="23">
        <v>1649747336217</v>
      </c>
      <c r="G944" s="19">
        <v>2.405785443092832</v>
      </c>
      <c r="H944" s="31">
        <v>1569637806143</v>
      </c>
      <c r="I944" s="31">
        <v>80109530074</v>
      </c>
      <c r="J944" s="21">
        <v>74454791453</v>
      </c>
      <c r="K944" s="19">
        <v>8.9996133627252934</v>
      </c>
      <c r="L944" s="23">
        <v>68559046498</v>
      </c>
      <c r="M944" s="21">
        <v>5895744955</v>
      </c>
    </row>
    <row r="945" spans="2:13" x14ac:dyDescent="0.3">
      <c r="B945" s="4">
        <v>45240</v>
      </c>
      <c r="C945" s="24">
        <v>8.2869738663977497</v>
      </c>
      <c r="E945" s="4">
        <v>45243</v>
      </c>
      <c r="F945" s="23">
        <v>1655464525256</v>
      </c>
      <c r="G945" s="19">
        <v>2.405410177677286</v>
      </c>
      <c r="H945" s="31">
        <v>1575343118737</v>
      </c>
      <c r="I945" s="31">
        <v>80121406519</v>
      </c>
      <c r="J945" s="21">
        <v>77652831178</v>
      </c>
      <c r="K945" s="19">
        <v>8.9411799953679889</v>
      </c>
      <c r="L945" s="23">
        <v>72544440115</v>
      </c>
      <c r="M945" s="21">
        <v>5108391063</v>
      </c>
    </row>
    <row r="946" spans="2:13" x14ac:dyDescent="0.3">
      <c r="B946" s="4">
        <v>45243</v>
      </c>
      <c r="C946" s="24">
        <v>8.3529845195802039</v>
      </c>
      <c r="E946" s="4">
        <v>45244</v>
      </c>
      <c r="F946" s="23">
        <v>1661668200889</v>
      </c>
      <c r="G946" s="19">
        <v>2.4071895705004871</v>
      </c>
      <c r="H946" s="31">
        <v>1580765673526</v>
      </c>
      <c r="I946" s="31">
        <v>80902527363</v>
      </c>
      <c r="J946" s="21">
        <v>84423454398</v>
      </c>
      <c r="K946" s="19">
        <v>9.449906530023398</v>
      </c>
      <c r="L946" s="23">
        <v>78657501593</v>
      </c>
      <c r="M946" s="21">
        <v>5765952805</v>
      </c>
    </row>
    <row r="947" spans="2:13" x14ac:dyDescent="0.3">
      <c r="B947" s="4">
        <v>45244</v>
      </c>
      <c r="C947" s="24">
        <v>8.8044968455664794</v>
      </c>
      <c r="E947" s="4">
        <v>45245</v>
      </c>
      <c r="F947" s="23">
        <v>1667003549606</v>
      </c>
      <c r="G947" s="19">
        <v>2.4001114861993131</v>
      </c>
      <c r="H947" s="31">
        <v>1585181706731</v>
      </c>
      <c r="I947" s="31">
        <v>81821842875</v>
      </c>
      <c r="J947" s="21">
        <v>96772086254</v>
      </c>
      <c r="K947" s="19">
        <v>9.7757558443255466</v>
      </c>
      <c r="L947" s="23">
        <v>90153869922</v>
      </c>
      <c r="M947" s="21">
        <v>6618216332</v>
      </c>
    </row>
    <row r="948" spans="2:13" x14ac:dyDescent="0.3">
      <c r="B948" s="4">
        <v>45245</v>
      </c>
      <c r="C948" s="24">
        <v>9.1071945939589352</v>
      </c>
      <c r="E948" s="4">
        <v>45246</v>
      </c>
      <c r="F948" s="23">
        <v>1667134505624</v>
      </c>
      <c r="G948" s="19">
        <v>2.4190342862775593</v>
      </c>
      <c r="H948" s="31">
        <v>1586043440014</v>
      </c>
      <c r="I948" s="31">
        <v>81091065610</v>
      </c>
      <c r="J948" s="21">
        <v>76133325185</v>
      </c>
      <c r="K948" s="19">
        <v>8.9511293353294636</v>
      </c>
      <c r="L948" s="23">
        <v>70599493118</v>
      </c>
      <c r="M948" s="21">
        <v>5533832067</v>
      </c>
    </row>
    <row r="949" spans="2:13" x14ac:dyDescent="0.3">
      <c r="B949" s="4">
        <v>45246</v>
      </c>
      <c r="C949" s="24">
        <v>8.3005069379582022</v>
      </c>
      <c r="E949" s="4">
        <v>45247</v>
      </c>
      <c r="F949" s="23">
        <v>1666345872268</v>
      </c>
      <c r="G949" s="19">
        <v>2.4123421285253226</v>
      </c>
      <c r="H949" s="31">
        <v>1585756346892</v>
      </c>
      <c r="I949" s="31">
        <v>80589525376</v>
      </c>
      <c r="J949" s="21">
        <v>70811436162</v>
      </c>
      <c r="K949" s="19">
        <v>8.5673316454288919</v>
      </c>
      <c r="L949" s="23">
        <v>65816549312</v>
      </c>
      <c r="M949" s="21">
        <v>4994886850</v>
      </c>
    </row>
    <row r="950" spans="2:13" x14ac:dyDescent="0.3">
      <c r="B950" s="4">
        <v>45247</v>
      </c>
      <c r="C950" s="24">
        <v>7.9630104440138885</v>
      </c>
      <c r="E950" s="4">
        <v>45250</v>
      </c>
      <c r="F950" s="23">
        <v>1674273040003</v>
      </c>
      <c r="G950" s="19">
        <v>2.4108817834159288</v>
      </c>
      <c r="H950" s="31">
        <v>1593876410316</v>
      </c>
      <c r="I950" s="31">
        <v>80396629687</v>
      </c>
      <c r="J950" s="21">
        <v>84432513032</v>
      </c>
      <c r="K950" s="19">
        <v>9.1057355860383939</v>
      </c>
      <c r="L950" s="23">
        <v>78890789043</v>
      </c>
      <c r="M950" s="21">
        <v>5541723989</v>
      </c>
    </row>
    <row r="951" spans="2:13" x14ac:dyDescent="0.3">
      <c r="B951" s="4">
        <v>45250</v>
      </c>
      <c r="C951" s="24">
        <v>8.5080810626498149</v>
      </c>
      <c r="E951" s="4">
        <v>45251</v>
      </c>
      <c r="F951" s="23">
        <v>1674263394019</v>
      </c>
      <c r="G951" s="19">
        <v>2.4135882503946613</v>
      </c>
      <c r="H951" s="31">
        <v>1594250270718</v>
      </c>
      <c r="I951" s="31">
        <v>80013123301</v>
      </c>
      <c r="J951" s="21">
        <v>87845570166</v>
      </c>
      <c r="K951" s="19">
        <v>8.8028042515490217</v>
      </c>
      <c r="L951" s="23">
        <v>82435549598</v>
      </c>
      <c r="M951" s="21">
        <v>5410020568</v>
      </c>
    </row>
    <row r="952" spans="2:13" x14ac:dyDescent="0.3">
      <c r="B952" s="4">
        <v>45251</v>
      </c>
      <c r="C952" s="24">
        <v>8.2606784281641303</v>
      </c>
      <c r="E952" s="4">
        <v>45252</v>
      </c>
      <c r="F952" s="23">
        <v>1673758139343</v>
      </c>
      <c r="G952" s="19">
        <v>2.4360841380329097</v>
      </c>
      <c r="H952" s="31">
        <v>1594974833629</v>
      </c>
      <c r="I952" s="31">
        <v>78783305714</v>
      </c>
      <c r="J952" s="21">
        <v>74813365036</v>
      </c>
      <c r="K952" s="19">
        <v>8.5470098677151096</v>
      </c>
      <c r="L952" s="23">
        <v>69550347808</v>
      </c>
      <c r="M952" s="21">
        <v>5263017228</v>
      </c>
    </row>
    <row r="953" spans="2:13" x14ac:dyDescent="0.3">
      <c r="B953" s="4">
        <v>45252</v>
      </c>
      <c r="C953" s="24">
        <v>7.9457394909578971</v>
      </c>
      <c r="E953" s="4">
        <v>45253</v>
      </c>
      <c r="F953" s="23">
        <v>1675801999309</v>
      </c>
      <c r="G953" s="19">
        <v>2.4224428123106421</v>
      </c>
      <c r="H953" s="31">
        <v>1595846578780</v>
      </c>
      <c r="I953" s="31">
        <v>79955420529</v>
      </c>
      <c r="J953" s="21">
        <v>69712488834</v>
      </c>
      <c r="K953" s="19">
        <v>8.4596630085312352</v>
      </c>
      <c r="L953" s="23">
        <v>64680641512</v>
      </c>
      <c r="M953" s="21">
        <v>5031847322</v>
      </c>
    </row>
    <row r="954" spans="2:13" x14ac:dyDescent="0.3">
      <c r="B954" s="4">
        <v>45253</v>
      </c>
      <c r="C954" s="24">
        <v>7.8490445473848682</v>
      </c>
      <c r="E954" s="4">
        <v>45254</v>
      </c>
      <c r="F954" s="23">
        <v>1670023426582</v>
      </c>
      <c r="G954" s="19">
        <v>2.4327023101828824</v>
      </c>
      <c r="H954" s="31">
        <v>1590809964146</v>
      </c>
      <c r="I954" s="31">
        <v>79213462436</v>
      </c>
      <c r="J954" s="21">
        <v>63794128951</v>
      </c>
      <c r="K954" s="19">
        <v>7.8456231056251342</v>
      </c>
      <c r="L954" s="23">
        <v>58648804307</v>
      </c>
      <c r="M954" s="21">
        <v>5145324644</v>
      </c>
    </row>
    <row r="955" spans="2:13" x14ac:dyDescent="0.3">
      <c r="B955" s="4">
        <v>45254</v>
      </c>
      <c r="C955" s="24">
        <v>7.2128332458573876</v>
      </c>
      <c r="E955" s="4">
        <v>45257</v>
      </c>
      <c r="F955" s="23">
        <v>1671329301079</v>
      </c>
      <c r="G955" s="19">
        <v>2.4431088075235978</v>
      </c>
      <c r="H955" s="31">
        <v>1592047334290</v>
      </c>
      <c r="I955" s="31">
        <v>79281966789</v>
      </c>
      <c r="J955" s="21">
        <v>66430709376</v>
      </c>
      <c r="K955" s="19">
        <v>8.0175903289975032</v>
      </c>
      <c r="L955" s="23">
        <v>60603694908</v>
      </c>
      <c r="M955" s="21">
        <v>5827014468</v>
      </c>
    </row>
    <row r="956" spans="2:13" x14ac:dyDescent="0.3">
      <c r="B956" s="4">
        <v>45257</v>
      </c>
      <c r="C956" s="24">
        <v>7.3143219869249174</v>
      </c>
      <c r="E956" s="4">
        <v>45258</v>
      </c>
      <c r="F956" s="23">
        <v>1671833404112</v>
      </c>
      <c r="G956" s="19">
        <v>2.4350815596722026</v>
      </c>
      <c r="H956" s="31">
        <v>1592430565099</v>
      </c>
      <c r="I956" s="31">
        <v>79402839013</v>
      </c>
      <c r="J956" s="21">
        <v>61959589246</v>
      </c>
      <c r="K956" s="19">
        <v>8.022724531661531</v>
      </c>
      <c r="L956" s="23">
        <v>57264338158</v>
      </c>
      <c r="M956" s="21">
        <v>4695251088</v>
      </c>
    </row>
    <row r="957" spans="2:13" x14ac:dyDescent="0.3">
      <c r="B957" s="4">
        <v>45258</v>
      </c>
      <c r="C957" s="24">
        <v>7.4147684986340865</v>
      </c>
      <c r="E957" s="4">
        <v>45259</v>
      </c>
      <c r="F957" s="23">
        <v>1673659472566</v>
      </c>
      <c r="G957" s="19">
        <v>2.4535629368851439</v>
      </c>
      <c r="H957" s="31">
        <v>1594396616729</v>
      </c>
      <c r="I957" s="31">
        <v>79262855837</v>
      </c>
      <c r="J957" s="21">
        <v>65238686921</v>
      </c>
      <c r="K957" s="19">
        <v>8.4206232078888377</v>
      </c>
      <c r="L957" s="23">
        <v>59737698107</v>
      </c>
      <c r="M957" s="21">
        <v>5500988814</v>
      </c>
    </row>
    <row r="958" spans="2:13" x14ac:dyDescent="0.3">
      <c r="B958" s="4">
        <v>45259</v>
      </c>
      <c r="C958" s="24">
        <v>7.7105881618187331</v>
      </c>
      <c r="E958" s="4">
        <v>45260</v>
      </c>
      <c r="F958" s="23">
        <v>1671036331563</v>
      </c>
      <c r="G958" s="19">
        <v>2.4455930196302362</v>
      </c>
      <c r="H958" s="31">
        <v>1591584265718</v>
      </c>
      <c r="I958" s="31">
        <v>79452065845</v>
      </c>
      <c r="J958" s="21">
        <v>59466739065</v>
      </c>
      <c r="K958" s="19">
        <v>7.6931154391583583</v>
      </c>
      <c r="L958" s="23">
        <v>54071447043</v>
      </c>
      <c r="M958" s="21">
        <v>5395292022</v>
      </c>
    </row>
    <row r="959" spans="2:13" x14ac:dyDescent="0.3">
      <c r="B959" s="4">
        <v>45260</v>
      </c>
      <c r="C959" s="24">
        <v>6.9951352740134798</v>
      </c>
      <c r="E959" s="4">
        <v>45261</v>
      </c>
      <c r="F959" s="23">
        <v>1669682587098</v>
      </c>
      <c r="G959" s="19">
        <v>2.4398439563038474</v>
      </c>
      <c r="H959" s="31">
        <v>1591448710627</v>
      </c>
      <c r="I959" s="31">
        <v>78233876471</v>
      </c>
      <c r="J959" s="21">
        <v>68391810433</v>
      </c>
      <c r="K959" s="19">
        <v>8.2010409382821656</v>
      </c>
      <c r="L959" s="23">
        <v>62995436191</v>
      </c>
      <c r="M959" s="21">
        <v>5396374242</v>
      </c>
    </row>
    <row r="960" spans="2:13" x14ac:dyDescent="0.3">
      <c r="B960" s="4">
        <v>45261</v>
      </c>
      <c r="C960" s="24">
        <v>7.5539475831459004</v>
      </c>
      <c r="E960" s="4">
        <v>45264</v>
      </c>
      <c r="F960" s="23">
        <v>1669663011877</v>
      </c>
      <c r="G960" s="19">
        <v>2.4462930879604805</v>
      </c>
      <c r="H960" s="31">
        <v>1593201522598</v>
      </c>
      <c r="I960" s="31">
        <v>76461489279</v>
      </c>
      <c r="J960" s="21">
        <v>70026515558</v>
      </c>
      <c r="K960" s="19">
        <v>8.2286668655585729</v>
      </c>
      <c r="L960" s="23">
        <v>65063558822</v>
      </c>
      <c r="M960" s="21">
        <v>4962956736</v>
      </c>
    </row>
    <row r="961" spans="2:13" x14ac:dyDescent="0.3">
      <c r="B961" s="4">
        <v>45264</v>
      </c>
      <c r="C961" s="24">
        <v>7.6454803779359084</v>
      </c>
      <c r="E961" s="4">
        <v>45265</v>
      </c>
      <c r="F961" s="23">
        <v>1667731531019</v>
      </c>
      <c r="G961" s="19">
        <v>2.4877918824551641</v>
      </c>
      <c r="H961" s="31">
        <v>1592811041918</v>
      </c>
      <c r="I961" s="31">
        <v>74920489101</v>
      </c>
      <c r="J961" s="21">
        <v>65269165657</v>
      </c>
      <c r="K961" s="19">
        <v>7.9367877747547819</v>
      </c>
      <c r="L961" s="23">
        <v>60234205383</v>
      </c>
      <c r="M961" s="21">
        <v>5034960274</v>
      </c>
    </row>
    <row r="962" spans="2:13" x14ac:dyDescent="0.3">
      <c r="B962" s="4">
        <v>45265</v>
      </c>
      <c r="C962" s="24">
        <v>7.3245321905626559</v>
      </c>
      <c r="E962" s="4">
        <v>45266</v>
      </c>
      <c r="F962" s="23">
        <v>1668256337367</v>
      </c>
      <c r="G962" s="19">
        <v>2.4857143619626405</v>
      </c>
      <c r="H962" s="31">
        <v>1593260592426</v>
      </c>
      <c r="I962" s="31">
        <v>74995744941</v>
      </c>
      <c r="J962" s="21">
        <v>63542548251</v>
      </c>
      <c r="K962" s="19">
        <v>7.7786403761305873</v>
      </c>
      <c r="L962" s="23">
        <v>58030522374</v>
      </c>
      <c r="M962" s="21">
        <v>5512025877</v>
      </c>
    </row>
    <row r="963" spans="2:13" x14ac:dyDescent="0.3">
      <c r="B963" s="4">
        <v>45266</v>
      </c>
      <c r="C963" s="24">
        <v>7.1038788467102743</v>
      </c>
      <c r="E963" s="4">
        <v>45267</v>
      </c>
      <c r="F963" s="23">
        <v>1669728185142</v>
      </c>
      <c r="G963" s="19">
        <v>2.4908601281284315</v>
      </c>
      <c r="H963" s="31">
        <v>1594626909976</v>
      </c>
      <c r="I963" s="31">
        <v>75101275166</v>
      </c>
      <c r="J963" s="21">
        <v>64129871226</v>
      </c>
      <c r="K963" s="19">
        <v>7.8213044634774631</v>
      </c>
      <c r="L963" s="23">
        <v>58191208158</v>
      </c>
      <c r="M963" s="21">
        <v>5938663068</v>
      </c>
    </row>
    <row r="964" spans="2:13" x14ac:dyDescent="0.3">
      <c r="B964" s="4">
        <v>45267</v>
      </c>
      <c r="C964" s="24">
        <v>7.0970227664637662</v>
      </c>
      <c r="E964" s="4">
        <v>45268</v>
      </c>
      <c r="F964" s="23">
        <v>1666957387794</v>
      </c>
      <c r="G964" s="19">
        <v>2.4855268436873241</v>
      </c>
      <c r="H964" s="31">
        <v>1591068542396</v>
      </c>
      <c r="I964" s="31">
        <v>75888845398</v>
      </c>
      <c r="J964" s="21">
        <v>70481465697</v>
      </c>
      <c r="K964" s="19">
        <v>7.3297615279857897</v>
      </c>
      <c r="L964" s="23">
        <v>64635227314</v>
      </c>
      <c r="M964" s="21">
        <v>5846238383</v>
      </c>
    </row>
    <row r="965" spans="2:13" x14ac:dyDescent="0.3">
      <c r="B965" s="4">
        <v>45268</v>
      </c>
      <c r="C965" s="24">
        <v>6.721778524803562</v>
      </c>
      <c r="E965" s="4">
        <v>45271</v>
      </c>
      <c r="F965" s="23">
        <v>1670751337133</v>
      </c>
      <c r="G965" s="19">
        <v>2.4710592873690813</v>
      </c>
      <c r="H965" s="31">
        <v>1594453416789</v>
      </c>
      <c r="I965" s="31">
        <v>76297920344</v>
      </c>
      <c r="J965" s="21">
        <v>75549804472</v>
      </c>
      <c r="K965" s="19">
        <v>8.2903861694882455</v>
      </c>
      <c r="L965" s="23">
        <v>69811128719</v>
      </c>
      <c r="M965" s="21">
        <v>5738675753</v>
      </c>
    </row>
    <row r="966" spans="2:13" x14ac:dyDescent="0.3">
      <c r="B966" s="4">
        <v>45271</v>
      </c>
      <c r="C966" s="24">
        <v>7.660658026227714</v>
      </c>
      <c r="E966" s="4">
        <v>45272</v>
      </c>
      <c r="F966" s="23">
        <v>1673323367026</v>
      </c>
      <c r="G966" s="19">
        <v>2.4662784089676242</v>
      </c>
      <c r="H966" s="31">
        <v>1596965413738</v>
      </c>
      <c r="I966" s="31">
        <v>76357953288</v>
      </c>
      <c r="J966" s="21">
        <v>67026080498</v>
      </c>
      <c r="K966" s="19">
        <v>8.5130301451696084</v>
      </c>
      <c r="L966" s="23">
        <v>61367151223</v>
      </c>
      <c r="M966" s="21">
        <v>5658929275</v>
      </c>
    </row>
    <row r="967" spans="2:13" x14ac:dyDescent="0.3">
      <c r="B967" s="4">
        <v>45272</v>
      </c>
      <c r="C967" s="24">
        <v>7.7942855139824196</v>
      </c>
      <c r="E967" s="4">
        <v>45273</v>
      </c>
      <c r="F967" s="23">
        <v>1674631509647</v>
      </c>
      <c r="G967" s="19">
        <v>2.4977461126938687</v>
      </c>
      <c r="H967" s="31">
        <v>1598918874987</v>
      </c>
      <c r="I967" s="31">
        <v>75712634660</v>
      </c>
      <c r="J967" s="21">
        <v>64017297931</v>
      </c>
      <c r="K967" s="19">
        <v>8.3313895231175721</v>
      </c>
      <c r="L967" s="23">
        <v>58463498440</v>
      </c>
      <c r="M967" s="21">
        <v>5553799491</v>
      </c>
    </row>
    <row r="968" spans="2:13" x14ac:dyDescent="0.3">
      <c r="B968" s="4">
        <v>45273</v>
      </c>
      <c r="C968" s="24">
        <v>7.6086025828957995</v>
      </c>
      <c r="E968" s="4">
        <v>45274</v>
      </c>
      <c r="F968" s="23">
        <v>1672356830330</v>
      </c>
      <c r="G968" s="19">
        <v>2.5043849855708351</v>
      </c>
      <c r="H968" s="31">
        <v>1596722689594</v>
      </c>
      <c r="I968" s="31">
        <v>75634140736</v>
      </c>
      <c r="J968" s="21">
        <v>58952375677</v>
      </c>
      <c r="K968" s="19">
        <v>8.0008203029775427</v>
      </c>
      <c r="L968" s="23">
        <v>53862542715</v>
      </c>
      <c r="M968" s="21">
        <v>5089832962</v>
      </c>
    </row>
    <row r="969" spans="2:13" x14ac:dyDescent="0.3">
      <c r="B969" s="4">
        <v>45274</v>
      </c>
      <c r="C969" s="24">
        <v>7.3100451063297545</v>
      </c>
      <c r="E969" s="4">
        <v>45275</v>
      </c>
      <c r="F969" s="23">
        <v>1670121639632</v>
      </c>
      <c r="G969" s="19">
        <v>2.5127073343140229</v>
      </c>
      <c r="H969" s="31">
        <v>1595275520941</v>
      </c>
      <c r="I969" s="31">
        <v>74846118691</v>
      </c>
      <c r="J969" s="21">
        <v>59302308426</v>
      </c>
      <c r="K969" s="19">
        <v>8.0901484628454483</v>
      </c>
      <c r="L969" s="23">
        <v>54012738169</v>
      </c>
      <c r="M969" s="21">
        <v>5289570257</v>
      </c>
    </row>
    <row r="970" spans="2:13" x14ac:dyDescent="0.3">
      <c r="B970" s="4">
        <v>45275</v>
      </c>
      <c r="C970" s="24">
        <v>7.3685339115808706</v>
      </c>
      <c r="E970" s="4">
        <v>45278</v>
      </c>
      <c r="F970" s="23">
        <v>1666485890551</v>
      </c>
      <c r="G970" s="19">
        <v>2.5237202613261696</v>
      </c>
      <c r="H970" s="31">
        <v>1593212388222</v>
      </c>
      <c r="I970" s="31">
        <v>73273502329</v>
      </c>
      <c r="J970" s="21">
        <v>52238345423</v>
      </c>
      <c r="K970" s="19">
        <v>7.5429355281012143</v>
      </c>
      <c r="L970" s="23">
        <v>47382036575</v>
      </c>
      <c r="M970" s="21">
        <v>4856308848</v>
      </c>
    </row>
    <row r="971" spans="2:13" x14ac:dyDescent="0.3">
      <c r="B971" s="4">
        <v>45278</v>
      </c>
      <c r="C971" s="24">
        <v>6.8417107046809207</v>
      </c>
      <c r="E971" s="4">
        <v>45279</v>
      </c>
      <c r="F971" s="23">
        <v>1667011555797</v>
      </c>
      <c r="G971" s="19">
        <v>2.5231714494201234</v>
      </c>
      <c r="H971" s="31">
        <v>1594303405020</v>
      </c>
      <c r="I971" s="31">
        <v>72708150777</v>
      </c>
      <c r="J971" s="21">
        <v>51959357442</v>
      </c>
      <c r="K971" s="19">
        <v>8.0851607603970237</v>
      </c>
      <c r="L971" s="23">
        <v>46357670470</v>
      </c>
      <c r="M971" s="21">
        <v>5601686972</v>
      </c>
    </row>
    <row r="972" spans="2:13" x14ac:dyDescent="0.3">
      <c r="B972" s="4">
        <v>45279</v>
      </c>
      <c r="C972" s="24">
        <v>7.2135075697547499</v>
      </c>
      <c r="E972" s="4">
        <v>45280</v>
      </c>
      <c r="F972" s="23">
        <v>1661377506868</v>
      </c>
      <c r="G972" s="19">
        <v>2.5426042544341256</v>
      </c>
      <c r="H972" s="31">
        <v>1590052276996</v>
      </c>
      <c r="I972" s="31">
        <v>71325229872</v>
      </c>
      <c r="J972" s="21">
        <v>50338383729</v>
      </c>
      <c r="K972" s="19">
        <v>7.5867964655478186</v>
      </c>
      <c r="L972" s="23">
        <v>45038038662</v>
      </c>
      <c r="M972" s="21">
        <v>5300345067</v>
      </c>
    </row>
    <row r="973" spans="2:13" x14ac:dyDescent="0.3">
      <c r="B973" s="4">
        <v>45280</v>
      </c>
      <c r="C973" s="24">
        <v>6.7879500139615541</v>
      </c>
      <c r="E973" s="4">
        <v>45281</v>
      </c>
      <c r="F973" s="23">
        <v>1663258136011</v>
      </c>
      <c r="G973" s="19">
        <v>2.5272146380955673</v>
      </c>
      <c r="H973" s="31">
        <v>1591496142344</v>
      </c>
      <c r="I973" s="31">
        <v>71761993667</v>
      </c>
      <c r="J973" s="21">
        <v>59305547179</v>
      </c>
      <c r="K973" s="19">
        <v>8.0977867349720825</v>
      </c>
      <c r="L973" s="23">
        <v>54088674095</v>
      </c>
      <c r="M973" s="21">
        <v>5216873084</v>
      </c>
    </row>
    <row r="974" spans="2:13" x14ac:dyDescent="0.3">
      <c r="B974" s="4">
        <v>45281</v>
      </c>
      <c r="C974" s="24">
        <v>7.3854566466897671</v>
      </c>
      <c r="E974" s="4">
        <v>45282</v>
      </c>
      <c r="F974" s="23">
        <v>1654557527433</v>
      </c>
      <c r="G974" s="19">
        <v>2.5231136836692158</v>
      </c>
      <c r="H974" s="31">
        <v>1583585885488</v>
      </c>
      <c r="I974" s="31">
        <v>70971641945</v>
      </c>
      <c r="J974" s="21">
        <v>59900410437</v>
      </c>
      <c r="K974" s="19">
        <v>7.686151349750765</v>
      </c>
      <c r="L974" s="23">
        <v>54925810012</v>
      </c>
      <c r="M974" s="21">
        <v>4974600425</v>
      </c>
    </row>
    <row r="975" spans="2:13" x14ac:dyDescent="0.3">
      <c r="B975" s="4">
        <v>45282</v>
      </c>
      <c r="C975" s="24">
        <v>7.0478329894567482</v>
      </c>
      <c r="E975" s="4">
        <v>45285</v>
      </c>
      <c r="F975" s="23">
        <v>1654626643768</v>
      </c>
      <c r="G975" s="19">
        <v>2.5170838725852334</v>
      </c>
      <c r="H975" s="31">
        <v>1583570842502</v>
      </c>
      <c r="I975" s="31">
        <v>71055801266</v>
      </c>
      <c r="J975" s="21">
        <v>46438611195</v>
      </c>
      <c r="K975" s="19">
        <v>7.6380747170208343</v>
      </c>
      <c r="L975" s="23">
        <v>41789726577</v>
      </c>
      <c r="M975" s="21">
        <v>4648884618</v>
      </c>
    </row>
    <row r="976" spans="2:13" x14ac:dyDescent="0.3">
      <c r="B976" s="4">
        <v>45285</v>
      </c>
      <c r="C976" s="24">
        <v>6.8734409963010377</v>
      </c>
      <c r="E976" s="4">
        <v>45286</v>
      </c>
      <c r="F976" s="23">
        <v>1651838664017</v>
      </c>
      <c r="G976" s="19">
        <v>2.5336931733591359</v>
      </c>
      <c r="H976" s="31">
        <v>1581262597960</v>
      </c>
      <c r="I976" s="31">
        <v>70576066057</v>
      </c>
      <c r="J976" s="21">
        <v>47077137484</v>
      </c>
      <c r="K976" s="19">
        <v>7.7201996189945774</v>
      </c>
      <c r="L976" s="23">
        <v>42132169615</v>
      </c>
      <c r="M976" s="21">
        <v>4944967869</v>
      </c>
    </row>
    <row r="977" spans="2:13" x14ac:dyDescent="0.3">
      <c r="B977" s="4">
        <v>45286</v>
      </c>
      <c r="C977" s="24">
        <v>6.9092722538554154</v>
      </c>
      <c r="E977" s="4">
        <v>45287</v>
      </c>
      <c r="F977" s="23">
        <v>1653384500056</v>
      </c>
      <c r="G977" s="19">
        <v>2.5221804665397975</v>
      </c>
      <c r="H977" s="31">
        <v>1582253333500</v>
      </c>
      <c r="I977" s="31">
        <v>71131166556</v>
      </c>
      <c r="J977" s="21">
        <v>48803251214</v>
      </c>
      <c r="K977" s="19">
        <v>7.6649285899448278</v>
      </c>
      <c r="L977" s="23">
        <v>43487043179</v>
      </c>
      <c r="M977" s="21">
        <v>5316208035</v>
      </c>
    </row>
    <row r="978" spans="2:13" x14ac:dyDescent="0.3">
      <c r="B978" s="4">
        <v>45287</v>
      </c>
      <c r="C978" s="24">
        <v>6.8299769434062343</v>
      </c>
      <c r="E978" s="4">
        <v>45288</v>
      </c>
      <c r="F978" s="23">
        <v>1657824209553</v>
      </c>
      <c r="G978" s="19">
        <v>2.4857769474216669</v>
      </c>
      <c r="H978" s="31">
        <v>1585349165253</v>
      </c>
      <c r="I978" s="31">
        <v>72475044300</v>
      </c>
      <c r="J978" s="21">
        <v>77985946348</v>
      </c>
      <c r="K978" s="19">
        <v>8.8194993099402943</v>
      </c>
      <c r="L978" s="23">
        <v>71766264988</v>
      </c>
      <c r="M978" s="21">
        <v>6219681360</v>
      </c>
    </row>
    <row r="979" spans="2:13" x14ac:dyDescent="0.3">
      <c r="B979" s="4">
        <v>45288</v>
      </c>
      <c r="C979" s="24">
        <v>8.1161100708357381</v>
      </c>
      <c r="E979" s="4">
        <v>45289</v>
      </c>
      <c r="F979" s="23">
        <v>1649751275986</v>
      </c>
      <c r="G979" s="19">
        <v>2.4528843416089821</v>
      </c>
      <c r="H979" s="31">
        <v>1578154322438</v>
      </c>
      <c r="I979" s="31">
        <v>71596953548</v>
      </c>
      <c r="J979" s="21">
        <v>65391290004</v>
      </c>
      <c r="K979" s="19">
        <v>7.9507055519964185</v>
      </c>
      <c r="L979" s="23">
        <v>59944249471</v>
      </c>
      <c r="M979" s="21">
        <v>5447040533</v>
      </c>
    </row>
    <row r="980" spans="2:13" x14ac:dyDescent="0.3">
      <c r="B980" s="4">
        <v>45289</v>
      </c>
      <c r="C980" s="24">
        <v>7.2884183359922154</v>
      </c>
      <c r="E980" s="4">
        <v>45293</v>
      </c>
      <c r="F980" s="23">
        <v>1654171974193</v>
      </c>
      <c r="G980" s="19">
        <v>2.4693248812126178</v>
      </c>
      <c r="H980" s="31">
        <v>1583788137465</v>
      </c>
      <c r="I980" s="31">
        <v>70383836728</v>
      </c>
      <c r="J980" s="21">
        <v>64461934881</v>
      </c>
      <c r="K980" s="19">
        <v>8.1848794070748756</v>
      </c>
      <c r="L980" s="23">
        <v>58904082912</v>
      </c>
      <c r="M980" s="21">
        <v>5557851969</v>
      </c>
    </row>
    <row r="981" spans="2:13" x14ac:dyDescent="0.3">
      <c r="B981" s="4">
        <v>45293</v>
      </c>
      <c r="C981" s="24">
        <v>7.4791862222113412</v>
      </c>
      <c r="E981" s="4">
        <v>45294</v>
      </c>
      <c r="F981" s="23">
        <v>1654996230366</v>
      </c>
      <c r="G981" s="19">
        <v>2.472795246750211</v>
      </c>
      <c r="H981" s="31">
        <v>1584692247733</v>
      </c>
      <c r="I981" s="31">
        <v>70303982633</v>
      </c>
      <c r="J981" s="21">
        <v>57551037099</v>
      </c>
      <c r="K981" s="19">
        <v>7.8062599325430062</v>
      </c>
      <c r="L981" s="23">
        <v>52487494504</v>
      </c>
      <c r="M981" s="21">
        <v>5063542595</v>
      </c>
    </row>
    <row r="982" spans="2:13" x14ac:dyDescent="0.3">
      <c r="B982" s="4">
        <v>45294</v>
      </c>
      <c r="C982" s="24">
        <v>7.1194377366531576</v>
      </c>
      <c r="E982" s="4">
        <v>45295</v>
      </c>
      <c r="F982" s="23">
        <v>1656839132690</v>
      </c>
      <c r="G982" s="19">
        <v>2.4900529118113273</v>
      </c>
      <c r="H982" s="31">
        <v>1586914022378</v>
      </c>
      <c r="I982" s="31">
        <v>69925110312</v>
      </c>
      <c r="J982" s="21">
        <v>51395660611</v>
      </c>
      <c r="K982" s="19">
        <v>7.6338092834398923</v>
      </c>
      <c r="L982" s="23">
        <v>46661696385</v>
      </c>
      <c r="M982" s="21">
        <v>4733964226</v>
      </c>
    </row>
    <row r="983" spans="2:13" x14ac:dyDescent="0.3">
      <c r="B983" s="4">
        <v>45295</v>
      </c>
      <c r="C983" s="24">
        <v>6.9306724888876952</v>
      </c>
      <c r="E983" s="4">
        <v>45296</v>
      </c>
      <c r="F983" s="23">
        <v>1647734775386</v>
      </c>
      <c r="G983" s="19">
        <v>2.5011193052394995</v>
      </c>
      <c r="H983" s="31">
        <v>1578520950586</v>
      </c>
      <c r="I983" s="31">
        <v>69213824800</v>
      </c>
      <c r="J983" s="21">
        <v>54213893013</v>
      </c>
      <c r="K983" s="19">
        <v>7.3648579719786396</v>
      </c>
      <c r="L983" s="23">
        <v>49023501718</v>
      </c>
      <c r="M983" s="21">
        <v>5190391295</v>
      </c>
    </row>
    <row r="984" spans="2:13" x14ac:dyDescent="0.3">
      <c r="B984" s="4">
        <v>45296</v>
      </c>
      <c r="C984" s="24">
        <v>6.6597528304330416</v>
      </c>
      <c r="E984" s="4">
        <v>45299</v>
      </c>
      <c r="F984" s="23">
        <v>1646867731438</v>
      </c>
      <c r="G984" s="19">
        <v>2.5383575500643971</v>
      </c>
      <c r="H984" s="31">
        <v>1578928976363</v>
      </c>
      <c r="I984" s="31">
        <v>67938755075</v>
      </c>
      <c r="J984" s="21">
        <v>50334194873</v>
      </c>
      <c r="K984" s="19">
        <v>7.6561516259082971</v>
      </c>
      <c r="L984" s="23">
        <v>45201082911</v>
      </c>
      <c r="M984" s="21">
        <v>5133111962</v>
      </c>
    </row>
    <row r="985" spans="2:13" x14ac:dyDescent="0.3">
      <c r="B985" s="4">
        <v>45299</v>
      </c>
      <c r="C985" s="24">
        <v>6.8753726029598914</v>
      </c>
      <c r="E985" s="4">
        <v>45300</v>
      </c>
      <c r="F985" s="23">
        <v>1644366380594</v>
      </c>
      <c r="G985" s="19">
        <v>2.5277653564725675</v>
      </c>
      <c r="H985" s="31">
        <v>1575569167335</v>
      </c>
      <c r="I985" s="31">
        <v>68797213259</v>
      </c>
      <c r="J985" s="21">
        <v>50551242330</v>
      </c>
      <c r="K985" s="19">
        <v>7.4998942407930809</v>
      </c>
      <c r="L985" s="23">
        <v>44356345881</v>
      </c>
      <c r="M985" s="21">
        <v>6194896449</v>
      </c>
    </row>
    <row r="986" spans="2:13" x14ac:dyDescent="0.3">
      <c r="B986" s="4">
        <v>45300</v>
      </c>
      <c r="C986" s="24">
        <v>6.5808056871060039</v>
      </c>
      <c r="E986" s="4">
        <v>45301</v>
      </c>
      <c r="F986" s="23">
        <v>1641385892196</v>
      </c>
      <c r="G986" s="19">
        <v>2.5379801655671148</v>
      </c>
      <c r="H986" s="31">
        <v>1572898200519</v>
      </c>
      <c r="I986" s="31">
        <v>68487691677</v>
      </c>
      <c r="J986" s="21">
        <v>47796173575</v>
      </c>
      <c r="K986" s="19">
        <v>7.3898245702269065</v>
      </c>
      <c r="L986" s="23">
        <v>42306648706</v>
      </c>
      <c r="M986" s="21">
        <v>5489524869</v>
      </c>
    </row>
    <row r="987" spans="2:13" x14ac:dyDescent="0.3">
      <c r="B987" s="4">
        <v>45301</v>
      </c>
      <c r="C987" s="24">
        <v>6.5410824488068275</v>
      </c>
      <c r="E987" s="4">
        <v>45302</v>
      </c>
      <c r="F987" s="23">
        <v>1642973637176</v>
      </c>
      <c r="G987" s="19">
        <v>2.5214415154000251</v>
      </c>
      <c r="H987" s="31">
        <v>1573667834910</v>
      </c>
      <c r="I987" s="31">
        <v>69305802266</v>
      </c>
      <c r="J987" s="21">
        <v>57367192784</v>
      </c>
      <c r="K987" s="19">
        <v>8.0585874499204735</v>
      </c>
      <c r="L987" s="23">
        <v>51404545179</v>
      </c>
      <c r="M987" s="21">
        <v>5962647605</v>
      </c>
    </row>
    <row r="988" spans="2:13" x14ac:dyDescent="0.3">
      <c r="B988" s="4">
        <v>45302</v>
      </c>
      <c r="C988" s="24">
        <v>7.2209916948192605</v>
      </c>
      <c r="E988" s="4">
        <v>45303</v>
      </c>
      <c r="F988" s="23">
        <v>1637570421026</v>
      </c>
      <c r="G988" s="19">
        <v>2.521191483901132</v>
      </c>
      <c r="H988" s="31">
        <v>1568612351673</v>
      </c>
      <c r="I988" s="31">
        <v>68958069353</v>
      </c>
      <c r="J988" s="21">
        <v>50225540826</v>
      </c>
      <c r="K988" s="19">
        <v>7.4239925544946139</v>
      </c>
      <c r="L988" s="23">
        <v>45115855728</v>
      </c>
      <c r="M988" s="21">
        <v>5109685098</v>
      </c>
    </row>
    <row r="989" spans="2:13" x14ac:dyDescent="0.3">
      <c r="B989" s="4">
        <v>45303</v>
      </c>
      <c r="C989" s="24">
        <v>6.6687141941324519</v>
      </c>
      <c r="E989" s="4">
        <v>45306</v>
      </c>
      <c r="F989" s="23">
        <v>1637775136449</v>
      </c>
      <c r="G989" s="19">
        <v>2.5216601416773043</v>
      </c>
      <c r="H989" s="31">
        <v>1569600107911</v>
      </c>
      <c r="I989" s="31">
        <v>68175028538</v>
      </c>
      <c r="J989" s="21">
        <v>45526634572</v>
      </c>
      <c r="K989" s="19">
        <v>7.4538906399801164</v>
      </c>
      <c r="L989" s="23">
        <v>40264071159</v>
      </c>
      <c r="M989" s="21">
        <v>5262563413</v>
      </c>
    </row>
    <row r="990" spans="2:13" x14ac:dyDescent="0.3">
      <c r="B990" s="4">
        <v>45306</v>
      </c>
      <c r="C990" s="24">
        <v>6.5922725446555868</v>
      </c>
      <c r="E990" s="4">
        <v>45307</v>
      </c>
      <c r="F990" s="23">
        <v>1635987853865</v>
      </c>
      <c r="G990" s="19">
        <v>2.5141265253234666</v>
      </c>
      <c r="H990" s="31">
        <v>1567071809000</v>
      </c>
      <c r="I990" s="31">
        <v>68916044865</v>
      </c>
      <c r="J990" s="21">
        <v>51514843712</v>
      </c>
      <c r="K990" s="19">
        <v>7.524171508678716</v>
      </c>
      <c r="L990" s="23">
        <v>45214533780</v>
      </c>
      <c r="M990" s="21">
        <v>6300309932</v>
      </c>
    </row>
    <row r="991" spans="2:13" x14ac:dyDescent="0.3">
      <c r="B991" s="4">
        <v>45307</v>
      </c>
      <c r="C991" s="24">
        <v>6.603958826850131</v>
      </c>
      <c r="E991" s="4">
        <v>45308</v>
      </c>
      <c r="F991" s="23">
        <v>1633679027209</v>
      </c>
      <c r="G991" s="19">
        <v>2.5676429604243287</v>
      </c>
      <c r="H991" s="31">
        <v>1566545169503</v>
      </c>
      <c r="I991" s="31">
        <v>67133857706</v>
      </c>
      <c r="J991" s="21">
        <v>49953106920</v>
      </c>
      <c r="K991" s="19">
        <v>7.8380616965683227</v>
      </c>
      <c r="L991" s="23">
        <v>44774331590</v>
      </c>
      <c r="M991" s="21">
        <v>5178775330</v>
      </c>
    </row>
    <row r="992" spans="2:13" x14ac:dyDescent="0.3">
      <c r="B992" s="4">
        <v>45308</v>
      </c>
      <c r="C992" s="24">
        <v>7.0254683855213553</v>
      </c>
      <c r="E992" s="4">
        <v>45309</v>
      </c>
      <c r="F992" s="23">
        <v>1628851545455</v>
      </c>
      <c r="G992" s="19">
        <v>2.5491130136279199</v>
      </c>
      <c r="H992" s="31">
        <v>1559810891676</v>
      </c>
      <c r="I992" s="31">
        <v>69040653779</v>
      </c>
      <c r="J992" s="21">
        <v>66683826743</v>
      </c>
      <c r="K992" s="19">
        <v>7.7133403057232126</v>
      </c>
      <c r="L992" s="23">
        <v>59345144052</v>
      </c>
      <c r="M992" s="21">
        <v>7338682691</v>
      </c>
    </row>
    <row r="993" spans="2:13" x14ac:dyDescent="0.3">
      <c r="B993" s="4">
        <v>45309</v>
      </c>
      <c r="C993" s="24">
        <v>6.8644724504100694</v>
      </c>
      <c r="E993" s="4">
        <v>45310</v>
      </c>
      <c r="F993" s="23">
        <v>1621218629292</v>
      </c>
      <c r="G993" s="19">
        <v>2.5522604209231137</v>
      </c>
      <c r="H993" s="31">
        <v>1552490169861</v>
      </c>
      <c r="I993" s="31">
        <v>68728459431</v>
      </c>
      <c r="J993" s="21">
        <v>48504918536</v>
      </c>
      <c r="K993" s="19">
        <v>7.2777787699865337</v>
      </c>
      <c r="L993" s="23">
        <v>42461661745</v>
      </c>
      <c r="M993" s="21">
        <v>6043256791</v>
      </c>
    </row>
    <row r="994" spans="2:13" x14ac:dyDescent="0.3">
      <c r="B994" s="4">
        <v>45310</v>
      </c>
      <c r="C994" s="24">
        <v>6.3710359632240818</v>
      </c>
      <c r="E994" s="4">
        <v>45313</v>
      </c>
      <c r="F994" s="23">
        <v>1603869249729</v>
      </c>
      <c r="G994" s="19">
        <v>2.6089226951103464</v>
      </c>
      <c r="H994" s="31">
        <v>1537413385199</v>
      </c>
      <c r="I994" s="31">
        <v>66455864530</v>
      </c>
      <c r="J994" s="21">
        <v>56748422293</v>
      </c>
      <c r="K994" s="19">
        <v>7.1490632199692081</v>
      </c>
      <c r="L994" s="23">
        <v>49714434875</v>
      </c>
      <c r="M994" s="21">
        <v>7033987418</v>
      </c>
    </row>
    <row r="995" spans="2:13" x14ac:dyDescent="0.3">
      <c r="B995" s="4">
        <v>45313</v>
      </c>
      <c r="C995" s="24">
        <v>6.2629342544780764</v>
      </c>
      <c r="E995" s="4">
        <v>45314</v>
      </c>
      <c r="F995" s="23">
        <v>1601047389817</v>
      </c>
      <c r="G995" s="19">
        <v>2.5870278716355597</v>
      </c>
      <c r="H995" s="31">
        <v>1533350799725</v>
      </c>
      <c r="I995" s="31">
        <v>67696590092</v>
      </c>
      <c r="J995" s="21">
        <v>55125677960</v>
      </c>
      <c r="K995" s="19">
        <v>7.8306155022421979</v>
      </c>
      <c r="L995" s="23">
        <v>47740032359</v>
      </c>
      <c r="M995" s="21">
        <v>7385645601</v>
      </c>
    </row>
    <row r="996" spans="2:13" x14ac:dyDescent="0.3">
      <c r="B996" s="4">
        <v>45314</v>
      </c>
      <c r="C996" s="24">
        <v>6.781482809865647</v>
      </c>
      <c r="E996" s="4">
        <v>45315</v>
      </c>
      <c r="F996" s="23">
        <v>1600078428575</v>
      </c>
      <c r="G996" s="19">
        <v>2.54392836015341</v>
      </c>
      <c r="H996" s="31">
        <v>1531132405039</v>
      </c>
      <c r="I996" s="31">
        <v>68946023536</v>
      </c>
      <c r="J996" s="21">
        <v>63305819702</v>
      </c>
      <c r="K996" s="19">
        <v>8.2599795279030168</v>
      </c>
      <c r="L996" s="23">
        <v>56445842676</v>
      </c>
      <c r="M996" s="21">
        <v>6859977026</v>
      </c>
    </row>
    <row r="997" spans="2:13" x14ac:dyDescent="0.3">
      <c r="B997" s="4">
        <v>45315</v>
      </c>
      <c r="C997" s="24">
        <v>7.3649074782340209</v>
      </c>
      <c r="E997" s="4">
        <v>45316</v>
      </c>
      <c r="F997" s="23">
        <v>1605747562718</v>
      </c>
      <c r="G997" s="19">
        <v>2.4822506980261361</v>
      </c>
      <c r="H997" s="31">
        <v>1535212011485</v>
      </c>
      <c r="I997" s="31">
        <v>70535551233</v>
      </c>
      <c r="J997" s="21">
        <v>79951578306</v>
      </c>
      <c r="K997" s="19">
        <v>8.9747365286687728</v>
      </c>
      <c r="L997" s="23">
        <v>73294207839</v>
      </c>
      <c r="M997" s="21">
        <v>6657370467</v>
      </c>
    </row>
    <row r="998" spans="2:13" x14ac:dyDescent="0.3">
      <c r="B998" s="4">
        <v>45316</v>
      </c>
      <c r="C998" s="24">
        <v>8.2274323830721663</v>
      </c>
      <c r="E998" s="4">
        <v>45317</v>
      </c>
      <c r="F998" s="23">
        <v>1600274088915</v>
      </c>
      <c r="G998" s="19">
        <v>2.4760771719989711</v>
      </c>
      <c r="H998" s="31">
        <v>1530207146774</v>
      </c>
      <c r="I998" s="31">
        <v>70066942141</v>
      </c>
      <c r="J998" s="21">
        <v>68801689843</v>
      </c>
      <c r="K998" s="19">
        <v>8.3079097759053777</v>
      </c>
      <c r="L998" s="23">
        <v>62197543587</v>
      </c>
      <c r="M998" s="21">
        <v>6604146256</v>
      </c>
    </row>
    <row r="999" spans="2:13" x14ac:dyDescent="0.3">
      <c r="B999" s="4">
        <v>45317</v>
      </c>
      <c r="C999" s="24">
        <v>7.5104489669204142</v>
      </c>
      <c r="E999" s="4">
        <v>45320</v>
      </c>
      <c r="F999" s="23">
        <v>1595446144523</v>
      </c>
      <c r="G999" s="19">
        <v>2.5033712568980842</v>
      </c>
      <c r="H999" s="31">
        <v>1526722859600</v>
      </c>
      <c r="I999" s="31">
        <v>68723284923</v>
      </c>
      <c r="J999" s="21">
        <v>65826141178</v>
      </c>
      <c r="K999" s="19">
        <v>8.1793819704541342</v>
      </c>
      <c r="L999" s="23">
        <v>59003469205</v>
      </c>
      <c r="M999" s="21">
        <v>6822671973</v>
      </c>
    </row>
    <row r="1000" spans="2:13" x14ac:dyDescent="0.3">
      <c r="B1000" s="4">
        <v>45320</v>
      </c>
      <c r="C1000" s="24">
        <v>7.3316148200848552</v>
      </c>
      <c r="E1000" s="4">
        <v>45321</v>
      </c>
      <c r="F1000" s="23">
        <v>1586249930085</v>
      </c>
      <c r="G1000" s="19">
        <v>2.5423201010425349</v>
      </c>
      <c r="H1000" s="31">
        <v>1518776590729</v>
      </c>
      <c r="I1000" s="31">
        <v>67473339356</v>
      </c>
      <c r="J1000" s="21">
        <v>50572243652</v>
      </c>
      <c r="K1000" s="19">
        <v>7.6250157085409409</v>
      </c>
      <c r="L1000" s="23">
        <v>43959043664</v>
      </c>
      <c r="M1000" s="21">
        <v>6613199988</v>
      </c>
    </row>
    <row r="1001" spans="2:13" x14ac:dyDescent="0.3">
      <c r="B1001" s="4">
        <v>45321</v>
      </c>
      <c r="C1001" s="24">
        <v>6.6279123539969991</v>
      </c>
      <c r="E1001" s="4">
        <v>45322</v>
      </c>
      <c r="F1001" s="23">
        <v>1565242331801</v>
      </c>
      <c r="G1001" s="19">
        <v>2.5583219702877411</v>
      </c>
      <c r="H1001" s="31">
        <v>1499423529046</v>
      </c>
      <c r="I1001" s="31">
        <v>65818802755</v>
      </c>
      <c r="J1001" s="21">
        <v>54341852182</v>
      </c>
      <c r="K1001" s="19">
        <v>7.1696101741438092</v>
      </c>
      <c r="L1001" s="23">
        <v>47473397573</v>
      </c>
      <c r="M1001" s="21">
        <v>6868454609</v>
      </c>
    </row>
    <row r="1002" spans="2:13" x14ac:dyDescent="0.3">
      <c r="B1002" s="4">
        <v>45322</v>
      </c>
      <c r="C1002" s="24">
        <v>6.2634183520394684</v>
      </c>
      <c r="E1002" s="4">
        <v>45323</v>
      </c>
      <c r="F1002" s="23">
        <v>1553467059777</v>
      </c>
      <c r="G1002" s="19">
        <v>2.5535564758190983</v>
      </c>
      <c r="H1002" s="31">
        <v>1487960379430</v>
      </c>
      <c r="I1002" s="31">
        <v>65506680347</v>
      </c>
      <c r="J1002" s="21">
        <v>49333901422</v>
      </c>
      <c r="K1002" s="19">
        <v>7.0204134601076609</v>
      </c>
      <c r="L1002" s="23">
        <v>42609302395</v>
      </c>
      <c r="M1002" s="21">
        <v>6724599027</v>
      </c>
    </row>
    <row r="1003" spans="2:13" x14ac:dyDescent="0.3">
      <c r="B1003" s="4">
        <v>45323</v>
      </c>
      <c r="C1003" s="24">
        <v>6.0634758540758575</v>
      </c>
      <c r="E1003" s="4">
        <v>45324</v>
      </c>
      <c r="F1003" s="23">
        <v>1522559482515</v>
      </c>
      <c r="G1003" s="19">
        <v>2.5516849411416169</v>
      </c>
      <c r="H1003" s="31">
        <v>1458861190779</v>
      </c>
      <c r="I1003" s="31">
        <v>63698291736</v>
      </c>
      <c r="J1003" s="21">
        <v>57017970433</v>
      </c>
      <c r="K1003" s="19">
        <v>7.0804266212995577</v>
      </c>
      <c r="L1003" s="23">
        <v>50044525584</v>
      </c>
      <c r="M1003" s="21">
        <v>6973444849</v>
      </c>
    </row>
    <row r="1004" spans="2:13" x14ac:dyDescent="0.3">
      <c r="B1004" s="4">
        <v>45324</v>
      </c>
      <c r="C1004" s="24">
        <v>6.2144721831449612</v>
      </c>
      <c r="E1004" s="4">
        <v>45327</v>
      </c>
      <c r="F1004" s="23">
        <v>1480771657231</v>
      </c>
      <c r="G1004" s="19">
        <v>2.5276624564993342</v>
      </c>
      <c r="H1004" s="31">
        <v>1419420411988</v>
      </c>
      <c r="I1004" s="31">
        <v>61351245243</v>
      </c>
      <c r="J1004" s="21">
        <v>56166993952</v>
      </c>
      <c r="K1004" s="19">
        <v>6.4050375816603271</v>
      </c>
      <c r="L1004" s="23">
        <v>49476741265</v>
      </c>
      <c r="M1004" s="21">
        <v>6690252687</v>
      </c>
    </row>
    <row r="1005" spans="2:13" x14ac:dyDescent="0.3">
      <c r="B1005" s="4">
        <v>45327</v>
      </c>
      <c r="C1005" s="24">
        <v>5.6421105158526128</v>
      </c>
      <c r="E1005" s="4">
        <v>45328</v>
      </c>
      <c r="F1005" s="23">
        <v>1463896018532</v>
      </c>
      <c r="G1005" s="19">
        <v>2.4065301308824458</v>
      </c>
      <c r="H1005" s="31">
        <v>1404283256515</v>
      </c>
      <c r="I1005" s="31">
        <v>59612762017</v>
      </c>
      <c r="J1005" s="21">
        <v>60575281390</v>
      </c>
      <c r="K1005" s="19">
        <v>6.5417442943940447</v>
      </c>
      <c r="L1005" s="23">
        <v>57140066625</v>
      </c>
      <c r="M1005" s="21">
        <v>3435214765</v>
      </c>
    </row>
    <row r="1006" spans="2:13" x14ac:dyDescent="0.3">
      <c r="B1006" s="4">
        <v>45328</v>
      </c>
      <c r="C1006" s="24">
        <v>6.1707629952024785</v>
      </c>
      <c r="E1006" s="4">
        <v>45329</v>
      </c>
      <c r="F1006" s="23">
        <v>1442811787040</v>
      </c>
      <c r="G1006" s="19">
        <v>2.3365277185896138</v>
      </c>
      <c r="H1006" s="31">
        <v>1391140021740</v>
      </c>
      <c r="I1006" s="31">
        <v>51671765300</v>
      </c>
      <c r="J1006" s="21">
        <v>61161967299</v>
      </c>
      <c r="K1006" s="19">
        <v>5.9866990769247703</v>
      </c>
      <c r="L1006" s="23">
        <v>59994025772</v>
      </c>
      <c r="M1006" s="21">
        <v>1167941527</v>
      </c>
    </row>
    <row r="1007" spans="2:13" x14ac:dyDescent="0.3">
      <c r="B1007" s="4">
        <v>45329</v>
      </c>
      <c r="C1007" s="24">
        <v>5.8723777957368881</v>
      </c>
      <c r="E1007" s="4">
        <v>45330</v>
      </c>
      <c r="F1007" s="23">
        <v>1420113394040</v>
      </c>
      <c r="G1007" s="19">
        <v>2.2586382260265632</v>
      </c>
      <c r="H1007" s="31">
        <v>1374176000554</v>
      </c>
      <c r="I1007" s="31">
        <v>45937393486</v>
      </c>
      <c r="J1007" s="21">
        <v>66556558992</v>
      </c>
      <c r="K1007" s="19">
        <v>6.5436359863339044</v>
      </c>
      <c r="L1007" s="23">
        <v>65828001076</v>
      </c>
      <c r="M1007" s="21">
        <v>728557916</v>
      </c>
    </row>
    <row r="1008" spans="2:13" x14ac:dyDescent="0.3">
      <c r="B1008" s="4">
        <v>45330</v>
      </c>
      <c r="C1008" s="24">
        <v>6.4720064148916814</v>
      </c>
      <c r="E1008" s="4">
        <v>45341</v>
      </c>
      <c r="F1008" s="23">
        <v>1434539398377</v>
      </c>
      <c r="G1008" s="19">
        <v>2.2444794019126282</v>
      </c>
      <c r="H1008" s="31">
        <v>1389600876833</v>
      </c>
      <c r="I1008" s="31">
        <v>44938521544</v>
      </c>
      <c r="J1008" s="21">
        <v>81754200233</v>
      </c>
      <c r="K1008" s="19">
        <v>8.5427035122848256</v>
      </c>
      <c r="L1008" s="23">
        <v>79371937977</v>
      </c>
      <c r="M1008" s="21">
        <v>2382262256</v>
      </c>
    </row>
    <row r="1009" spans="2:13" x14ac:dyDescent="0.3">
      <c r="B1009" s="4">
        <v>45341</v>
      </c>
      <c r="C1009" s="24">
        <v>8.2937748935286706</v>
      </c>
      <c r="E1009" s="4">
        <v>45342</v>
      </c>
      <c r="F1009" s="23">
        <v>1440632089558</v>
      </c>
      <c r="G1009" s="19">
        <v>2.2433166591282632</v>
      </c>
      <c r="H1009" s="31">
        <v>1395647562839</v>
      </c>
      <c r="I1009" s="31">
        <v>44984526719</v>
      </c>
      <c r="J1009" s="21">
        <v>67018160245</v>
      </c>
      <c r="K1009" s="19">
        <v>8.4919371481440766</v>
      </c>
      <c r="L1009" s="23">
        <v>65333859637</v>
      </c>
      <c r="M1009" s="21">
        <v>1684300608</v>
      </c>
    </row>
    <row r="1010" spans="2:13" x14ac:dyDescent="0.3">
      <c r="B1010" s="4">
        <v>45342</v>
      </c>
      <c r="C1010" s="24">
        <v>8.2785177577963101</v>
      </c>
      <c r="E1010" s="4">
        <v>45343</v>
      </c>
      <c r="F1010" s="23">
        <v>1445059676274</v>
      </c>
      <c r="G1010" s="19">
        <v>2.227676765563344</v>
      </c>
      <c r="H1010" s="31">
        <v>1401123510172</v>
      </c>
      <c r="I1010" s="31">
        <v>43936166102</v>
      </c>
      <c r="J1010" s="21">
        <v>91372832982</v>
      </c>
      <c r="K1010" s="19">
        <v>9.3245423175509181</v>
      </c>
      <c r="L1010" s="23">
        <v>90147312150</v>
      </c>
      <c r="M1010" s="21">
        <v>1225520832</v>
      </c>
    </row>
    <row r="1011" spans="2:13" x14ac:dyDescent="0.3">
      <c r="B1011" s="4">
        <v>45343</v>
      </c>
      <c r="C1011" s="24">
        <v>9.1994786581886725</v>
      </c>
      <c r="E1011" s="4">
        <v>45344</v>
      </c>
      <c r="F1011" s="23">
        <v>1450898809712</v>
      </c>
      <c r="G1011" s="19">
        <v>2.2088561965585161</v>
      </c>
      <c r="H1011" s="31">
        <v>1406900048257</v>
      </c>
      <c r="I1011" s="31">
        <v>43998761455</v>
      </c>
      <c r="J1011" s="21">
        <v>74447701668</v>
      </c>
      <c r="K1011" s="19">
        <v>9.0554458551597357</v>
      </c>
      <c r="L1011" s="23">
        <v>73300648923</v>
      </c>
      <c r="M1011" s="21">
        <v>1147052745</v>
      </c>
    </row>
    <row r="1012" spans="2:13" x14ac:dyDescent="0.3">
      <c r="B1012" s="4">
        <v>45344</v>
      </c>
      <c r="C1012" s="24">
        <v>8.9159240997174916</v>
      </c>
      <c r="E1012" s="4">
        <v>45345</v>
      </c>
      <c r="F1012" s="23">
        <v>1455097680371</v>
      </c>
      <c r="G1012" s="19">
        <v>2.1987652785975293</v>
      </c>
      <c r="H1012" s="31">
        <v>1411605700096</v>
      </c>
      <c r="I1012" s="31">
        <v>43491980275</v>
      </c>
      <c r="J1012" s="21">
        <v>83023587325</v>
      </c>
      <c r="K1012" s="19">
        <v>9.0094763176206598</v>
      </c>
      <c r="L1012" s="23">
        <v>81789704732</v>
      </c>
      <c r="M1012" s="21">
        <v>1233882593</v>
      </c>
    </row>
    <row r="1013" spans="2:13" x14ac:dyDescent="0.3">
      <c r="B1013" s="4">
        <v>45345</v>
      </c>
      <c r="C1013" s="24">
        <v>8.8755789956844087</v>
      </c>
      <c r="E1013" s="4">
        <v>45348</v>
      </c>
      <c r="F1013" s="23">
        <v>1463738882447</v>
      </c>
      <c r="G1013" s="19">
        <v>2.2226185743887243</v>
      </c>
      <c r="H1013" s="31">
        <v>1420303032406</v>
      </c>
      <c r="I1013" s="31">
        <v>43435850041</v>
      </c>
      <c r="J1013" s="21">
        <v>90002175133</v>
      </c>
      <c r="K1013" s="19">
        <v>9.1026495214451</v>
      </c>
      <c r="L1013" s="23">
        <v>88366900022</v>
      </c>
      <c r="M1013" s="21">
        <v>1635275111</v>
      </c>
    </row>
    <row r="1014" spans="2:13" x14ac:dyDescent="0.3">
      <c r="B1014" s="4">
        <v>45348</v>
      </c>
      <c r="C1014" s="24">
        <v>8.9372608940638347</v>
      </c>
      <c r="E1014" s="4">
        <v>45349</v>
      </c>
      <c r="F1014" s="23">
        <v>1475755485514</v>
      </c>
      <c r="G1014" s="19">
        <v>2.2050597716057241</v>
      </c>
      <c r="H1014" s="31">
        <v>1431367878148</v>
      </c>
      <c r="I1014" s="31">
        <v>44387607366</v>
      </c>
      <c r="J1014" s="21">
        <v>97115456459</v>
      </c>
      <c r="K1014" s="19">
        <v>9.8124936279812136</v>
      </c>
      <c r="L1014" s="23">
        <v>95368394010</v>
      </c>
      <c r="M1014" s="21">
        <v>1747062449</v>
      </c>
    </row>
    <row r="1015" spans="2:13" x14ac:dyDescent="0.3">
      <c r="B1015" s="4">
        <v>45349</v>
      </c>
      <c r="C1015" s="24">
        <v>9.6359713752568474</v>
      </c>
      <c r="E1015" s="4">
        <v>45350</v>
      </c>
      <c r="F1015" s="23">
        <v>1477615686834</v>
      </c>
      <c r="G1015" s="19">
        <v>2.2633600248219761</v>
      </c>
      <c r="H1015" s="31">
        <v>1434484527979</v>
      </c>
      <c r="I1015" s="31">
        <v>43131158855</v>
      </c>
      <c r="J1015" s="21">
        <v>124930156675</v>
      </c>
      <c r="K1015" s="19">
        <v>9.2110454079200892</v>
      </c>
      <c r="L1015" s="23">
        <v>122821111694</v>
      </c>
      <c r="M1015" s="21">
        <v>2109044981</v>
      </c>
    </row>
    <row r="1016" spans="2:13" x14ac:dyDescent="0.3">
      <c r="B1016" s="4">
        <v>45350</v>
      </c>
      <c r="C1016" s="24">
        <v>9.0555464507077481</v>
      </c>
      <c r="E1016" s="4">
        <v>45351</v>
      </c>
      <c r="F1016" s="23">
        <v>1483269235129</v>
      </c>
      <c r="G1016" s="19">
        <v>2.2189053926160405</v>
      </c>
      <c r="H1016" s="31">
        <v>1439737075911</v>
      </c>
      <c r="I1016" s="31">
        <v>43532159218</v>
      </c>
      <c r="J1016" s="21">
        <v>95931279819</v>
      </c>
      <c r="K1016" s="19">
        <v>9.1163118830683274</v>
      </c>
      <c r="L1016" s="23">
        <v>94367404246</v>
      </c>
      <c r="M1016" s="21">
        <v>1563875573</v>
      </c>
    </row>
    <row r="1017" spans="2:13" x14ac:dyDescent="0.3">
      <c r="B1017" s="4">
        <v>45351</v>
      </c>
      <c r="C1017" s="24">
        <v>8.9676974009444628</v>
      </c>
      <c r="E1017" s="4">
        <v>45352</v>
      </c>
      <c r="F1017" s="23">
        <v>1485229344314</v>
      </c>
      <c r="G1017" s="19">
        <v>2.2067681904070309</v>
      </c>
      <c r="H1017" s="31">
        <v>1441912938118</v>
      </c>
      <c r="I1017" s="31">
        <v>43316406196</v>
      </c>
      <c r="J1017" s="21">
        <v>103510100465</v>
      </c>
      <c r="K1017" s="19">
        <v>9.811525794894921</v>
      </c>
      <c r="L1017" s="23">
        <v>101637631700</v>
      </c>
      <c r="M1017" s="21">
        <v>1872468765</v>
      </c>
    </row>
    <row r="1018" spans="2:13" x14ac:dyDescent="0.3">
      <c r="B1018" s="4">
        <v>45352</v>
      </c>
      <c r="C1018" s="24">
        <v>9.6340380376093933</v>
      </c>
      <c r="E1018" s="4">
        <v>45355</v>
      </c>
      <c r="F1018" s="23">
        <v>1494966568126</v>
      </c>
      <c r="G1018" s="19">
        <v>2.2134003107066653</v>
      </c>
      <c r="H1018" s="31">
        <v>1451631195982</v>
      </c>
      <c r="I1018" s="31">
        <v>43335372144</v>
      </c>
      <c r="J1018" s="21">
        <v>106520051766</v>
      </c>
      <c r="K1018" s="19">
        <v>9.8923613385612317</v>
      </c>
      <c r="L1018" s="23">
        <v>104129426801</v>
      </c>
      <c r="M1018" s="21">
        <v>2390624965</v>
      </c>
    </row>
    <row r="1019" spans="2:13" x14ac:dyDescent="0.3">
      <c r="B1019" s="4">
        <v>45355</v>
      </c>
      <c r="C1019" s="24">
        <v>9.6703474962217957</v>
      </c>
      <c r="E1019" s="4">
        <v>45356</v>
      </c>
      <c r="F1019" s="23">
        <v>1490806579544</v>
      </c>
      <c r="G1019" s="19">
        <v>2.2064365126715404</v>
      </c>
      <c r="H1019" s="31">
        <v>1447079636463</v>
      </c>
      <c r="I1019" s="31">
        <v>43726943081</v>
      </c>
      <c r="J1019" s="21">
        <v>96606562116</v>
      </c>
      <c r="K1019" s="19">
        <v>9.0561476233620208</v>
      </c>
      <c r="L1019" s="23">
        <v>94325887571</v>
      </c>
      <c r="M1019" s="21">
        <v>2280674545</v>
      </c>
    </row>
    <row r="1020" spans="2:13" x14ac:dyDescent="0.3">
      <c r="B1020" s="4">
        <v>45356</v>
      </c>
      <c r="C1020" s="24">
        <v>8.8423513251813279</v>
      </c>
      <c r="E1020" s="4">
        <v>45357</v>
      </c>
      <c r="F1020" s="23">
        <v>1495839821040</v>
      </c>
      <c r="G1020" s="19">
        <v>2.2169415022872681</v>
      </c>
      <c r="H1020" s="31">
        <v>1452327161951</v>
      </c>
      <c r="I1020" s="31">
        <v>43512659089</v>
      </c>
      <c r="J1020" s="21">
        <v>89388809948</v>
      </c>
      <c r="K1020" s="19">
        <v>9.5960448825236302</v>
      </c>
      <c r="L1020" s="23">
        <v>87784496336</v>
      </c>
      <c r="M1020" s="21">
        <v>1604313612</v>
      </c>
    </row>
    <row r="1021" spans="2:13" x14ac:dyDescent="0.3">
      <c r="B1021" s="4">
        <v>45357</v>
      </c>
      <c r="C1021" s="24">
        <v>9.4238190140357148</v>
      </c>
      <c r="E1021" s="4">
        <v>45358</v>
      </c>
      <c r="F1021" s="23">
        <v>1493301230969</v>
      </c>
      <c r="G1021" s="19">
        <v>2.2275812056683071</v>
      </c>
      <c r="H1021" s="31">
        <v>1450481791881</v>
      </c>
      <c r="I1021" s="31">
        <v>42819439088</v>
      </c>
      <c r="J1021" s="21">
        <v>89239068306</v>
      </c>
      <c r="K1021" s="19">
        <v>9.0929575139508056</v>
      </c>
      <c r="L1021" s="23">
        <v>87575163064</v>
      </c>
      <c r="M1021" s="21">
        <v>1663905242</v>
      </c>
    </row>
    <row r="1022" spans="2:13" x14ac:dyDescent="0.3">
      <c r="B1022" s="4">
        <v>45358</v>
      </c>
      <c r="C1022" s="24">
        <v>8.9234149586557869</v>
      </c>
      <c r="E1022" s="4">
        <v>45359</v>
      </c>
      <c r="F1022" s="23">
        <v>1494939483832</v>
      </c>
      <c r="G1022" s="19">
        <v>2.2129219967054827</v>
      </c>
      <c r="H1022" s="31">
        <v>1451761935655</v>
      </c>
      <c r="I1022" s="31">
        <v>43177548177</v>
      </c>
      <c r="J1022" s="21">
        <v>78343246218</v>
      </c>
      <c r="K1022" s="19">
        <v>9.1050488538196994</v>
      </c>
      <c r="L1022" s="23">
        <v>76813545357</v>
      </c>
      <c r="M1022" s="21">
        <v>1529700861</v>
      </c>
    </row>
    <row r="1023" spans="2:13" x14ac:dyDescent="0.3">
      <c r="B1023" s="4">
        <v>45359</v>
      </c>
      <c r="C1023" s="24">
        <v>8.9272670826587426</v>
      </c>
      <c r="E1023" s="4">
        <v>45362</v>
      </c>
      <c r="F1023" s="23">
        <v>1503837341576</v>
      </c>
      <c r="G1023" s="19">
        <v>2.1991478720903799</v>
      </c>
      <c r="H1023" s="31">
        <v>1459710972645</v>
      </c>
      <c r="I1023" s="31">
        <v>44126368931</v>
      </c>
      <c r="J1023" s="21">
        <v>99290752089</v>
      </c>
      <c r="K1023" s="19">
        <v>9.8746999264530011</v>
      </c>
      <c r="L1023" s="23">
        <v>97592802823</v>
      </c>
      <c r="M1023" s="21">
        <v>1697949266</v>
      </c>
    </row>
    <row r="1024" spans="2:13" x14ac:dyDescent="0.3">
      <c r="B1024" s="4">
        <v>45362</v>
      </c>
      <c r="C1024" s="24">
        <v>9.7058348595728337</v>
      </c>
      <c r="E1024" s="4">
        <v>45363</v>
      </c>
      <c r="F1024" s="23">
        <v>1510679697498</v>
      </c>
      <c r="G1024" s="19">
        <v>2.2085280068790931</v>
      </c>
      <c r="H1024" s="31">
        <v>1467014256702</v>
      </c>
      <c r="I1024" s="31">
        <v>43665440796</v>
      </c>
      <c r="J1024" s="21">
        <v>110969821451</v>
      </c>
      <c r="K1024" s="19">
        <v>9.6923794263242282</v>
      </c>
      <c r="L1024" s="23">
        <v>109122318303</v>
      </c>
      <c r="M1024" s="21">
        <v>1847503148</v>
      </c>
    </row>
    <row r="1025" spans="2:13" x14ac:dyDescent="0.3">
      <c r="B1025" s="4">
        <v>45363</v>
      </c>
      <c r="C1025" s="24">
        <v>9.5310139193097712</v>
      </c>
      <c r="E1025" s="4">
        <v>45364</v>
      </c>
      <c r="F1025" s="23">
        <v>1517097077919</v>
      </c>
      <c r="G1025" s="19">
        <v>2.224621315792815</v>
      </c>
      <c r="H1025" s="31">
        <v>1474020354663</v>
      </c>
      <c r="I1025" s="31">
        <v>43076723256</v>
      </c>
      <c r="J1025" s="21">
        <v>102793243440</v>
      </c>
      <c r="K1025" s="19">
        <v>9.7482132640586379</v>
      </c>
      <c r="L1025" s="23">
        <v>101253194014</v>
      </c>
      <c r="M1025" s="21">
        <v>1540049426</v>
      </c>
    </row>
    <row r="1026" spans="2:13" x14ac:dyDescent="0.3">
      <c r="B1026" s="4">
        <v>45364</v>
      </c>
      <c r="C1026" s="24">
        <v>9.6021654330978219</v>
      </c>
      <c r="E1026" s="4">
        <v>45365</v>
      </c>
      <c r="F1026" s="23">
        <v>1517883899311</v>
      </c>
      <c r="G1026" s="19">
        <v>2.2327617085319318</v>
      </c>
      <c r="H1026" s="31">
        <v>1475127340784</v>
      </c>
      <c r="I1026" s="31">
        <v>42756558527</v>
      </c>
      <c r="J1026" s="21">
        <v>91723825101</v>
      </c>
      <c r="K1026" s="19">
        <v>9.1082808084794298</v>
      </c>
      <c r="L1026" s="23">
        <v>89953191756</v>
      </c>
      <c r="M1026" s="21">
        <v>1770633345</v>
      </c>
    </row>
    <row r="1027" spans="2:13" x14ac:dyDescent="0.3">
      <c r="B1027" s="4">
        <v>45365</v>
      </c>
      <c r="C1027" s="24">
        <v>8.9324548908690513</v>
      </c>
      <c r="E1027" s="4">
        <v>45366</v>
      </c>
      <c r="F1027" s="23">
        <v>1517794353350</v>
      </c>
      <c r="G1027" s="19">
        <v>2.2177345991955417</v>
      </c>
      <c r="H1027" s="31">
        <v>1475344485532</v>
      </c>
      <c r="I1027" s="31">
        <v>42449867818</v>
      </c>
      <c r="J1027" s="21">
        <v>85957052827</v>
      </c>
      <c r="K1027" s="19">
        <v>9.1033115073835322</v>
      </c>
      <c r="L1027" s="23">
        <v>84092175603</v>
      </c>
      <c r="M1027" s="21">
        <v>1864877224</v>
      </c>
    </row>
    <row r="1028" spans="2:13" x14ac:dyDescent="0.3">
      <c r="B1028" s="4">
        <v>45366</v>
      </c>
      <c r="C1028" s="24">
        <v>8.905811037849471</v>
      </c>
      <c r="E1028" s="4">
        <v>45369</v>
      </c>
      <c r="F1028" s="23">
        <v>1531701629506</v>
      </c>
      <c r="G1028" s="19">
        <v>2.2116351819293194</v>
      </c>
      <c r="H1028" s="31">
        <v>1488945308968</v>
      </c>
      <c r="I1028" s="31">
        <v>42756320538</v>
      </c>
      <c r="J1028" s="21">
        <v>115710004894</v>
      </c>
      <c r="K1028" s="19">
        <v>10.171272568398242</v>
      </c>
      <c r="L1028" s="23">
        <v>113914602828</v>
      </c>
      <c r="M1028" s="21">
        <v>1795402066</v>
      </c>
    </row>
    <row r="1029" spans="2:13" x14ac:dyDescent="0.3">
      <c r="B1029" s="4">
        <v>45369</v>
      </c>
      <c r="C1029" s="24">
        <v>10.013451092201086</v>
      </c>
      <c r="E1029" s="4">
        <v>45370</v>
      </c>
      <c r="F1029" s="23">
        <v>1535017642920</v>
      </c>
      <c r="G1029" s="19">
        <v>2.2298818852511797</v>
      </c>
      <c r="H1029" s="31">
        <v>1492606719485</v>
      </c>
      <c r="I1029" s="31">
        <v>42410923435</v>
      </c>
      <c r="J1029" s="21">
        <v>101308152233</v>
      </c>
      <c r="K1029" s="19">
        <v>9.4000714769066995</v>
      </c>
      <c r="L1029" s="23">
        <v>99458696478</v>
      </c>
      <c r="M1029" s="21">
        <v>1849455755</v>
      </c>
    </row>
    <row r="1030" spans="2:13" x14ac:dyDescent="0.3">
      <c r="B1030" s="4">
        <v>45370</v>
      </c>
      <c r="C1030" s="24">
        <v>9.2284661726228698</v>
      </c>
      <c r="E1030" s="4">
        <v>45371</v>
      </c>
      <c r="F1030" s="23">
        <v>1541924612947</v>
      </c>
      <c r="G1030" s="19">
        <v>2.2272693660360461</v>
      </c>
      <c r="H1030" s="31">
        <v>1499493342611</v>
      </c>
      <c r="I1030" s="31">
        <v>42431270336</v>
      </c>
      <c r="J1030" s="21">
        <v>94188131366</v>
      </c>
      <c r="K1030" s="19">
        <v>9.4208330975666197</v>
      </c>
      <c r="L1030" s="23">
        <v>92437755262</v>
      </c>
      <c r="M1030" s="21">
        <v>1750376104</v>
      </c>
    </row>
    <row r="1031" spans="2:13" x14ac:dyDescent="0.3">
      <c r="B1031" s="4">
        <v>45371</v>
      </c>
      <c r="C1031" s="24">
        <v>9.2457579485579249</v>
      </c>
      <c r="E1031" s="4">
        <v>45372</v>
      </c>
      <c r="F1031" s="23">
        <v>1547637116599</v>
      </c>
      <c r="G1031" s="19">
        <v>2.2368071542700361</v>
      </c>
      <c r="H1031" s="31">
        <v>1505069944487</v>
      </c>
      <c r="I1031" s="31">
        <v>42567172112</v>
      </c>
      <c r="J1031" s="21">
        <v>100247090860</v>
      </c>
      <c r="K1031" s="19">
        <v>9.3914562501097993</v>
      </c>
      <c r="L1031" s="23">
        <v>98270017642</v>
      </c>
      <c r="M1031" s="21">
        <v>1977073218</v>
      </c>
    </row>
    <row r="1032" spans="2:13" x14ac:dyDescent="0.3">
      <c r="B1032" s="4">
        <v>45372</v>
      </c>
      <c r="C1032" s="24">
        <v>9.2062379413207545</v>
      </c>
      <c r="E1032" s="4">
        <v>45373</v>
      </c>
      <c r="F1032" s="23">
        <v>1544903727817</v>
      </c>
      <c r="G1032" s="19">
        <v>2.2555395431350389</v>
      </c>
      <c r="H1032" s="31">
        <v>1502995850338</v>
      </c>
      <c r="I1032" s="31">
        <v>41907877479</v>
      </c>
      <c r="J1032" s="21">
        <v>99227088473</v>
      </c>
      <c r="K1032" s="19">
        <v>9.0451123030067233</v>
      </c>
      <c r="L1032" s="23">
        <v>97374889576</v>
      </c>
      <c r="M1032" s="21">
        <v>1852198897</v>
      </c>
    </row>
    <row r="1033" spans="2:13" x14ac:dyDescent="0.3">
      <c r="B1033" s="4">
        <v>45373</v>
      </c>
      <c r="C1033" s="24">
        <v>8.8762738609171041</v>
      </c>
      <c r="E1033" s="4">
        <v>45376</v>
      </c>
      <c r="F1033" s="23">
        <v>1543862069723</v>
      </c>
      <c r="G1033" s="19">
        <v>2.2777229645351733</v>
      </c>
      <c r="H1033" s="31">
        <v>1502281903524</v>
      </c>
      <c r="I1033" s="31">
        <v>41580166199</v>
      </c>
      <c r="J1033" s="21">
        <v>87788186635</v>
      </c>
      <c r="K1033" s="19">
        <v>8.4155649772456744</v>
      </c>
      <c r="L1033" s="23">
        <v>85846629922</v>
      </c>
      <c r="M1033" s="21">
        <v>1941556713</v>
      </c>
    </row>
    <row r="1034" spans="2:13" x14ac:dyDescent="0.3">
      <c r="B1034" s="4">
        <v>45376</v>
      </c>
      <c r="C1034" s="24">
        <v>8.2294431617536485</v>
      </c>
      <c r="E1034" s="4">
        <v>45377</v>
      </c>
      <c r="F1034" s="23">
        <v>1542742243811</v>
      </c>
      <c r="G1034" s="19">
        <v>2.2714205679722701</v>
      </c>
      <c r="H1034" s="31">
        <v>1501289185060</v>
      </c>
      <c r="I1034" s="31">
        <v>41453058751</v>
      </c>
      <c r="J1034" s="21">
        <v>78220747162</v>
      </c>
      <c r="K1034" s="19">
        <v>8.1834883793658477</v>
      </c>
      <c r="L1034" s="23">
        <v>76460473376</v>
      </c>
      <c r="M1034" s="21">
        <v>1760273786</v>
      </c>
    </row>
    <row r="1035" spans="2:13" x14ac:dyDescent="0.3">
      <c r="B1035" s="4">
        <v>45377</v>
      </c>
      <c r="C1035" s="24">
        <v>7.9993277749880951</v>
      </c>
      <c r="E1035" s="4">
        <v>45378</v>
      </c>
      <c r="F1035" s="23">
        <v>1537858925986</v>
      </c>
      <c r="G1035" s="19">
        <v>2.3050692750817539</v>
      </c>
      <c r="H1035" s="31">
        <v>1497327262130</v>
      </c>
      <c r="I1035" s="31">
        <v>40531663856</v>
      </c>
      <c r="J1035" s="21">
        <v>70081284935</v>
      </c>
      <c r="K1035" s="19">
        <v>7.8858703155879759</v>
      </c>
      <c r="L1035" s="23">
        <v>68231538418</v>
      </c>
      <c r="M1035" s="21">
        <v>1849746517</v>
      </c>
    </row>
    <row r="1036" spans="2:13" x14ac:dyDescent="0.3">
      <c r="B1036" s="4">
        <v>45378</v>
      </c>
      <c r="C1036" s="24">
        <v>7.6777282821863091</v>
      </c>
      <c r="E1036" s="4">
        <v>45379</v>
      </c>
      <c r="F1036" s="23">
        <v>1542118391961</v>
      </c>
      <c r="G1036" s="19">
        <v>2.2893326023582277</v>
      </c>
      <c r="H1036" s="31">
        <v>1500934769527</v>
      </c>
      <c r="I1036" s="31">
        <v>41183622434</v>
      </c>
      <c r="J1036" s="21">
        <v>81177259046</v>
      </c>
      <c r="K1036" s="19">
        <v>8.7094312447847972</v>
      </c>
      <c r="L1036" s="23">
        <v>79130030928</v>
      </c>
      <c r="M1036" s="21">
        <v>2047228118</v>
      </c>
    </row>
    <row r="1037" spans="2:13" x14ac:dyDescent="0.3">
      <c r="B1037" s="4">
        <v>45379</v>
      </c>
      <c r="C1037" s="24">
        <v>8.4897860788152553</v>
      </c>
      <c r="E1037" s="4">
        <v>45380</v>
      </c>
      <c r="F1037" s="23">
        <v>1536787833160</v>
      </c>
      <c r="G1037" s="19">
        <v>2.2594810115095489</v>
      </c>
      <c r="H1037" s="31">
        <v>1495269424661</v>
      </c>
      <c r="I1037" s="31">
        <v>41518408499</v>
      </c>
      <c r="J1037" s="21">
        <v>74890091842</v>
      </c>
      <c r="K1037" s="19">
        <v>8.724457753521957</v>
      </c>
      <c r="L1037" s="23">
        <v>72762278405</v>
      </c>
      <c r="M1037" s="21">
        <v>2127813437</v>
      </c>
    </row>
    <row r="1038" spans="2:13" x14ac:dyDescent="0.3">
      <c r="B1038" s="4">
        <v>45380</v>
      </c>
      <c r="C1038" s="24">
        <v>8.4765742487500795</v>
      </c>
      <c r="E1038" s="4">
        <v>45383</v>
      </c>
      <c r="F1038" s="23">
        <v>1544869773475</v>
      </c>
      <c r="G1038" s="19">
        <v>2.2347410356796757</v>
      </c>
      <c r="H1038" s="31">
        <v>1502613092598</v>
      </c>
      <c r="I1038" s="31">
        <v>42256680877</v>
      </c>
      <c r="J1038" s="21">
        <v>94838040012</v>
      </c>
      <c r="K1038" s="19">
        <v>9.4925903236190159</v>
      </c>
      <c r="L1038" s="23">
        <v>93067117130</v>
      </c>
      <c r="M1038" s="21">
        <v>1770922882</v>
      </c>
    </row>
    <row r="1039" spans="2:13" x14ac:dyDescent="0.3">
      <c r="B1039" s="4">
        <v>45383</v>
      </c>
      <c r="C1039" s="24">
        <v>9.3153339672938369</v>
      </c>
      <c r="E1039" s="4">
        <v>45384</v>
      </c>
      <c r="F1039" s="23">
        <v>1546561635516</v>
      </c>
      <c r="G1039" s="19">
        <v>2.2407648489007883</v>
      </c>
      <c r="H1039" s="31">
        <v>1504066899345</v>
      </c>
      <c r="I1039" s="31">
        <v>42494736171</v>
      </c>
      <c r="J1039" s="21">
        <v>83689189495</v>
      </c>
      <c r="K1039" s="19">
        <v>8.6504689094156078</v>
      </c>
      <c r="L1039" s="23">
        <v>81537680380</v>
      </c>
      <c r="M1039" s="21">
        <v>2151509115</v>
      </c>
    </row>
    <row r="1040" spans="2:13" x14ac:dyDescent="0.3">
      <c r="B1040" s="4">
        <v>45384</v>
      </c>
      <c r="C1040" s="24">
        <v>8.4280798192602582</v>
      </c>
      <c r="E1040" s="4">
        <v>45385</v>
      </c>
      <c r="F1040" s="23">
        <v>1539926029118</v>
      </c>
      <c r="G1040" s="19">
        <v>2.238122623218219</v>
      </c>
      <c r="H1040" s="31">
        <v>1497458587970</v>
      </c>
      <c r="I1040" s="31">
        <v>42467441148</v>
      </c>
      <c r="J1040" s="21">
        <v>76333571509</v>
      </c>
      <c r="K1040" s="19">
        <v>8.3177068048156535</v>
      </c>
      <c r="L1040" s="23">
        <v>74187794826</v>
      </c>
      <c r="M1040" s="21">
        <v>2145776683</v>
      </c>
    </row>
    <row r="1041" spans="2:13" x14ac:dyDescent="0.3">
      <c r="B1041" s="4">
        <v>45385</v>
      </c>
      <c r="C1041" s="24">
        <v>8.083891709242673</v>
      </c>
      <c r="E1041" s="4">
        <v>45390</v>
      </c>
      <c r="F1041" s="23">
        <v>1545079491888</v>
      </c>
      <c r="G1041" s="19">
        <v>2.2692838975594869</v>
      </c>
      <c r="H1041" s="31">
        <v>1502445355715</v>
      </c>
      <c r="I1041" s="31">
        <v>42634136173</v>
      </c>
      <c r="J1041" s="21">
        <v>79394599856</v>
      </c>
      <c r="K1041" s="19">
        <v>8.5266792769338586</v>
      </c>
      <c r="L1041" s="23">
        <v>77018065696</v>
      </c>
      <c r="M1041" s="21">
        <v>2376534160</v>
      </c>
    </row>
    <row r="1042" spans="2:13" x14ac:dyDescent="0.3">
      <c r="B1042" s="4">
        <v>45390</v>
      </c>
      <c r="C1042" s="24">
        <v>8.2714485104868878</v>
      </c>
      <c r="E1042" s="4">
        <v>45391</v>
      </c>
      <c r="F1042" s="23">
        <v>1546412285710</v>
      </c>
      <c r="G1042" s="19">
        <v>2.2648003806772672</v>
      </c>
      <c r="H1042" s="31">
        <v>1503115139107</v>
      </c>
      <c r="I1042" s="31">
        <v>43297146603</v>
      </c>
      <c r="J1042" s="21">
        <v>64478083471</v>
      </c>
      <c r="K1042" s="19">
        <v>8.0999214887891053</v>
      </c>
      <c r="L1042" s="23">
        <v>62441438431</v>
      </c>
      <c r="M1042" s="21">
        <v>2036645040</v>
      </c>
    </row>
    <row r="1043" spans="2:13" x14ac:dyDescent="0.3">
      <c r="B1043" s="4">
        <v>45391</v>
      </c>
      <c r="C1043" s="24">
        <v>7.8440723066099949</v>
      </c>
      <c r="E1043" s="4">
        <v>45392</v>
      </c>
      <c r="F1043" s="23">
        <v>1542935055510</v>
      </c>
      <c r="G1043" s="19">
        <v>2.2831372859809376</v>
      </c>
      <c r="H1043" s="31">
        <v>1499916172140</v>
      </c>
      <c r="I1043" s="31">
        <v>43018883370</v>
      </c>
      <c r="J1043" s="21">
        <v>66513847444</v>
      </c>
      <c r="K1043" s="19">
        <v>8.0160048676536331</v>
      </c>
      <c r="L1043" s="23">
        <v>64758491027</v>
      </c>
      <c r="M1043" s="21">
        <v>1755356417</v>
      </c>
    </row>
    <row r="1044" spans="2:13" x14ac:dyDescent="0.3">
      <c r="B1044" s="4">
        <v>45392</v>
      </c>
      <c r="C1044" s="24">
        <v>7.8044557523361684</v>
      </c>
      <c r="E1044" s="4">
        <v>45393</v>
      </c>
      <c r="F1044" s="23">
        <v>1540533089422</v>
      </c>
      <c r="G1044" s="19">
        <v>2.275115144462883</v>
      </c>
      <c r="H1044" s="31">
        <v>1498374161578</v>
      </c>
      <c r="I1044" s="31">
        <v>42158927844</v>
      </c>
      <c r="J1044" s="21">
        <v>64658048246</v>
      </c>
      <c r="K1044" s="19">
        <v>7.9566839831816241</v>
      </c>
      <c r="L1044" s="23">
        <v>63977079894</v>
      </c>
      <c r="M1044" s="21">
        <v>680968352</v>
      </c>
    </row>
    <row r="1045" spans="2:13" x14ac:dyDescent="0.3">
      <c r="B1045" s="4">
        <v>45393</v>
      </c>
      <c r="C1045" s="24">
        <v>7.8728854441536971</v>
      </c>
      <c r="E1045" s="4">
        <v>45394</v>
      </c>
      <c r="F1045" s="23">
        <v>1535592846034</v>
      </c>
      <c r="G1045" s="19">
        <v>2.2808447344362941</v>
      </c>
      <c r="H1045" s="31">
        <v>1494655675736</v>
      </c>
      <c r="I1045" s="31">
        <v>40937170298</v>
      </c>
      <c r="J1045" s="21">
        <v>65631503359</v>
      </c>
      <c r="K1045" s="19">
        <v>8.1025148649558272</v>
      </c>
      <c r="L1045" s="23">
        <v>64686944059</v>
      </c>
      <c r="M1045" s="21">
        <v>944559300</v>
      </c>
    </row>
    <row r="1046" spans="2:13" x14ac:dyDescent="0.3">
      <c r="B1046" s="4">
        <v>45394</v>
      </c>
      <c r="C1046" s="24">
        <v>7.9859046186962042</v>
      </c>
      <c r="E1046" s="4">
        <v>45397</v>
      </c>
      <c r="F1046" s="23">
        <v>1532993013318</v>
      </c>
      <c r="G1046" s="19">
        <v>2.2583261042740577</v>
      </c>
      <c r="H1046" s="31">
        <v>1492065505779</v>
      </c>
      <c r="I1046" s="31">
        <v>40927507539</v>
      </c>
      <c r="J1046" s="21">
        <v>77220118190</v>
      </c>
      <c r="K1046" s="19">
        <v>7.7459896132488817</v>
      </c>
      <c r="L1046" s="23">
        <v>75619774904</v>
      </c>
      <c r="M1046" s="21">
        <v>1600343286</v>
      </c>
    </row>
    <row r="1047" spans="2:13" x14ac:dyDescent="0.3">
      <c r="B1047" s="4">
        <v>45397</v>
      </c>
      <c r="C1047" s="24">
        <v>7.585458358421123</v>
      </c>
      <c r="E1047" s="4">
        <v>45398</v>
      </c>
      <c r="F1047" s="23">
        <v>1523722712220</v>
      </c>
      <c r="G1047" s="19">
        <v>2.2974349180133546</v>
      </c>
      <c r="H1047" s="31">
        <v>1484671156205</v>
      </c>
      <c r="I1047" s="31">
        <v>39051556015</v>
      </c>
      <c r="J1047" s="21">
        <v>70089574049</v>
      </c>
      <c r="K1047" s="19">
        <v>7.4028650056383478</v>
      </c>
      <c r="L1047" s="23">
        <v>68593573795</v>
      </c>
      <c r="M1047" s="21">
        <v>1496000254</v>
      </c>
    </row>
    <row r="1048" spans="2:13" x14ac:dyDescent="0.3">
      <c r="B1048" s="4">
        <v>45398</v>
      </c>
      <c r="C1048" s="24">
        <v>7.2448573692811866</v>
      </c>
      <c r="E1048" s="4">
        <v>45399</v>
      </c>
      <c r="F1048" s="23">
        <v>1530015281760</v>
      </c>
      <c r="G1048" s="19">
        <v>2.2481710334953777</v>
      </c>
      <c r="H1048" s="31">
        <v>1489414483905</v>
      </c>
      <c r="I1048" s="31">
        <v>40600797855</v>
      </c>
      <c r="J1048" s="21">
        <v>75697144782</v>
      </c>
      <c r="K1048" s="19">
        <v>8.2437250407573686</v>
      </c>
      <c r="L1048" s="23">
        <v>74069209873</v>
      </c>
      <c r="M1048" s="21">
        <v>1627934909</v>
      </c>
    </row>
    <row r="1049" spans="2:13" x14ac:dyDescent="0.3">
      <c r="B1049" s="4">
        <v>45399</v>
      </c>
      <c r="C1049" s="24">
        <v>8.0664363489223572</v>
      </c>
      <c r="E1049" s="4">
        <v>45400</v>
      </c>
      <c r="F1049" s="23">
        <v>1532204457186</v>
      </c>
      <c r="G1049" s="19">
        <v>2.2502651517744039</v>
      </c>
      <c r="H1049" s="31">
        <v>1491716102262</v>
      </c>
      <c r="I1049" s="31">
        <v>40488354924</v>
      </c>
      <c r="J1049" s="21">
        <v>80938852990</v>
      </c>
      <c r="K1049" s="19">
        <v>8.5253195798199712</v>
      </c>
      <c r="L1049" s="23">
        <v>79457396923</v>
      </c>
      <c r="M1049" s="21">
        <v>1481456067</v>
      </c>
    </row>
    <row r="1050" spans="2:13" x14ac:dyDescent="0.3">
      <c r="B1050" s="4">
        <v>45400</v>
      </c>
      <c r="C1050" s="24">
        <v>8.369277259623038</v>
      </c>
      <c r="E1050" s="4">
        <v>45401</v>
      </c>
      <c r="F1050" s="23">
        <v>1527010232479</v>
      </c>
      <c r="G1050" s="19">
        <v>2.2520374234367617</v>
      </c>
      <c r="H1050" s="31">
        <v>1487180310692</v>
      </c>
      <c r="I1050" s="31">
        <v>39829921787</v>
      </c>
      <c r="J1050" s="21">
        <v>72740266922</v>
      </c>
      <c r="K1050" s="19">
        <v>8.4577101885745769</v>
      </c>
      <c r="L1050" s="23">
        <v>71166881500</v>
      </c>
      <c r="M1050" s="21">
        <v>1573385422</v>
      </c>
    </row>
    <row r="1051" spans="2:13" x14ac:dyDescent="0.3">
      <c r="B1051" s="4">
        <v>45401</v>
      </c>
      <c r="C1051" s="24">
        <v>8.274768353504415</v>
      </c>
      <c r="E1051" s="4">
        <v>45404</v>
      </c>
      <c r="F1051" s="23">
        <v>1527561066282</v>
      </c>
      <c r="G1051" s="19">
        <v>2.2656644278925482</v>
      </c>
      <c r="H1051" s="31">
        <v>1487743640804</v>
      </c>
      <c r="I1051" s="31">
        <v>39817425478</v>
      </c>
      <c r="J1051" s="21">
        <v>66426228602</v>
      </c>
      <c r="K1051" s="19">
        <v>8.0833973728231641</v>
      </c>
      <c r="L1051" s="23">
        <v>64812864661</v>
      </c>
      <c r="M1051" s="21">
        <v>1613363941</v>
      </c>
    </row>
    <row r="1052" spans="2:13" x14ac:dyDescent="0.3">
      <c r="B1052" s="4">
        <v>45404</v>
      </c>
      <c r="C1052" s="24">
        <v>7.8870673670926514</v>
      </c>
      <c r="E1052" s="4">
        <v>45405</v>
      </c>
      <c r="F1052" s="23">
        <v>1524365910591</v>
      </c>
      <c r="G1052" s="19">
        <v>2.2737326319711899</v>
      </c>
      <c r="H1052" s="31">
        <v>1484743565469</v>
      </c>
      <c r="I1052" s="31">
        <v>39622345122</v>
      </c>
      <c r="J1052" s="21">
        <v>60262509321</v>
      </c>
      <c r="K1052" s="19">
        <v>7.7750944827478152</v>
      </c>
      <c r="L1052" s="23">
        <v>58816274341</v>
      </c>
      <c r="M1052" s="21">
        <v>1446234980</v>
      </c>
    </row>
    <row r="1053" spans="2:13" x14ac:dyDescent="0.3">
      <c r="B1053" s="4">
        <v>45405</v>
      </c>
      <c r="C1053" s="24">
        <v>7.588500632932198</v>
      </c>
      <c r="E1053" s="4">
        <v>45406</v>
      </c>
      <c r="F1053" s="23">
        <v>1524599554522</v>
      </c>
      <c r="G1053" s="19">
        <v>2.2534561342689394</v>
      </c>
      <c r="H1053" s="31">
        <v>1484757881032</v>
      </c>
      <c r="I1053" s="31">
        <v>39841673490</v>
      </c>
      <c r="J1053" s="21">
        <v>65537862877</v>
      </c>
      <c r="K1053" s="19">
        <v>8.2421134462090677</v>
      </c>
      <c r="L1053" s="23">
        <v>64087928293</v>
      </c>
      <c r="M1053" s="21">
        <v>1449934584</v>
      </c>
    </row>
    <row r="1054" spans="2:13" x14ac:dyDescent="0.3">
      <c r="B1054" s="4">
        <v>45406</v>
      </c>
      <c r="C1054" s="24">
        <v>8.0597680842106385</v>
      </c>
      <c r="E1054" s="4">
        <v>45407</v>
      </c>
      <c r="F1054" s="23">
        <v>1523721234665</v>
      </c>
      <c r="G1054" s="19">
        <v>2.2468343782931175</v>
      </c>
      <c r="H1054" s="31">
        <v>1484192832215</v>
      </c>
      <c r="I1054" s="31">
        <v>39528402450</v>
      </c>
      <c r="J1054" s="21">
        <v>63866797254</v>
      </c>
      <c r="K1054" s="19">
        <v>8.2498542788056159</v>
      </c>
      <c r="L1054" s="23">
        <v>62356636018</v>
      </c>
      <c r="M1054" s="21">
        <v>1510161236</v>
      </c>
    </row>
    <row r="1055" spans="2:13" x14ac:dyDescent="0.3">
      <c r="B1055" s="4">
        <v>45407</v>
      </c>
      <c r="C1055" s="24">
        <v>8.0547824939319721</v>
      </c>
      <c r="E1055" s="4">
        <v>45408</v>
      </c>
      <c r="F1055" s="23">
        <v>1519795047583</v>
      </c>
      <c r="G1055" s="19">
        <v>2.2085360324133103</v>
      </c>
      <c r="H1055" s="31">
        <v>1480782433718</v>
      </c>
      <c r="I1055" s="31">
        <v>39012613865</v>
      </c>
      <c r="J1055" s="21">
        <v>96245222255</v>
      </c>
      <c r="K1055" s="19">
        <v>8.861601163232935</v>
      </c>
      <c r="L1055" s="23">
        <v>94769019125</v>
      </c>
      <c r="M1055" s="21">
        <v>1476203130</v>
      </c>
    </row>
    <row r="1056" spans="2:13" x14ac:dyDescent="0.3">
      <c r="B1056" s="4">
        <v>45408</v>
      </c>
      <c r="C1056" s="24">
        <v>8.7256824852198402</v>
      </c>
      <c r="E1056" s="4">
        <v>45411</v>
      </c>
      <c r="F1056" s="23">
        <v>1525567769799</v>
      </c>
      <c r="G1056" s="19">
        <v>2.187792189722864</v>
      </c>
      <c r="H1056" s="31">
        <v>1486432305061</v>
      </c>
      <c r="I1056" s="31">
        <v>39135464738</v>
      </c>
      <c r="J1056" s="21">
        <v>111206311375</v>
      </c>
      <c r="K1056" s="19">
        <v>9.1843408916982057</v>
      </c>
      <c r="L1056" s="23">
        <v>109453656513</v>
      </c>
      <c r="M1056" s="21">
        <v>1752654862</v>
      </c>
    </row>
    <row r="1057" spans="2:13" x14ac:dyDescent="0.3">
      <c r="B1057" s="4">
        <v>45411</v>
      </c>
      <c r="C1057" s="24">
        <v>9.0395920953477944</v>
      </c>
      <c r="E1057" s="4">
        <v>45412</v>
      </c>
      <c r="F1057" s="23">
        <v>1510894032730</v>
      </c>
      <c r="G1057" s="19">
        <v>2.1760167994844526</v>
      </c>
      <c r="H1057" s="31">
        <v>1472855448265</v>
      </c>
      <c r="I1057" s="31">
        <v>38038584465</v>
      </c>
      <c r="J1057" s="21">
        <v>84160600330</v>
      </c>
      <c r="K1057" s="19">
        <v>8.1692862877510652</v>
      </c>
      <c r="L1057" s="23">
        <v>82388832222</v>
      </c>
      <c r="M1057" s="21">
        <v>1771768108</v>
      </c>
    </row>
    <row r="1058" spans="2:13" x14ac:dyDescent="0.3">
      <c r="B1058" s="4">
        <v>45412</v>
      </c>
      <c r="C1058" s="24">
        <v>7.9973046139867972</v>
      </c>
      <c r="E1058" s="4">
        <v>45418</v>
      </c>
      <c r="F1058" s="23">
        <v>1526755673911</v>
      </c>
      <c r="G1058" s="19">
        <v>2.1666984435941257</v>
      </c>
      <c r="H1058" s="31">
        <v>1487897075924</v>
      </c>
      <c r="I1058" s="31">
        <v>38858597987</v>
      </c>
      <c r="J1058" s="21">
        <v>103384553850</v>
      </c>
      <c r="K1058" s="19">
        <v>9.3809911206821859</v>
      </c>
      <c r="L1058" s="23">
        <v>101460548358</v>
      </c>
      <c r="M1058" s="21">
        <v>1924005492</v>
      </c>
    </row>
    <row r="1059" spans="2:13" x14ac:dyDescent="0.3">
      <c r="B1059" s="4">
        <v>45418</v>
      </c>
      <c r="C1059" s="24">
        <v>9.2064091568930593</v>
      </c>
      <c r="E1059" s="4">
        <v>45419</v>
      </c>
      <c r="F1059" s="23">
        <v>1529962124405</v>
      </c>
      <c r="G1059" s="19">
        <v>2.1665496955262635</v>
      </c>
      <c r="H1059" s="31">
        <v>1490846585474</v>
      </c>
      <c r="I1059" s="31">
        <v>39115538931</v>
      </c>
      <c r="J1059" s="21">
        <v>85903164693</v>
      </c>
      <c r="K1059" s="19">
        <v>8.8701373614221257</v>
      </c>
      <c r="L1059" s="23">
        <v>84188984459</v>
      </c>
      <c r="M1059" s="21">
        <v>1714180234</v>
      </c>
    </row>
    <row r="1060" spans="2:13" x14ac:dyDescent="0.3">
      <c r="B1060" s="4">
        <v>45419</v>
      </c>
      <c r="C1060" s="24">
        <v>8.6931355688554106</v>
      </c>
      <c r="E1060" s="4">
        <v>45420</v>
      </c>
      <c r="F1060" s="23">
        <v>1533614967144</v>
      </c>
      <c r="G1060" s="19">
        <v>2.1908674187859587</v>
      </c>
      <c r="H1060" s="31">
        <v>1494665886949</v>
      </c>
      <c r="I1060" s="31">
        <v>38949080195</v>
      </c>
      <c r="J1060" s="21">
        <v>75345059403</v>
      </c>
      <c r="K1060" s="19">
        <v>8.7185304287400349</v>
      </c>
      <c r="L1060" s="23">
        <v>73493610772</v>
      </c>
      <c r="M1060" s="21">
        <v>1851448631</v>
      </c>
    </row>
    <row r="1061" spans="2:13" x14ac:dyDescent="0.3">
      <c r="B1061" s="4">
        <v>45420</v>
      </c>
      <c r="C1061" s="24">
        <v>8.5042906185318561</v>
      </c>
      <c r="E1061" s="4">
        <v>45421</v>
      </c>
      <c r="F1061" s="23">
        <v>1534949981157</v>
      </c>
      <c r="G1061" s="19">
        <v>2.1712197443899113</v>
      </c>
      <c r="H1061" s="31">
        <v>1495084011764</v>
      </c>
      <c r="I1061" s="31">
        <v>39865969393</v>
      </c>
      <c r="J1061" s="21">
        <v>79426240986</v>
      </c>
      <c r="K1061" s="19">
        <v>8.8157740447756829</v>
      </c>
      <c r="L1061" s="23">
        <v>77773028171</v>
      </c>
      <c r="M1061" s="21">
        <v>1653212815</v>
      </c>
    </row>
    <row r="1062" spans="2:13" x14ac:dyDescent="0.3">
      <c r="B1062" s="4">
        <v>45421</v>
      </c>
      <c r="C1062" s="24">
        <v>8.6322786351473138</v>
      </c>
      <c r="E1062" s="4">
        <v>45422</v>
      </c>
      <c r="F1062" s="23">
        <v>1532822264072</v>
      </c>
      <c r="G1062" s="19">
        <v>2.172237101058724</v>
      </c>
      <c r="H1062" s="31">
        <v>1493512443408</v>
      </c>
      <c r="I1062" s="31">
        <v>39309820664</v>
      </c>
      <c r="J1062" s="21">
        <v>78540214260</v>
      </c>
      <c r="K1062" s="19">
        <v>8.6087185025327315</v>
      </c>
      <c r="L1062" s="23">
        <v>76615233827</v>
      </c>
      <c r="M1062" s="21">
        <v>1924980433</v>
      </c>
    </row>
    <row r="1063" spans="2:13" x14ac:dyDescent="0.3">
      <c r="B1063" s="4">
        <v>45422</v>
      </c>
      <c r="C1063" s="24">
        <v>8.3977232203487304</v>
      </c>
      <c r="E1063" s="4">
        <v>45425</v>
      </c>
      <c r="F1063" s="23">
        <v>1534514382038</v>
      </c>
      <c r="G1063" s="19">
        <v>2.1832118440433175</v>
      </c>
      <c r="H1063" s="31">
        <v>1495404738630</v>
      </c>
      <c r="I1063" s="31">
        <v>39109643408</v>
      </c>
      <c r="J1063" s="21">
        <v>76590139671</v>
      </c>
      <c r="K1063" s="19">
        <v>8.4211083744440387</v>
      </c>
      <c r="L1063" s="23">
        <v>74599953725</v>
      </c>
      <c r="M1063" s="21">
        <v>1990185946</v>
      </c>
    </row>
    <row r="1064" spans="2:13" x14ac:dyDescent="0.3">
      <c r="B1064" s="4">
        <v>45425</v>
      </c>
      <c r="C1064" s="24">
        <v>8.202286844563643</v>
      </c>
      <c r="E1064" s="4">
        <v>45426</v>
      </c>
      <c r="F1064" s="23">
        <v>1536481001027</v>
      </c>
      <c r="G1064" s="19">
        <v>2.1850825532222982</v>
      </c>
      <c r="H1064" s="31">
        <v>1496964729500</v>
      </c>
      <c r="I1064" s="31">
        <v>39516271527</v>
      </c>
      <c r="J1064" s="21">
        <v>70383728590</v>
      </c>
      <c r="K1064" s="19">
        <v>8.5378881442673631</v>
      </c>
      <c r="L1064" s="23">
        <v>68699615235</v>
      </c>
      <c r="M1064" s="21">
        <v>1684113355</v>
      </c>
    </row>
    <row r="1065" spans="2:13" x14ac:dyDescent="0.3">
      <c r="B1065" s="4">
        <v>45426</v>
      </c>
      <c r="C1065" s="24">
        <v>8.33359701426747</v>
      </c>
      <c r="E1065" s="4">
        <v>45427</v>
      </c>
      <c r="F1065" s="23">
        <v>1534565260754</v>
      </c>
      <c r="G1065" s="19">
        <v>2.1998947737962724</v>
      </c>
      <c r="H1065" s="31">
        <v>1495323817974</v>
      </c>
      <c r="I1065" s="31">
        <v>39241442780</v>
      </c>
      <c r="J1065" s="21">
        <v>69427625882</v>
      </c>
      <c r="K1065" s="19">
        <v>9.1249597267120173</v>
      </c>
      <c r="L1065" s="23">
        <v>67996419339</v>
      </c>
      <c r="M1065" s="21">
        <v>1431206543</v>
      </c>
    </row>
    <row r="1066" spans="2:13" x14ac:dyDescent="0.3">
      <c r="B1066" s="4">
        <v>45427</v>
      </c>
      <c r="C1066" s="24">
        <v>8.9368544602626336</v>
      </c>
      <c r="E1066" s="4">
        <v>45428</v>
      </c>
      <c r="F1066" s="23">
        <v>1537215799415</v>
      </c>
      <c r="G1066" s="19">
        <v>2.1995720978411373</v>
      </c>
      <c r="H1066" s="31">
        <v>1497963262538</v>
      </c>
      <c r="I1066" s="31">
        <v>39252536877</v>
      </c>
      <c r="J1066" s="21">
        <v>75608229723</v>
      </c>
      <c r="K1066" s="19">
        <v>8.9202327615705421</v>
      </c>
      <c r="L1066" s="23">
        <v>73905957525</v>
      </c>
      <c r="M1066" s="21">
        <v>1702272198</v>
      </c>
    </row>
    <row r="1067" spans="2:13" x14ac:dyDescent="0.3">
      <c r="B1067" s="4">
        <v>45428</v>
      </c>
      <c r="C1067" s="24">
        <v>8.7193992771027649</v>
      </c>
      <c r="E1067" s="4">
        <v>45429</v>
      </c>
      <c r="F1067" s="23">
        <v>1533032520103</v>
      </c>
      <c r="G1067" s="19">
        <v>2.1703612125898157</v>
      </c>
      <c r="H1067" s="31">
        <v>1493434833450</v>
      </c>
      <c r="I1067" s="31">
        <v>39597686653</v>
      </c>
      <c r="J1067" s="21">
        <v>78304928135</v>
      </c>
      <c r="K1067" s="19">
        <v>8.8263727606745537</v>
      </c>
      <c r="L1067" s="23">
        <v>76637895623</v>
      </c>
      <c r="M1067" s="21">
        <v>1667032512</v>
      </c>
    </row>
    <row r="1068" spans="2:13" x14ac:dyDescent="0.3">
      <c r="B1068" s="4">
        <v>45429</v>
      </c>
      <c r="C1068" s="24">
        <v>8.6384682353079185</v>
      </c>
      <c r="E1068" s="4">
        <v>45432</v>
      </c>
      <c r="F1068" s="23">
        <v>1535770462284</v>
      </c>
      <c r="G1068" s="19">
        <v>2.1621001239990356</v>
      </c>
      <c r="H1068" s="31">
        <v>1496261789059</v>
      </c>
      <c r="I1068" s="31">
        <v>39508673225</v>
      </c>
      <c r="J1068" s="21">
        <v>90073626664</v>
      </c>
      <c r="K1068" s="19">
        <v>9.0509963042875956</v>
      </c>
      <c r="L1068" s="23">
        <v>88544448950</v>
      </c>
      <c r="M1068" s="21">
        <v>1529177714</v>
      </c>
    </row>
    <row r="1069" spans="2:13" x14ac:dyDescent="0.3">
      <c r="B1069" s="4">
        <v>45432</v>
      </c>
      <c r="C1069" s="24">
        <v>8.897337765705128</v>
      </c>
      <c r="E1069" s="4">
        <v>45433</v>
      </c>
      <c r="F1069" s="23">
        <v>1537055796622</v>
      </c>
      <c r="G1069" s="19">
        <v>2.1756018301583779</v>
      </c>
      <c r="H1069" s="31">
        <v>1497684498586</v>
      </c>
      <c r="I1069" s="31">
        <v>39371298036</v>
      </c>
      <c r="J1069" s="21">
        <v>69976162838</v>
      </c>
      <c r="K1069" s="19">
        <v>8.757399083724934</v>
      </c>
      <c r="L1069" s="23">
        <v>68333281965</v>
      </c>
      <c r="M1069" s="21">
        <v>1642880873</v>
      </c>
    </row>
    <row r="1070" spans="2:13" x14ac:dyDescent="0.3">
      <c r="B1070" s="4">
        <v>45433</v>
      </c>
      <c r="C1070" s="24">
        <v>8.5517953056900158</v>
      </c>
      <c r="E1070" s="4">
        <v>45434</v>
      </c>
      <c r="F1070" s="23">
        <v>1539459121696</v>
      </c>
      <c r="G1070" s="19">
        <v>2.17791198528684</v>
      </c>
      <c r="H1070" s="31">
        <v>1499788520909</v>
      </c>
      <c r="I1070" s="31">
        <v>39670600787</v>
      </c>
      <c r="J1070" s="21">
        <v>75146429901</v>
      </c>
      <c r="K1070" s="19">
        <v>9.0421425376701592</v>
      </c>
      <c r="L1070" s="23">
        <v>73549356572</v>
      </c>
      <c r="M1070" s="21">
        <v>1597073329</v>
      </c>
    </row>
    <row r="1071" spans="2:13" x14ac:dyDescent="0.3">
      <c r="B1071" s="4">
        <v>45434</v>
      </c>
      <c r="C1071" s="24">
        <v>8.8499715362938556</v>
      </c>
      <c r="E1071" s="4">
        <v>45435</v>
      </c>
      <c r="F1071" s="23">
        <v>1536829280372</v>
      </c>
      <c r="G1071" s="19">
        <v>2.2063535045619425</v>
      </c>
      <c r="H1071" s="31">
        <v>1497550901591</v>
      </c>
      <c r="I1071" s="31">
        <v>39278378781</v>
      </c>
      <c r="J1071" s="21">
        <v>74122825904</v>
      </c>
      <c r="K1071" s="19">
        <v>8.7463800557859361</v>
      </c>
      <c r="L1071" s="23">
        <v>72409450550</v>
      </c>
      <c r="M1071" s="21">
        <v>1713375354</v>
      </c>
    </row>
    <row r="1072" spans="2:13" x14ac:dyDescent="0.3">
      <c r="B1072" s="4">
        <v>45435</v>
      </c>
      <c r="C1072" s="24">
        <v>8.5442043853155507</v>
      </c>
      <c r="E1072" s="4">
        <v>45436</v>
      </c>
      <c r="F1072" s="23">
        <v>1529122008350</v>
      </c>
      <c r="G1072" s="19">
        <v>2.2162408460464365</v>
      </c>
      <c r="H1072" s="31">
        <v>1490947826963</v>
      </c>
      <c r="I1072" s="31">
        <v>38174181387</v>
      </c>
      <c r="J1072" s="21">
        <v>64230766774</v>
      </c>
      <c r="K1072" s="19">
        <v>8.4098732837517023</v>
      </c>
      <c r="L1072" s="23">
        <v>62696159173</v>
      </c>
      <c r="M1072" s="21">
        <v>1534607601</v>
      </c>
    </row>
    <row r="1073" spans="2:13" x14ac:dyDescent="0.3">
      <c r="B1073" s="4">
        <v>45436</v>
      </c>
      <c r="C1073" s="24">
        <v>8.2089437897896858</v>
      </c>
      <c r="E1073" s="4">
        <v>45439</v>
      </c>
      <c r="F1073" s="23">
        <v>1529411917872</v>
      </c>
      <c r="G1073" s="19">
        <v>2.1922002519235457</v>
      </c>
      <c r="H1073" s="31">
        <v>1490958816641</v>
      </c>
      <c r="I1073" s="31">
        <v>38453101231</v>
      </c>
      <c r="J1073" s="21">
        <v>62892902575</v>
      </c>
      <c r="K1073" s="19">
        <v>8.1189416238600849</v>
      </c>
      <c r="L1073" s="23">
        <v>61244608073</v>
      </c>
      <c r="M1073" s="21">
        <v>1648294502</v>
      </c>
    </row>
    <row r="1074" spans="2:13" x14ac:dyDescent="0.3">
      <c r="B1074" s="4">
        <v>45439</v>
      </c>
      <c r="C1074" s="24">
        <v>7.9061607488685235</v>
      </c>
      <c r="E1074" s="4">
        <v>45440</v>
      </c>
      <c r="F1074" s="23">
        <v>1529580094691</v>
      </c>
      <c r="G1074" s="19">
        <v>2.2077671378871937</v>
      </c>
      <c r="H1074" s="31">
        <v>1491181935900</v>
      </c>
      <c r="I1074" s="31">
        <v>38398158791</v>
      </c>
      <c r="J1074" s="21">
        <v>61389961487</v>
      </c>
      <c r="K1074" s="19">
        <v>8.2784113395628509</v>
      </c>
      <c r="L1074" s="23">
        <v>59662232622</v>
      </c>
      <c r="M1074" s="21">
        <v>1727728865</v>
      </c>
    </row>
    <row r="1075" spans="2:13" x14ac:dyDescent="0.3">
      <c r="B1075" s="4">
        <v>45440</v>
      </c>
      <c r="C1075" s="24">
        <v>8.0454278047754126</v>
      </c>
      <c r="E1075" s="4">
        <v>45441</v>
      </c>
      <c r="F1075" s="23">
        <v>1529377397996</v>
      </c>
      <c r="G1075" s="19">
        <v>2.2050073198504894</v>
      </c>
      <c r="H1075" s="31">
        <v>1490587339492</v>
      </c>
      <c r="I1075" s="31">
        <v>38790058504</v>
      </c>
      <c r="J1075" s="21">
        <v>58373569566</v>
      </c>
      <c r="K1075" s="19">
        <v>8.2425144622300195</v>
      </c>
      <c r="L1075" s="23">
        <v>56866467546</v>
      </c>
      <c r="M1075" s="21">
        <v>1507102020</v>
      </c>
    </row>
    <row r="1076" spans="2:13" x14ac:dyDescent="0.3">
      <c r="B1076" s="4">
        <v>45441</v>
      </c>
      <c r="C1076" s="24">
        <v>8.0297073598330897</v>
      </c>
      <c r="E1076" s="4">
        <v>45442</v>
      </c>
      <c r="F1076" s="23">
        <v>1528468840498</v>
      </c>
      <c r="G1076" s="19">
        <v>2.2173560186789203</v>
      </c>
      <c r="H1076" s="31">
        <v>1489651166556</v>
      </c>
      <c r="I1076" s="31">
        <v>38817673942</v>
      </c>
      <c r="J1076" s="21">
        <v>61047897498</v>
      </c>
      <c r="K1076" s="19">
        <v>8.4431689510765189</v>
      </c>
      <c r="L1076" s="23">
        <v>59628940718</v>
      </c>
      <c r="M1076" s="21">
        <v>1418956780</v>
      </c>
    </row>
    <row r="1077" spans="2:13" x14ac:dyDescent="0.3">
      <c r="B1077" s="4">
        <v>45442</v>
      </c>
      <c r="C1077" s="24">
        <v>8.2469215401282874</v>
      </c>
      <c r="E1077" s="4">
        <v>45443</v>
      </c>
      <c r="F1077" s="23">
        <v>1525370607260</v>
      </c>
      <c r="G1077" s="19">
        <v>2.2145125323804322</v>
      </c>
      <c r="H1077" s="31">
        <v>1487188566475</v>
      </c>
      <c r="I1077" s="31">
        <v>38182040785</v>
      </c>
      <c r="J1077" s="21">
        <v>56112920031</v>
      </c>
      <c r="K1077" s="19">
        <v>7.8535441722113726</v>
      </c>
      <c r="L1077" s="23">
        <v>54739780936</v>
      </c>
      <c r="M1077" s="21">
        <v>1373139095</v>
      </c>
    </row>
    <row r="1078" spans="2:13" x14ac:dyDescent="0.3">
      <c r="B1078" s="4">
        <v>45443</v>
      </c>
      <c r="C1078" s="24">
        <v>7.6613601167172876</v>
      </c>
      <c r="E1078" s="4">
        <v>45446</v>
      </c>
      <c r="F1078" s="23">
        <v>1523853106475</v>
      </c>
      <c r="G1078" s="19">
        <v>2.2201578108867999</v>
      </c>
      <c r="H1078" s="31">
        <v>1485845788426</v>
      </c>
      <c r="I1078" s="31">
        <v>38007318049</v>
      </c>
      <c r="J1078" s="21">
        <v>65982625444</v>
      </c>
      <c r="K1078" s="19">
        <v>7.9466573960769642</v>
      </c>
      <c r="L1078" s="23">
        <v>64156902791</v>
      </c>
      <c r="M1078" s="21">
        <v>1825722653</v>
      </c>
    </row>
    <row r="1079" spans="2:13" x14ac:dyDescent="0.3">
      <c r="B1079" s="4">
        <v>45446</v>
      </c>
      <c r="C1079" s="24">
        <v>7.7267753843197768</v>
      </c>
      <c r="E1079" s="4">
        <v>45447</v>
      </c>
      <c r="F1079" s="23">
        <v>1520721769170</v>
      </c>
      <c r="G1079" s="19">
        <v>2.2053229770097222</v>
      </c>
      <c r="H1079" s="31">
        <v>1482278889222</v>
      </c>
      <c r="I1079" s="31">
        <v>38442879948</v>
      </c>
      <c r="J1079" s="21">
        <v>58272813368</v>
      </c>
      <c r="K1079" s="19">
        <v>7.8165584366085898</v>
      </c>
      <c r="L1079" s="23">
        <v>56534975792</v>
      </c>
      <c r="M1079" s="21">
        <v>1737837576</v>
      </c>
    </row>
    <row r="1080" spans="2:13" x14ac:dyDescent="0.3">
      <c r="B1080" s="4">
        <v>45447</v>
      </c>
      <c r="C1080" s="24">
        <v>7.5834495787891782</v>
      </c>
      <c r="E1080" s="4">
        <v>45448</v>
      </c>
      <c r="F1080" s="23">
        <v>1519254468319</v>
      </c>
      <c r="G1080" s="19">
        <v>2.2242127500627586</v>
      </c>
      <c r="H1080" s="31">
        <v>1481190263166</v>
      </c>
      <c r="I1080" s="31">
        <v>38064205153</v>
      </c>
      <c r="J1080" s="21">
        <v>56165835541</v>
      </c>
      <c r="K1080" s="19">
        <v>8.159259561020578</v>
      </c>
      <c r="L1080" s="23">
        <v>54824349011</v>
      </c>
      <c r="M1080" s="21">
        <v>1341486530</v>
      </c>
    </row>
    <row r="1081" spans="2:13" x14ac:dyDescent="0.3">
      <c r="B1081" s="4">
        <v>45448</v>
      </c>
      <c r="C1081" s="24">
        <v>7.964380651262478</v>
      </c>
      <c r="E1081" s="4">
        <v>45449</v>
      </c>
      <c r="F1081" s="23">
        <v>1511804693162</v>
      </c>
      <c r="G1081" s="19">
        <v>2.2326411432014734</v>
      </c>
      <c r="H1081" s="31">
        <v>1475048970447</v>
      </c>
      <c r="I1081" s="31">
        <v>36755722715</v>
      </c>
      <c r="J1081" s="21">
        <v>68623681322</v>
      </c>
      <c r="K1081" s="19">
        <v>8.1158930142890657</v>
      </c>
      <c r="L1081" s="23">
        <v>67155705337</v>
      </c>
      <c r="M1081" s="21">
        <v>1467975985</v>
      </c>
    </row>
    <row r="1082" spans="2:13" x14ac:dyDescent="0.3">
      <c r="B1082" s="4">
        <v>45449</v>
      </c>
      <c r="C1082" s="24">
        <v>7.9422804098311044</v>
      </c>
      <c r="E1082" s="4">
        <v>45450</v>
      </c>
      <c r="F1082" s="23">
        <v>1502792123521</v>
      </c>
      <c r="G1082" s="19">
        <v>2.2182116662852067</v>
      </c>
      <c r="H1082" s="31">
        <v>1468646783133</v>
      </c>
      <c r="I1082" s="31">
        <v>34145340388</v>
      </c>
      <c r="J1082" s="21">
        <v>56757887371</v>
      </c>
      <c r="K1082" s="19">
        <v>7.9201469849513533</v>
      </c>
      <c r="L1082" s="23">
        <v>55036928039</v>
      </c>
      <c r="M1082" s="21">
        <v>1720959332</v>
      </c>
    </row>
    <row r="1083" spans="2:13" x14ac:dyDescent="0.3">
      <c r="B1083" s="4">
        <v>45450</v>
      </c>
      <c r="C1083" s="24">
        <v>7.6799997297255009</v>
      </c>
      <c r="E1083" s="4">
        <v>45454</v>
      </c>
      <c r="F1083" s="23">
        <v>1506949969258</v>
      </c>
      <c r="G1083" s="19">
        <v>2.2320894625730658</v>
      </c>
      <c r="H1083" s="31">
        <v>1473312983847</v>
      </c>
      <c r="I1083" s="31">
        <v>33636985411</v>
      </c>
      <c r="J1083" s="21">
        <v>60361340163</v>
      </c>
      <c r="K1083" s="19">
        <v>8.5893793819740765</v>
      </c>
      <c r="L1083" s="23">
        <v>58625308281</v>
      </c>
      <c r="M1083" s="21">
        <v>1736031882</v>
      </c>
    </row>
    <row r="1084" spans="2:13" x14ac:dyDescent="0.3">
      <c r="B1084" s="4">
        <v>45454</v>
      </c>
      <c r="C1084" s="24">
        <v>8.342343176127196</v>
      </c>
      <c r="E1084" s="4">
        <v>45455</v>
      </c>
      <c r="F1084" s="23">
        <v>1508905293578</v>
      </c>
      <c r="G1084" s="19">
        <v>2.2267770070806039</v>
      </c>
      <c r="H1084" s="31">
        <v>1475051029833</v>
      </c>
      <c r="I1084" s="31">
        <v>33854263745</v>
      </c>
      <c r="J1084" s="21">
        <v>58032770277</v>
      </c>
      <c r="K1084" s="19">
        <v>8.3896550426767202</v>
      </c>
      <c r="L1084" s="23">
        <v>56449875493</v>
      </c>
      <c r="M1084" s="21">
        <v>1582894784</v>
      </c>
    </row>
    <row r="1085" spans="2:13" x14ac:dyDescent="0.3">
      <c r="B1085" s="4">
        <v>45455</v>
      </c>
      <c r="C1085" s="24">
        <v>8.1608198321013017</v>
      </c>
      <c r="E1085" s="4">
        <v>45456</v>
      </c>
      <c r="F1085" s="23">
        <v>1509727734707</v>
      </c>
      <c r="G1085" s="19">
        <v>2.2382076024268942</v>
      </c>
      <c r="H1085" s="31">
        <v>1475845126452</v>
      </c>
      <c r="I1085" s="31">
        <v>33882608255</v>
      </c>
      <c r="J1085" s="21">
        <v>64102561655</v>
      </c>
      <c r="K1085" s="19">
        <v>8.5203117270010171</v>
      </c>
      <c r="L1085" s="23">
        <v>62492878286</v>
      </c>
      <c r="M1085" s="21">
        <v>1609683369</v>
      </c>
    </row>
    <row r="1086" spans="2:13" x14ac:dyDescent="0.3">
      <c r="B1086" s="4">
        <v>45456</v>
      </c>
      <c r="C1086" s="24">
        <v>8.3063576550956952</v>
      </c>
      <c r="E1086" s="4">
        <v>45457</v>
      </c>
      <c r="F1086" s="23">
        <v>1505368713523</v>
      </c>
      <c r="G1086" s="19">
        <v>2.2265778170539643</v>
      </c>
      <c r="H1086" s="31">
        <v>1471751976516</v>
      </c>
      <c r="I1086" s="31">
        <v>33616737007</v>
      </c>
      <c r="J1086" s="21">
        <v>64813120309</v>
      </c>
      <c r="K1086" s="19">
        <v>7.6433821203360477</v>
      </c>
      <c r="L1086" s="23">
        <v>63146738262</v>
      </c>
      <c r="M1086" s="21">
        <v>1666382047</v>
      </c>
    </row>
    <row r="1087" spans="2:13" x14ac:dyDescent="0.3">
      <c r="B1087" s="4">
        <v>45457</v>
      </c>
      <c r="C1087" s="24">
        <v>7.4468664351944369</v>
      </c>
      <c r="E1087" s="4">
        <v>45460</v>
      </c>
      <c r="F1087" s="23">
        <v>1507900925060</v>
      </c>
      <c r="G1087" s="19">
        <v>2.2368095311096394</v>
      </c>
      <c r="H1087" s="31">
        <v>1474860593186</v>
      </c>
      <c r="I1087" s="31">
        <v>33040331874</v>
      </c>
      <c r="J1087" s="21">
        <v>61711506225</v>
      </c>
      <c r="K1087" s="19">
        <v>8.2124790853019238</v>
      </c>
      <c r="L1087" s="23">
        <v>60316666169</v>
      </c>
      <c r="M1087" s="21">
        <v>1394840056</v>
      </c>
    </row>
    <row r="1088" spans="2:13" x14ac:dyDescent="0.3">
      <c r="B1088" s="4">
        <v>45460</v>
      </c>
      <c r="C1088" s="24">
        <v>8.0268557633645834</v>
      </c>
      <c r="E1088" s="4">
        <v>45461</v>
      </c>
      <c r="F1088" s="23">
        <v>1510704978039</v>
      </c>
      <c r="G1088" s="19">
        <v>2.2282580663595652</v>
      </c>
      <c r="H1088" s="31">
        <v>1477870517214</v>
      </c>
      <c r="I1088" s="31">
        <v>32834460825</v>
      </c>
      <c r="J1088" s="21">
        <v>66116404784</v>
      </c>
      <c r="K1088" s="19">
        <v>8.9725572535090929</v>
      </c>
      <c r="L1088" s="23">
        <v>64512867059</v>
      </c>
      <c r="M1088" s="21">
        <v>1603537725</v>
      </c>
    </row>
    <row r="1089" spans="2:13" x14ac:dyDescent="0.3">
      <c r="B1089" s="4">
        <v>45461</v>
      </c>
      <c r="C1089" s="24">
        <v>8.7549435751379114</v>
      </c>
      <c r="E1089" s="4">
        <v>45462</v>
      </c>
      <c r="F1089" s="23">
        <v>1510514442386</v>
      </c>
      <c r="G1089" s="19">
        <v>2.2406092791656915</v>
      </c>
      <c r="H1089" s="31">
        <v>1477788433413</v>
      </c>
      <c r="I1089" s="31">
        <v>32726008973</v>
      </c>
      <c r="J1089" s="21">
        <v>60533934637</v>
      </c>
      <c r="K1089" s="19">
        <v>8.5910510541975178</v>
      </c>
      <c r="L1089" s="23">
        <v>58875856973</v>
      </c>
      <c r="M1089" s="21">
        <v>1658077664</v>
      </c>
    </row>
    <row r="1090" spans="2:13" x14ac:dyDescent="0.3">
      <c r="B1090" s="4">
        <v>45462</v>
      </c>
      <c r="C1090" s="24">
        <v>8.3557346164230957</v>
      </c>
      <c r="E1090" s="4">
        <v>45463</v>
      </c>
      <c r="F1090" s="23">
        <v>1507496282601</v>
      </c>
      <c r="G1090" s="19">
        <v>2.2571032911156057</v>
      </c>
      <c r="H1090" s="31">
        <v>1474935632156</v>
      </c>
      <c r="I1090" s="31">
        <v>32560650445</v>
      </c>
      <c r="J1090" s="21">
        <v>61218932012</v>
      </c>
      <c r="K1090" s="19">
        <v>8.4529725626226639</v>
      </c>
      <c r="L1090" s="23">
        <v>59520019133</v>
      </c>
      <c r="M1090" s="21">
        <v>1698912879</v>
      </c>
    </row>
    <row r="1091" spans="2:13" x14ac:dyDescent="0.3">
      <c r="B1091" s="4">
        <v>45463</v>
      </c>
      <c r="C1091" s="24">
        <v>8.2183904900432481</v>
      </c>
      <c r="E1091" s="4">
        <v>45464</v>
      </c>
      <c r="F1091" s="23">
        <v>1502399821295</v>
      </c>
      <c r="G1091" s="19">
        <v>2.2539377185447904</v>
      </c>
      <c r="H1091" s="31">
        <v>1469812119331</v>
      </c>
      <c r="I1091" s="31">
        <v>32587701964</v>
      </c>
      <c r="J1091" s="21">
        <v>48625183349</v>
      </c>
      <c r="K1091" s="19">
        <v>7.8504944249815987</v>
      </c>
      <c r="L1091" s="23">
        <v>47158499867</v>
      </c>
      <c r="M1091" s="21">
        <v>1466683482</v>
      </c>
    </row>
    <row r="1092" spans="2:13" x14ac:dyDescent="0.3">
      <c r="B1092" s="4">
        <v>45464</v>
      </c>
      <c r="C1092" s="24">
        <v>7.6136996263684553</v>
      </c>
      <c r="E1092" s="4">
        <v>45467</v>
      </c>
      <c r="F1092" s="23">
        <v>1495799978083</v>
      </c>
      <c r="G1092" s="19">
        <v>2.2767407311941348</v>
      </c>
      <c r="H1092" s="31">
        <v>1464151829349</v>
      </c>
      <c r="I1092" s="31">
        <v>31648148734</v>
      </c>
      <c r="J1092" s="21">
        <v>53538021162</v>
      </c>
      <c r="K1092" s="19">
        <v>7.6985573018767832</v>
      </c>
      <c r="L1092" s="23">
        <v>51822785691</v>
      </c>
      <c r="M1092" s="21">
        <v>1715235471</v>
      </c>
    </row>
    <row r="1093" spans="2:13" x14ac:dyDescent="0.3">
      <c r="B1093" s="4">
        <v>45467</v>
      </c>
      <c r="C1093" s="24">
        <v>7.4519131735899204</v>
      </c>
      <c r="E1093" s="4">
        <v>45468</v>
      </c>
      <c r="F1093" s="23">
        <v>1488784671624</v>
      </c>
      <c r="G1093" s="19">
        <v>2.2751398969416625</v>
      </c>
      <c r="H1093" s="31">
        <v>1457859934163</v>
      </c>
      <c r="I1093" s="31">
        <v>30924737461</v>
      </c>
      <c r="J1093" s="21">
        <v>49795270568</v>
      </c>
      <c r="K1093" s="19">
        <v>7.6844276999902847</v>
      </c>
      <c r="L1093" s="23">
        <v>48359623871</v>
      </c>
      <c r="M1093" s="21">
        <v>1435646697</v>
      </c>
    </row>
    <row r="1094" spans="2:13" x14ac:dyDescent="0.3">
      <c r="B1094" s="4">
        <v>45468</v>
      </c>
      <c r="C1094" s="24">
        <v>7.4628780805186725</v>
      </c>
      <c r="E1094" s="4">
        <v>45469</v>
      </c>
      <c r="F1094" s="23">
        <v>1489800326952</v>
      </c>
      <c r="G1094" s="19">
        <v>2.2511293009758409</v>
      </c>
      <c r="H1094" s="31">
        <v>1457883108604</v>
      </c>
      <c r="I1094" s="31">
        <v>31917218348</v>
      </c>
      <c r="J1094" s="21">
        <v>53997748789</v>
      </c>
      <c r="K1094" s="19">
        <v>8.3954610130187</v>
      </c>
      <c r="L1094" s="23">
        <v>52129087734</v>
      </c>
      <c r="M1094" s="21">
        <v>1868661055</v>
      </c>
    </row>
    <row r="1095" spans="2:13" x14ac:dyDescent="0.3">
      <c r="B1095" s="4">
        <v>45469</v>
      </c>
      <c r="C1095" s="24">
        <v>8.1049253631881495</v>
      </c>
      <c r="E1095" s="4">
        <v>45470</v>
      </c>
      <c r="F1095" s="23">
        <v>1485896076810</v>
      </c>
      <c r="G1095" s="19">
        <v>2.2712431388570122</v>
      </c>
      <c r="H1095" s="31">
        <v>1454494130612</v>
      </c>
      <c r="I1095" s="31">
        <v>31401946198</v>
      </c>
      <c r="J1095" s="21">
        <v>47425703580</v>
      </c>
      <c r="K1095" s="19">
        <v>7.5737925548809173</v>
      </c>
      <c r="L1095" s="23">
        <v>45729000329</v>
      </c>
      <c r="M1095" s="21">
        <v>1696703251</v>
      </c>
    </row>
    <row r="1096" spans="2:13" x14ac:dyDescent="0.3">
      <c r="B1096" s="4">
        <v>45470</v>
      </c>
      <c r="C1096" s="24">
        <v>7.3028323480683976</v>
      </c>
      <c r="E1096" s="4">
        <v>45471</v>
      </c>
      <c r="F1096" s="23">
        <v>1479851554337</v>
      </c>
      <c r="G1096" s="19">
        <v>2.2491823013517953</v>
      </c>
      <c r="H1096" s="31">
        <v>1448280458743</v>
      </c>
      <c r="I1096" s="31">
        <v>31571095594</v>
      </c>
      <c r="J1096" s="21">
        <v>56850333049</v>
      </c>
      <c r="K1096" s="19">
        <v>8.085708169533893</v>
      </c>
      <c r="L1096" s="23">
        <v>55187858103</v>
      </c>
      <c r="M1096" s="21">
        <v>1662474946</v>
      </c>
    </row>
    <row r="1097" spans="2:13" x14ac:dyDescent="0.3">
      <c r="B1097" s="4">
        <v>45471</v>
      </c>
      <c r="C1097" s="24">
        <v>7.8492577121384803</v>
      </c>
      <c r="E1097" s="4">
        <v>45474</v>
      </c>
      <c r="F1097" s="23">
        <v>1480062569818</v>
      </c>
      <c r="G1097" s="19">
        <v>2.2283846584033133</v>
      </c>
      <c r="H1097" s="31">
        <v>1448058138743</v>
      </c>
      <c r="I1097" s="31">
        <v>32004431075</v>
      </c>
      <c r="J1097" s="21">
        <v>55615080067</v>
      </c>
      <c r="K1097" s="19">
        <v>8.4534198383612225</v>
      </c>
      <c r="L1097" s="23">
        <v>54066445984</v>
      </c>
      <c r="M1097" s="21">
        <v>1548634083</v>
      </c>
    </row>
    <row r="1098" spans="2:13" x14ac:dyDescent="0.3">
      <c r="B1098" s="4">
        <v>45474</v>
      </c>
      <c r="C1098" s="24">
        <v>8.2180294718666786</v>
      </c>
      <c r="E1098" s="4">
        <v>45475</v>
      </c>
      <c r="F1098" s="23">
        <v>1480942403136</v>
      </c>
      <c r="G1098" s="19">
        <v>2.2322200120481299</v>
      </c>
      <c r="H1098" s="31">
        <v>1448906364142</v>
      </c>
      <c r="I1098" s="31">
        <v>32036038994</v>
      </c>
      <c r="J1098" s="21">
        <v>51346271538</v>
      </c>
      <c r="K1098" s="19">
        <v>7.966940377378922</v>
      </c>
      <c r="L1098" s="23">
        <v>49668991440</v>
      </c>
      <c r="M1098" s="21">
        <v>1677280098</v>
      </c>
    </row>
    <row r="1099" spans="2:13" x14ac:dyDescent="0.3">
      <c r="B1099" s="4">
        <v>45475</v>
      </c>
      <c r="C1099" s="24">
        <v>7.7066918698112241</v>
      </c>
      <c r="E1099" s="4">
        <v>45476</v>
      </c>
      <c r="F1099" s="23">
        <v>1479881839912</v>
      </c>
      <c r="G1099" s="19">
        <v>2.2430530370587483</v>
      </c>
      <c r="H1099" s="31">
        <v>1447930635128</v>
      </c>
      <c r="I1099" s="31">
        <v>31951204784</v>
      </c>
      <c r="J1099" s="21">
        <v>45931577865</v>
      </c>
      <c r="K1099" s="19">
        <v>7.9157808313543336</v>
      </c>
      <c r="L1099" s="23">
        <v>44527735611</v>
      </c>
      <c r="M1099" s="21">
        <v>1403842254</v>
      </c>
    </row>
    <row r="1100" spans="2:13" x14ac:dyDescent="0.3">
      <c r="B1100" s="4">
        <v>45476</v>
      </c>
      <c r="C1100" s="24">
        <v>7.6738447141776103</v>
      </c>
      <c r="E1100" s="4">
        <v>45477</v>
      </c>
      <c r="F1100" s="23">
        <v>1473071715079</v>
      </c>
      <c r="G1100" s="19">
        <v>2.2560109377702329</v>
      </c>
      <c r="H1100" s="31">
        <v>1441369867385</v>
      </c>
      <c r="I1100" s="31">
        <v>31701847694</v>
      </c>
      <c r="J1100" s="21">
        <v>45304579039</v>
      </c>
      <c r="K1100" s="19">
        <v>7.7705908308741929</v>
      </c>
      <c r="L1100" s="23">
        <v>43729765182</v>
      </c>
      <c r="M1100" s="21">
        <v>1574813857</v>
      </c>
    </row>
    <row r="1101" spans="2:13" x14ac:dyDescent="0.3">
      <c r="B1101" s="4">
        <v>45477</v>
      </c>
      <c r="C1101" s="24">
        <v>7.500480515821855</v>
      </c>
      <c r="E1101" s="4">
        <v>45478</v>
      </c>
      <c r="F1101" s="23">
        <v>1468331976061</v>
      </c>
      <c r="G1101" s="19">
        <v>2.249307114402733</v>
      </c>
      <c r="H1101" s="31">
        <v>1436442097448</v>
      </c>
      <c r="I1101" s="31">
        <v>31889878613</v>
      </c>
      <c r="J1101" s="21">
        <v>44850790178</v>
      </c>
      <c r="K1101" s="19">
        <v>7.8039223325317906</v>
      </c>
      <c r="L1101" s="23">
        <v>43419613038</v>
      </c>
      <c r="M1101" s="21">
        <v>1431177140</v>
      </c>
    </row>
    <row r="1102" spans="2:13" x14ac:dyDescent="0.3">
      <c r="B1102" s="4">
        <v>45478</v>
      </c>
      <c r="C1102" s="24">
        <v>7.5549011848478989</v>
      </c>
      <c r="E1102" s="4">
        <v>45481</v>
      </c>
      <c r="F1102" s="23">
        <v>1463189800630</v>
      </c>
      <c r="G1102" s="19">
        <v>2.2684202974224905</v>
      </c>
      <c r="H1102" s="31">
        <v>1431742117774</v>
      </c>
      <c r="I1102" s="31">
        <v>31447682856</v>
      </c>
      <c r="J1102" s="21">
        <v>44460695384</v>
      </c>
      <c r="K1102" s="19">
        <v>7.6409290438499768</v>
      </c>
      <c r="L1102" s="23">
        <v>42836731075</v>
      </c>
      <c r="M1102" s="21">
        <v>1623964309</v>
      </c>
    </row>
    <row r="1103" spans="2:13" x14ac:dyDescent="0.3">
      <c r="B1103" s="4">
        <v>45481</v>
      </c>
      <c r="C1103" s="24">
        <v>7.3618376812960902</v>
      </c>
      <c r="E1103" s="4">
        <v>45482</v>
      </c>
      <c r="F1103" s="23">
        <v>1463166095248</v>
      </c>
      <c r="G1103" s="19">
        <v>2.2367742511457682</v>
      </c>
      <c r="H1103" s="31">
        <v>1431328290840</v>
      </c>
      <c r="I1103" s="31">
        <v>31837804408</v>
      </c>
      <c r="J1103" s="21">
        <v>61273899673</v>
      </c>
      <c r="K1103" s="19">
        <v>8.4602528161324155</v>
      </c>
      <c r="L1103" s="23">
        <v>59623986847</v>
      </c>
      <c r="M1103" s="21">
        <v>1649912826</v>
      </c>
    </row>
    <row r="1104" spans="2:13" x14ac:dyDescent="0.3">
      <c r="B1104" s="4">
        <v>45482</v>
      </c>
      <c r="C1104" s="24">
        <v>8.2324448961692216</v>
      </c>
      <c r="E1104" s="4">
        <v>45483</v>
      </c>
      <c r="F1104" s="23">
        <v>1461078170719</v>
      </c>
      <c r="G1104" s="19">
        <v>2.2465203967843062</v>
      </c>
      <c r="H1104" s="31">
        <v>1429227358734</v>
      </c>
      <c r="I1104" s="31">
        <v>31850811985</v>
      </c>
      <c r="J1104" s="21">
        <v>55943716374</v>
      </c>
      <c r="K1104" s="19">
        <v>8.2589767284403663</v>
      </c>
      <c r="L1104" s="23">
        <v>54393341916</v>
      </c>
      <c r="M1104" s="21">
        <v>1550374458</v>
      </c>
    </row>
    <row r="1105" spans="2:13" x14ac:dyDescent="0.3">
      <c r="B1105" s="4">
        <v>45483</v>
      </c>
      <c r="C1105" s="24">
        <v>8.0300947842486625</v>
      </c>
      <c r="E1105" s="4">
        <v>45484</v>
      </c>
      <c r="F1105" s="23">
        <v>1463867363300</v>
      </c>
      <c r="G1105" s="19">
        <v>2.2181325002736059</v>
      </c>
      <c r="H1105" s="31">
        <v>1432104322283</v>
      </c>
      <c r="I1105" s="31">
        <v>31763041017</v>
      </c>
      <c r="J1105" s="21">
        <v>69332194498</v>
      </c>
      <c r="K1105" s="19">
        <v>8.8123137144252155</v>
      </c>
      <c r="L1105" s="23">
        <v>68054273055</v>
      </c>
      <c r="M1105" s="21">
        <v>1277921443</v>
      </c>
    </row>
    <row r="1106" spans="2:13" x14ac:dyDescent="0.3">
      <c r="B1106" s="4">
        <v>45484</v>
      </c>
      <c r="C1106" s="24">
        <v>8.6498863639043559</v>
      </c>
      <c r="E1106" s="4">
        <v>45485</v>
      </c>
      <c r="F1106" s="23">
        <v>1458342409824</v>
      </c>
      <c r="G1106" s="19">
        <v>2.2105753897292493</v>
      </c>
      <c r="H1106" s="31">
        <v>1427375739875</v>
      </c>
      <c r="I1106" s="31">
        <v>30966669949</v>
      </c>
      <c r="J1106" s="21">
        <v>56682943685</v>
      </c>
      <c r="K1106" s="19">
        <v>8.2528452788889215</v>
      </c>
      <c r="L1106" s="23">
        <v>55618196050</v>
      </c>
      <c r="M1106" s="21">
        <v>1064747635</v>
      </c>
    </row>
    <row r="1107" spans="2:13" x14ac:dyDescent="0.3">
      <c r="B1107" s="4">
        <v>45485</v>
      </c>
      <c r="C1107" s="24">
        <v>8.0978216170701138</v>
      </c>
      <c r="E1107" s="4">
        <v>45488</v>
      </c>
      <c r="F1107" s="23">
        <v>1455742755403</v>
      </c>
      <c r="G1107" s="19">
        <v>2.2106738300065421</v>
      </c>
      <c r="H1107" s="31">
        <v>1425470926650</v>
      </c>
      <c r="I1107" s="31">
        <v>30271828753</v>
      </c>
      <c r="J1107" s="21">
        <v>47646592101</v>
      </c>
      <c r="K1107" s="19">
        <v>7.914708101849798</v>
      </c>
      <c r="L1107" s="23">
        <v>46409457461</v>
      </c>
      <c r="M1107" s="21">
        <v>1237134640</v>
      </c>
    </row>
    <row r="1108" spans="2:13" x14ac:dyDescent="0.3">
      <c r="B1108" s="4">
        <v>45488</v>
      </c>
      <c r="C1108" s="24">
        <v>7.709204221582115</v>
      </c>
      <c r="E1108" s="4">
        <v>45489</v>
      </c>
      <c r="F1108" s="23">
        <v>1455314605702</v>
      </c>
      <c r="G1108" s="19">
        <v>2.2055027683840147</v>
      </c>
      <c r="H1108" s="31">
        <v>1425093145730</v>
      </c>
      <c r="I1108" s="31">
        <v>30221459972</v>
      </c>
      <c r="J1108" s="21">
        <v>54927769370</v>
      </c>
      <c r="K1108" s="19">
        <v>8.5749831221506945</v>
      </c>
      <c r="L1108" s="23">
        <v>53789471605</v>
      </c>
      <c r="M1108" s="21">
        <v>1138297765</v>
      </c>
    </row>
    <row r="1109" spans="2:13" x14ac:dyDescent="0.3">
      <c r="B1109" s="4">
        <v>45489</v>
      </c>
      <c r="C1109" s="24">
        <v>8.3972791258877777</v>
      </c>
      <c r="E1109" s="4">
        <v>45490</v>
      </c>
      <c r="F1109" s="23">
        <v>1449685757144</v>
      </c>
      <c r="G1109" s="19">
        <v>2.2086040659924455</v>
      </c>
      <c r="H1109" s="31">
        <v>1420022595752</v>
      </c>
      <c r="I1109" s="31">
        <v>29663161392</v>
      </c>
      <c r="J1109" s="21">
        <v>54867117628</v>
      </c>
      <c r="K1109" s="19">
        <v>8.129363209649112</v>
      </c>
      <c r="L1109" s="23">
        <v>53780403908</v>
      </c>
      <c r="M1109" s="21">
        <v>1086713720</v>
      </c>
    </row>
    <row r="1110" spans="2:13" x14ac:dyDescent="0.3">
      <c r="B1110" s="4">
        <v>45490</v>
      </c>
      <c r="C1110" s="24">
        <v>7.9683507322908955</v>
      </c>
      <c r="E1110" s="4">
        <v>45491</v>
      </c>
      <c r="F1110" s="23">
        <v>1444809590438</v>
      </c>
      <c r="G1110" s="19">
        <v>2.1917285176533015</v>
      </c>
      <c r="H1110" s="31">
        <v>1415299543667</v>
      </c>
      <c r="I1110" s="31">
        <v>29510046771</v>
      </c>
      <c r="J1110" s="21">
        <v>54393911651</v>
      </c>
      <c r="K1110" s="19">
        <v>8.0936369898423965</v>
      </c>
      <c r="L1110" s="23">
        <v>53162362902</v>
      </c>
      <c r="M1110" s="21">
        <v>1231548749</v>
      </c>
    </row>
    <row r="1111" spans="2:13" x14ac:dyDescent="0.3">
      <c r="B1111" s="4">
        <v>45491</v>
      </c>
      <c r="C1111" s="24">
        <v>7.91038654494601</v>
      </c>
      <c r="E1111" s="4">
        <v>45492</v>
      </c>
      <c r="F1111" s="23">
        <v>1438951778571</v>
      </c>
      <c r="G1111" s="19">
        <v>2.1787112062346869</v>
      </c>
      <c r="H1111" s="31">
        <v>1409755204800</v>
      </c>
      <c r="I1111" s="31">
        <v>29196573771</v>
      </c>
      <c r="J1111" s="21">
        <v>54727133479</v>
      </c>
      <c r="K1111" s="19">
        <v>8.1726093597662999</v>
      </c>
      <c r="L1111" s="23">
        <v>53863870995</v>
      </c>
      <c r="M1111" s="21">
        <v>863262484</v>
      </c>
    </row>
    <row r="1112" spans="2:13" x14ac:dyDescent="0.3">
      <c r="B1112" s="4">
        <v>45492</v>
      </c>
      <c r="C1112" s="24">
        <v>8.0436951154384708</v>
      </c>
      <c r="E1112" s="4">
        <v>45495</v>
      </c>
      <c r="F1112" s="23">
        <v>1441357402433</v>
      </c>
      <c r="G1112" s="19">
        <v>2.1914001104553633</v>
      </c>
      <c r="H1112" s="31">
        <v>1413455916011</v>
      </c>
      <c r="I1112" s="31">
        <v>27901486422</v>
      </c>
      <c r="J1112" s="21">
        <v>56239308935</v>
      </c>
      <c r="K1112" s="19">
        <v>8.5684644696812917</v>
      </c>
      <c r="L1112" s="23">
        <v>55257172709</v>
      </c>
      <c r="M1112" s="21">
        <v>982136226</v>
      </c>
    </row>
    <row r="1113" spans="2:13" x14ac:dyDescent="0.3">
      <c r="B1113" s="4">
        <v>45495</v>
      </c>
      <c r="C1113" s="24">
        <v>8.4188289297674892</v>
      </c>
      <c r="E1113" s="4">
        <v>45496</v>
      </c>
      <c r="F1113" s="23">
        <v>1436853737025</v>
      </c>
      <c r="G1113" s="19">
        <v>2.2277737864395428</v>
      </c>
      <c r="H1113" s="31">
        <v>1410802931297</v>
      </c>
      <c r="I1113" s="31">
        <v>26050805728</v>
      </c>
      <c r="J1113" s="21">
        <v>53432321686</v>
      </c>
      <c r="K1113" s="19">
        <v>8.0719024754654427</v>
      </c>
      <c r="L1113" s="23">
        <v>52426006143</v>
      </c>
      <c r="M1113" s="21">
        <v>1006315543</v>
      </c>
    </row>
    <row r="1114" spans="2:13" x14ac:dyDescent="0.3">
      <c r="B1114" s="4">
        <v>45496</v>
      </c>
      <c r="C1114" s="24">
        <v>7.919880615543728</v>
      </c>
      <c r="E1114" s="4">
        <v>45497</v>
      </c>
      <c r="F1114" s="23">
        <v>1433883056657</v>
      </c>
      <c r="G1114" s="19">
        <v>2.2396318284910808</v>
      </c>
      <c r="H1114" s="31">
        <v>1408292851890</v>
      </c>
      <c r="I1114" s="31">
        <v>25590204767</v>
      </c>
      <c r="J1114" s="21">
        <v>46852340477</v>
      </c>
      <c r="K1114" s="19">
        <v>7.471969412044233</v>
      </c>
      <c r="L1114" s="23">
        <v>45673168506</v>
      </c>
      <c r="M1114" s="21">
        <v>1179171971</v>
      </c>
    </row>
    <row r="1115" spans="2:13" x14ac:dyDescent="0.3">
      <c r="B1115" s="4">
        <v>45497</v>
      </c>
      <c r="C1115" s="24">
        <v>7.2839161193132727</v>
      </c>
      <c r="E1115" s="4">
        <v>45498</v>
      </c>
      <c r="F1115" s="23">
        <v>1433240599416</v>
      </c>
      <c r="G1115" s="19">
        <v>2.246486343181691</v>
      </c>
      <c r="H1115" s="31">
        <v>1408115853005</v>
      </c>
      <c r="I1115" s="31">
        <v>25124746411</v>
      </c>
      <c r="J1115" s="21">
        <v>46279942311</v>
      </c>
      <c r="K1115" s="19">
        <v>7.86432089272577</v>
      </c>
      <c r="L1115" s="23">
        <v>45429839905</v>
      </c>
      <c r="M1115" s="21">
        <v>850102406</v>
      </c>
    </row>
    <row r="1116" spans="2:13" x14ac:dyDescent="0.3">
      <c r="B1116" s="4">
        <v>45498</v>
      </c>
      <c r="C1116" s="24">
        <v>7.7198635365014256</v>
      </c>
      <c r="E1116" s="4">
        <v>45499</v>
      </c>
      <c r="F1116" s="23">
        <v>1429727453290</v>
      </c>
      <c r="G1116" s="19">
        <v>2.2272193353517684</v>
      </c>
      <c r="H1116" s="31">
        <v>1404925379195</v>
      </c>
      <c r="I1116" s="31">
        <v>24802074095</v>
      </c>
      <c r="J1116" s="21">
        <v>47505556635</v>
      </c>
      <c r="K1116" s="19">
        <v>7.8397512424288971</v>
      </c>
      <c r="L1116" s="23">
        <v>46775708193</v>
      </c>
      <c r="M1116" s="21">
        <v>729848442</v>
      </c>
    </row>
    <row r="1117" spans="2:13" x14ac:dyDescent="0.3">
      <c r="B1117" s="4">
        <v>45499</v>
      </c>
      <c r="C1117" s="24">
        <v>7.7193057485697913</v>
      </c>
      <c r="E1117" s="4">
        <v>45502</v>
      </c>
      <c r="F1117" s="23">
        <v>1431046840260</v>
      </c>
      <c r="G1117" s="19">
        <v>2.2316143973599667</v>
      </c>
      <c r="H1117" s="31">
        <v>1406973859061</v>
      </c>
      <c r="I1117" s="31">
        <v>24072981199</v>
      </c>
      <c r="J1117" s="21">
        <v>47069329224</v>
      </c>
      <c r="K1117" s="19">
        <v>8.0353847251148665</v>
      </c>
      <c r="L1117" s="23">
        <v>46247129547</v>
      </c>
      <c r="M1117" s="21">
        <v>822199677</v>
      </c>
    </row>
    <row r="1118" spans="2:13" x14ac:dyDescent="0.3">
      <c r="B1118" s="4">
        <v>45502</v>
      </c>
      <c r="C1118" s="24">
        <v>7.8950238821948551</v>
      </c>
      <c r="E1118" s="4">
        <v>45503</v>
      </c>
      <c r="F1118" s="23">
        <v>1430809940577</v>
      </c>
      <c r="G1118" s="19">
        <v>2.2398791530022368</v>
      </c>
      <c r="H1118" s="31">
        <v>1407421527937</v>
      </c>
      <c r="I1118" s="31">
        <v>23388412640</v>
      </c>
      <c r="J1118" s="21">
        <v>48043109248</v>
      </c>
      <c r="K1118" s="19">
        <v>8.0169987552605981</v>
      </c>
      <c r="L1118" s="23">
        <v>47142458040</v>
      </c>
      <c r="M1118" s="21">
        <v>900651208</v>
      </c>
    </row>
    <row r="1119" spans="2:13" x14ac:dyDescent="0.3">
      <c r="B1119" s="4">
        <v>45503</v>
      </c>
      <c r="C1119" s="24">
        <v>7.8667062424220271</v>
      </c>
      <c r="E1119" s="4">
        <v>45504</v>
      </c>
      <c r="F1119" s="23">
        <v>1435914270332</v>
      </c>
      <c r="G1119" s="19">
        <v>2.1941094158990717</v>
      </c>
      <c r="H1119" s="31">
        <v>1412670600975</v>
      </c>
      <c r="I1119" s="31">
        <v>23243669357</v>
      </c>
      <c r="J1119" s="21">
        <v>80225511800</v>
      </c>
      <c r="K1119" s="19">
        <v>8.8851087611267072</v>
      </c>
      <c r="L1119" s="23">
        <v>79235759851</v>
      </c>
      <c r="M1119" s="21">
        <v>989751949</v>
      </c>
    </row>
    <row r="1120" spans="2:13" x14ac:dyDescent="0.3">
      <c r="B1120" s="4">
        <v>45504</v>
      </c>
      <c r="C1120" s="24">
        <v>8.7754920878753673</v>
      </c>
      <c r="E1120" s="4">
        <v>45505</v>
      </c>
      <c r="F1120" s="23">
        <v>1437143911530</v>
      </c>
      <c r="G1120" s="19">
        <v>2.2032287662394783</v>
      </c>
      <c r="H1120" s="31">
        <v>1414940991500</v>
      </c>
      <c r="I1120" s="31">
        <v>22202920030</v>
      </c>
      <c r="J1120" s="21">
        <v>66322291673</v>
      </c>
      <c r="K1120" s="19">
        <v>8.4805246105488585</v>
      </c>
      <c r="L1120" s="23">
        <v>65558241217</v>
      </c>
      <c r="M1120" s="21">
        <v>764050456</v>
      </c>
    </row>
    <row r="1121" spans="2:13" x14ac:dyDescent="0.3">
      <c r="B1121" s="4">
        <v>45505</v>
      </c>
      <c r="C1121" s="24">
        <v>8.3828267094003834</v>
      </c>
      <c r="E1121" s="4">
        <v>45506</v>
      </c>
      <c r="F1121" s="23">
        <v>1432000921897</v>
      </c>
      <c r="G1121" s="19">
        <v>2.2182370034831753</v>
      </c>
      <c r="H1121" s="31">
        <v>1410787474580</v>
      </c>
      <c r="I1121" s="31">
        <v>21213447317</v>
      </c>
      <c r="J1121" s="21">
        <v>58968119304</v>
      </c>
      <c r="K1121" s="19">
        <v>8.1656092024707387</v>
      </c>
      <c r="L1121" s="23">
        <v>58223509124</v>
      </c>
      <c r="M1121" s="21">
        <v>744610180</v>
      </c>
    </row>
    <row r="1122" spans="2:13" x14ac:dyDescent="0.3">
      <c r="B1122" s="4">
        <v>45506</v>
      </c>
      <c r="C1122" s="24">
        <v>8.0624993219145011</v>
      </c>
      <c r="E1122" s="4">
        <v>45509</v>
      </c>
      <c r="F1122" s="23">
        <v>1425370868901</v>
      </c>
      <c r="G1122" s="19">
        <v>2.2450621549474561</v>
      </c>
      <c r="H1122" s="31">
        <v>1405312553393</v>
      </c>
      <c r="I1122" s="31">
        <v>20058315508</v>
      </c>
      <c r="J1122" s="21">
        <v>62423896946</v>
      </c>
      <c r="K1122" s="19">
        <v>7.8997358706559471</v>
      </c>
      <c r="L1122" s="23">
        <v>61462457336</v>
      </c>
      <c r="M1122" s="21">
        <v>961439610</v>
      </c>
    </row>
    <row r="1123" spans="2:13" x14ac:dyDescent="0.3">
      <c r="B1123" s="4">
        <v>45509</v>
      </c>
      <c r="C1123" s="24">
        <v>7.7780658156583122</v>
      </c>
      <c r="E1123" s="4">
        <v>45510</v>
      </c>
      <c r="F1123" s="23">
        <v>1426431545101</v>
      </c>
      <c r="G1123" s="19">
        <v>2.2355075605512242</v>
      </c>
      <c r="H1123" s="31">
        <v>1406992357032</v>
      </c>
      <c r="I1123" s="31">
        <v>19439188069</v>
      </c>
      <c r="J1123" s="21">
        <v>54054663010</v>
      </c>
      <c r="K1123" s="19">
        <v>8.2653685402278256</v>
      </c>
      <c r="L1123" s="23">
        <v>53177982964</v>
      </c>
      <c r="M1123" s="21">
        <v>876680046</v>
      </c>
    </row>
    <row r="1124" spans="2:13" x14ac:dyDescent="0.3">
      <c r="B1124" s="4">
        <v>45510</v>
      </c>
      <c r="C1124" s="24">
        <v>8.1313175024715942</v>
      </c>
      <c r="E1124" s="4">
        <v>45511</v>
      </c>
      <c r="F1124" s="23">
        <v>1425701196388</v>
      </c>
      <c r="G1124" s="19">
        <v>2.2328957080189271</v>
      </c>
      <c r="H1124" s="31">
        <v>1406728447433</v>
      </c>
      <c r="I1124" s="31">
        <v>18972748955</v>
      </c>
      <c r="J1124" s="21">
        <v>46464458592</v>
      </c>
      <c r="K1124" s="19">
        <v>7.8506618292931725</v>
      </c>
      <c r="L1124" s="23">
        <v>45662768697</v>
      </c>
      <c r="M1124" s="21">
        <v>801689895</v>
      </c>
    </row>
    <row r="1125" spans="2:13" x14ac:dyDescent="0.3">
      <c r="B1125" s="4">
        <v>45511</v>
      </c>
      <c r="C1125" s="24">
        <v>7.7152078404095015</v>
      </c>
      <c r="E1125" s="4">
        <v>45512</v>
      </c>
      <c r="F1125" s="23">
        <v>1423682257803</v>
      </c>
      <c r="G1125" s="19">
        <v>2.2295080466338453</v>
      </c>
      <c r="H1125" s="31">
        <v>1405266104755</v>
      </c>
      <c r="I1125" s="31">
        <v>18416153048</v>
      </c>
      <c r="J1125" s="21">
        <v>47732169649</v>
      </c>
      <c r="K1125" s="19">
        <v>7.702121504255973</v>
      </c>
      <c r="L1125" s="23">
        <v>46958250478</v>
      </c>
      <c r="M1125" s="21">
        <v>773919171</v>
      </c>
    </row>
    <row r="1126" spans="2:13" x14ac:dyDescent="0.3">
      <c r="B1126" s="4">
        <v>45512</v>
      </c>
      <c r="C1126" s="24">
        <v>7.5772409565384038</v>
      </c>
      <c r="E1126" s="4">
        <v>45513</v>
      </c>
      <c r="F1126" s="23">
        <v>1420972920630</v>
      </c>
      <c r="G1126" s="19">
        <v>2.2332015581381954</v>
      </c>
      <c r="H1126" s="31">
        <v>1403454559545</v>
      </c>
      <c r="I1126" s="31">
        <v>17518361085</v>
      </c>
      <c r="J1126" s="21">
        <v>43043251668</v>
      </c>
      <c r="K1126" s="19">
        <v>7.6460120985137214</v>
      </c>
      <c r="L1126" s="23">
        <v>42353317148</v>
      </c>
      <c r="M1126" s="21">
        <v>689934520</v>
      </c>
    </row>
    <row r="1127" spans="2:13" x14ac:dyDescent="0.3">
      <c r="B1127" s="4">
        <v>45513</v>
      </c>
      <c r="C1127" s="24">
        <v>7.5234551939426835</v>
      </c>
      <c r="E1127" s="4">
        <v>45516</v>
      </c>
      <c r="F1127" s="23">
        <v>1418882291436</v>
      </c>
      <c r="G1127" s="19">
        <v>2.2348268049072715</v>
      </c>
      <c r="H1127" s="31">
        <v>1402184887364</v>
      </c>
      <c r="I1127" s="31">
        <v>16697404072</v>
      </c>
      <c r="J1127" s="21">
        <v>35169114382</v>
      </c>
      <c r="K1127" s="19">
        <v>7.0937027793229204</v>
      </c>
      <c r="L1127" s="23">
        <v>34516828728</v>
      </c>
      <c r="M1127" s="21">
        <v>652285654</v>
      </c>
    </row>
    <row r="1128" spans="2:13" x14ac:dyDescent="0.3">
      <c r="B1128" s="4">
        <v>45516</v>
      </c>
      <c r="C1128" s="24">
        <v>6.9621350490004161</v>
      </c>
      <c r="E1128" s="4">
        <v>45517</v>
      </c>
      <c r="F1128" s="23">
        <v>1419348703828</v>
      </c>
      <c r="G1128" s="19">
        <v>2.2270606282002645</v>
      </c>
      <c r="H1128" s="31">
        <v>1403109614183</v>
      </c>
      <c r="I1128" s="31">
        <v>16239089645</v>
      </c>
      <c r="J1128" s="21">
        <v>36855685080</v>
      </c>
      <c r="K1128" s="19">
        <v>7.723229174271756</v>
      </c>
      <c r="L1128" s="23">
        <v>36229262100</v>
      </c>
      <c r="M1128" s="21">
        <v>626422980</v>
      </c>
    </row>
    <row r="1129" spans="2:13" x14ac:dyDescent="0.3">
      <c r="B1129" s="4">
        <v>45517</v>
      </c>
      <c r="C1129" s="24">
        <v>7.5919601929987524</v>
      </c>
      <c r="E1129" s="4">
        <v>45518</v>
      </c>
      <c r="F1129" s="23">
        <v>1419323911484</v>
      </c>
      <c r="G1129" s="19">
        <v>2.2425349032042301</v>
      </c>
      <c r="H1129" s="31">
        <v>1403926453372</v>
      </c>
      <c r="I1129" s="31">
        <v>15397458112</v>
      </c>
      <c r="J1129" s="21">
        <v>36443495131</v>
      </c>
      <c r="K1129" s="19">
        <v>7.6348126948824637</v>
      </c>
      <c r="L1129" s="23">
        <v>35863841952</v>
      </c>
      <c r="M1129" s="21">
        <v>579653179</v>
      </c>
    </row>
    <row r="1130" spans="2:13" x14ac:dyDescent="0.3">
      <c r="B1130" s="4">
        <v>45518</v>
      </c>
      <c r="C1130" s="24">
        <v>7.5133769370400811</v>
      </c>
      <c r="E1130" s="4">
        <v>45519</v>
      </c>
      <c r="F1130" s="23">
        <v>1416723557782</v>
      </c>
      <c r="G1130" s="19">
        <v>2.218105732553727</v>
      </c>
      <c r="H1130" s="31">
        <v>1401858736361</v>
      </c>
      <c r="I1130" s="31">
        <v>14864821421</v>
      </c>
      <c r="J1130" s="21">
        <v>45949357899</v>
      </c>
      <c r="K1130" s="19">
        <v>7.7698964030322912</v>
      </c>
      <c r="L1130" s="23">
        <v>45269769875</v>
      </c>
      <c r="M1130" s="21">
        <v>679588024</v>
      </c>
    </row>
    <row r="1131" spans="2:13" x14ac:dyDescent="0.3">
      <c r="B1131" s="4">
        <v>45519</v>
      </c>
      <c r="C1131" s="24">
        <v>7.6549801390264269</v>
      </c>
      <c r="E1131" s="4">
        <v>45520</v>
      </c>
      <c r="F1131" s="23">
        <v>1413175814856</v>
      </c>
      <c r="G1131" s="19">
        <v>2.2132414146541821</v>
      </c>
      <c r="H1131" s="31">
        <v>1398877969740</v>
      </c>
      <c r="I1131" s="31">
        <v>14297845116</v>
      </c>
      <c r="J1131" s="21">
        <v>43981136997</v>
      </c>
      <c r="K1131" s="19">
        <v>7.4410499553101861</v>
      </c>
      <c r="L1131" s="23">
        <v>43428441144</v>
      </c>
      <c r="M1131" s="21">
        <v>552695853</v>
      </c>
    </row>
    <row r="1132" spans="2:13" x14ac:dyDescent="0.3">
      <c r="B1132" s="4">
        <v>45520</v>
      </c>
      <c r="C1132" s="24">
        <v>7.3475408345126425</v>
      </c>
      <c r="E1132" s="4">
        <v>45523</v>
      </c>
      <c r="F1132" s="23">
        <v>1412765932716</v>
      </c>
      <c r="G1132" s="19">
        <v>2.2033654435516841</v>
      </c>
      <c r="H1132" s="31">
        <v>1399053768835</v>
      </c>
      <c r="I1132" s="31">
        <v>13712163881</v>
      </c>
      <c r="J1132" s="21">
        <v>44025797520</v>
      </c>
      <c r="K1132" s="19">
        <v>7.7173019187453749</v>
      </c>
      <c r="L1132" s="23">
        <v>43450857986</v>
      </c>
      <c r="M1132" s="21">
        <v>574939534</v>
      </c>
    </row>
    <row r="1133" spans="2:13" x14ac:dyDescent="0.3">
      <c r="B1133" s="4">
        <v>45523</v>
      </c>
      <c r="C1133" s="24">
        <v>7.6165205083260599</v>
      </c>
      <c r="E1133" s="4">
        <v>45524</v>
      </c>
      <c r="F1133" s="23">
        <v>1410576115496</v>
      </c>
      <c r="G1133" s="19">
        <v>2.2237951429455873</v>
      </c>
      <c r="H1133" s="31">
        <v>1397297545702</v>
      </c>
      <c r="I1133" s="31">
        <v>13278569794</v>
      </c>
      <c r="J1133" s="21">
        <v>42338853410</v>
      </c>
      <c r="K1133" s="19">
        <v>7.5934003315372864</v>
      </c>
      <c r="L1133" s="23">
        <v>41683731472</v>
      </c>
      <c r="M1133" s="21">
        <v>655121938</v>
      </c>
    </row>
    <row r="1134" spans="2:13" x14ac:dyDescent="0.3">
      <c r="B1134" s="4">
        <v>45524</v>
      </c>
      <c r="C1134" s="24">
        <v>7.4759053419343893</v>
      </c>
      <c r="E1134" s="4">
        <v>45525</v>
      </c>
      <c r="F1134" s="23">
        <v>1408467877676</v>
      </c>
      <c r="G1134" s="19">
        <v>2.2281756345307513</v>
      </c>
      <c r="H1134" s="31">
        <v>1395500971949</v>
      </c>
      <c r="I1134" s="31">
        <v>12966905727</v>
      </c>
      <c r="J1134" s="21">
        <v>35852971871</v>
      </c>
      <c r="K1134" s="19">
        <v>7.0378750415480154</v>
      </c>
      <c r="L1134" s="23">
        <v>35397167489</v>
      </c>
      <c r="M1134" s="21">
        <v>455804382</v>
      </c>
    </row>
    <row r="1135" spans="2:13" x14ac:dyDescent="0.3">
      <c r="B1135" s="4">
        <v>45525</v>
      </c>
      <c r="C1135" s="24">
        <v>6.9484014465710606</v>
      </c>
      <c r="E1135" s="4">
        <v>45526</v>
      </c>
      <c r="F1135" s="23">
        <v>1402221798425</v>
      </c>
      <c r="G1135" s="19">
        <v>2.229511258489465</v>
      </c>
      <c r="H1135" s="31">
        <v>1389686575213</v>
      </c>
      <c r="I1135" s="31">
        <v>12535223212</v>
      </c>
      <c r="J1135" s="21">
        <v>39818529343</v>
      </c>
      <c r="K1135" s="19">
        <v>7.25282805845218</v>
      </c>
      <c r="L1135" s="23">
        <v>39274176107</v>
      </c>
      <c r="M1135" s="21">
        <v>544353236</v>
      </c>
    </row>
    <row r="1136" spans="2:13" x14ac:dyDescent="0.3">
      <c r="B1136" s="4">
        <v>45526</v>
      </c>
      <c r="C1136" s="24">
        <v>7.1536757168435585</v>
      </c>
      <c r="E1136" s="4">
        <v>45527</v>
      </c>
      <c r="F1136" s="23">
        <v>1396443872550</v>
      </c>
      <c r="G1136" s="19">
        <v>2.2159100472617159</v>
      </c>
      <c r="H1136" s="31">
        <v>1384177952682</v>
      </c>
      <c r="I1136" s="31">
        <v>12265919868</v>
      </c>
      <c r="J1136" s="21">
        <v>35126343594</v>
      </c>
      <c r="K1136" s="19">
        <v>6.8861445228467364</v>
      </c>
      <c r="L1136" s="23">
        <v>34726031957</v>
      </c>
      <c r="M1136" s="21">
        <v>400311637</v>
      </c>
    </row>
    <row r="1137" spans="2:13" x14ac:dyDescent="0.3">
      <c r="B1137" s="4">
        <v>45527</v>
      </c>
      <c r="C1137" s="24">
        <v>6.8076677016204528</v>
      </c>
      <c r="E1137" s="4">
        <v>45530</v>
      </c>
      <c r="F1137" s="23">
        <v>1396160902185</v>
      </c>
      <c r="G1137" s="19">
        <v>2.2109422856596113</v>
      </c>
      <c r="H1137" s="31">
        <v>1383967206767</v>
      </c>
      <c r="I1137" s="31">
        <v>12193695418</v>
      </c>
      <c r="J1137" s="21">
        <v>38845181618</v>
      </c>
      <c r="K1137" s="19">
        <v>7.3799283389150103</v>
      </c>
      <c r="L1137" s="23">
        <v>38336656963</v>
      </c>
      <c r="M1137" s="21">
        <v>508524655</v>
      </c>
    </row>
    <row r="1138" spans="2:13" x14ac:dyDescent="0.3">
      <c r="B1138" s="4">
        <v>45530</v>
      </c>
      <c r="C1138" s="24">
        <v>7.2833172444071534</v>
      </c>
      <c r="E1138" s="4">
        <v>45531</v>
      </c>
      <c r="F1138" s="23">
        <v>1392279089014</v>
      </c>
      <c r="G1138" s="19">
        <v>2.216971693221808</v>
      </c>
      <c r="H1138" s="31">
        <v>1380355689940</v>
      </c>
      <c r="I1138" s="31">
        <v>11923399074</v>
      </c>
      <c r="J1138" s="21">
        <v>36570143454</v>
      </c>
      <c r="K1138" s="19">
        <v>7.1522374214254363</v>
      </c>
      <c r="L1138" s="23">
        <v>36041497860</v>
      </c>
      <c r="M1138" s="21">
        <v>528645594</v>
      </c>
    </row>
    <row r="1139" spans="2:13" x14ac:dyDescent="0.3">
      <c r="B1139" s="4">
        <v>45531</v>
      </c>
      <c r="C1139" s="24">
        <v>7.0488471023572483</v>
      </c>
      <c r="E1139" s="4">
        <v>45532</v>
      </c>
      <c r="F1139" s="23">
        <v>1390320024570</v>
      </c>
      <c r="G1139" s="19">
        <v>2.220721797566886</v>
      </c>
      <c r="H1139" s="31">
        <v>1378731380542</v>
      </c>
      <c r="I1139" s="31">
        <v>11588644028</v>
      </c>
      <c r="J1139" s="21">
        <v>35759494489</v>
      </c>
      <c r="K1139" s="19">
        <v>7.2029021066214147</v>
      </c>
      <c r="L1139" s="23">
        <v>35373963130</v>
      </c>
      <c r="M1139" s="21">
        <v>385531359</v>
      </c>
    </row>
    <row r="1140" spans="2:13" x14ac:dyDescent="0.3">
      <c r="B1140" s="4">
        <v>45532</v>
      </c>
      <c r="C1140" s="24">
        <v>7.1252459574618134</v>
      </c>
      <c r="E1140" s="4">
        <v>45533</v>
      </c>
      <c r="F1140" s="23">
        <v>1390926350206</v>
      </c>
      <c r="G1140" s="19">
        <v>2.2215456825508388</v>
      </c>
      <c r="H1140" s="31">
        <v>1379464628198</v>
      </c>
      <c r="I1140" s="31">
        <v>11461722008</v>
      </c>
      <c r="J1140" s="21">
        <v>47608289662</v>
      </c>
      <c r="K1140" s="19">
        <v>7.8416952396530348</v>
      </c>
      <c r="L1140" s="23">
        <v>47179860756</v>
      </c>
      <c r="M1140" s="21">
        <v>428428906</v>
      </c>
    </row>
    <row r="1141" spans="2:13" x14ac:dyDescent="0.3">
      <c r="B1141" s="4">
        <v>45533</v>
      </c>
      <c r="C1141" s="24">
        <v>7.7711275100294364</v>
      </c>
      <c r="E1141" s="4">
        <v>45534</v>
      </c>
      <c r="F1141" s="23">
        <v>1391820123629</v>
      </c>
      <c r="G1141" s="19">
        <v>2.1966603622423135</v>
      </c>
      <c r="H1141" s="31">
        <v>1380425674291</v>
      </c>
      <c r="I1141" s="31">
        <v>11394449338</v>
      </c>
      <c r="J1141" s="21">
        <v>70397211978</v>
      </c>
      <c r="K1141" s="19">
        <v>8.0344729044206034</v>
      </c>
      <c r="L1141" s="23">
        <v>69900633394</v>
      </c>
      <c r="M1141" s="21">
        <v>496578584</v>
      </c>
    </row>
    <row r="1142" spans="2:13" x14ac:dyDescent="0.3">
      <c r="B1142" s="4">
        <v>45534</v>
      </c>
      <c r="C1142" s="24">
        <v>7.9777981148094694</v>
      </c>
      <c r="E1142" s="4">
        <v>45537</v>
      </c>
      <c r="F1142" s="23">
        <v>1392978571600</v>
      </c>
      <c r="G1142" s="19">
        <v>2.2282344750910075</v>
      </c>
      <c r="H1142" s="31">
        <v>1381872866397</v>
      </c>
      <c r="I1142" s="31">
        <v>11105705203</v>
      </c>
      <c r="J1142" s="21">
        <v>53203472639</v>
      </c>
      <c r="K1142" s="19">
        <v>7.5408297312768768</v>
      </c>
      <c r="L1142" s="23">
        <v>52607138098</v>
      </c>
      <c r="M1142" s="21">
        <v>596334541</v>
      </c>
    </row>
    <row r="1143" spans="2:13" x14ac:dyDescent="0.3">
      <c r="B1143" s="4">
        <v>45537</v>
      </c>
      <c r="C1143" s="24">
        <v>7.4563078567918684</v>
      </c>
      <c r="E1143" s="4">
        <v>45538</v>
      </c>
      <c r="F1143" s="23">
        <v>1392607534009</v>
      </c>
      <c r="G1143" s="19">
        <v>2.2243467214461843</v>
      </c>
      <c r="H1143" s="31">
        <v>1381421521860</v>
      </c>
      <c r="I1143" s="31">
        <v>11186012149</v>
      </c>
      <c r="J1143" s="21">
        <v>42660629545</v>
      </c>
      <c r="K1143" s="19">
        <v>7.349489998289668</v>
      </c>
      <c r="L1143" s="23">
        <v>42225907697</v>
      </c>
      <c r="M1143" s="21">
        <v>434721848</v>
      </c>
    </row>
    <row r="1144" spans="2:13" x14ac:dyDescent="0.3">
      <c r="B1144" s="4">
        <v>45538</v>
      </c>
      <c r="C1144" s="24">
        <v>7.2745969667523864</v>
      </c>
      <c r="E1144" s="4">
        <v>45539</v>
      </c>
      <c r="F1144" s="23">
        <v>1391171324861</v>
      </c>
      <c r="G1144" s="19">
        <v>2.236802230675397</v>
      </c>
      <c r="H1144" s="31">
        <v>1380084775717</v>
      </c>
      <c r="I1144" s="31">
        <v>11086549144</v>
      </c>
      <c r="J1144" s="21">
        <v>41790650793</v>
      </c>
      <c r="K1144" s="19">
        <v>7.4728617459278786</v>
      </c>
      <c r="L1144" s="23">
        <v>41386342694</v>
      </c>
      <c r="M1144" s="21">
        <v>404308099</v>
      </c>
    </row>
    <row r="1145" spans="2:13" x14ac:dyDescent="0.3">
      <c r="B1145" s="4">
        <v>45539</v>
      </c>
      <c r="C1145" s="24">
        <v>7.400564749608022</v>
      </c>
      <c r="E1145" s="4">
        <v>45540</v>
      </c>
      <c r="F1145" s="23">
        <v>1390516482799</v>
      </c>
      <c r="G1145" s="19">
        <v>2.229685734116682</v>
      </c>
      <c r="H1145" s="31">
        <v>1379658687548</v>
      </c>
      <c r="I1145" s="31">
        <v>10857795251</v>
      </c>
      <c r="J1145" s="21">
        <v>40073733296</v>
      </c>
      <c r="K1145" s="19">
        <v>7.4946935330982276</v>
      </c>
      <c r="L1145" s="23">
        <v>39762351425</v>
      </c>
      <c r="M1145" s="21">
        <v>311381871</v>
      </c>
    </row>
    <row r="1146" spans="2:13" x14ac:dyDescent="0.3">
      <c r="B1146" s="4">
        <v>45540</v>
      </c>
      <c r="C1146" s="24">
        <v>7.4364580880082967</v>
      </c>
      <c r="E1146" s="4">
        <v>45541</v>
      </c>
      <c r="F1146" s="23">
        <v>1385038004670</v>
      </c>
      <c r="G1146" s="19">
        <v>2.2443119422291913</v>
      </c>
      <c r="H1146" s="31">
        <v>1374394233443</v>
      </c>
      <c r="I1146" s="31">
        <v>10643771227</v>
      </c>
      <c r="J1146" s="21">
        <v>41924436981</v>
      </c>
      <c r="K1146" s="19">
        <v>7.7289390393585418</v>
      </c>
      <c r="L1146" s="23">
        <v>41526450804</v>
      </c>
      <c r="M1146" s="21">
        <v>397986177</v>
      </c>
    </row>
    <row r="1147" spans="2:13" x14ac:dyDescent="0.3">
      <c r="B1147" s="4">
        <v>45541</v>
      </c>
      <c r="C1147" s="24">
        <v>7.6555686825441045</v>
      </c>
      <c r="E1147" s="4">
        <v>45544</v>
      </c>
      <c r="F1147" s="23">
        <v>1385433004009</v>
      </c>
      <c r="G1147" s="19">
        <v>2.2653713602843268</v>
      </c>
      <c r="H1147" s="31">
        <v>1374880027585</v>
      </c>
      <c r="I1147" s="31">
        <v>10552976424</v>
      </c>
      <c r="J1147" s="21">
        <v>38268614617</v>
      </c>
      <c r="K1147" s="19">
        <v>7.3814009988191733</v>
      </c>
      <c r="L1147" s="23">
        <v>37862302876</v>
      </c>
      <c r="M1147" s="21">
        <v>406311741</v>
      </c>
    </row>
    <row r="1148" spans="2:13" x14ac:dyDescent="0.3">
      <c r="B1148" s="4">
        <v>45544</v>
      </c>
      <c r="C1148" s="24">
        <v>7.3030299911183336</v>
      </c>
      <c r="E1148" s="4">
        <v>45545</v>
      </c>
      <c r="F1148" s="23">
        <v>1385580643007</v>
      </c>
      <c r="G1148" s="19">
        <v>2.2596218534240173</v>
      </c>
      <c r="H1148" s="31">
        <v>1374976372627</v>
      </c>
      <c r="I1148" s="31">
        <v>10604270380</v>
      </c>
      <c r="J1148" s="21">
        <v>40139291040</v>
      </c>
      <c r="K1148" s="19">
        <v>7.6092688282609995</v>
      </c>
      <c r="L1148" s="23">
        <v>39678150572</v>
      </c>
      <c r="M1148" s="21">
        <v>461140468</v>
      </c>
    </row>
    <row r="1149" spans="2:13" x14ac:dyDescent="0.3">
      <c r="B1149" s="4">
        <v>45545</v>
      </c>
      <c r="C1149" s="24">
        <v>7.5218497010744905</v>
      </c>
      <c r="E1149" s="4">
        <v>45546</v>
      </c>
      <c r="F1149" s="23">
        <v>1383624869839</v>
      </c>
      <c r="G1149" s="19">
        <v>2.2688653562911938</v>
      </c>
      <c r="H1149" s="31">
        <v>1373149380199</v>
      </c>
      <c r="I1149" s="31">
        <v>10475489640</v>
      </c>
      <c r="J1149" s="21">
        <v>36609714493</v>
      </c>
      <c r="K1149" s="19">
        <v>7.3301555714180662</v>
      </c>
      <c r="L1149" s="23">
        <v>36269991333</v>
      </c>
      <c r="M1149" s="21">
        <v>339723160</v>
      </c>
    </row>
    <row r="1150" spans="2:13" x14ac:dyDescent="0.3">
      <c r="B1150" s="4">
        <v>45546</v>
      </c>
      <c r="C1150" s="24">
        <v>7.2621347291771388</v>
      </c>
      <c r="E1150" s="4">
        <v>45547</v>
      </c>
      <c r="F1150" s="23">
        <v>1382250241063</v>
      </c>
      <c r="G1150" s="19">
        <v>2.2722853196433013</v>
      </c>
      <c r="H1150" s="31">
        <v>1371979723310</v>
      </c>
      <c r="I1150" s="31">
        <v>10270517753</v>
      </c>
      <c r="J1150" s="21">
        <v>39024642261</v>
      </c>
      <c r="K1150" s="19">
        <v>7.5708344377583634</v>
      </c>
      <c r="L1150" s="23">
        <v>38685426315</v>
      </c>
      <c r="M1150" s="21">
        <v>339215946</v>
      </c>
    </row>
    <row r="1151" spans="2:13" x14ac:dyDescent="0.3">
      <c r="B1151" s="4">
        <v>45547</v>
      </c>
      <c r="C1151" s="24">
        <v>7.5050260762457173</v>
      </c>
      <c r="E1151" s="4">
        <v>45548</v>
      </c>
      <c r="F1151" s="23">
        <v>1373246596552</v>
      </c>
      <c r="G1151" s="19">
        <v>2.2725043976717538</v>
      </c>
      <c r="H1151" s="31">
        <v>1363337947439</v>
      </c>
      <c r="I1151" s="31">
        <v>9908649113</v>
      </c>
      <c r="J1151" s="21">
        <v>36052366132</v>
      </c>
      <c r="K1151" s="19">
        <v>6.871567910292959</v>
      </c>
      <c r="L1151" s="23">
        <v>35758138341</v>
      </c>
      <c r="M1151" s="21">
        <v>294227791</v>
      </c>
    </row>
    <row r="1152" spans="2:13" x14ac:dyDescent="0.3">
      <c r="B1152" s="4">
        <v>45548</v>
      </c>
      <c r="C1152" s="24">
        <v>6.8154882000306847</v>
      </c>
      <c r="E1152" s="4">
        <v>45553</v>
      </c>
      <c r="F1152" s="23">
        <v>1371980134751</v>
      </c>
      <c r="G1152" s="19">
        <v>2.2627428930600071</v>
      </c>
      <c r="H1152" s="31">
        <v>1362126450925</v>
      </c>
      <c r="I1152" s="31">
        <v>9853683826</v>
      </c>
      <c r="J1152" s="21">
        <v>36436712876</v>
      </c>
      <c r="K1152" s="19">
        <v>7.6041639238424441</v>
      </c>
      <c r="L1152" s="23">
        <v>36019331474</v>
      </c>
      <c r="M1152" s="21">
        <v>417381402</v>
      </c>
    </row>
    <row r="1153" spans="2:13" x14ac:dyDescent="0.3">
      <c r="B1153" s="4">
        <v>45553</v>
      </c>
      <c r="C1153" s="24">
        <v>7.5170584648409076</v>
      </c>
      <c r="E1153" s="4">
        <v>45554</v>
      </c>
      <c r="F1153" s="23">
        <v>1373933565485</v>
      </c>
      <c r="G1153" s="19">
        <v>2.2442211781154469</v>
      </c>
      <c r="H1153" s="31">
        <v>1364070822984</v>
      </c>
      <c r="I1153" s="31">
        <v>9862742501</v>
      </c>
      <c r="J1153" s="21">
        <v>51626322637</v>
      </c>
      <c r="K1153" s="19">
        <v>8.2363961465217272</v>
      </c>
      <c r="L1153" s="23">
        <v>51230367187</v>
      </c>
      <c r="M1153" s="21">
        <v>395955450</v>
      </c>
    </row>
    <row r="1154" spans="2:13" x14ac:dyDescent="0.3">
      <c r="B1154" s="4">
        <v>45554</v>
      </c>
      <c r="C1154" s="24">
        <v>8.1732259307094353</v>
      </c>
      <c r="E1154" s="4">
        <v>45555</v>
      </c>
      <c r="F1154" s="23">
        <v>1370195341180</v>
      </c>
      <c r="G1154" s="19">
        <v>2.238317191138508</v>
      </c>
      <c r="H1154" s="31">
        <v>1360476778626</v>
      </c>
      <c r="I1154" s="31">
        <v>9718562554</v>
      </c>
      <c r="J1154" s="21">
        <v>42556278212</v>
      </c>
      <c r="K1154" s="19">
        <v>7.4067969160647742</v>
      </c>
      <c r="L1154" s="23">
        <v>42249213822</v>
      </c>
      <c r="M1154" s="21">
        <v>307064390</v>
      </c>
    </row>
    <row r="1155" spans="2:13" x14ac:dyDescent="0.3">
      <c r="B1155" s="4">
        <v>45555</v>
      </c>
      <c r="C1155" s="24">
        <v>7.3533532487037503</v>
      </c>
      <c r="E1155" s="4">
        <v>45558</v>
      </c>
      <c r="F1155" s="23">
        <v>1369773091592</v>
      </c>
      <c r="G1155" s="19">
        <v>2.2285993785423881</v>
      </c>
      <c r="H1155" s="31">
        <v>1360032780025</v>
      </c>
      <c r="I1155" s="31">
        <v>9740311567</v>
      </c>
      <c r="J1155" s="21">
        <v>42032114528</v>
      </c>
      <c r="K1155" s="19">
        <v>7.6308737631586077</v>
      </c>
      <c r="L1155" s="23">
        <v>41681383507</v>
      </c>
      <c r="M1155" s="21">
        <v>350731021</v>
      </c>
    </row>
    <row r="1156" spans="2:13" x14ac:dyDescent="0.3">
      <c r="B1156" s="4">
        <v>45558</v>
      </c>
      <c r="C1156" s="24">
        <v>7.5671990188320564</v>
      </c>
      <c r="E1156" s="4">
        <v>45559</v>
      </c>
      <c r="F1156" s="23">
        <v>1371448632801</v>
      </c>
      <c r="G1156" s="19">
        <v>2.1431906667391565</v>
      </c>
      <c r="H1156" s="31">
        <v>1361715539808</v>
      </c>
      <c r="I1156" s="31">
        <v>9733092993</v>
      </c>
      <c r="J1156" s="21">
        <v>84137189569</v>
      </c>
      <c r="K1156" s="19">
        <v>8.6649677789103965</v>
      </c>
      <c r="L1156" s="23">
        <v>83643670923</v>
      </c>
      <c r="M1156" s="21">
        <v>493518646</v>
      </c>
    </row>
    <row r="1157" spans="2:13" x14ac:dyDescent="0.3">
      <c r="B1157" s="4">
        <v>45559</v>
      </c>
      <c r="C1157" s="24">
        <v>8.6141421786284358</v>
      </c>
      <c r="E1157" s="4">
        <v>45560</v>
      </c>
      <c r="F1157" s="23">
        <v>1371036685257</v>
      </c>
      <c r="G1157" s="19">
        <v>2.1167156133458356</v>
      </c>
      <c r="H1157" s="31">
        <v>1361557630133</v>
      </c>
      <c r="I1157" s="31">
        <v>9479055124</v>
      </c>
      <c r="J1157" s="21">
        <v>100968534384</v>
      </c>
      <c r="K1157" s="19">
        <v>8.7268562324684762</v>
      </c>
      <c r="L1157" s="23">
        <v>100530377843</v>
      </c>
      <c r="M1157" s="21">
        <v>438156541</v>
      </c>
    </row>
    <row r="1158" spans="2:13" x14ac:dyDescent="0.3">
      <c r="B1158" s="4">
        <v>45560</v>
      </c>
      <c r="C1158" s="24">
        <v>8.6889857299010078</v>
      </c>
      <c r="E1158" s="4">
        <v>45561</v>
      </c>
      <c r="F1158" s="23">
        <v>1374851519449</v>
      </c>
      <c r="G1158" s="19">
        <v>2.0452844383670081</v>
      </c>
      <c r="H1158" s="31">
        <v>1365213793441</v>
      </c>
      <c r="I1158" s="31">
        <v>9637726008</v>
      </c>
      <c r="J1158" s="21">
        <v>108345243661</v>
      </c>
      <c r="K1158" s="19">
        <v>9.3234752193444361</v>
      </c>
      <c r="L1158" s="23">
        <v>107920838069</v>
      </c>
      <c r="M1158" s="21">
        <v>424405592</v>
      </c>
    </row>
    <row r="1159" spans="2:13" x14ac:dyDescent="0.3">
      <c r="B1159" s="4">
        <v>45561</v>
      </c>
      <c r="C1159" s="24">
        <v>9.286953680546258</v>
      </c>
      <c r="E1159" s="4">
        <v>45562</v>
      </c>
      <c r="F1159" s="23">
        <v>1393497445321</v>
      </c>
      <c r="G1159" s="19">
        <v>1.994712534866651</v>
      </c>
      <c r="H1159" s="31">
        <v>1383703675082</v>
      </c>
      <c r="I1159" s="31">
        <v>9793770239</v>
      </c>
      <c r="J1159" s="21">
        <v>152010403028</v>
      </c>
      <c r="K1159" s="19">
        <v>10.516607993787344</v>
      </c>
      <c r="L1159" s="23">
        <v>151630850614</v>
      </c>
      <c r="M1159" s="21">
        <v>379552414</v>
      </c>
    </row>
    <row r="1160" spans="2:13" x14ac:dyDescent="0.3">
      <c r="B1160" s="4">
        <v>45562</v>
      </c>
      <c r="C1160" s="24">
        <v>10.490349238652023</v>
      </c>
      <c r="E1160" s="4">
        <v>45565</v>
      </c>
      <c r="F1160" s="23">
        <v>1438994239981</v>
      </c>
      <c r="G1160" s="19">
        <v>1.8904830427092267</v>
      </c>
      <c r="H1160" s="31">
        <v>1429501818504</v>
      </c>
      <c r="I1160" s="31">
        <v>9492421477</v>
      </c>
      <c r="J1160" s="21">
        <v>284866228122</v>
      </c>
      <c r="K1160" s="19">
        <v>10.990076130584365</v>
      </c>
      <c r="L1160" s="23">
        <v>284227696790</v>
      </c>
      <c r="M1160" s="21">
        <v>638531332</v>
      </c>
    </row>
    <row r="1161" spans="2:13" x14ac:dyDescent="0.3">
      <c r="B1161" s="4">
        <v>45565</v>
      </c>
      <c r="C1161" s="24">
        <v>10.965441732899857</v>
      </c>
      <c r="E1161" s="4">
        <v>45573</v>
      </c>
      <c r="F1161" s="23">
        <v>1546249017879</v>
      </c>
      <c r="G1161" s="19">
        <v>1.9188236589935903</v>
      </c>
      <c r="H1161" s="31">
        <v>1536548935327</v>
      </c>
      <c r="I1161" s="31">
        <v>9700082552</v>
      </c>
      <c r="J1161" s="21">
        <v>406430234548</v>
      </c>
      <c r="K1161" s="19">
        <v>11.779335731341684</v>
      </c>
      <c r="L1161" s="23">
        <v>405475913286</v>
      </c>
      <c r="M1161" s="21">
        <v>954321262</v>
      </c>
    </row>
    <row r="1162" spans="2:13" x14ac:dyDescent="0.3">
      <c r="B1162" s="4">
        <v>45573</v>
      </c>
      <c r="C1162" s="24">
        <v>11.751677182382704</v>
      </c>
      <c r="E1162" s="4">
        <v>45574</v>
      </c>
      <c r="F1162" s="23">
        <v>1585107761230</v>
      </c>
      <c r="G1162" s="19">
        <v>2.1218418299108452</v>
      </c>
      <c r="H1162" s="31">
        <v>1576390006302</v>
      </c>
      <c r="I1162" s="31">
        <v>8717754928</v>
      </c>
      <c r="J1162" s="21">
        <v>331737658445</v>
      </c>
      <c r="K1162" s="19">
        <v>11.287193914952155</v>
      </c>
      <c r="L1162" s="23">
        <v>330803979221</v>
      </c>
      <c r="M1162" s="21">
        <v>933679224</v>
      </c>
    </row>
    <row r="1163" spans="2:13" x14ac:dyDescent="0.3">
      <c r="B1163" s="4">
        <v>45574</v>
      </c>
      <c r="C1163" s="24">
        <v>11.255425985724436</v>
      </c>
      <c r="E1163" s="4">
        <v>45575</v>
      </c>
      <c r="F1163" s="23">
        <v>1586746823361</v>
      </c>
      <c r="G1163" s="19">
        <v>2.1076520803617846</v>
      </c>
      <c r="H1163" s="31">
        <v>1577830723449</v>
      </c>
      <c r="I1163" s="31">
        <v>8916099912</v>
      </c>
      <c r="J1163" s="21">
        <v>211941488074</v>
      </c>
      <c r="K1163" s="19">
        <v>9.8929154677663664</v>
      </c>
      <c r="L1163" s="23">
        <v>210899054229</v>
      </c>
      <c r="M1163" s="21">
        <v>1042433845</v>
      </c>
    </row>
    <row r="1164" spans="2:13" x14ac:dyDescent="0.3">
      <c r="B1164" s="4">
        <v>45575</v>
      </c>
      <c r="C1164" s="24">
        <v>9.8442571800330878</v>
      </c>
      <c r="E1164" s="4">
        <v>45576</v>
      </c>
      <c r="F1164" s="23">
        <v>1578502348428</v>
      </c>
      <c r="G1164" s="19">
        <v>2.1600259722392661</v>
      </c>
      <c r="H1164" s="31">
        <v>1570021010247</v>
      </c>
      <c r="I1164" s="31">
        <v>8481338181</v>
      </c>
      <c r="J1164" s="21">
        <v>153968648156</v>
      </c>
      <c r="K1164" s="19">
        <v>9.7968563831097963</v>
      </c>
      <c r="L1164" s="23">
        <v>153272485805</v>
      </c>
      <c r="M1164" s="21">
        <v>696162351</v>
      </c>
    </row>
    <row r="1165" spans="2:13" x14ac:dyDescent="0.3">
      <c r="B1165" s="4">
        <v>45576</v>
      </c>
      <c r="C1165" s="24">
        <v>9.752560335480899</v>
      </c>
      <c r="E1165" s="4">
        <v>45579</v>
      </c>
      <c r="F1165" s="23">
        <v>1585532649153</v>
      </c>
      <c r="G1165" s="19">
        <v>2.1191290981008901</v>
      </c>
      <c r="H1165" s="31">
        <v>1576419944203</v>
      </c>
      <c r="I1165" s="31">
        <v>9112704950</v>
      </c>
      <c r="J1165" s="21">
        <v>155381734742</v>
      </c>
      <c r="K1165" s="19">
        <v>9.505830180103322</v>
      </c>
      <c r="L1165" s="23">
        <v>154438028999</v>
      </c>
      <c r="M1165" s="21">
        <v>943705743</v>
      </c>
    </row>
    <row r="1166" spans="2:13" x14ac:dyDescent="0.3">
      <c r="B1166" s="4">
        <v>45579</v>
      </c>
      <c r="C1166" s="24">
        <v>9.4480968400306207</v>
      </c>
      <c r="E1166" s="4">
        <v>45580</v>
      </c>
      <c r="F1166" s="23">
        <v>1587448440314</v>
      </c>
      <c r="G1166" s="19">
        <v>2.1731447688703258</v>
      </c>
      <c r="H1166" s="31">
        <v>1578536067751</v>
      </c>
      <c r="I1166" s="31">
        <v>8912372563</v>
      </c>
      <c r="J1166" s="21">
        <v>156795750465</v>
      </c>
      <c r="K1166" s="19">
        <v>9.5931285494563134</v>
      </c>
      <c r="L1166" s="23">
        <v>156160228723</v>
      </c>
      <c r="M1166" s="21">
        <v>635521742</v>
      </c>
    </row>
    <row r="1167" spans="2:13" x14ac:dyDescent="0.3">
      <c r="B1167" s="4">
        <v>45580</v>
      </c>
      <c r="C1167" s="24">
        <v>9.5542458517499043</v>
      </c>
      <c r="E1167" s="4">
        <v>45581</v>
      </c>
      <c r="F1167" s="23">
        <v>1589295344973</v>
      </c>
      <c r="G1167" s="19">
        <v>2.1775929979670812</v>
      </c>
      <c r="H1167" s="31">
        <v>1580227955933</v>
      </c>
      <c r="I1167" s="31">
        <v>9067389040</v>
      </c>
      <c r="J1167" s="21">
        <v>127772943059</v>
      </c>
      <c r="K1167" s="19">
        <v>9.2919138192493254</v>
      </c>
      <c r="L1167" s="23">
        <v>127020649825</v>
      </c>
      <c r="M1167" s="21">
        <v>752293234</v>
      </c>
    </row>
    <row r="1168" spans="2:13" x14ac:dyDescent="0.3">
      <c r="B1168" s="4">
        <v>45581</v>
      </c>
      <c r="C1168" s="24">
        <v>9.2372054926679716</v>
      </c>
      <c r="E1168" s="4">
        <v>45582</v>
      </c>
      <c r="F1168" s="23">
        <v>1592920044143</v>
      </c>
      <c r="G1168" s="19">
        <v>2.2022437968783555</v>
      </c>
      <c r="H1168" s="31">
        <v>1583794414537</v>
      </c>
      <c r="I1168" s="31">
        <v>9125629606</v>
      </c>
      <c r="J1168" s="21">
        <v>143150006024</v>
      </c>
      <c r="K1168" s="19">
        <v>9.6013500928333979</v>
      </c>
      <c r="L1168" s="23">
        <v>142461366340</v>
      </c>
      <c r="M1168" s="21">
        <v>688639684</v>
      </c>
    </row>
    <row r="1169" spans="2:13" x14ac:dyDescent="0.3">
      <c r="B1169" s="4">
        <v>45582</v>
      </c>
      <c r="C1169" s="24">
        <v>9.5551616861574402</v>
      </c>
      <c r="E1169" s="4">
        <v>45583</v>
      </c>
      <c r="F1169" s="23">
        <v>1609082085792</v>
      </c>
      <c r="G1169" s="19">
        <v>2.1548202970619306</v>
      </c>
      <c r="H1169" s="31">
        <v>1599724962404</v>
      </c>
      <c r="I1169" s="31">
        <v>9357123388</v>
      </c>
      <c r="J1169" s="21">
        <v>225189306317</v>
      </c>
      <c r="K1169" s="19">
        <v>10.737565670626147</v>
      </c>
      <c r="L1169" s="23">
        <v>224389157352</v>
      </c>
      <c r="M1169" s="21">
        <v>800148965</v>
      </c>
    </row>
    <row r="1170" spans="2:13" x14ac:dyDescent="0.3">
      <c r="B1170" s="4">
        <v>45583</v>
      </c>
      <c r="C1170" s="24">
        <v>10.699412650846972</v>
      </c>
      <c r="E1170" s="4">
        <v>45586</v>
      </c>
      <c r="F1170" s="23">
        <v>1632049145868</v>
      </c>
      <c r="G1170" s="19">
        <v>2.1712264765589984</v>
      </c>
      <c r="H1170" s="31">
        <v>1622653021834</v>
      </c>
      <c r="I1170" s="31">
        <v>9396124034</v>
      </c>
      <c r="J1170" s="21">
        <v>236737231122</v>
      </c>
      <c r="K1170" s="19">
        <v>10.84198397637007</v>
      </c>
      <c r="L1170" s="23">
        <v>236077069405</v>
      </c>
      <c r="M1170" s="21">
        <v>660161717</v>
      </c>
    </row>
    <row r="1171" spans="2:13" x14ac:dyDescent="0.3">
      <c r="B1171" s="4">
        <v>45586</v>
      </c>
      <c r="C1171" s="24">
        <v>10.81175019048179</v>
      </c>
      <c r="E1171" s="4">
        <v>45587</v>
      </c>
      <c r="F1171" s="23">
        <v>1640573842940</v>
      </c>
      <c r="G1171" s="19">
        <v>2.1674723490253163</v>
      </c>
      <c r="H1171" s="31">
        <v>1631119736487</v>
      </c>
      <c r="I1171" s="31">
        <v>9454106453</v>
      </c>
      <c r="J1171" s="21">
        <v>189657349898</v>
      </c>
      <c r="K1171" s="19">
        <v>9.9185503379761926</v>
      </c>
      <c r="L1171" s="23">
        <v>188975478641</v>
      </c>
      <c r="M1171" s="21">
        <v>681871257</v>
      </c>
    </row>
    <row r="1172" spans="2:13" x14ac:dyDescent="0.3">
      <c r="B1172" s="4">
        <v>45587</v>
      </c>
      <c r="C1172" s="24">
        <v>9.8828903733599471</v>
      </c>
      <c r="E1172" s="4">
        <v>45588</v>
      </c>
      <c r="F1172" s="23">
        <v>1648947281511</v>
      </c>
      <c r="G1172" s="19">
        <v>2.1702026166332873</v>
      </c>
      <c r="H1172" s="31">
        <v>1639383226746</v>
      </c>
      <c r="I1172" s="31">
        <v>9564054765</v>
      </c>
      <c r="J1172" s="21">
        <v>198567398443</v>
      </c>
      <c r="K1172" s="19">
        <v>10.307315842603639</v>
      </c>
      <c r="L1172" s="23">
        <v>197933666130</v>
      </c>
      <c r="M1172" s="21">
        <v>633732313</v>
      </c>
    </row>
    <row r="1173" spans="2:13" x14ac:dyDescent="0.3">
      <c r="B1173" s="4">
        <v>45588</v>
      </c>
      <c r="C1173" s="24">
        <v>10.27441981253539</v>
      </c>
      <c r="E1173" s="4">
        <v>45589</v>
      </c>
      <c r="F1173" s="23">
        <v>1656267530614</v>
      </c>
      <c r="G1173" s="19">
        <v>2.1959857543231895</v>
      </c>
      <c r="H1173" s="31">
        <v>1646790764436</v>
      </c>
      <c r="I1173" s="31">
        <v>9476766178</v>
      </c>
      <c r="J1173" s="21">
        <v>145306942155</v>
      </c>
      <c r="K1173" s="19">
        <v>9.5584910451353551</v>
      </c>
      <c r="L1173" s="23">
        <v>144765004869</v>
      </c>
      <c r="M1173" s="21">
        <v>541937286</v>
      </c>
    </row>
    <row r="1174" spans="2:13" x14ac:dyDescent="0.3">
      <c r="B1174" s="4">
        <v>45589</v>
      </c>
      <c r="C1174" s="24">
        <v>9.5228416630863517</v>
      </c>
      <c r="E1174" s="4">
        <v>45590</v>
      </c>
      <c r="F1174" s="23">
        <v>1661381179838</v>
      </c>
      <c r="G1174" s="19">
        <v>2.1806757678496358</v>
      </c>
      <c r="H1174" s="31">
        <v>1651780928457</v>
      </c>
      <c r="I1174" s="31">
        <v>9600251381</v>
      </c>
      <c r="J1174" s="21">
        <v>180775881635</v>
      </c>
      <c r="K1174" s="19">
        <v>10.203240417357391</v>
      </c>
      <c r="L1174" s="23">
        <v>180257700996</v>
      </c>
      <c r="M1174" s="21">
        <v>518180639</v>
      </c>
    </row>
    <row r="1175" spans="2:13" x14ac:dyDescent="0.3">
      <c r="B1175" s="4">
        <v>45590</v>
      </c>
      <c r="C1175" s="24">
        <v>10.173993586466464</v>
      </c>
      <c r="E1175" s="4">
        <v>45593</v>
      </c>
      <c r="F1175" s="23">
        <v>1677745861326</v>
      </c>
      <c r="G1175" s="19">
        <v>2.1803954355375885</v>
      </c>
      <c r="H1175" s="31">
        <v>1667913402828</v>
      </c>
      <c r="I1175" s="31">
        <v>9832458498</v>
      </c>
      <c r="J1175" s="21">
        <v>182427481380</v>
      </c>
      <c r="K1175" s="19">
        <v>9.795643190097298</v>
      </c>
      <c r="L1175" s="23">
        <v>181830390298</v>
      </c>
      <c r="M1175" s="21">
        <v>597091082</v>
      </c>
    </row>
    <row r="1176" spans="2:13" x14ac:dyDescent="0.3">
      <c r="B1176" s="4">
        <v>45593</v>
      </c>
      <c r="C1176" s="24">
        <v>9.7635817312259903</v>
      </c>
      <c r="E1176" s="4">
        <v>45594</v>
      </c>
      <c r="F1176" s="23">
        <v>1683966841802</v>
      </c>
      <c r="G1176" s="19">
        <v>2.214334675724082</v>
      </c>
      <c r="H1176" s="31">
        <v>1674067963079</v>
      </c>
      <c r="I1176" s="31">
        <v>9898878723</v>
      </c>
      <c r="J1176" s="21">
        <v>201708299428</v>
      </c>
      <c r="K1176" s="19">
        <v>9.7842036151699858</v>
      </c>
      <c r="L1176" s="23">
        <v>201029382778</v>
      </c>
      <c r="M1176" s="21">
        <v>678916650</v>
      </c>
    </row>
    <row r="1177" spans="2:13" x14ac:dyDescent="0.3">
      <c r="B1177" s="4">
        <v>45594</v>
      </c>
      <c r="C1177" s="24">
        <v>9.7512716100905408</v>
      </c>
      <c r="E1177" s="4">
        <v>45595</v>
      </c>
      <c r="F1177" s="23">
        <v>1694886373852</v>
      </c>
      <c r="G1177" s="19">
        <v>2.2361670317509619</v>
      </c>
      <c r="H1177" s="31">
        <v>1685331435935</v>
      </c>
      <c r="I1177" s="31">
        <v>9554937917</v>
      </c>
      <c r="J1177" s="21">
        <v>177904796870</v>
      </c>
      <c r="K1177" s="19">
        <v>9.6372211962336909</v>
      </c>
      <c r="L1177" s="23">
        <v>177240323748</v>
      </c>
      <c r="M1177" s="21">
        <v>664473122</v>
      </c>
    </row>
    <row r="1178" spans="2:13" x14ac:dyDescent="0.3">
      <c r="B1178" s="4">
        <v>45595</v>
      </c>
      <c r="C1178" s="24">
        <v>9.6012262451793617</v>
      </c>
      <c r="E1178" s="4">
        <v>45596</v>
      </c>
      <c r="F1178" s="23">
        <v>1705841481664</v>
      </c>
      <c r="G1178" s="19">
        <v>2.2377393559244583</v>
      </c>
      <c r="H1178" s="31">
        <v>1695987253977</v>
      </c>
      <c r="I1178" s="31">
        <v>9854227687</v>
      </c>
      <c r="J1178" s="21">
        <v>225045028539</v>
      </c>
      <c r="K1178" s="19">
        <v>10.152476922613388</v>
      </c>
      <c r="L1178" s="23">
        <v>224225757823</v>
      </c>
      <c r="M1178" s="21">
        <v>819270716</v>
      </c>
    </row>
    <row r="1179" spans="2:13" x14ac:dyDescent="0.3">
      <c r="B1179" s="4">
        <v>45596</v>
      </c>
      <c r="C1179" s="24">
        <v>10.11551708799024</v>
      </c>
      <c r="E1179" s="4">
        <v>45597</v>
      </c>
      <c r="F1179" s="23">
        <v>1698126046174</v>
      </c>
      <c r="G1179" s="19">
        <v>2.2482268897155566</v>
      </c>
      <c r="H1179" s="31">
        <v>1688387751244</v>
      </c>
      <c r="I1179" s="31">
        <v>9738294930</v>
      </c>
      <c r="J1179" s="21">
        <v>209840161784</v>
      </c>
      <c r="K1179" s="19">
        <v>9.4104130953715561</v>
      </c>
      <c r="L1179" s="23">
        <v>209151406144</v>
      </c>
      <c r="M1179" s="21">
        <v>688755640</v>
      </c>
    </row>
    <row r="1180" spans="2:13" x14ac:dyDescent="0.3">
      <c r="B1180" s="4">
        <v>45597</v>
      </c>
      <c r="C1180" s="24">
        <v>9.3795254185843131</v>
      </c>
      <c r="E1180" s="4">
        <v>45600</v>
      </c>
      <c r="F1180" s="23">
        <v>1713656124604</v>
      </c>
      <c r="G1180" s="19">
        <v>2.2369907912409679</v>
      </c>
      <c r="H1180" s="31">
        <v>1703788761499</v>
      </c>
      <c r="I1180" s="31">
        <v>9867363105</v>
      </c>
      <c r="J1180" s="21">
        <v>167954384727</v>
      </c>
      <c r="K1180" s="19">
        <v>9.917545590203698</v>
      </c>
      <c r="L1180" s="23">
        <v>167374774271</v>
      </c>
      <c r="M1180" s="21">
        <v>579610456</v>
      </c>
    </row>
    <row r="1181" spans="2:13" x14ac:dyDescent="0.3">
      <c r="B1181" s="4">
        <v>45600</v>
      </c>
      <c r="C1181" s="24">
        <v>9.883320147793949</v>
      </c>
      <c r="E1181" s="4">
        <v>45601</v>
      </c>
      <c r="F1181" s="23">
        <v>1736413723785</v>
      </c>
      <c r="G1181" s="19">
        <v>2.2089417671971536</v>
      </c>
      <c r="H1181" s="31">
        <v>1726346860775</v>
      </c>
      <c r="I1181" s="31">
        <v>10066863010</v>
      </c>
      <c r="J1181" s="21">
        <v>257828320717</v>
      </c>
      <c r="K1181" s="19">
        <v>11.195089003165329</v>
      </c>
      <c r="L1181" s="23">
        <v>257077768022</v>
      </c>
      <c r="M1181" s="21">
        <v>750552695</v>
      </c>
    </row>
    <row r="1182" spans="2:13" x14ac:dyDescent="0.3">
      <c r="B1182" s="4">
        <v>45601</v>
      </c>
      <c r="C1182" s="24">
        <v>11.162499471500523</v>
      </c>
      <c r="E1182" s="4">
        <v>45602</v>
      </c>
      <c r="F1182" s="23">
        <v>1759083523053</v>
      </c>
      <c r="G1182" s="19">
        <v>2.2384434416732755</v>
      </c>
      <c r="H1182" s="31">
        <v>1748824053782</v>
      </c>
      <c r="I1182" s="31">
        <v>10259469271</v>
      </c>
      <c r="J1182" s="21">
        <v>289034429099</v>
      </c>
      <c r="K1182" s="19">
        <v>11.280218795358477</v>
      </c>
      <c r="L1182" s="23">
        <v>288175472293</v>
      </c>
      <c r="M1182" s="21">
        <v>858956806</v>
      </c>
    </row>
    <row r="1183" spans="2:13" x14ac:dyDescent="0.3">
      <c r="B1183" s="4">
        <v>45602</v>
      </c>
      <c r="C1183" s="24">
        <v>11.246696073731</v>
      </c>
      <c r="E1183" s="4">
        <v>45603</v>
      </c>
      <c r="F1183" s="23">
        <v>1783489070328</v>
      </c>
      <c r="G1183" s="19">
        <v>2.2131414572459245</v>
      </c>
      <c r="H1183" s="31">
        <v>1772954783476</v>
      </c>
      <c r="I1183" s="31">
        <v>10534286852</v>
      </c>
      <c r="J1183" s="21">
        <v>276242512520</v>
      </c>
      <c r="K1183" s="19">
        <v>11.029573110794455</v>
      </c>
      <c r="L1183" s="23">
        <v>275445840728</v>
      </c>
      <c r="M1183" s="21">
        <v>796671792</v>
      </c>
    </row>
    <row r="1184" spans="2:13" x14ac:dyDescent="0.3">
      <c r="B1184" s="4">
        <v>45603</v>
      </c>
      <c r="C1184" s="24">
        <v>10.997764285661013</v>
      </c>
      <c r="E1184" s="4">
        <v>45604</v>
      </c>
      <c r="F1184" s="23">
        <v>1801200701069</v>
      </c>
      <c r="G1184" s="19">
        <v>2.2456778013380165</v>
      </c>
      <c r="H1184" s="31">
        <v>1790825693092</v>
      </c>
      <c r="I1184" s="31">
        <v>10375007977</v>
      </c>
      <c r="J1184" s="21">
        <v>299757687445</v>
      </c>
      <c r="K1184" s="19">
        <v>11.180606632070527</v>
      </c>
      <c r="L1184" s="23">
        <v>299031758190</v>
      </c>
      <c r="M1184" s="21">
        <v>725929255</v>
      </c>
    </row>
    <row r="1185" spans="2:13" x14ac:dyDescent="0.3">
      <c r="B1185" s="4">
        <v>45604</v>
      </c>
      <c r="C1185" s="24">
        <v>11.153530330835197</v>
      </c>
      <c r="E1185" s="4">
        <v>45607</v>
      </c>
      <c r="F1185" s="23">
        <v>1838100509861</v>
      </c>
      <c r="G1185" s="19">
        <v>2.2704247204381169</v>
      </c>
      <c r="H1185" s="31">
        <v>1827273114843</v>
      </c>
      <c r="I1185" s="31">
        <v>10827395018</v>
      </c>
      <c r="J1185" s="21">
        <v>284894497718</v>
      </c>
      <c r="K1185" s="19">
        <v>11.363382815673583</v>
      </c>
      <c r="L1185" s="23">
        <v>283977481720</v>
      </c>
      <c r="M1185" s="21">
        <v>917015998</v>
      </c>
    </row>
    <row r="1186" spans="2:13" x14ac:dyDescent="0.3">
      <c r="B1186" s="4">
        <v>45607</v>
      </c>
      <c r="C1186" s="24">
        <v>11.326806455242483</v>
      </c>
      <c r="E1186" s="4">
        <v>45608</v>
      </c>
      <c r="F1186" s="23">
        <v>1842525884651</v>
      </c>
      <c r="G1186" s="19">
        <v>2.3017809325164058</v>
      </c>
      <c r="H1186" s="31">
        <v>1831515596658</v>
      </c>
      <c r="I1186" s="31">
        <v>11010287993</v>
      </c>
      <c r="J1186" s="21">
        <v>266729510032</v>
      </c>
      <c r="K1186" s="19">
        <v>10.45926661422336</v>
      </c>
      <c r="L1186" s="23">
        <v>265866856100</v>
      </c>
      <c r="M1186" s="21">
        <v>862653932</v>
      </c>
    </row>
    <row r="1187" spans="2:13" x14ac:dyDescent="0.3">
      <c r="B1187" s="4">
        <v>45608</v>
      </c>
      <c r="C1187" s="24">
        <v>10.425439358028447</v>
      </c>
      <c r="E1187" s="4">
        <v>45609</v>
      </c>
      <c r="F1187" s="23">
        <v>1850033400221</v>
      </c>
      <c r="G1187" s="19">
        <v>2.303178251747958</v>
      </c>
      <c r="H1187" s="31">
        <v>1839117415311</v>
      </c>
      <c r="I1187" s="31">
        <v>10915984910</v>
      </c>
      <c r="J1187" s="21">
        <v>208917424220</v>
      </c>
      <c r="K1187" s="19">
        <v>10.399741086632645</v>
      </c>
      <c r="L1187" s="23">
        <v>208175185302</v>
      </c>
      <c r="M1187" s="21">
        <v>742238918</v>
      </c>
    </row>
    <row r="1188" spans="2:13" x14ac:dyDescent="0.3">
      <c r="B1188" s="4">
        <v>45609</v>
      </c>
      <c r="C1188" s="24">
        <v>10.362793031196667</v>
      </c>
      <c r="E1188" s="4">
        <v>45610</v>
      </c>
      <c r="F1188" s="23">
        <v>1842485383558</v>
      </c>
      <c r="G1188" s="19">
        <v>2.3424276670871458</v>
      </c>
      <c r="H1188" s="31">
        <v>1831867878709</v>
      </c>
      <c r="I1188" s="31">
        <v>10617504849</v>
      </c>
      <c r="J1188" s="21">
        <v>179926073118</v>
      </c>
      <c r="K1188" s="19">
        <v>9.7901093449405092</v>
      </c>
      <c r="L1188" s="23">
        <v>179281073217</v>
      </c>
      <c r="M1188" s="21">
        <v>644999901</v>
      </c>
    </row>
    <row r="1189" spans="2:13" x14ac:dyDescent="0.3">
      <c r="B1189" s="4">
        <v>45610</v>
      </c>
      <c r="C1189" s="24">
        <v>9.7550137112236293</v>
      </c>
      <c r="E1189" s="4">
        <v>45611</v>
      </c>
      <c r="F1189" s="23">
        <v>1832633663540</v>
      </c>
      <c r="G1189" s="19">
        <v>2.3718266071452292</v>
      </c>
      <c r="H1189" s="31">
        <v>1822536809194</v>
      </c>
      <c r="I1189" s="31">
        <v>10096854346</v>
      </c>
      <c r="J1189" s="21">
        <v>175744189799</v>
      </c>
      <c r="K1189" s="19">
        <v>9.6236294712759722</v>
      </c>
      <c r="L1189" s="23">
        <v>175067020983</v>
      </c>
      <c r="M1189" s="21">
        <v>677168816</v>
      </c>
    </row>
    <row r="1190" spans="2:13" x14ac:dyDescent="0.3">
      <c r="B1190" s="4">
        <v>45611</v>
      </c>
      <c r="C1190" s="24">
        <v>9.5865481783914674</v>
      </c>
      <c r="E1190" s="4">
        <v>45614</v>
      </c>
      <c r="F1190" s="23">
        <v>1829221500268</v>
      </c>
      <c r="G1190" s="19">
        <v>2.386244431600439</v>
      </c>
      <c r="H1190" s="31">
        <v>1819242430227</v>
      </c>
      <c r="I1190" s="31">
        <v>9979070041</v>
      </c>
      <c r="J1190" s="21">
        <v>158985666028</v>
      </c>
      <c r="K1190" s="19">
        <v>9.0471995465504911</v>
      </c>
      <c r="L1190" s="23">
        <v>158281976394</v>
      </c>
      <c r="M1190" s="21">
        <v>703689634</v>
      </c>
    </row>
    <row r="1191" spans="2:13" x14ac:dyDescent="0.3">
      <c r="B1191" s="4">
        <v>45614</v>
      </c>
      <c r="C1191" s="24">
        <v>9.0071555558141441</v>
      </c>
      <c r="E1191" s="4">
        <v>45615</v>
      </c>
      <c r="F1191" s="23">
        <v>1832254707832</v>
      </c>
      <c r="G1191" s="19">
        <v>2.3627555072871154</v>
      </c>
      <c r="H1191" s="31">
        <v>1822190548905</v>
      </c>
      <c r="I1191" s="31">
        <v>10064158927</v>
      </c>
      <c r="J1191" s="21">
        <v>143841837782</v>
      </c>
      <c r="K1191" s="19">
        <v>9.2334922594135094</v>
      </c>
      <c r="L1191" s="23">
        <v>143102449254</v>
      </c>
      <c r="M1191" s="21">
        <v>739388528</v>
      </c>
    </row>
    <row r="1192" spans="2:13" x14ac:dyDescent="0.3">
      <c r="B1192" s="4">
        <v>45615</v>
      </c>
      <c r="C1192" s="24">
        <v>9.186029446401248</v>
      </c>
      <c r="E1192" s="4">
        <v>45616</v>
      </c>
      <c r="F1192" s="23">
        <v>1838039071674</v>
      </c>
      <c r="G1192" s="19">
        <v>2.3489277262320525</v>
      </c>
      <c r="H1192" s="31">
        <v>1827362421883</v>
      </c>
      <c r="I1192" s="31">
        <v>10676649791</v>
      </c>
      <c r="J1192" s="21">
        <v>153841346064</v>
      </c>
      <c r="K1192" s="19">
        <v>9.5317512223553322</v>
      </c>
      <c r="L1192" s="23">
        <v>152805797198</v>
      </c>
      <c r="M1192" s="21">
        <v>1035548866</v>
      </c>
    </row>
    <row r="1193" spans="2:13" x14ac:dyDescent="0.3">
      <c r="B1193" s="4">
        <v>45616</v>
      </c>
      <c r="C1193" s="24">
        <v>9.4675903551902856</v>
      </c>
      <c r="E1193" s="4">
        <v>45617</v>
      </c>
      <c r="F1193" s="23">
        <v>1841366723869</v>
      </c>
      <c r="G1193" s="19">
        <v>2.3512210084952798</v>
      </c>
      <c r="H1193" s="31">
        <v>1830518713532</v>
      </c>
      <c r="I1193" s="31">
        <v>10848010337</v>
      </c>
      <c r="J1193" s="21">
        <v>153105365130</v>
      </c>
      <c r="K1193" s="19">
        <v>9.5034081565758548</v>
      </c>
      <c r="L1193" s="23">
        <v>152431334904</v>
      </c>
      <c r="M1193" s="21">
        <v>674030226</v>
      </c>
    </row>
    <row r="1194" spans="2:13" x14ac:dyDescent="0.3">
      <c r="B1194" s="4">
        <v>45617</v>
      </c>
      <c r="C1194" s="24">
        <v>9.4615704042403426</v>
      </c>
      <c r="E1194" s="4">
        <v>45618</v>
      </c>
      <c r="F1194" s="23">
        <v>1828792874685</v>
      </c>
      <c r="G1194" s="19">
        <v>2.412261833783981</v>
      </c>
      <c r="H1194" s="31">
        <v>1818324645690</v>
      </c>
      <c r="I1194" s="31">
        <v>10468228995</v>
      </c>
      <c r="J1194" s="21">
        <v>164901260908</v>
      </c>
      <c r="K1194" s="19">
        <v>9.2155997785577313</v>
      </c>
      <c r="L1194" s="23">
        <v>164243137973</v>
      </c>
      <c r="M1194" s="21">
        <v>658122935</v>
      </c>
    </row>
    <row r="1195" spans="2:13" x14ac:dyDescent="0.3">
      <c r="B1195" s="4">
        <v>45618</v>
      </c>
      <c r="C1195" s="24">
        <v>9.1788202079185872</v>
      </c>
      <c r="E1195" s="4">
        <v>45621</v>
      </c>
      <c r="F1195" s="23">
        <v>1833535005465</v>
      </c>
      <c r="G1195" s="19">
        <v>2.4171241661934224</v>
      </c>
      <c r="H1195" s="31">
        <v>1822992762075</v>
      </c>
      <c r="I1195" s="31">
        <v>10542243390</v>
      </c>
      <c r="J1195" s="21">
        <v>129715603535</v>
      </c>
      <c r="K1195" s="19">
        <v>8.7074373972046715</v>
      </c>
      <c r="L1195" s="23">
        <v>128976709828</v>
      </c>
      <c r="M1195" s="21">
        <v>738893707</v>
      </c>
    </row>
    <row r="1196" spans="2:13" x14ac:dyDescent="0.3">
      <c r="B1196" s="4">
        <v>45621</v>
      </c>
      <c r="C1196" s="24">
        <v>8.6578375763538578</v>
      </c>
      <c r="E1196" s="4">
        <v>45622</v>
      </c>
      <c r="F1196" s="23">
        <v>1828389544755</v>
      </c>
      <c r="G1196" s="19">
        <v>2.4195737009768794</v>
      </c>
      <c r="H1196" s="31">
        <v>1817668004439</v>
      </c>
      <c r="I1196" s="31">
        <v>10721540316</v>
      </c>
      <c r="J1196" s="21">
        <v>108177591460</v>
      </c>
      <c r="K1196" s="19">
        <v>8.2909558374893084</v>
      </c>
      <c r="L1196" s="23">
        <v>107432518844</v>
      </c>
      <c r="M1196" s="21">
        <v>745072616</v>
      </c>
    </row>
    <row r="1197" spans="2:13" x14ac:dyDescent="0.3">
      <c r="B1197" s="4">
        <v>45622</v>
      </c>
      <c r="C1197" s="24">
        <v>8.2338519209423886</v>
      </c>
      <c r="E1197" s="4">
        <v>45623</v>
      </c>
      <c r="F1197" s="23">
        <v>1831704555983</v>
      </c>
      <c r="G1197" s="19">
        <v>2.3835343555623081</v>
      </c>
      <c r="H1197" s="31">
        <v>1820879736177</v>
      </c>
      <c r="I1197" s="31">
        <v>10824819806</v>
      </c>
      <c r="J1197" s="21">
        <v>133577747772</v>
      </c>
      <c r="K1197" s="19">
        <v>9.1585553263168098</v>
      </c>
      <c r="L1197" s="23">
        <v>132877673942</v>
      </c>
      <c r="M1197" s="21">
        <v>700073830</v>
      </c>
    </row>
    <row r="1198" spans="2:13" x14ac:dyDescent="0.3">
      <c r="B1198" s="4">
        <v>45623</v>
      </c>
      <c r="C1198" s="24">
        <v>9.1105558278112238</v>
      </c>
      <c r="E1198" s="4">
        <v>45624</v>
      </c>
      <c r="F1198" s="23">
        <v>1835576886803</v>
      </c>
      <c r="G1198" s="19">
        <v>2.4005255753994383</v>
      </c>
      <c r="H1198" s="31">
        <v>1824550510976</v>
      </c>
      <c r="I1198" s="31">
        <v>11026375827</v>
      </c>
      <c r="J1198" s="21">
        <v>135576965317</v>
      </c>
      <c r="K1198" s="19">
        <v>9.097553320037834</v>
      </c>
      <c r="L1198" s="23">
        <v>134812051642</v>
      </c>
      <c r="M1198" s="21">
        <v>764913675</v>
      </c>
    </row>
    <row r="1199" spans="2:13" x14ac:dyDescent="0.3">
      <c r="B1199" s="4">
        <v>45624</v>
      </c>
      <c r="C1199" s="24">
        <v>9.0462257001337605</v>
      </c>
      <c r="E1199" s="4">
        <v>45625</v>
      </c>
      <c r="F1199" s="23">
        <v>1840554617890</v>
      </c>
      <c r="G1199" s="19">
        <v>2.3786044449283787</v>
      </c>
      <c r="H1199" s="31">
        <v>1830002226320</v>
      </c>
      <c r="I1199" s="31">
        <v>10552391570</v>
      </c>
      <c r="J1199" s="21">
        <v>169539246973</v>
      </c>
      <c r="K1199" s="19">
        <v>9.9255584676244943</v>
      </c>
      <c r="L1199" s="23">
        <v>168871072539</v>
      </c>
      <c r="M1199" s="21">
        <v>668174434</v>
      </c>
    </row>
    <row r="1200" spans="2:13" x14ac:dyDescent="0.3">
      <c r="B1200" s="4">
        <v>45625</v>
      </c>
      <c r="C1200" s="24">
        <v>9.8864406554975179</v>
      </c>
      <c r="E1200" s="4">
        <v>45628</v>
      </c>
      <c r="F1200" s="23">
        <v>1852096399629</v>
      </c>
      <c r="G1200" s="19">
        <v>2.3593459086905173</v>
      </c>
      <c r="H1200" s="31">
        <v>1841282288703</v>
      </c>
      <c r="I1200" s="31">
        <v>10814110926</v>
      </c>
      <c r="J1200" s="21">
        <v>173593030066</v>
      </c>
      <c r="K1200" s="19">
        <v>9.7173127593553783</v>
      </c>
      <c r="L1200" s="23">
        <v>172886759418</v>
      </c>
      <c r="M1200" s="21">
        <v>706270648</v>
      </c>
    </row>
    <row r="1201" spans="2:13" x14ac:dyDescent="0.3">
      <c r="B1201" s="4">
        <v>45628</v>
      </c>
      <c r="C1201" s="24">
        <v>9.6777774578702953</v>
      </c>
      <c r="E1201" s="4">
        <v>45629</v>
      </c>
      <c r="F1201" s="23">
        <v>1855528951749</v>
      </c>
      <c r="G1201" s="19">
        <v>2.357690096145503</v>
      </c>
      <c r="H1201" s="31">
        <v>1844439435606</v>
      </c>
      <c r="I1201" s="31">
        <v>11089516143</v>
      </c>
      <c r="J1201" s="21">
        <v>158433050889</v>
      </c>
      <c r="K1201" s="19">
        <v>9.2344341295647379</v>
      </c>
      <c r="L1201" s="23">
        <v>157623393781</v>
      </c>
      <c r="M1201" s="21">
        <v>809657108</v>
      </c>
    </row>
    <row r="1202" spans="2:13" x14ac:dyDescent="0.3">
      <c r="B1202" s="4">
        <v>45629</v>
      </c>
      <c r="C1202" s="24">
        <v>9.1872424281526488</v>
      </c>
      <c r="E1202" s="4">
        <v>45630</v>
      </c>
      <c r="F1202" s="23">
        <v>1854706481557</v>
      </c>
      <c r="G1202" s="19">
        <v>2.3731885941431563</v>
      </c>
      <c r="H1202" s="31">
        <v>1843605180541</v>
      </c>
      <c r="I1202" s="31">
        <v>11101301016</v>
      </c>
      <c r="J1202" s="21">
        <v>150177183784</v>
      </c>
      <c r="K1202" s="19">
        <v>9.0308473144368939</v>
      </c>
      <c r="L1202" s="23">
        <v>149501218713</v>
      </c>
      <c r="M1202" s="21">
        <v>675965071</v>
      </c>
    </row>
    <row r="1203" spans="2:13" x14ac:dyDescent="0.3">
      <c r="B1203" s="4">
        <v>45630</v>
      </c>
      <c r="C1203" s="24">
        <v>8.9901984143025455</v>
      </c>
      <c r="E1203" s="4">
        <v>45631</v>
      </c>
      <c r="F1203" s="23">
        <v>1861704716311</v>
      </c>
      <c r="G1203" s="19">
        <v>2.3741853965428934</v>
      </c>
      <c r="H1203" s="31">
        <v>1850720819824</v>
      </c>
      <c r="I1203" s="31">
        <v>10983896487</v>
      </c>
      <c r="J1203" s="21">
        <v>140650201579</v>
      </c>
      <c r="K1203" s="19">
        <v>9.3864813643980423</v>
      </c>
      <c r="L1203" s="23">
        <v>140217474093</v>
      </c>
      <c r="M1203" s="21">
        <v>432727486</v>
      </c>
    </row>
    <row r="1204" spans="2:13" x14ac:dyDescent="0.3">
      <c r="B1204" s="4">
        <v>45631</v>
      </c>
      <c r="C1204" s="24">
        <v>9.3576027105631923</v>
      </c>
      <c r="E1204" s="4">
        <v>45632</v>
      </c>
      <c r="F1204" s="23">
        <v>1860188306919</v>
      </c>
      <c r="G1204" s="19">
        <v>2.3453561701563261</v>
      </c>
      <c r="H1204" s="31">
        <v>1849211561966</v>
      </c>
      <c r="I1204" s="31">
        <v>10976744953</v>
      </c>
      <c r="J1204" s="21">
        <v>172144879855</v>
      </c>
      <c r="K1204" s="19">
        <v>9.6245744352044387</v>
      </c>
      <c r="L1204" s="23">
        <v>171575591602</v>
      </c>
      <c r="M1204" s="21">
        <v>569288253</v>
      </c>
    </row>
    <row r="1205" spans="2:13" x14ac:dyDescent="0.3">
      <c r="B1205" s="4">
        <v>45632</v>
      </c>
      <c r="C1205" s="24">
        <v>9.5927456804328699</v>
      </c>
      <c r="E1205" s="4">
        <v>45635</v>
      </c>
      <c r="F1205" s="23">
        <v>1863668579743</v>
      </c>
      <c r="G1205" s="19">
        <v>2.3531727109802594</v>
      </c>
      <c r="H1205" s="31">
        <v>1852700321442</v>
      </c>
      <c r="I1205" s="31">
        <v>10968258301</v>
      </c>
      <c r="J1205" s="21">
        <v>149574265790</v>
      </c>
      <c r="K1205" s="19">
        <v>9.152623947641283</v>
      </c>
      <c r="L1205" s="23">
        <v>149031144431</v>
      </c>
      <c r="M1205" s="21">
        <v>543121359</v>
      </c>
    </row>
    <row r="1206" spans="2:13" x14ac:dyDescent="0.3">
      <c r="B1206" s="4">
        <v>45635</v>
      </c>
      <c r="C1206" s="24">
        <v>9.1193897176044256</v>
      </c>
      <c r="E1206" s="4">
        <v>45636</v>
      </c>
      <c r="F1206" s="23">
        <v>1877016329198</v>
      </c>
      <c r="G1206" s="19">
        <v>2.3535709222184731</v>
      </c>
      <c r="H1206" s="31">
        <v>1866405674472</v>
      </c>
      <c r="I1206" s="31">
        <v>10610654726</v>
      </c>
      <c r="J1206" s="21">
        <v>229988641935</v>
      </c>
      <c r="K1206" s="19">
        <v>10.454565363849191</v>
      </c>
      <c r="L1206" s="23">
        <v>229411181299</v>
      </c>
      <c r="M1206" s="21">
        <v>577460636</v>
      </c>
    </row>
    <row r="1207" spans="2:13" x14ac:dyDescent="0.3">
      <c r="B1207" s="4">
        <v>45636</v>
      </c>
      <c r="C1207" s="24">
        <v>10.428315806856642</v>
      </c>
      <c r="E1207" s="4">
        <v>45637</v>
      </c>
      <c r="F1207" s="23">
        <v>1882236858798</v>
      </c>
      <c r="G1207" s="19">
        <v>2.3494105164974353</v>
      </c>
      <c r="H1207" s="31">
        <v>1871768278020</v>
      </c>
      <c r="I1207" s="31">
        <v>10468580778</v>
      </c>
      <c r="J1207" s="21">
        <v>165264112990</v>
      </c>
      <c r="K1207" s="19">
        <v>9.3049052453972507</v>
      </c>
      <c r="L1207" s="23">
        <v>164729806854</v>
      </c>
      <c r="M1207" s="21">
        <v>534306136</v>
      </c>
    </row>
    <row r="1208" spans="2:13" x14ac:dyDescent="0.3">
      <c r="B1208" s="4">
        <v>45637</v>
      </c>
      <c r="C1208" s="24">
        <v>9.2748220780503559</v>
      </c>
      <c r="E1208" s="4">
        <v>45638</v>
      </c>
      <c r="F1208" s="23">
        <v>1889139168368</v>
      </c>
      <c r="G1208" s="19">
        <v>2.3357132762159267</v>
      </c>
      <c r="H1208" s="31">
        <v>1878623451339</v>
      </c>
      <c r="I1208" s="31">
        <v>10515717029</v>
      </c>
      <c r="J1208" s="21">
        <v>175408247463</v>
      </c>
      <c r="K1208" s="19">
        <v>9.3971183863412637</v>
      </c>
      <c r="L1208" s="23">
        <v>174812918146</v>
      </c>
      <c r="M1208" s="21">
        <v>595329317</v>
      </c>
    </row>
    <row r="1209" spans="2:13" x14ac:dyDescent="0.3">
      <c r="B1209" s="4">
        <v>45638</v>
      </c>
      <c r="C1209" s="24">
        <v>9.3652249027016818</v>
      </c>
      <c r="E1209" s="4">
        <v>45639</v>
      </c>
      <c r="F1209" s="23">
        <v>1880729024174</v>
      </c>
      <c r="G1209" s="19">
        <v>2.3734755671106522</v>
      </c>
      <c r="H1209" s="31">
        <v>1870032973928</v>
      </c>
      <c r="I1209" s="31">
        <v>10696050246</v>
      </c>
      <c r="J1209" s="21">
        <v>174967149528</v>
      </c>
      <c r="K1209" s="19">
        <v>8.4566095378019437</v>
      </c>
      <c r="L1209" s="23">
        <v>173998374641</v>
      </c>
      <c r="M1209" s="21">
        <v>968774887</v>
      </c>
    </row>
    <row r="1210" spans="2:13" x14ac:dyDescent="0.3">
      <c r="B1210" s="4">
        <v>45639</v>
      </c>
      <c r="C1210" s="24">
        <v>8.4097861714072355</v>
      </c>
      <c r="E1210" s="4">
        <v>45642</v>
      </c>
      <c r="F1210" s="23">
        <v>1880914017169</v>
      </c>
      <c r="G1210" s="19">
        <v>2.3844200715343553</v>
      </c>
      <c r="H1210" s="31">
        <v>1870340622361</v>
      </c>
      <c r="I1210" s="31">
        <v>10573394808</v>
      </c>
      <c r="J1210" s="21">
        <v>142614556830</v>
      </c>
      <c r="K1210" s="19">
        <v>8.39139823160696</v>
      </c>
      <c r="L1210" s="23">
        <v>141963990785</v>
      </c>
      <c r="M1210" s="21">
        <v>650566045</v>
      </c>
    </row>
    <row r="1211" spans="2:13" x14ac:dyDescent="0.3">
      <c r="B1211" s="4">
        <v>45642</v>
      </c>
      <c r="C1211" s="24">
        <v>8.3531191184441713</v>
      </c>
      <c r="E1211" s="4">
        <v>45643</v>
      </c>
      <c r="F1211" s="23">
        <v>1874793945815</v>
      </c>
      <c r="G1211" s="19">
        <v>2.4014699389862515</v>
      </c>
      <c r="H1211" s="31">
        <v>1864459287549</v>
      </c>
      <c r="I1211" s="31">
        <v>10334658266</v>
      </c>
      <c r="J1211" s="21">
        <v>129356542078</v>
      </c>
      <c r="K1211" s="19">
        <v>8.5667234108283274</v>
      </c>
      <c r="L1211" s="23">
        <v>128668463042</v>
      </c>
      <c r="M1211" s="21">
        <v>688079036</v>
      </c>
    </row>
    <row r="1212" spans="2:13" x14ac:dyDescent="0.3">
      <c r="B1212" s="4">
        <v>45643</v>
      </c>
      <c r="C1212" s="24">
        <v>8.5211549170242264</v>
      </c>
      <c r="E1212" s="4">
        <v>45644</v>
      </c>
      <c r="F1212" s="23">
        <v>1876337168232</v>
      </c>
      <c r="G1212" s="19">
        <v>2.3892715995991205</v>
      </c>
      <c r="H1212" s="31">
        <v>1865805657628</v>
      </c>
      <c r="I1212" s="31">
        <v>10531510604</v>
      </c>
      <c r="J1212" s="21">
        <v>121415506289</v>
      </c>
      <c r="K1212" s="19">
        <v>8.9255187010065402</v>
      </c>
      <c r="L1212" s="23">
        <v>120642176352</v>
      </c>
      <c r="M1212" s="21">
        <v>773329937</v>
      </c>
    </row>
    <row r="1213" spans="2:13" x14ac:dyDescent="0.3">
      <c r="B1213" s="4">
        <v>45644</v>
      </c>
      <c r="C1213" s="24">
        <v>8.8686695305363994</v>
      </c>
      <c r="E1213" s="4">
        <v>45645</v>
      </c>
      <c r="F1213" s="23">
        <v>1877085168646</v>
      </c>
      <c r="G1213" s="19">
        <v>2.3933036536821928</v>
      </c>
      <c r="H1213" s="31">
        <v>1866548586662</v>
      </c>
      <c r="I1213" s="31">
        <v>10536581984</v>
      </c>
      <c r="J1213" s="21">
        <v>133733614062</v>
      </c>
      <c r="K1213" s="19">
        <v>9.262111278624845</v>
      </c>
      <c r="L1213" s="23">
        <v>133085474168</v>
      </c>
      <c r="M1213" s="21">
        <v>648139894</v>
      </c>
    </row>
    <row r="1214" spans="2:13" x14ac:dyDescent="0.3">
      <c r="B1214" s="4">
        <v>45645</v>
      </c>
      <c r="C1214" s="24">
        <v>9.2172224609222067</v>
      </c>
      <c r="E1214" s="4">
        <v>45646</v>
      </c>
      <c r="F1214" s="23">
        <v>1881529313366</v>
      </c>
      <c r="G1214" s="19">
        <v>2.3970884370261083</v>
      </c>
      <c r="H1214" s="31">
        <v>1871115446774</v>
      </c>
      <c r="I1214" s="31">
        <v>10413866592</v>
      </c>
      <c r="J1214" s="21">
        <v>151318910180</v>
      </c>
      <c r="K1214" s="19">
        <v>9.9893029230114525</v>
      </c>
      <c r="L1214" s="23">
        <v>150838431735</v>
      </c>
      <c r="M1214" s="21">
        <v>480478445</v>
      </c>
    </row>
    <row r="1215" spans="2:13" x14ac:dyDescent="0.3">
      <c r="B1215" s="4">
        <v>45646</v>
      </c>
      <c r="C1215" s="24">
        <v>9.9575841858795702</v>
      </c>
      <c r="E1215" s="4">
        <v>45649</v>
      </c>
      <c r="F1215" s="23">
        <v>1875600951297</v>
      </c>
      <c r="G1215" s="19">
        <v>2.4153547502377286</v>
      </c>
      <c r="H1215" s="31">
        <v>1865124268546</v>
      </c>
      <c r="I1215" s="31">
        <v>10476682751</v>
      </c>
      <c r="J1215" s="21">
        <v>138793569138</v>
      </c>
      <c r="K1215" s="19">
        <v>9.0683998584032821</v>
      </c>
      <c r="L1215" s="23">
        <v>138084832023</v>
      </c>
      <c r="M1215" s="21">
        <v>708737115</v>
      </c>
    </row>
    <row r="1216" spans="2:13" x14ac:dyDescent="0.3">
      <c r="B1216" s="4">
        <v>45649</v>
      </c>
      <c r="C1216" s="24">
        <v>9.0220928746343088</v>
      </c>
      <c r="E1216" s="4">
        <v>45650</v>
      </c>
      <c r="F1216" s="23">
        <v>1877044458767</v>
      </c>
      <c r="G1216" s="19">
        <v>2.3877121336263354</v>
      </c>
      <c r="H1216" s="31">
        <v>1866473391196</v>
      </c>
      <c r="I1216" s="31">
        <v>10571067571</v>
      </c>
      <c r="J1216" s="21">
        <v>122747736113</v>
      </c>
      <c r="K1216" s="19">
        <v>9.3887025425698418</v>
      </c>
      <c r="L1216" s="23">
        <v>122191746540</v>
      </c>
      <c r="M1216" s="21">
        <v>555989573</v>
      </c>
    </row>
    <row r="1217" spans="2:13" x14ac:dyDescent="0.3">
      <c r="B1217" s="4">
        <v>45650</v>
      </c>
      <c r="C1217" s="24">
        <v>9.3461761312243663</v>
      </c>
      <c r="E1217" s="4">
        <v>45651</v>
      </c>
      <c r="F1217" s="23">
        <v>1876008767392</v>
      </c>
      <c r="G1217" s="19">
        <v>2.3970236540809253</v>
      </c>
      <c r="H1217" s="31">
        <v>1865473718198</v>
      </c>
      <c r="I1217" s="31">
        <v>10535049194</v>
      </c>
      <c r="J1217" s="21">
        <v>124288392222</v>
      </c>
      <c r="K1217" s="19">
        <v>9.7015097791480756</v>
      </c>
      <c r="L1217" s="23">
        <v>123708847977</v>
      </c>
      <c r="M1217" s="21">
        <v>579544245</v>
      </c>
    </row>
    <row r="1218" spans="2:13" x14ac:dyDescent="0.3">
      <c r="B1218" s="4">
        <v>45651</v>
      </c>
      <c r="C1218" s="24">
        <v>9.6562726169336521</v>
      </c>
      <c r="E1218" s="4">
        <v>45652</v>
      </c>
      <c r="F1218" s="23">
        <v>1877050539513</v>
      </c>
      <c r="G1218" s="19">
        <v>2.3894239586823227</v>
      </c>
      <c r="H1218" s="31">
        <v>1866623730657</v>
      </c>
      <c r="I1218" s="31">
        <v>10426808856</v>
      </c>
      <c r="J1218" s="21">
        <v>130778290639</v>
      </c>
      <c r="K1218" s="19">
        <v>10.279034500325189</v>
      </c>
      <c r="L1218" s="23">
        <v>130299462362</v>
      </c>
      <c r="M1218" s="21">
        <v>478828277</v>
      </c>
    </row>
    <row r="1219" spans="2:13" x14ac:dyDescent="0.3">
      <c r="B1219" s="4">
        <v>45652</v>
      </c>
      <c r="C1219" s="24">
        <v>10.241399107210894</v>
      </c>
      <c r="E1219" s="4">
        <v>45653</v>
      </c>
      <c r="F1219" s="23">
        <v>1872955340815</v>
      </c>
      <c r="G1219" s="19">
        <v>2.3806679585712338</v>
      </c>
      <c r="H1219" s="31">
        <v>1862554655445</v>
      </c>
      <c r="I1219" s="31">
        <v>10400685370</v>
      </c>
      <c r="J1219" s="21">
        <v>143883002917</v>
      </c>
      <c r="K1219" s="19">
        <v>10.035980332515264</v>
      </c>
      <c r="L1219" s="23">
        <v>143326831511</v>
      </c>
      <c r="M1219" s="21">
        <v>556171406</v>
      </c>
    </row>
    <row r="1220" spans="2:13" x14ac:dyDescent="0.3">
      <c r="B1220" s="4">
        <v>45653</v>
      </c>
      <c r="C1220" s="24">
        <v>9.9971868323869462</v>
      </c>
      <c r="E1220" s="4">
        <v>45656</v>
      </c>
      <c r="F1220" s="23">
        <v>1876278300106</v>
      </c>
      <c r="G1220" s="19">
        <v>2.3832269531351415</v>
      </c>
      <c r="H1220" s="31">
        <v>1865791507869</v>
      </c>
      <c r="I1220" s="31">
        <v>10486792237</v>
      </c>
      <c r="J1220" s="21">
        <v>120576111281</v>
      </c>
      <c r="K1220" s="19">
        <v>9.4495450215578263</v>
      </c>
      <c r="L1220" s="23">
        <v>120092513789</v>
      </c>
      <c r="M1220" s="21">
        <v>483597492</v>
      </c>
    </row>
    <row r="1221" spans="2:13" x14ac:dyDescent="0.3">
      <c r="B1221" s="4">
        <v>45656</v>
      </c>
      <c r="C1221" s="24">
        <v>9.4116455054396067</v>
      </c>
      <c r="E1221" s="4">
        <v>45657</v>
      </c>
      <c r="F1221" s="23">
        <v>1860733178335</v>
      </c>
      <c r="G1221" s="19">
        <v>2.4094479045718855</v>
      </c>
      <c r="H1221" s="31">
        <v>1850295842581</v>
      </c>
      <c r="I1221" s="31">
        <v>10437335754</v>
      </c>
      <c r="J1221" s="21">
        <v>122679136453</v>
      </c>
      <c r="K1221" s="19">
        <v>9.1173967151569837</v>
      </c>
      <c r="L1221" s="23">
        <v>121943674163</v>
      </c>
      <c r="M1221" s="21">
        <v>735462290</v>
      </c>
    </row>
    <row r="1222" spans="2:13" x14ac:dyDescent="0.3">
      <c r="B1222" s="4">
        <v>45657</v>
      </c>
      <c r="C1222" s="24">
        <v>9.0627378574176589</v>
      </c>
      <c r="E1222" s="4">
        <v>45659</v>
      </c>
      <c r="F1222" s="23">
        <v>1853285916410</v>
      </c>
      <c r="G1222" s="19">
        <v>2.4643411945414155</v>
      </c>
      <c r="H1222" s="31">
        <v>1843288365315</v>
      </c>
      <c r="I1222" s="31">
        <v>9997551095</v>
      </c>
      <c r="J1222" s="21">
        <v>122993364068</v>
      </c>
      <c r="K1222" s="19">
        <v>8.8088381162164655</v>
      </c>
      <c r="L1222" s="23">
        <v>122292657132</v>
      </c>
      <c r="M1222" s="21">
        <v>700706936</v>
      </c>
    </row>
    <row r="1223" spans="2:13" x14ac:dyDescent="0.3">
      <c r="B1223" s="4">
        <v>45659</v>
      </c>
      <c r="C1223" s="24">
        <v>8.7586531813388291</v>
      </c>
      <c r="E1223" s="4">
        <v>45660</v>
      </c>
      <c r="F1223" s="23">
        <v>1835192734496</v>
      </c>
      <c r="G1223" s="19">
        <v>2.4872610751990734</v>
      </c>
      <c r="H1223" s="31">
        <v>1825626907174</v>
      </c>
      <c r="I1223" s="31">
        <v>9565827322</v>
      </c>
      <c r="J1223" s="21">
        <v>99306833520</v>
      </c>
      <c r="K1223" s="19">
        <v>7.8342586301290318</v>
      </c>
      <c r="L1223" s="23">
        <v>98752660506</v>
      </c>
      <c r="M1223" s="21">
        <v>554173014</v>
      </c>
    </row>
    <row r="1224" spans="2:13" x14ac:dyDescent="0.3">
      <c r="B1224" s="4">
        <v>45660</v>
      </c>
      <c r="C1224" s="24">
        <v>7.7905402417399809</v>
      </c>
      <c r="E1224" s="4">
        <v>45663</v>
      </c>
      <c r="F1224" s="23">
        <v>1826942066266</v>
      </c>
      <c r="G1224" s="19">
        <v>2.4807148045293945</v>
      </c>
      <c r="H1224" s="31">
        <v>1817598457003</v>
      </c>
      <c r="I1224" s="31">
        <v>9343609263</v>
      </c>
      <c r="J1224" s="21">
        <v>80031943295</v>
      </c>
      <c r="K1224" s="19">
        <v>7.5610311804475323</v>
      </c>
      <c r="L1224" s="23">
        <v>79429635004</v>
      </c>
      <c r="M1224" s="21">
        <v>602308291</v>
      </c>
    </row>
    <row r="1225" spans="2:13" x14ac:dyDescent="0.3">
      <c r="B1225" s="4">
        <v>45663</v>
      </c>
      <c r="C1225" s="24">
        <v>7.5041280042781544</v>
      </c>
      <c r="E1225" s="4">
        <v>45664</v>
      </c>
      <c r="F1225" s="23">
        <v>1827495756123</v>
      </c>
      <c r="G1225" s="19">
        <v>2.4576216245831128</v>
      </c>
      <c r="H1225" s="31">
        <v>1817850830787</v>
      </c>
      <c r="I1225" s="31">
        <v>9644925336</v>
      </c>
      <c r="J1225" s="21">
        <v>93252430049</v>
      </c>
      <c r="K1225" s="19">
        <v>8.6628192411771341</v>
      </c>
      <c r="L1225" s="23">
        <v>92505920750</v>
      </c>
      <c r="M1225" s="21">
        <v>746509299</v>
      </c>
    </row>
    <row r="1226" spans="2:13" x14ac:dyDescent="0.3">
      <c r="B1226" s="4">
        <v>45664</v>
      </c>
      <c r="C1226" s="24">
        <v>8.5934711811244711</v>
      </c>
      <c r="E1226" s="4">
        <v>45665</v>
      </c>
      <c r="F1226" s="23">
        <v>1823615418698</v>
      </c>
      <c r="G1226" s="19">
        <v>2.4550753481852552</v>
      </c>
      <c r="H1226" s="31">
        <v>1813460094230</v>
      </c>
      <c r="I1226" s="31">
        <v>10155324468</v>
      </c>
      <c r="J1226" s="21">
        <v>107045382556</v>
      </c>
      <c r="K1226" s="19">
        <v>8.613112178478957</v>
      </c>
      <c r="L1226" s="23">
        <v>105979321764</v>
      </c>
      <c r="M1226" s="21">
        <v>1066060792</v>
      </c>
    </row>
    <row r="1227" spans="2:13" x14ac:dyDescent="0.3">
      <c r="B1227" s="4">
        <v>45665</v>
      </c>
      <c r="C1227" s="24">
        <v>8.527334530052407</v>
      </c>
      <c r="E1227" s="4">
        <v>45666</v>
      </c>
      <c r="F1227" s="23">
        <v>1823323678499</v>
      </c>
      <c r="G1227" s="19">
        <v>2.4611546608196986</v>
      </c>
      <c r="H1227" s="31">
        <v>1812977475479</v>
      </c>
      <c r="I1227" s="31">
        <v>10346203020</v>
      </c>
      <c r="J1227" s="21">
        <v>97144462660</v>
      </c>
      <c r="K1227" s="19">
        <v>8.7373043378788982</v>
      </c>
      <c r="L1227" s="23">
        <v>96381299503</v>
      </c>
      <c r="M1227" s="21">
        <v>763163157</v>
      </c>
    </row>
    <row r="1228" spans="2:13" x14ac:dyDescent="0.3">
      <c r="B1228" s="4">
        <v>45666</v>
      </c>
      <c r="C1228" s="24">
        <v>8.6686644115302087</v>
      </c>
      <c r="E1228" s="4">
        <v>45667</v>
      </c>
      <c r="F1228" s="23">
        <v>1814331675741</v>
      </c>
      <c r="G1228" s="19">
        <v>2.4893216806544327</v>
      </c>
      <c r="H1228" s="31">
        <v>1804200661655</v>
      </c>
      <c r="I1228" s="31">
        <v>10131014086</v>
      </c>
      <c r="J1228" s="21">
        <v>96966984084</v>
      </c>
      <c r="K1228" s="19">
        <v>8.4457955012889681</v>
      </c>
      <c r="L1228" s="23">
        <v>96389135187</v>
      </c>
      <c r="M1228" s="21">
        <v>577848897</v>
      </c>
    </row>
    <row r="1229" spans="2:13" x14ac:dyDescent="0.3">
      <c r="B1229" s="4">
        <v>45667</v>
      </c>
      <c r="C1229" s="24">
        <v>8.3954650340602495</v>
      </c>
      <c r="E1229" s="4">
        <v>45670</v>
      </c>
      <c r="F1229" s="23">
        <v>1813237591454</v>
      </c>
      <c r="G1229" s="19">
        <v>2.4912661688870288</v>
      </c>
      <c r="H1229" s="31">
        <v>1803345262346</v>
      </c>
      <c r="I1229" s="31">
        <v>9892329108</v>
      </c>
      <c r="J1229" s="21">
        <v>79246084876</v>
      </c>
      <c r="K1229" s="19">
        <v>8.2014378870835802</v>
      </c>
      <c r="L1229" s="23">
        <v>78669306456</v>
      </c>
      <c r="M1229" s="21">
        <v>576778420</v>
      </c>
    </row>
    <row r="1230" spans="2:13" x14ac:dyDescent="0.3">
      <c r="B1230" s="4">
        <v>45670</v>
      </c>
      <c r="C1230" s="24">
        <v>8.1417451919347652</v>
      </c>
      <c r="E1230" s="4">
        <v>45671</v>
      </c>
      <c r="F1230" s="23">
        <v>1824711071929</v>
      </c>
      <c r="G1230" s="19">
        <v>2.4311788220730222</v>
      </c>
      <c r="H1230" s="31">
        <v>1814769712038</v>
      </c>
      <c r="I1230" s="31">
        <v>9941359891</v>
      </c>
      <c r="J1230" s="21">
        <v>133703175224</v>
      </c>
      <c r="K1230" s="19">
        <v>9.900463137215306</v>
      </c>
      <c r="L1230" s="23">
        <v>132963807653</v>
      </c>
      <c r="M1230" s="21">
        <v>739367571</v>
      </c>
    </row>
    <row r="1231" spans="2:13" x14ac:dyDescent="0.3">
      <c r="B1231" s="4">
        <v>45671</v>
      </c>
      <c r="C1231" s="24">
        <v>9.8457143897059503</v>
      </c>
      <c r="E1231" s="4">
        <v>45672</v>
      </c>
      <c r="F1231" s="23">
        <v>1826551569090</v>
      </c>
      <c r="G1231" s="19">
        <v>2.4466027781487694</v>
      </c>
      <c r="H1231" s="31">
        <v>1816488764538</v>
      </c>
      <c r="I1231" s="31">
        <v>10062804552</v>
      </c>
      <c r="J1231" s="21">
        <v>105766451136</v>
      </c>
      <c r="K1231" s="19">
        <v>8.8977883557470427</v>
      </c>
      <c r="L1231" s="23">
        <v>105006449113</v>
      </c>
      <c r="M1231" s="21">
        <v>760002023</v>
      </c>
    </row>
    <row r="1232" spans="2:13" x14ac:dyDescent="0.3">
      <c r="B1232" s="4">
        <v>45672</v>
      </c>
      <c r="C1232" s="24">
        <v>8.833851851515675</v>
      </c>
      <c r="E1232" s="4">
        <v>45673</v>
      </c>
      <c r="F1232" s="23">
        <v>1827825782082</v>
      </c>
      <c r="G1232" s="19">
        <v>2.4393475432408307</v>
      </c>
      <c r="H1232" s="31">
        <v>1817680910693</v>
      </c>
      <c r="I1232" s="31">
        <v>10144871389</v>
      </c>
      <c r="J1232" s="21">
        <v>120175619358</v>
      </c>
      <c r="K1232" s="19">
        <v>9.4354761650929433</v>
      </c>
      <c r="L1232" s="23">
        <v>119430218362</v>
      </c>
      <c r="M1232" s="21">
        <v>745400996</v>
      </c>
    </row>
    <row r="1233" spans="2:13" x14ac:dyDescent="0.3">
      <c r="B1233" s="4">
        <v>45673</v>
      </c>
      <c r="C1233" s="24">
        <v>9.3769517042350152</v>
      </c>
      <c r="E1233" s="4">
        <v>45674</v>
      </c>
      <c r="F1233" s="23">
        <v>1821023977202</v>
      </c>
      <c r="G1233" s="19">
        <v>2.4242627888988064</v>
      </c>
      <c r="H1233" s="31">
        <v>1810961396946</v>
      </c>
      <c r="I1233" s="31">
        <v>10062580256</v>
      </c>
      <c r="J1233" s="21">
        <v>103515720688</v>
      </c>
      <c r="K1233" s="19">
        <v>9.1171821067305707</v>
      </c>
      <c r="L1233" s="23">
        <v>103032711312</v>
      </c>
      <c r="M1233" s="21">
        <v>483009376</v>
      </c>
    </row>
    <row r="1234" spans="2:13" x14ac:dyDescent="0.3">
      <c r="B1234" s="4">
        <v>45674</v>
      </c>
      <c r="C1234" s="24">
        <v>9.0746408925943793</v>
      </c>
      <c r="E1234" s="4">
        <v>45677</v>
      </c>
      <c r="F1234" s="23">
        <v>1821976524729</v>
      </c>
      <c r="G1234" s="19">
        <v>2.4155799796756021</v>
      </c>
      <c r="H1234" s="31">
        <v>1811869727608</v>
      </c>
      <c r="I1234" s="31">
        <v>10106797121</v>
      </c>
      <c r="J1234" s="21">
        <v>111888574062</v>
      </c>
      <c r="K1234" s="19">
        <v>9.4600244050027538</v>
      </c>
      <c r="L1234" s="23">
        <v>111381798842</v>
      </c>
      <c r="M1234" s="21">
        <v>506775220</v>
      </c>
    </row>
    <row r="1235" spans="2:13" x14ac:dyDescent="0.3">
      <c r="B1235" s="4">
        <v>45677</v>
      </c>
      <c r="C1235" s="24">
        <v>9.41717726007092</v>
      </c>
      <c r="E1235" s="4">
        <v>45678</v>
      </c>
      <c r="F1235" s="23">
        <v>1823491545497</v>
      </c>
      <c r="G1235" s="19">
        <v>2.4161857391951966</v>
      </c>
      <c r="H1235" s="31">
        <v>1813210446577</v>
      </c>
      <c r="I1235" s="31">
        <v>10281098920</v>
      </c>
      <c r="J1235" s="21">
        <v>118149889319</v>
      </c>
      <c r="K1235" s="19">
        <v>9.804071231196362</v>
      </c>
      <c r="L1235" s="23">
        <v>117456491427</v>
      </c>
      <c r="M1235" s="21">
        <v>693397892</v>
      </c>
    </row>
    <row r="1236" spans="2:13" x14ac:dyDescent="0.3">
      <c r="B1236" s="4">
        <v>45678</v>
      </c>
      <c r="C1236" s="24">
        <v>9.7465331127612718</v>
      </c>
      <c r="E1236" s="4">
        <v>45679</v>
      </c>
      <c r="F1236" s="23">
        <v>1821685942270</v>
      </c>
      <c r="G1236" s="19">
        <v>2.4367340431316138</v>
      </c>
      <c r="H1236" s="31">
        <v>1811426136172</v>
      </c>
      <c r="I1236" s="31">
        <v>10259806098</v>
      </c>
      <c r="J1236" s="21">
        <v>107302147317</v>
      </c>
      <c r="K1236" s="19">
        <v>9.4482718828942858</v>
      </c>
      <c r="L1236" s="23">
        <v>106653751873</v>
      </c>
      <c r="M1236" s="21">
        <v>648395444</v>
      </c>
    </row>
    <row r="1237" spans="2:13" x14ac:dyDescent="0.3">
      <c r="B1237" s="4">
        <v>45679</v>
      </c>
      <c r="C1237" s="24">
        <v>9.3911787436074885</v>
      </c>
      <c r="E1237" s="4">
        <v>45680</v>
      </c>
      <c r="F1237" s="23">
        <v>1816310259292</v>
      </c>
      <c r="G1237" s="19">
        <v>2.4243208742679228</v>
      </c>
      <c r="H1237" s="31">
        <v>1806260197348</v>
      </c>
      <c r="I1237" s="31">
        <v>10050061944</v>
      </c>
      <c r="J1237" s="21">
        <v>133454208103</v>
      </c>
      <c r="K1237" s="19">
        <v>9.8481127728230593</v>
      </c>
      <c r="L1237" s="23">
        <v>132721872985</v>
      </c>
      <c r="M1237" s="21">
        <v>732335118</v>
      </c>
    </row>
    <row r="1238" spans="2:13" x14ac:dyDescent="0.3">
      <c r="B1238" s="4">
        <v>45680</v>
      </c>
      <c r="C1238" s="24">
        <v>9.7940708738670033</v>
      </c>
      <c r="E1238" s="4">
        <v>45681</v>
      </c>
      <c r="F1238" s="23">
        <v>1804622864782</v>
      </c>
      <c r="G1238" s="19">
        <v>2.3860032384972092</v>
      </c>
      <c r="H1238" s="31">
        <v>1795090983312</v>
      </c>
      <c r="I1238" s="31">
        <v>9531881470</v>
      </c>
      <c r="J1238" s="21">
        <v>113396031297</v>
      </c>
      <c r="K1238" s="19">
        <v>9.2805379916193367</v>
      </c>
      <c r="L1238" s="23">
        <v>112964652266</v>
      </c>
      <c r="M1238" s="21">
        <v>431379031</v>
      </c>
    </row>
    <row r="1239" spans="2:13" x14ac:dyDescent="0.3">
      <c r="B1239" s="4">
        <v>45681</v>
      </c>
      <c r="C1239" s="24">
        <v>9.2452331450546641</v>
      </c>
      <c r="E1239" s="4">
        <v>45684</v>
      </c>
      <c r="F1239" s="23">
        <v>1770361981887</v>
      </c>
      <c r="G1239" s="19">
        <v>2.3498838537433682</v>
      </c>
      <c r="H1239" s="31">
        <v>1760948657383</v>
      </c>
      <c r="I1239" s="31">
        <v>9413324504</v>
      </c>
      <c r="J1239" s="21">
        <v>95990556629</v>
      </c>
      <c r="K1239" s="19">
        <v>8.5879268378149902</v>
      </c>
      <c r="L1239" s="23">
        <v>95240181528</v>
      </c>
      <c r="M1239" s="21">
        <v>750375101</v>
      </c>
    </row>
    <row r="1240" spans="2:13" x14ac:dyDescent="0.3">
      <c r="B1240" s="4">
        <v>45684</v>
      </c>
      <c r="C1240" s="24">
        <v>8.5207934999678869</v>
      </c>
      <c r="E1240" s="4">
        <v>45693</v>
      </c>
      <c r="F1240" s="23">
        <v>1790421271565</v>
      </c>
      <c r="G1240" s="19">
        <v>2.3837347055893932</v>
      </c>
      <c r="H1240" s="31">
        <v>1780746039727</v>
      </c>
      <c r="I1240" s="31">
        <v>9675231838</v>
      </c>
      <c r="J1240" s="21">
        <v>131667424209</v>
      </c>
      <c r="K1240" s="19">
        <v>10.211793418881475</v>
      </c>
      <c r="L1240" s="23">
        <v>130912107661</v>
      </c>
      <c r="M1240" s="21">
        <v>755316548</v>
      </c>
    </row>
    <row r="1241" spans="2:13" x14ac:dyDescent="0.3">
      <c r="B1241" s="4">
        <v>45693</v>
      </c>
      <c r="C1241" s="24">
        <v>10.153212971968536</v>
      </c>
      <c r="E1241" s="4">
        <v>45694</v>
      </c>
      <c r="F1241" s="23">
        <v>1805421985454</v>
      </c>
      <c r="G1241" s="19">
        <v>2.3658706712526856</v>
      </c>
      <c r="H1241" s="31">
        <v>1795350021577</v>
      </c>
      <c r="I1241" s="31">
        <v>10071963877</v>
      </c>
      <c r="J1241" s="21">
        <v>160209467389</v>
      </c>
      <c r="K1241" s="19">
        <v>10.436020725378235</v>
      </c>
      <c r="L1241" s="23">
        <v>159393777495</v>
      </c>
      <c r="M1241" s="21">
        <v>815689894</v>
      </c>
    </row>
    <row r="1242" spans="2:13" x14ac:dyDescent="0.3">
      <c r="B1242" s="4">
        <v>45694</v>
      </c>
      <c r="C1242" s="24">
        <v>10.382886807776496</v>
      </c>
      <c r="E1242" s="4">
        <v>45695</v>
      </c>
      <c r="F1242" s="23">
        <v>1816657656225</v>
      </c>
      <c r="G1242" s="19">
        <v>2.3511476255489945</v>
      </c>
      <c r="H1242" s="31">
        <v>1806225709274</v>
      </c>
      <c r="I1242" s="31">
        <v>10431946951</v>
      </c>
      <c r="J1242" s="21">
        <v>206374003532</v>
      </c>
      <c r="K1242" s="19">
        <v>10.529755434738565</v>
      </c>
      <c r="L1242" s="23">
        <v>205525623667</v>
      </c>
      <c r="M1242" s="21">
        <v>848379865</v>
      </c>
    </row>
    <row r="1243" spans="2:13" x14ac:dyDescent="0.3">
      <c r="B1243" s="4">
        <v>45695</v>
      </c>
      <c r="C1243" s="24">
        <v>10.486468817522645</v>
      </c>
      <c r="E1243" s="4">
        <v>45698</v>
      </c>
      <c r="F1243" s="23">
        <v>1836005735978</v>
      </c>
      <c r="G1243" s="19">
        <v>2.3594008235480488</v>
      </c>
      <c r="H1243" s="31">
        <v>1825282848946</v>
      </c>
      <c r="I1243" s="31">
        <v>10722887032</v>
      </c>
      <c r="J1243" s="21">
        <v>174979105386</v>
      </c>
      <c r="K1243" s="19">
        <v>10.111319911879358</v>
      </c>
      <c r="L1243" s="23">
        <v>174283656032</v>
      </c>
      <c r="M1243" s="21">
        <v>695449354</v>
      </c>
    </row>
    <row r="1244" spans="2:13" x14ac:dyDescent="0.3">
      <c r="B1244" s="4">
        <v>45698</v>
      </c>
      <c r="C1244" s="24">
        <v>10.071132765618142</v>
      </c>
      <c r="E1244" s="4">
        <v>45699</v>
      </c>
      <c r="F1244" s="23">
        <v>1842115332306</v>
      </c>
      <c r="G1244" s="19">
        <v>2.3722519284891925</v>
      </c>
      <c r="H1244" s="31">
        <v>1831208610528</v>
      </c>
      <c r="I1244" s="31">
        <v>10906721778</v>
      </c>
      <c r="J1244" s="21">
        <v>158193356957</v>
      </c>
      <c r="K1244" s="19">
        <v>9.6712719270826728</v>
      </c>
      <c r="L1244" s="23">
        <v>157467811672</v>
      </c>
      <c r="M1244" s="21">
        <v>725545285</v>
      </c>
    </row>
    <row r="1245" spans="2:13" x14ac:dyDescent="0.3">
      <c r="B1245" s="4">
        <v>45699</v>
      </c>
      <c r="C1245" s="24">
        <v>9.6269151608971306</v>
      </c>
      <c r="E1245" s="4">
        <v>45700</v>
      </c>
      <c r="F1245" s="23">
        <v>1849497534246</v>
      </c>
      <c r="G1245" s="19">
        <v>2.3578103019047747</v>
      </c>
      <c r="H1245" s="31">
        <v>1838323877422</v>
      </c>
      <c r="I1245" s="31">
        <v>11173656824</v>
      </c>
      <c r="J1245" s="21">
        <v>172312962982</v>
      </c>
      <c r="K1245" s="19">
        <v>10.276106476066744</v>
      </c>
      <c r="L1245" s="23">
        <v>171679783575</v>
      </c>
      <c r="M1245" s="21">
        <v>633179407</v>
      </c>
    </row>
    <row r="1246" spans="2:13" x14ac:dyDescent="0.3">
      <c r="B1246" s="4">
        <v>45700</v>
      </c>
      <c r="C1246" s="24">
        <v>10.238346002959073</v>
      </c>
      <c r="E1246" s="4">
        <v>45701</v>
      </c>
      <c r="F1246" s="23">
        <v>1848595978463</v>
      </c>
      <c r="G1246" s="19">
        <v>2.3682846746468593</v>
      </c>
      <c r="H1246" s="31">
        <v>1837456166356</v>
      </c>
      <c r="I1246" s="31">
        <v>11139812107</v>
      </c>
      <c r="J1246" s="21">
        <v>180006687095</v>
      </c>
      <c r="K1246" s="19">
        <v>9.893072165059948</v>
      </c>
      <c r="L1246" s="23">
        <v>179397043148</v>
      </c>
      <c r="M1246" s="21">
        <v>609643947</v>
      </c>
    </row>
    <row r="1247" spans="2:13" x14ac:dyDescent="0.3">
      <c r="B1247" s="4">
        <v>45701</v>
      </c>
      <c r="C1247" s="24">
        <v>9.8595664566887926</v>
      </c>
      <c r="E1247" s="4">
        <v>45702</v>
      </c>
      <c r="F1247" s="23">
        <v>1848987902160</v>
      </c>
      <c r="G1247" s="19">
        <v>2.3558422298310804</v>
      </c>
      <c r="H1247" s="31">
        <v>1838044258563</v>
      </c>
      <c r="I1247" s="31">
        <v>10943643597</v>
      </c>
      <c r="J1247" s="21">
        <v>170940012060</v>
      </c>
      <c r="K1247" s="19">
        <v>9.9697895408023758</v>
      </c>
      <c r="L1247" s="23">
        <v>170377272127</v>
      </c>
      <c r="M1247" s="21">
        <v>562739933</v>
      </c>
    </row>
    <row r="1248" spans="2:13" x14ac:dyDescent="0.3">
      <c r="B1248" s="4">
        <v>45702</v>
      </c>
      <c r="C1248" s="24">
        <v>9.9369686779124979</v>
      </c>
      <c r="E1248" s="4">
        <v>45705</v>
      </c>
      <c r="F1248" s="23">
        <v>1865371167092</v>
      </c>
      <c r="G1248" s="19">
        <v>2.3669903755455217</v>
      </c>
      <c r="H1248" s="31">
        <v>1854174485732</v>
      </c>
      <c r="I1248" s="31">
        <v>11196681360</v>
      </c>
      <c r="J1248" s="21">
        <v>201537017947</v>
      </c>
      <c r="K1248" s="19">
        <v>10.382924800898726</v>
      </c>
      <c r="L1248" s="23">
        <v>200738808541</v>
      </c>
      <c r="M1248" s="21">
        <v>798209406</v>
      </c>
    </row>
    <row r="1249" spans="2:13" x14ac:dyDescent="0.3">
      <c r="B1249" s="4">
        <v>45705</v>
      </c>
      <c r="C1249" s="24">
        <v>10.341802091421862</v>
      </c>
      <c r="E1249" s="4">
        <v>45706</v>
      </c>
      <c r="F1249" s="23">
        <v>1858066200294</v>
      </c>
      <c r="G1249" s="19">
        <v>2.3886029401946791</v>
      </c>
      <c r="H1249" s="31">
        <v>1847279005725</v>
      </c>
      <c r="I1249" s="31">
        <v>10787194569</v>
      </c>
      <c r="J1249" s="21">
        <v>171619001430</v>
      </c>
      <c r="K1249" s="19">
        <v>9.5407039099187951</v>
      </c>
      <c r="L1249" s="23">
        <v>170998631956</v>
      </c>
      <c r="M1249" s="21">
        <v>620369474</v>
      </c>
    </row>
    <row r="1250" spans="2:13" x14ac:dyDescent="0.3">
      <c r="B1250" s="4">
        <v>45706</v>
      </c>
      <c r="C1250" s="24">
        <v>9.5062161118494171</v>
      </c>
      <c r="E1250" s="4">
        <v>45707</v>
      </c>
      <c r="F1250" s="23">
        <v>1868137147542</v>
      </c>
      <c r="G1250" s="19">
        <v>2.3738389365398658</v>
      </c>
      <c r="H1250" s="31">
        <v>1857256254531</v>
      </c>
      <c r="I1250" s="31">
        <v>10880893011</v>
      </c>
      <c r="J1250" s="21">
        <v>175905149342</v>
      </c>
      <c r="K1250" s="19">
        <v>10.222334638185504</v>
      </c>
      <c r="L1250" s="23">
        <v>175283172491</v>
      </c>
      <c r="M1250" s="21">
        <v>621976851</v>
      </c>
    </row>
    <row r="1251" spans="2:13" x14ac:dyDescent="0.3">
      <c r="B1251" s="4">
        <v>45707</v>
      </c>
      <c r="C1251" s="24">
        <v>10.186189843494104</v>
      </c>
      <c r="E1251" s="4">
        <v>45708</v>
      </c>
      <c r="F1251" s="23">
        <v>1875131963028</v>
      </c>
      <c r="G1251" s="19">
        <v>2.3649009877262723</v>
      </c>
      <c r="H1251" s="31">
        <v>1863952272276</v>
      </c>
      <c r="I1251" s="31">
        <v>11179690752</v>
      </c>
      <c r="J1251" s="21">
        <v>173853088286</v>
      </c>
      <c r="K1251" s="19">
        <v>9.8985980646644371</v>
      </c>
      <c r="L1251" s="23">
        <v>172993719863</v>
      </c>
      <c r="M1251" s="21">
        <v>859368423</v>
      </c>
    </row>
    <row r="1252" spans="2:13" x14ac:dyDescent="0.3">
      <c r="B1252" s="4">
        <v>45708</v>
      </c>
      <c r="C1252" s="24">
        <v>9.8496685765972032</v>
      </c>
      <c r="E1252" s="4">
        <v>45709</v>
      </c>
      <c r="F1252" s="23">
        <v>1881362644287</v>
      </c>
      <c r="G1252" s="19">
        <v>2.3489319408634888</v>
      </c>
      <c r="H1252" s="31">
        <v>1870030082219</v>
      </c>
      <c r="I1252" s="31">
        <v>11332562068</v>
      </c>
      <c r="J1252" s="21">
        <v>236131114403</v>
      </c>
      <c r="K1252" s="19">
        <v>10.772223449367996</v>
      </c>
      <c r="L1252" s="23">
        <v>235482052126</v>
      </c>
      <c r="M1252" s="21">
        <v>649062277</v>
      </c>
    </row>
    <row r="1253" spans="2:13" x14ac:dyDescent="0.3">
      <c r="B1253" s="4">
        <v>45709</v>
      </c>
      <c r="C1253" s="24">
        <v>10.742613442664403</v>
      </c>
      <c r="E1253" s="4">
        <v>45712</v>
      </c>
      <c r="F1253" s="23">
        <v>1893356655599</v>
      </c>
      <c r="G1253" s="19">
        <v>2.3649323036950789</v>
      </c>
      <c r="H1253" s="31">
        <v>1881842945324</v>
      </c>
      <c r="I1253" s="31">
        <v>11513710275</v>
      </c>
      <c r="J1253" s="21">
        <v>217443947674</v>
      </c>
      <c r="K1253" s="19">
        <v>10.45450482218379</v>
      </c>
      <c r="L1253" s="23">
        <v>216701713541</v>
      </c>
      <c r="M1253" s="21">
        <v>742234133</v>
      </c>
    </row>
    <row r="1254" spans="2:13" x14ac:dyDescent="0.3">
      <c r="B1254" s="4">
        <v>45712</v>
      </c>
      <c r="C1254" s="24">
        <v>10.41881888838042</v>
      </c>
      <c r="E1254" s="4">
        <v>45713</v>
      </c>
      <c r="F1254" s="23">
        <v>1899934216739</v>
      </c>
      <c r="G1254" s="19">
        <v>2.3933166485970534</v>
      </c>
      <c r="H1254" s="31">
        <v>1888508239504</v>
      </c>
      <c r="I1254" s="31">
        <v>11425977235</v>
      </c>
      <c r="J1254" s="21">
        <v>194376919523</v>
      </c>
      <c r="K1254" s="19">
        <v>10.249827462661923</v>
      </c>
      <c r="L1254" s="23">
        <v>193713244030</v>
      </c>
      <c r="M1254" s="21">
        <v>663675493</v>
      </c>
    </row>
    <row r="1255" spans="2:13" x14ac:dyDescent="0.3">
      <c r="B1255" s="4">
        <v>45713</v>
      </c>
      <c r="C1255" s="24">
        <v>10.214830718649617</v>
      </c>
      <c r="E1255" s="4">
        <v>45714</v>
      </c>
      <c r="F1255" s="23">
        <v>1910208450898</v>
      </c>
      <c r="G1255" s="19">
        <v>2.382115345090611</v>
      </c>
      <c r="H1255" s="31">
        <v>1898523755543</v>
      </c>
      <c r="I1255" s="31">
        <v>11684695355</v>
      </c>
      <c r="J1255" s="21">
        <v>203347591803</v>
      </c>
      <c r="K1255" s="19">
        <v>10.492435610083177</v>
      </c>
      <c r="L1255" s="23">
        <v>202652131918</v>
      </c>
      <c r="M1255" s="21">
        <v>695459885</v>
      </c>
    </row>
    <row r="1256" spans="2:13" x14ac:dyDescent="0.3">
      <c r="B1256" s="4">
        <v>45714</v>
      </c>
      <c r="C1256" s="24">
        <v>10.456550906467765</v>
      </c>
      <c r="E1256" s="4">
        <v>45715</v>
      </c>
      <c r="F1256" s="23">
        <v>1912016978068</v>
      </c>
      <c r="G1256" s="19">
        <v>2.3828697146134017</v>
      </c>
      <c r="H1256" s="31">
        <v>1900341228104</v>
      </c>
      <c r="I1256" s="31">
        <v>11675749964</v>
      </c>
      <c r="J1256" s="21">
        <v>201791308671</v>
      </c>
      <c r="K1256" s="19">
        <v>10.068206637655624</v>
      </c>
      <c r="L1256" s="23">
        <v>201159518379</v>
      </c>
      <c r="M1256" s="21">
        <v>631790292</v>
      </c>
    </row>
    <row r="1257" spans="2:13" x14ac:dyDescent="0.3">
      <c r="B1257" s="4">
        <v>45715</v>
      </c>
      <c r="C1257" s="24">
        <v>10.036683995509071</v>
      </c>
      <c r="E1257" s="4">
        <v>45716</v>
      </c>
      <c r="F1257" s="23">
        <v>1893744004950</v>
      </c>
      <c r="G1257" s="19">
        <v>2.4169691580077832</v>
      </c>
      <c r="H1257" s="31">
        <v>1882643158538</v>
      </c>
      <c r="I1257" s="31">
        <v>11100846412</v>
      </c>
      <c r="J1257" s="21">
        <v>169261671292</v>
      </c>
      <c r="K1257" s="19">
        <v>9.0677051293433593</v>
      </c>
      <c r="L1257" s="23">
        <v>168724563955</v>
      </c>
      <c r="M1257" s="21">
        <v>537107337</v>
      </c>
    </row>
    <row r="1258" spans="2:13" x14ac:dyDescent="0.3">
      <c r="B1258" s="4">
        <v>45716</v>
      </c>
      <c r="C1258" s="24">
        <v>9.0389311551911078</v>
      </c>
      <c r="E1258" s="4">
        <v>45719</v>
      </c>
      <c r="F1258" s="23">
        <v>1892949491841</v>
      </c>
      <c r="G1258" s="19">
        <v>2.4140903952391635</v>
      </c>
      <c r="H1258" s="31">
        <v>1881727347223</v>
      </c>
      <c r="I1258" s="31">
        <v>11222144618</v>
      </c>
      <c r="J1258" s="21">
        <v>146743092337</v>
      </c>
      <c r="K1258" s="19">
        <v>9.0335132460935927</v>
      </c>
      <c r="L1258" s="23">
        <v>146051532247</v>
      </c>
      <c r="M1258" s="21">
        <v>691560090</v>
      </c>
    </row>
    <row r="1259" spans="2:13" x14ac:dyDescent="0.3">
      <c r="B1259" s="4">
        <v>45719</v>
      </c>
      <c r="C1259" s="24">
        <v>8.9909407669806569</v>
      </c>
      <c r="E1259" s="4">
        <v>45720</v>
      </c>
      <c r="F1259" s="23">
        <v>1894899352266</v>
      </c>
      <c r="G1259" s="19">
        <v>2.4110655318019583</v>
      </c>
      <c r="H1259" s="31">
        <v>1883533502652</v>
      </c>
      <c r="I1259" s="31">
        <v>11365849614</v>
      </c>
      <c r="J1259" s="21">
        <v>133662300275</v>
      </c>
      <c r="K1259" s="19">
        <v>9.3121833352666314</v>
      </c>
      <c r="L1259" s="23">
        <v>133019838563</v>
      </c>
      <c r="M1259" s="21">
        <v>642461712</v>
      </c>
    </row>
    <row r="1260" spans="2:13" x14ac:dyDescent="0.3">
      <c r="B1260" s="4">
        <v>45720</v>
      </c>
      <c r="C1260" s="24">
        <v>9.2674233600475588</v>
      </c>
      <c r="E1260" s="4">
        <v>45721</v>
      </c>
      <c r="F1260" s="23">
        <v>1898338175594</v>
      </c>
      <c r="G1260" s="19">
        <v>2.4034032753124088</v>
      </c>
      <c r="H1260" s="31">
        <v>1886719540502</v>
      </c>
      <c r="I1260" s="31">
        <v>11618635092</v>
      </c>
      <c r="J1260" s="21">
        <v>138744989793</v>
      </c>
      <c r="K1260" s="19">
        <v>9.2892828761567969</v>
      </c>
      <c r="L1260" s="23">
        <v>138137361365</v>
      </c>
      <c r="M1260" s="21">
        <v>607628428</v>
      </c>
    </row>
    <row r="1261" spans="2:13" x14ac:dyDescent="0.3">
      <c r="B1261" s="4">
        <v>45721</v>
      </c>
      <c r="C1261" s="24">
        <v>9.2486008136210067</v>
      </c>
      <c r="E1261" s="4">
        <v>45722</v>
      </c>
      <c r="F1261" s="23">
        <v>1915494332032</v>
      </c>
      <c r="G1261" s="19">
        <v>2.3922727027214932</v>
      </c>
      <c r="H1261" s="31">
        <v>1903617799127</v>
      </c>
      <c r="I1261" s="31">
        <v>11876532905</v>
      </c>
      <c r="J1261" s="21">
        <v>202468380928</v>
      </c>
      <c r="K1261" s="19">
        <v>10.621837365973539</v>
      </c>
      <c r="L1261" s="23">
        <v>201805316965</v>
      </c>
      <c r="M1261" s="21">
        <v>663063963</v>
      </c>
    </row>
    <row r="1262" spans="2:13" x14ac:dyDescent="0.3">
      <c r="B1262" s="4">
        <v>45722</v>
      </c>
      <c r="C1262" s="24">
        <v>10.587051897023064</v>
      </c>
      <c r="E1262" s="4">
        <v>45723</v>
      </c>
      <c r="F1262" s="23">
        <v>1905898614690</v>
      </c>
      <c r="G1262" s="19">
        <v>2.3881077372622421</v>
      </c>
      <c r="H1262" s="31">
        <v>1894131618032</v>
      </c>
      <c r="I1262" s="31">
        <v>11766996658</v>
      </c>
      <c r="J1262" s="21">
        <v>177355552985</v>
      </c>
      <c r="K1262" s="19">
        <v>9.7557122443320434</v>
      </c>
      <c r="L1262" s="23">
        <v>176854876627</v>
      </c>
      <c r="M1262" s="21">
        <v>500676358</v>
      </c>
    </row>
    <row r="1263" spans="2:13" x14ac:dyDescent="0.3">
      <c r="B1263" s="4">
        <v>45723</v>
      </c>
      <c r="C1263" s="24">
        <v>9.728171778899867</v>
      </c>
      <c r="E1263" s="4">
        <v>45726</v>
      </c>
      <c r="F1263" s="23">
        <v>1915509102056</v>
      </c>
      <c r="G1263" s="19">
        <v>2.4028365539366576</v>
      </c>
      <c r="H1263" s="31">
        <v>1903635284979</v>
      </c>
      <c r="I1263" s="31">
        <v>11873817077</v>
      </c>
      <c r="J1263" s="21">
        <v>146870361085</v>
      </c>
      <c r="K1263" s="19">
        <v>9.7563019359492191</v>
      </c>
      <c r="L1263" s="23">
        <v>146258534765</v>
      </c>
      <c r="M1263" s="21">
        <v>611826320</v>
      </c>
    </row>
    <row r="1264" spans="2:13" x14ac:dyDescent="0.3">
      <c r="B1264" s="4">
        <v>45726</v>
      </c>
      <c r="C1264" s="24">
        <v>9.7156595472045897</v>
      </c>
      <c r="E1264" s="4">
        <v>45727</v>
      </c>
      <c r="F1264" s="23">
        <v>1917276287532</v>
      </c>
      <c r="G1264" s="19">
        <v>2.3953650596323688</v>
      </c>
      <c r="H1264" s="31">
        <v>1905237441599</v>
      </c>
      <c r="I1264" s="31">
        <v>12038845933</v>
      </c>
      <c r="J1264" s="21">
        <v>146482106283</v>
      </c>
      <c r="K1264" s="19">
        <v>9.8865305729005488</v>
      </c>
      <c r="L1264" s="23">
        <v>145881077725</v>
      </c>
      <c r="M1264" s="21">
        <v>601028558</v>
      </c>
    </row>
    <row r="1265" spans="2:13" x14ac:dyDescent="0.3">
      <c r="B1265" s="4">
        <v>45727</v>
      </c>
      <c r="C1265" s="24">
        <v>9.8459652959214381</v>
      </c>
      <c r="E1265" s="4">
        <v>45728</v>
      </c>
      <c r="F1265" s="23">
        <v>1928949327501</v>
      </c>
      <c r="G1265" s="19">
        <v>2.4121563784603479</v>
      </c>
      <c r="H1265" s="31">
        <v>1916848238317</v>
      </c>
      <c r="I1265" s="31">
        <v>12101089184</v>
      </c>
      <c r="J1265" s="21">
        <v>171460392323</v>
      </c>
      <c r="K1265" s="19">
        <v>10.184695518582959</v>
      </c>
      <c r="L1265" s="23">
        <v>170905606131</v>
      </c>
      <c r="M1265" s="21">
        <v>554786192</v>
      </c>
    </row>
    <row r="1266" spans="2:13" x14ac:dyDescent="0.3">
      <c r="B1266" s="4">
        <v>45728</v>
      </c>
      <c r="C1266" s="24">
        <v>10.151741386337712</v>
      </c>
      <c r="E1266" s="4">
        <v>45729</v>
      </c>
      <c r="F1266" s="23">
        <v>1922688383125</v>
      </c>
      <c r="G1266" s="19">
        <v>2.4191797030125053</v>
      </c>
      <c r="H1266" s="31">
        <v>1910698460210</v>
      </c>
      <c r="I1266" s="31">
        <v>11989922915</v>
      </c>
      <c r="J1266" s="21">
        <v>150352176137</v>
      </c>
      <c r="K1266" s="19">
        <v>9.3595845228930425</v>
      </c>
      <c r="L1266" s="23">
        <v>149695696021</v>
      </c>
      <c r="M1266" s="21">
        <v>656480116</v>
      </c>
    </row>
    <row r="1267" spans="2:13" x14ac:dyDescent="0.3">
      <c r="B1267" s="4">
        <v>45729</v>
      </c>
      <c r="C1267" s="24">
        <v>9.3187179302625385</v>
      </c>
      <c r="E1267" s="4">
        <v>45730</v>
      </c>
      <c r="F1267" s="23">
        <v>1924035385233</v>
      </c>
      <c r="G1267" s="19">
        <v>2.3722693469352545</v>
      </c>
      <c r="H1267" s="31">
        <v>1911863152137</v>
      </c>
      <c r="I1267" s="31">
        <v>12172233096</v>
      </c>
      <c r="J1267" s="21">
        <v>181095635534</v>
      </c>
      <c r="K1267" s="19">
        <v>10.108595926686114</v>
      </c>
      <c r="L1267" s="23">
        <v>180362716841</v>
      </c>
      <c r="M1267" s="21">
        <v>732918693</v>
      </c>
    </row>
    <row r="1268" spans="2:13" x14ac:dyDescent="0.3">
      <c r="B1268" s="4">
        <v>45730</v>
      </c>
      <c r="C1268" s="24">
        <v>10.067685062695354</v>
      </c>
      <c r="E1268" s="4">
        <v>45733</v>
      </c>
      <c r="F1268" s="23">
        <v>1936011289167</v>
      </c>
      <c r="G1268" s="19">
        <v>2.3828016400502272</v>
      </c>
      <c r="H1268" s="31">
        <v>1923863568754</v>
      </c>
      <c r="I1268" s="31">
        <v>12147720413</v>
      </c>
      <c r="J1268" s="21">
        <v>154443802389</v>
      </c>
      <c r="K1268" s="19">
        <v>9.8201088635196871</v>
      </c>
      <c r="L1268" s="23">
        <v>153818175776</v>
      </c>
      <c r="M1268" s="21">
        <v>625626613</v>
      </c>
    </row>
    <row r="1269" spans="2:13" x14ac:dyDescent="0.3">
      <c r="B1269" s="4">
        <v>45733</v>
      </c>
      <c r="C1269" s="24">
        <v>9.7803292067607792</v>
      </c>
      <c r="E1269" s="4">
        <v>45734</v>
      </c>
      <c r="F1269" s="23">
        <v>1943972150796</v>
      </c>
      <c r="G1269" s="19">
        <v>2.3867462110765953</v>
      </c>
      <c r="H1269" s="31">
        <v>1932041012638</v>
      </c>
      <c r="I1269" s="31">
        <v>11931138158</v>
      </c>
      <c r="J1269" s="21">
        <v>153821530596</v>
      </c>
      <c r="K1269" s="19">
        <v>10.123571047828385</v>
      </c>
      <c r="L1269" s="23">
        <v>153375059813</v>
      </c>
      <c r="M1269" s="21">
        <v>446470783</v>
      </c>
    </row>
    <row r="1270" spans="2:13" x14ac:dyDescent="0.3">
      <c r="B1270" s="4">
        <v>45734</v>
      </c>
      <c r="C1270" s="24">
        <v>10.094187133398675</v>
      </c>
      <c r="E1270" s="4">
        <v>45735</v>
      </c>
      <c r="F1270" s="23">
        <v>1944102163512</v>
      </c>
      <c r="G1270" s="19">
        <v>2.3915599960605083</v>
      </c>
      <c r="H1270" s="31">
        <v>1932274985921</v>
      </c>
      <c r="I1270" s="31">
        <v>11827177591</v>
      </c>
      <c r="J1270" s="21">
        <v>140858195011</v>
      </c>
      <c r="K1270" s="19">
        <v>9.6068095016439337</v>
      </c>
      <c r="L1270" s="23">
        <v>140376085110</v>
      </c>
      <c r="M1270" s="21">
        <v>482109901</v>
      </c>
    </row>
    <row r="1271" spans="2:13" x14ac:dyDescent="0.3">
      <c r="B1271" s="4">
        <v>45735</v>
      </c>
      <c r="C1271" s="24">
        <v>9.5739286459904758</v>
      </c>
      <c r="E1271" s="4">
        <v>45736</v>
      </c>
      <c r="F1271" s="23">
        <v>1946085932275</v>
      </c>
      <c r="G1271" s="19">
        <v>2.4069659735896076</v>
      </c>
      <c r="H1271" s="31">
        <v>1934472195271</v>
      </c>
      <c r="I1271" s="31">
        <v>11613737004</v>
      </c>
      <c r="J1271" s="21">
        <v>136231060688</v>
      </c>
      <c r="K1271" s="19">
        <v>9.4519258112720106</v>
      </c>
      <c r="L1271" s="23">
        <v>135807946090</v>
      </c>
      <c r="M1271" s="21">
        <v>423114598</v>
      </c>
    </row>
    <row r="1272" spans="2:13" x14ac:dyDescent="0.3">
      <c r="B1272" s="4">
        <v>45736</v>
      </c>
      <c r="C1272" s="24">
        <v>9.4225694532596371</v>
      </c>
      <c r="E1272" s="4">
        <v>45737</v>
      </c>
      <c r="F1272" s="23">
        <v>1931793384404</v>
      </c>
      <c r="G1272" s="19">
        <v>2.4244910464118097</v>
      </c>
      <c r="H1272" s="31">
        <v>1920514370485</v>
      </c>
      <c r="I1272" s="31">
        <v>11279013919</v>
      </c>
      <c r="J1272" s="21">
        <v>137413481449</v>
      </c>
      <c r="K1272" s="19">
        <v>8.862965235708689</v>
      </c>
      <c r="L1272" s="23">
        <v>136901307103</v>
      </c>
      <c r="M1272" s="21">
        <v>512174346</v>
      </c>
    </row>
    <row r="1273" spans="2:13" x14ac:dyDescent="0.3">
      <c r="B1273" s="4">
        <v>45737</v>
      </c>
      <c r="C1273" s="24">
        <v>8.8299307519349508</v>
      </c>
      <c r="E1273" s="4">
        <v>45740</v>
      </c>
      <c r="F1273" s="23">
        <v>1926176942942</v>
      </c>
      <c r="G1273" s="19">
        <v>2.4195743019164846</v>
      </c>
      <c r="H1273" s="31">
        <v>1914922200194</v>
      </c>
      <c r="I1273" s="31">
        <v>11254742748</v>
      </c>
      <c r="J1273" s="21">
        <v>122125944977</v>
      </c>
      <c r="K1273" s="19">
        <v>8.4202708858907389</v>
      </c>
      <c r="L1273" s="23">
        <v>121563955723</v>
      </c>
      <c r="M1273" s="21">
        <v>561989254</v>
      </c>
    </row>
    <row r="1274" spans="2:13" x14ac:dyDescent="0.3">
      <c r="B1274" s="4">
        <v>45740</v>
      </c>
      <c r="C1274" s="24">
        <v>8.3815231672587078</v>
      </c>
      <c r="E1274" s="4">
        <v>45741</v>
      </c>
      <c r="F1274" s="23">
        <v>1923584477251</v>
      </c>
      <c r="G1274" s="19">
        <v>2.4203097426675129</v>
      </c>
      <c r="H1274" s="31">
        <v>1912236915727</v>
      </c>
      <c r="I1274" s="31">
        <v>11347561524</v>
      </c>
      <c r="J1274" s="21">
        <v>110493066735</v>
      </c>
      <c r="K1274" s="19">
        <v>8.783228822915607</v>
      </c>
      <c r="L1274" s="23">
        <v>109895966514</v>
      </c>
      <c r="M1274" s="21">
        <v>597100221</v>
      </c>
    </row>
    <row r="1275" spans="2:13" x14ac:dyDescent="0.3">
      <c r="B1275" s="4">
        <v>45741</v>
      </c>
      <c r="C1275" s="24">
        <v>8.7357645970937785</v>
      </c>
      <c r="E1275" s="4">
        <v>45742</v>
      </c>
      <c r="F1275" s="23">
        <v>1924197810679</v>
      </c>
      <c r="G1275" s="19">
        <v>2.4185891889800706</v>
      </c>
      <c r="H1275" s="31">
        <v>1912894217643</v>
      </c>
      <c r="I1275" s="31">
        <v>11303593036</v>
      </c>
      <c r="J1275" s="21">
        <v>102585251613</v>
      </c>
      <c r="K1275" s="19">
        <v>8.8889522012626401</v>
      </c>
      <c r="L1275" s="23">
        <v>102167410614</v>
      </c>
      <c r="M1275" s="21">
        <v>417840999</v>
      </c>
    </row>
    <row r="1276" spans="2:13" x14ac:dyDescent="0.3">
      <c r="B1276" s="4">
        <v>45742</v>
      </c>
      <c r="C1276" s="24">
        <v>8.8527465224790038</v>
      </c>
      <c r="E1276" s="4">
        <v>45743</v>
      </c>
      <c r="F1276" s="23">
        <v>1921007066948</v>
      </c>
      <c r="G1276" s="19">
        <v>2.4131081766642728</v>
      </c>
      <c r="H1276" s="31">
        <v>1909643590796</v>
      </c>
      <c r="I1276" s="31">
        <v>11363476152</v>
      </c>
      <c r="J1276" s="21">
        <v>105361101369</v>
      </c>
      <c r="K1276" s="19">
        <v>8.8510378759184061</v>
      </c>
      <c r="L1276" s="23">
        <v>104858680281</v>
      </c>
      <c r="M1276" s="21">
        <v>502421088</v>
      </c>
    </row>
    <row r="1277" spans="2:13" x14ac:dyDescent="0.3">
      <c r="B1277" s="4">
        <v>45743</v>
      </c>
      <c r="C1277" s="24">
        <v>8.8088311409681523</v>
      </c>
      <c r="E1277" s="4">
        <v>45744</v>
      </c>
      <c r="F1277" s="23">
        <v>1916938179990</v>
      </c>
      <c r="G1277" s="19">
        <v>2.4253503804447227</v>
      </c>
      <c r="H1277" s="31">
        <v>1905807835507</v>
      </c>
      <c r="I1277" s="31">
        <v>11130344483</v>
      </c>
      <c r="J1277" s="21">
        <v>99665958752</v>
      </c>
      <c r="K1277" s="19">
        <v>8.9085201391033291</v>
      </c>
      <c r="L1277" s="23">
        <v>99249449027</v>
      </c>
      <c r="M1277" s="21">
        <v>416509725</v>
      </c>
    </row>
    <row r="1278" spans="2:13" x14ac:dyDescent="0.3">
      <c r="B1278" s="4">
        <v>45744</v>
      </c>
      <c r="C1278" s="24">
        <v>8.8712909254404408</v>
      </c>
      <c r="E1278" s="4">
        <v>45747</v>
      </c>
      <c r="F1278" s="23">
        <v>1913187800807</v>
      </c>
      <c r="G1278" s="19">
        <v>2.4367926246269094</v>
      </c>
      <c r="H1278" s="31">
        <v>1902080611109</v>
      </c>
      <c r="I1278" s="31">
        <v>11107189698</v>
      </c>
      <c r="J1278" s="21">
        <v>106258779193</v>
      </c>
      <c r="K1278" s="19">
        <v>8.7004625391081092</v>
      </c>
      <c r="L1278" s="23">
        <v>105660115015</v>
      </c>
      <c r="M1278" s="21">
        <v>598664178</v>
      </c>
    </row>
    <row r="1279" spans="2:13" x14ac:dyDescent="0.3">
      <c r="B1279" s="4">
        <v>45747</v>
      </c>
      <c r="C1279" s="24">
        <v>8.6514439517146435</v>
      </c>
      <c r="E1279" s="4">
        <v>45748</v>
      </c>
      <c r="F1279" s="23">
        <v>1908550788613</v>
      </c>
      <c r="G1279" s="19">
        <v>2.4226322785027312</v>
      </c>
      <c r="H1279" s="31">
        <v>1897314178691</v>
      </c>
      <c r="I1279" s="31">
        <v>11236609922</v>
      </c>
      <c r="J1279" s="21">
        <v>100797723434</v>
      </c>
      <c r="K1279" s="19">
        <v>8.9048268691616634</v>
      </c>
      <c r="L1279" s="23">
        <v>100192946053</v>
      </c>
      <c r="M1279" s="21">
        <v>604777381</v>
      </c>
    </row>
    <row r="1280" spans="2:13" x14ac:dyDescent="0.3">
      <c r="B1280" s="4">
        <v>45748</v>
      </c>
      <c r="C1280" s="24">
        <v>8.8513986994697529</v>
      </c>
      <c r="E1280" s="4">
        <v>45749</v>
      </c>
      <c r="F1280" s="23">
        <v>1906540023533</v>
      </c>
      <c r="G1280" s="19">
        <v>2.4175017031865882</v>
      </c>
      <c r="H1280" s="31">
        <v>1895306216208</v>
      </c>
      <c r="I1280" s="31">
        <v>11233807325</v>
      </c>
      <c r="J1280" s="21">
        <v>86826769413</v>
      </c>
      <c r="K1280" s="19">
        <v>8.911698145189483</v>
      </c>
      <c r="L1280" s="23">
        <v>86393007856</v>
      </c>
      <c r="M1280" s="21">
        <v>433761557</v>
      </c>
    </row>
    <row r="1281" spans="2:13" x14ac:dyDescent="0.3">
      <c r="B1281" s="4">
        <v>45749</v>
      </c>
      <c r="C1281" s="24">
        <v>8.8671778654519677</v>
      </c>
      <c r="E1281" s="4">
        <v>45750</v>
      </c>
      <c r="F1281" s="23">
        <v>1897683833548</v>
      </c>
      <c r="G1281" s="19">
        <v>2.4196542808102635</v>
      </c>
      <c r="H1281" s="31">
        <v>1886535832782</v>
      </c>
      <c r="I1281" s="31">
        <v>11148000766</v>
      </c>
      <c r="J1281" s="21">
        <v>101873766873</v>
      </c>
      <c r="K1281" s="19">
        <v>8.9562532302538358</v>
      </c>
      <c r="L1281" s="23">
        <v>101301786689</v>
      </c>
      <c r="M1281" s="21">
        <v>571980184</v>
      </c>
    </row>
    <row r="1282" spans="2:13" x14ac:dyDescent="0.3">
      <c r="B1282" s="4">
        <v>45750</v>
      </c>
      <c r="C1282" s="24">
        <v>8.9059674743832655</v>
      </c>
      <c r="E1282" s="4">
        <v>45754</v>
      </c>
      <c r="F1282" s="23">
        <v>1848911221434</v>
      </c>
      <c r="G1282" s="19">
        <v>2.5733848135637332</v>
      </c>
      <c r="H1282" s="31">
        <v>1838831473096</v>
      </c>
      <c r="I1282" s="31">
        <v>10079748338</v>
      </c>
      <c r="J1282" s="21">
        <v>130641750825</v>
      </c>
      <c r="K1282" s="19">
        <v>8.231581461652949</v>
      </c>
      <c r="L1282" s="23">
        <v>129676008595</v>
      </c>
      <c r="M1282" s="21">
        <v>965742230</v>
      </c>
    </row>
    <row r="1283" spans="2:13" x14ac:dyDescent="0.3">
      <c r="B1283" s="4">
        <v>45754</v>
      </c>
      <c r="C1283" s="24">
        <v>8.1707311914521767</v>
      </c>
      <c r="E1283" s="4">
        <v>45755</v>
      </c>
      <c r="F1283" s="23">
        <v>1810829517022</v>
      </c>
      <c r="G1283" s="19">
        <v>2.4888448295920358</v>
      </c>
      <c r="H1283" s="31">
        <v>1800302290295</v>
      </c>
      <c r="I1283" s="31">
        <v>10527226727</v>
      </c>
      <c r="J1283" s="21">
        <v>117135550410</v>
      </c>
      <c r="K1283" s="19">
        <v>7.2070750894585878</v>
      </c>
      <c r="L1283" s="23">
        <v>116024551937</v>
      </c>
      <c r="M1283" s="21">
        <v>1110998473</v>
      </c>
    </row>
    <row r="1284" spans="2:13" x14ac:dyDescent="0.3">
      <c r="B1284" s="4">
        <v>45755</v>
      </c>
      <c r="C1284" s="24">
        <v>7.1387179648183023</v>
      </c>
      <c r="E1284" s="4">
        <v>45756</v>
      </c>
      <c r="F1284" s="23">
        <v>1805115984546</v>
      </c>
      <c r="G1284" s="19">
        <v>2.4468564920890392</v>
      </c>
      <c r="H1284" s="31">
        <v>1794468057327</v>
      </c>
      <c r="I1284" s="31">
        <v>10647927219</v>
      </c>
      <c r="J1284" s="21">
        <v>143556534241</v>
      </c>
      <c r="K1284" s="19">
        <v>8.4481084415458962</v>
      </c>
      <c r="L1284" s="23">
        <v>142708739813</v>
      </c>
      <c r="M1284" s="21">
        <v>847794428</v>
      </c>
    </row>
    <row r="1285" spans="2:13" x14ac:dyDescent="0.3">
      <c r="B1285" s="4">
        <v>45756</v>
      </c>
      <c r="C1285" s="24">
        <v>8.3982168827830019</v>
      </c>
      <c r="E1285" s="4">
        <v>45757</v>
      </c>
      <c r="F1285" s="23">
        <v>1808103138379</v>
      </c>
      <c r="G1285" s="19">
        <v>2.4117408834719281</v>
      </c>
      <c r="H1285" s="31">
        <v>1797056887442</v>
      </c>
      <c r="I1285" s="31">
        <v>11046250937</v>
      </c>
      <c r="J1285" s="21">
        <v>146694577961</v>
      </c>
      <c r="K1285" s="19">
        <v>9.116070635062993</v>
      </c>
      <c r="L1285" s="23">
        <v>145836265837</v>
      </c>
      <c r="M1285" s="21">
        <v>858312124</v>
      </c>
    </row>
    <row r="1286" spans="2:13" x14ac:dyDescent="0.3">
      <c r="B1286" s="4">
        <v>45757</v>
      </c>
      <c r="C1286" s="24">
        <v>9.0627323722718813</v>
      </c>
      <c r="E1286" s="4">
        <v>45758</v>
      </c>
      <c r="F1286" s="23">
        <v>1804095252350</v>
      </c>
      <c r="G1286" s="19">
        <v>2.3944406045444184</v>
      </c>
      <c r="H1286" s="31">
        <v>1793082556396</v>
      </c>
      <c r="I1286" s="31">
        <v>11012695954</v>
      </c>
      <c r="J1286" s="21">
        <v>124319701326</v>
      </c>
      <c r="K1286" s="19">
        <v>9.219241284206273</v>
      </c>
      <c r="L1286" s="23">
        <v>123754056812</v>
      </c>
      <c r="M1286" s="21">
        <v>565644514</v>
      </c>
    </row>
    <row r="1287" spans="2:13" x14ac:dyDescent="0.3">
      <c r="B1287" s="4">
        <v>45758</v>
      </c>
      <c r="C1287" s="24">
        <v>9.1772944873588536</v>
      </c>
      <c r="E1287" s="4">
        <v>45761</v>
      </c>
      <c r="F1287" s="23">
        <v>1813262169634</v>
      </c>
      <c r="G1287" s="19">
        <v>2.3852709679363175</v>
      </c>
      <c r="H1287" s="31">
        <v>1801867940535</v>
      </c>
      <c r="I1287" s="31">
        <v>11394229099</v>
      </c>
      <c r="J1287" s="21">
        <v>118605317493</v>
      </c>
      <c r="K1287" s="19">
        <v>9.2857693378800477</v>
      </c>
      <c r="L1287" s="23">
        <v>117895724994</v>
      </c>
      <c r="M1287" s="21">
        <v>709592499</v>
      </c>
    </row>
    <row r="1288" spans="2:13" x14ac:dyDescent="0.3">
      <c r="B1288" s="4">
        <v>45761</v>
      </c>
      <c r="C1288" s="24">
        <v>9.2302143896797464</v>
      </c>
      <c r="E1288" s="4">
        <v>45762</v>
      </c>
      <c r="F1288" s="23">
        <v>1813699039504</v>
      </c>
      <c r="G1288" s="19">
        <v>2.3849319685830546</v>
      </c>
      <c r="H1288" s="31">
        <v>1802278771529</v>
      </c>
      <c r="I1288" s="31">
        <v>11420267975</v>
      </c>
      <c r="J1288" s="21">
        <v>90337060350</v>
      </c>
      <c r="K1288" s="19">
        <v>8.3875368883082988</v>
      </c>
      <c r="L1288" s="23">
        <v>89716181260</v>
      </c>
      <c r="M1288" s="21">
        <v>620879090</v>
      </c>
    </row>
    <row r="1289" spans="2:13" x14ac:dyDescent="0.3">
      <c r="B1289" s="4">
        <v>45762</v>
      </c>
      <c r="C1289" s="24">
        <v>8.3298900460225536</v>
      </c>
      <c r="E1289" s="4">
        <v>45763</v>
      </c>
      <c r="F1289" s="23">
        <v>1808515109303</v>
      </c>
      <c r="G1289" s="19">
        <v>2.3831407109758085</v>
      </c>
      <c r="H1289" s="31">
        <v>1797165459420</v>
      </c>
      <c r="I1289" s="31">
        <v>11349649883</v>
      </c>
      <c r="J1289" s="21">
        <v>90605257466</v>
      </c>
      <c r="K1289" s="19">
        <v>8.150044357589934</v>
      </c>
      <c r="L1289" s="23">
        <v>90003125539</v>
      </c>
      <c r="M1289" s="21">
        <v>602131927</v>
      </c>
    </row>
    <row r="1290" spans="2:13" x14ac:dyDescent="0.3">
      <c r="B1290" s="4">
        <v>45763</v>
      </c>
      <c r="C1290" s="24">
        <v>8.0958819165636768</v>
      </c>
      <c r="E1290" s="4">
        <v>45764</v>
      </c>
      <c r="F1290" s="23">
        <v>1804969683371</v>
      </c>
      <c r="G1290" s="19">
        <v>2.375730606121512</v>
      </c>
      <c r="H1290" s="31">
        <v>1793700979006</v>
      </c>
      <c r="I1290" s="31">
        <v>11268704365</v>
      </c>
      <c r="J1290" s="21">
        <v>86638173258</v>
      </c>
      <c r="K1290" s="19">
        <v>8.6695711826078021</v>
      </c>
      <c r="L1290" s="23">
        <v>86060636172</v>
      </c>
      <c r="M1290" s="21">
        <v>577537086</v>
      </c>
    </row>
    <row r="1291" spans="2:13" x14ac:dyDescent="0.3">
      <c r="B1291" s="4">
        <v>45764</v>
      </c>
      <c r="C1291" s="24">
        <v>8.6117791183319028</v>
      </c>
      <c r="E1291" s="4">
        <v>45765</v>
      </c>
      <c r="F1291" s="23">
        <v>1798562577879</v>
      </c>
      <c r="G1291" s="19">
        <v>2.3676775679898188</v>
      </c>
      <c r="H1291" s="31">
        <v>1787438470160</v>
      </c>
      <c r="I1291" s="31">
        <v>11124107719</v>
      </c>
      <c r="J1291" s="21">
        <v>75941545687</v>
      </c>
      <c r="K1291" s="19">
        <v>8.3039940615585639</v>
      </c>
      <c r="L1291" s="23">
        <v>75306595764</v>
      </c>
      <c r="M1291" s="21">
        <v>634949923</v>
      </c>
    </row>
    <row r="1292" spans="2:13" x14ac:dyDescent="0.3">
      <c r="B1292" s="4">
        <v>45765</v>
      </c>
      <c r="C1292" s="24">
        <v>8.23456407639984</v>
      </c>
      <c r="E1292" s="4">
        <v>45768</v>
      </c>
      <c r="F1292" s="23">
        <v>1804392255218</v>
      </c>
      <c r="G1292" s="19">
        <v>2.3552723224835801</v>
      </c>
      <c r="H1292" s="31">
        <v>1793079279362</v>
      </c>
      <c r="I1292" s="31">
        <v>11312975856</v>
      </c>
      <c r="J1292" s="21">
        <v>96700227297</v>
      </c>
      <c r="K1292" s="19">
        <v>9.2876027577677629</v>
      </c>
      <c r="L1292" s="23">
        <v>96194644511</v>
      </c>
      <c r="M1292" s="21">
        <v>505582786</v>
      </c>
    </row>
    <row r="1293" spans="2:13" x14ac:dyDescent="0.3">
      <c r="B1293" s="4">
        <v>45768</v>
      </c>
      <c r="C1293" s="24">
        <v>9.2390439052315472</v>
      </c>
      <c r="E1293" s="4">
        <v>45769</v>
      </c>
      <c r="F1293" s="23">
        <v>1803885383959</v>
      </c>
      <c r="G1293" s="19">
        <v>2.3518348595119689</v>
      </c>
      <c r="H1293" s="31">
        <v>1792453501696</v>
      </c>
      <c r="I1293" s="31">
        <v>11431882263</v>
      </c>
      <c r="J1293" s="21">
        <v>95123211935</v>
      </c>
      <c r="K1293" s="19">
        <v>8.7282678831990648</v>
      </c>
      <c r="L1293" s="23">
        <v>94613057096</v>
      </c>
      <c r="M1293" s="21">
        <v>510154839</v>
      </c>
    </row>
    <row r="1294" spans="2:13" x14ac:dyDescent="0.3">
      <c r="B1294" s="4">
        <v>45769</v>
      </c>
      <c r="C1294" s="24">
        <v>8.6814573518248199</v>
      </c>
      <c r="E1294" s="4">
        <v>45770</v>
      </c>
      <c r="F1294" s="23">
        <v>1805850146797</v>
      </c>
      <c r="G1294" s="19">
        <v>2.349318046818293</v>
      </c>
      <c r="H1294" s="31">
        <v>1794500369434</v>
      </c>
      <c r="I1294" s="31">
        <v>11349777363</v>
      </c>
      <c r="J1294" s="21">
        <v>113311366243</v>
      </c>
      <c r="K1294" s="19">
        <v>9.2154478631342656</v>
      </c>
      <c r="L1294" s="23">
        <v>112884419097</v>
      </c>
      <c r="M1294" s="21">
        <v>426947146</v>
      </c>
    </row>
    <row r="1295" spans="2:13" x14ac:dyDescent="0.3">
      <c r="B1295" s="4">
        <v>45770</v>
      </c>
      <c r="C1295" s="24">
        <v>9.1807248755405997</v>
      </c>
      <c r="E1295" s="4">
        <v>45771</v>
      </c>
      <c r="F1295" s="23">
        <v>1802932272745</v>
      </c>
      <c r="G1295" s="19">
        <v>2.3501820640390707</v>
      </c>
      <c r="H1295" s="31">
        <v>1791560350329</v>
      </c>
      <c r="I1295" s="31">
        <v>11371922416</v>
      </c>
      <c r="J1295" s="21">
        <v>93953680240</v>
      </c>
      <c r="K1295" s="19">
        <v>8.4730108319145607</v>
      </c>
      <c r="L1295" s="23">
        <v>93439867895</v>
      </c>
      <c r="M1295" s="21">
        <v>513812345</v>
      </c>
    </row>
    <row r="1296" spans="2:13" x14ac:dyDescent="0.3">
      <c r="B1296" s="4">
        <v>45771</v>
      </c>
      <c r="C1296" s="24">
        <v>8.4266737692935383</v>
      </c>
      <c r="E1296" s="4">
        <v>45772</v>
      </c>
      <c r="F1296" s="23">
        <v>1797370782168</v>
      </c>
      <c r="G1296" s="19">
        <v>2.3413371753189463</v>
      </c>
      <c r="H1296" s="31">
        <v>1786215133641</v>
      </c>
      <c r="I1296" s="31">
        <v>11155648527</v>
      </c>
      <c r="J1296" s="21">
        <v>99200538718</v>
      </c>
      <c r="K1296" s="19">
        <v>8.9096353842306506</v>
      </c>
      <c r="L1296" s="23">
        <v>98769787665</v>
      </c>
      <c r="M1296" s="21">
        <v>430751053</v>
      </c>
    </row>
    <row r="1297" spans="2:13" x14ac:dyDescent="0.3">
      <c r="B1297" s="4">
        <v>45772</v>
      </c>
      <c r="C1297" s="24">
        <v>8.8709477432843311</v>
      </c>
      <c r="E1297" s="4">
        <v>45775</v>
      </c>
      <c r="F1297" s="23">
        <v>1798592363432</v>
      </c>
      <c r="G1297" s="19">
        <v>2.3526796729984634</v>
      </c>
      <c r="H1297" s="31">
        <v>1787461407069</v>
      </c>
      <c r="I1297" s="31">
        <v>11130956363</v>
      </c>
      <c r="J1297" s="21">
        <v>90418601685</v>
      </c>
      <c r="K1297" s="19">
        <v>8.5611103646036018</v>
      </c>
      <c r="L1297" s="23">
        <v>89840393456</v>
      </c>
      <c r="M1297" s="21">
        <v>578208229</v>
      </c>
    </row>
    <row r="1298" spans="2:13" x14ac:dyDescent="0.3">
      <c r="B1298" s="4">
        <v>45775</v>
      </c>
      <c r="C1298" s="24">
        <v>8.5063638371198422</v>
      </c>
      <c r="E1298" s="4">
        <v>45776</v>
      </c>
      <c r="F1298" s="23">
        <v>1797065837285</v>
      </c>
      <c r="G1298" s="19">
        <v>2.3494618221579961</v>
      </c>
      <c r="H1298" s="31">
        <v>1786120477108</v>
      </c>
      <c r="I1298" s="31">
        <v>10945360177</v>
      </c>
      <c r="J1298" s="21">
        <v>87340408513</v>
      </c>
      <c r="K1298" s="19">
        <v>8.5466454152449511</v>
      </c>
      <c r="L1298" s="23">
        <v>86891426970</v>
      </c>
      <c r="M1298" s="21">
        <v>448981543</v>
      </c>
    </row>
    <row r="1299" spans="2:13" x14ac:dyDescent="0.3">
      <c r="B1299" s="4">
        <v>45776</v>
      </c>
      <c r="C1299" s="24">
        <v>8.5027105847198641</v>
      </c>
      <c r="E1299" s="4">
        <v>45777</v>
      </c>
      <c r="F1299" s="23">
        <v>1781444979168</v>
      </c>
      <c r="G1299" s="19">
        <v>2.327579029490852</v>
      </c>
      <c r="H1299" s="31">
        <v>1770655046016</v>
      </c>
      <c r="I1299" s="31">
        <v>10789933152</v>
      </c>
      <c r="J1299" s="21">
        <v>98299650037</v>
      </c>
      <c r="K1299" s="19">
        <v>8.4079684704679494</v>
      </c>
      <c r="L1299" s="23">
        <v>97876020381</v>
      </c>
      <c r="M1299" s="21">
        <v>423629656</v>
      </c>
    </row>
    <row r="1300" spans="2:13" x14ac:dyDescent="0.3">
      <c r="B1300" s="4">
        <v>45777</v>
      </c>
      <c r="C1300" s="24">
        <v>8.3717337047341704</v>
      </c>
      <c r="E1300" s="4">
        <v>45783</v>
      </c>
      <c r="F1300" s="23">
        <v>1796219272297</v>
      </c>
      <c r="G1300" s="19">
        <v>2.3111286962130593</v>
      </c>
      <c r="H1300" s="31">
        <v>1784949970028</v>
      </c>
      <c r="I1300" s="31">
        <v>11269302269</v>
      </c>
      <c r="J1300" s="21">
        <v>125299084719</v>
      </c>
      <c r="K1300" s="19">
        <v>9.3787897414211319</v>
      </c>
      <c r="L1300" s="23">
        <v>124639905896</v>
      </c>
      <c r="M1300" s="21">
        <v>659178823</v>
      </c>
    </row>
    <row r="1301" spans="2:13" x14ac:dyDescent="0.3">
      <c r="B1301" s="4">
        <v>45783</v>
      </c>
      <c r="C1301" s="24">
        <v>9.3294494002943065</v>
      </c>
      <c r="E1301" s="4">
        <v>45784</v>
      </c>
      <c r="F1301" s="23">
        <v>1803556349375</v>
      </c>
      <c r="G1301" s="19">
        <v>2.3047841144777186</v>
      </c>
      <c r="H1301" s="31">
        <v>1792104654386</v>
      </c>
      <c r="I1301" s="31">
        <v>11451694989</v>
      </c>
      <c r="J1301" s="21">
        <v>136642866018</v>
      </c>
      <c r="K1301" s="19">
        <v>9.3074778463435486</v>
      </c>
      <c r="L1301" s="23">
        <v>136003598590</v>
      </c>
      <c r="M1301" s="21">
        <v>639267428</v>
      </c>
    </row>
    <row r="1302" spans="2:13" x14ac:dyDescent="0.3">
      <c r="B1302" s="4">
        <v>45784</v>
      </c>
      <c r="C1302" s="24">
        <v>9.263933916115862</v>
      </c>
      <c r="E1302" s="4">
        <v>45785</v>
      </c>
      <c r="F1302" s="23">
        <v>1803505185421</v>
      </c>
      <c r="G1302" s="19">
        <v>2.2924583896426767</v>
      </c>
      <c r="H1302" s="31">
        <v>1791896176692</v>
      </c>
      <c r="I1302" s="31">
        <v>11609008729</v>
      </c>
      <c r="J1302" s="21">
        <v>116171457021</v>
      </c>
      <c r="K1302" s="19">
        <v>8.9828488491980831</v>
      </c>
      <c r="L1302" s="23">
        <v>115583124475</v>
      </c>
      <c r="M1302" s="21">
        <v>588332546</v>
      </c>
    </row>
    <row r="1303" spans="2:13" x14ac:dyDescent="0.3">
      <c r="B1303" s="4">
        <v>45785</v>
      </c>
      <c r="C1303" s="24">
        <v>8.9373565874213678</v>
      </c>
      <c r="E1303" s="4">
        <v>45786</v>
      </c>
      <c r="F1303" s="23">
        <v>1798838983896</v>
      </c>
      <c r="G1303" s="19">
        <v>2.2974088250998954</v>
      </c>
      <c r="H1303" s="31">
        <v>1787273977926</v>
      </c>
      <c r="I1303" s="31">
        <v>11565005970</v>
      </c>
      <c r="J1303" s="21">
        <v>101717718972</v>
      </c>
      <c r="K1303" s="19">
        <v>8.5341845607260467</v>
      </c>
      <c r="L1303" s="23">
        <v>101217387614</v>
      </c>
      <c r="M1303" s="21">
        <v>500331358</v>
      </c>
    </row>
    <row r="1304" spans="2:13" x14ac:dyDescent="0.3">
      <c r="B1304" s="4">
        <v>45786</v>
      </c>
      <c r="C1304" s="24">
        <v>8.4922064256101191</v>
      </c>
      <c r="E1304" s="4">
        <v>45789</v>
      </c>
      <c r="F1304" s="23">
        <v>1803463723169</v>
      </c>
      <c r="G1304" s="19">
        <v>2.278068984987776</v>
      </c>
      <c r="H1304" s="31">
        <v>1791771232838</v>
      </c>
      <c r="I1304" s="31">
        <v>11692490331</v>
      </c>
      <c r="J1304" s="21">
        <v>123469858680</v>
      </c>
      <c r="K1304" s="19">
        <v>9.4376023666109514</v>
      </c>
      <c r="L1304" s="23">
        <v>122941087115</v>
      </c>
      <c r="M1304" s="21">
        <v>528771565</v>
      </c>
    </row>
    <row r="1305" spans="2:13" x14ac:dyDescent="0.3">
      <c r="B1305" s="4">
        <v>45789</v>
      </c>
      <c r="C1305" s="24">
        <v>9.397184925248407</v>
      </c>
      <c r="E1305" s="4">
        <v>45790</v>
      </c>
      <c r="F1305" s="23">
        <v>1804848874654</v>
      </c>
      <c r="G1305" s="19">
        <v>2.2782690602214113</v>
      </c>
      <c r="H1305" s="31">
        <v>1793025561068</v>
      </c>
      <c r="I1305" s="31">
        <v>11823313586</v>
      </c>
      <c r="J1305" s="21">
        <v>116884535767</v>
      </c>
      <c r="K1305" s="19">
        <v>9.0512378363865285</v>
      </c>
      <c r="L1305" s="23">
        <v>116339078179</v>
      </c>
      <c r="M1305" s="21">
        <v>545457588</v>
      </c>
    </row>
    <row r="1306" spans="2:13" x14ac:dyDescent="0.3">
      <c r="B1306" s="4">
        <v>45790</v>
      </c>
      <c r="C1306" s="24">
        <v>9.008999003625183</v>
      </c>
      <c r="E1306" s="4">
        <v>45791</v>
      </c>
      <c r="F1306" s="23">
        <v>1806164280886</v>
      </c>
      <c r="G1306" s="19">
        <v>2.2628742109581217</v>
      </c>
      <c r="H1306" s="31">
        <v>1794189002223</v>
      </c>
      <c r="I1306" s="31">
        <v>11975278663</v>
      </c>
      <c r="J1306" s="21">
        <v>125106128573</v>
      </c>
      <c r="K1306" s="19">
        <v>9.502218251103363</v>
      </c>
      <c r="L1306" s="23">
        <v>124503462308</v>
      </c>
      <c r="M1306" s="21">
        <v>602666265</v>
      </c>
    </row>
    <row r="1307" spans="2:13" x14ac:dyDescent="0.3">
      <c r="B1307" s="4">
        <v>45791</v>
      </c>
      <c r="C1307" s="24">
        <v>9.4564437838735991</v>
      </c>
      <c r="E1307" s="4">
        <v>45792</v>
      </c>
      <c r="F1307" s="23">
        <v>1803089635623</v>
      </c>
      <c r="G1307" s="19">
        <v>2.2801832198972511</v>
      </c>
      <c r="H1307" s="31">
        <v>1791326218985</v>
      </c>
      <c r="I1307" s="31">
        <v>11763416638</v>
      </c>
      <c r="J1307" s="21">
        <v>101112775750</v>
      </c>
      <c r="K1307" s="19">
        <v>8.775287432416194</v>
      </c>
      <c r="L1307" s="23">
        <v>100639517977</v>
      </c>
      <c r="M1307" s="21">
        <v>473257773</v>
      </c>
    </row>
    <row r="1308" spans="2:13" x14ac:dyDescent="0.3">
      <c r="B1308" s="4">
        <v>45792</v>
      </c>
      <c r="C1308" s="24">
        <v>8.7342147493957185</v>
      </c>
      <c r="E1308" s="4">
        <v>45793</v>
      </c>
      <c r="F1308" s="23">
        <v>1801078755834</v>
      </c>
      <c r="G1308" s="19">
        <v>2.2824594057604921</v>
      </c>
      <c r="H1308" s="31">
        <v>1789481610300</v>
      </c>
      <c r="I1308" s="31">
        <v>11597145534</v>
      </c>
      <c r="J1308" s="21">
        <v>93631453035</v>
      </c>
      <c r="K1308" s="19">
        <v>8.5945257429780426</v>
      </c>
      <c r="L1308" s="23">
        <v>93212450598</v>
      </c>
      <c r="M1308" s="21">
        <v>419002437</v>
      </c>
    </row>
    <row r="1309" spans="2:13" x14ac:dyDescent="0.3">
      <c r="B1309" s="4">
        <v>45793</v>
      </c>
      <c r="C1309" s="24">
        <v>8.5560650856408031</v>
      </c>
      <c r="E1309" s="4">
        <v>45796</v>
      </c>
      <c r="F1309" s="23">
        <v>1804901175015</v>
      </c>
      <c r="G1309" s="19">
        <v>2.2843819964178862</v>
      </c>
      <c r="H1309" s="31">
        <v>1793024623587</v>
      </c>
      <c r="I1309" s="31">
        <v>11876551428</v>
      </c>
      <c r="J1309" s="21">
        <v>90641120498</v>
      </c>
      <c r="K1309" s="19">
        <v>8.3439830282248995</v>
      </c>
      <c r="L1309" s="23">
        <v>90045169997</v>
      </c>
      <c r="M1309" s="21">
        <v>595950501</v>
      </c>
    </row>
    <row r="1310" spans="2:13" x14ac:dyDescent="0.3">
      <c r="B1310" s="4">
        <v>45796</v>
      </c>
      <c r="C1310" s="24">
        <v>8.2891227083316146</v>
      </c>
      <c r="E1310" s="4">
        <v>45797</v>
      </c>
      <c r="F1310" s="23">
        <v>1807309588641</v>
      </c>
      <c r="G1310" s="19">
        <v>2.2747193822374228</v>
      </c>
      <c r="H1310" s="31">
        <v>1795213398754</v>
      </c>
      <c r="I1310" s="31">
        <v>12096189887</v>
      </c>
      <c r="J1310" s="21">
        <v>100435832537</v>
      </c>
      <c r="K1310" s="19">
        <v>8.5876870612378884</v>
      </c>
      <c r="L1310" s="23">
        <v>99954840967</v>
      </c>
      <c r="M1310" s="21">
        <v>480991570</v>
      </c>
    </row>
    <row r="1311" spans="2:13" x14ac:dyDescent="0.3">
      <c r="B1311" s="4">
        <v>45797</v>
      </c>
      <c r="C1311" s="24">
        <v>8.546560254420891</v>
      </c>
      <c r="E1311" s="4">
        <v>45798</v>
      </c>
      <c r="F1311" s="23">
        <v>1805641956243</v>
      </c>
      <c r="G1311" s="19">
        <v>2.269054854533433</v>
      </c>
      <c r="H1311" s="31">
        <v>1793417344164</v>
      </c>
      <c r="I1311" s="31">
        <v>12224612079</v>
      </c>
      <c r="J1311" s="21">
        <v>98236075711</v>
      </c>
      <c r="K1311" s="19">
        <v>8.3729109315549071</v>
      </c>
      <c r="L1311" s="23">
        <v>97787852881</v>
      </c>
      <c r="M1311" s="21">
        <v>448222830</v>
      </c>
    </row>
    <row r="1312" spans="2:13" x14ac:dyDescent="0.3">
      <c r="B1312" s="4">
        <v>45798</v>
      </c>
      <c r="C1312" s="24">
        <v>8.3347077581695999</v>
      </c>
      <c r="E1312" s="4">
        <v>45799</v>
      </c>
      <c r="F1312" s="23">
        <v>1803461077650</v>
      </c>
      <c r="G1312" s="19">
        <v>2.2772689383778992</v>
      </c>
      <c r="H1312" s="31">
        <v>1791307850371</v>
      </c>
      <c r="I1312" s="31">
        <v>12153227279</v>
      </c>
      <c r="J1312" s="21">
        <v>91092891322</v>
      </c>
      <c r="K1312" s="19">
        <v>8.2622441158921429</v>
      </c>
      <c r="L1312" s="23">
        <v>90687905890</v>
      </c>
      <c r="M1312" s="21">
        <v>404985432</v>
      </c>
    </row>
    <row r="1313" spans="2:13" x14ac:dyDescent="0.3">
      <c r="B1313" s="4">
        <v>45799</v>
      </c>
      <c r="C1313" s="24">
        <v>8.2255114087181429</v>
      </c>
      <c r="E1313" s="4">
        <v>45800</v>
      </c>
      <c r="F1313" s="23">
        <v>1795885514346</v>
      </c>
      <c r="G1313" s="19">
        <v>2.2889091205663066</v>
      </c>
      <c r="H1313" s="31">
        <v>1783877942897</v>
      </c>
      <c r="I1313" s="31">
        <v>12007571449</v>
      </c>
      <c r="J1313" s="21">
        <v>96405808526</v>
      </c>
      <c r="K1313" s="19">
        <v>8.3440330749468679</v>
      </c>
      <c r="L1313" s="23">
        <v>95996619164</v>
      </c>
      <c r="M1313" s="21">
        <v>409189362</v>
      </c>
    </row>
    <row r="1314" spans="2:13" x14ac:dyDescent="0.3">
      <c r="B1314" s="4">
        <v>45800</v>
      </c>
      <c r="C1314" s="24">
        <v>8.3086172673036636</v>
      </c>
      <c r="E1314" s="4">
        <v>45803</v>
      </c>
      <c r="F1314" s="23">
        <v>1800401149162</v>
      </c>
      <c r="G1314" s="19">
        <v>2.2941951773255935</v>
      </c>
      <c r="H1314" s="31">
        <v>1788563453488</v>
      </c>
      <c r="I1314" s="31">
        <v>11837695674</v>
      </c>
      <c r="J1314" s="21">
        <v>84526113659</v>
      </c>
      <c r="K1314" s="19">
        <v>8.3708066312824254</v>
      </c>
      <c r="L1314" s="23">
        <v>84144332422</v>
      </c>
      <c r="M1314" s="21">
        <v>381781237</v>
      </c>
    </row>
    <row r="1315" spans="2:13" x14ac:dyDescent="0.3">
      <c r="B1315" s="4">
        <v>45803</v>
      </c>
      <c r="C1315" s="24">
        <v>8.332997997097829</v>
      </c>
      <c r="E1315" s="4">
        <v>45804</v>
      </c>
      <c r="F1315" s="23">
        <v>1804733065287</v>
      </c>
      <c r="G1315" s="19">
        <v>2.3059688935723441</v>
      </c>
      <c r="H1315" s="31">
        <v>1792921533903</v>
      </c>
      <c r="I1315" s="31">
        <v>11811531384</v>
      </c>
      <c r="J1315" s="21">
        <v>86553969526</v>
      </c>
      <c r="K1315" s="19">
        <v>8.6661930658166355</v>
      </c>
      <c r="L1315" s="23">
        <v>86104120615</v>
      </c>
      <c r="M1315" s="21">
        <v>449848911</v>
      </c>
    </row>
    <row r="1316" spans="2:13" x14ac:dyDescent="0.3">
      <c r="B1316" s="4">
        <v>45804</v>
      </c>
      <c r="C1316" s="24">
        <v>8.6211520638322927</v>
      </c>
      <c r="E1316" s="4">
        <v>45805</v>
      </c>
      <c r="F1316" s="23">
        <v>1805025569162</v>
      </c>
      <c r="G1316" s="19">
        <v>2.3086907009379161</v>
      </c>
      <c r="H1316" s="31">
        <v>1793217189472</v>
      </c>
      <c r="I1316" s="31">
        <v>11808379690</v>
      </c>
      <c r="J1316" s="21">
        <v>80185945285</v>
      </c>
      <c r="K1316" s="19">
        <v>7.9411621263604237</v>
      </c>
      <c r="L1316" s="23">
        <v>79774094476</v>
      </c>
      <c r="M1316" s="21">
        <v>411850809</v>
      </c>
    </row>
    <row r="1317" spans="2:13" x14ac:dyDescent="0.3">
      <c r="B1317" s="4">
        <v>45805</v>
      </c>
      <c r="C1317" s="24">
        <v>7.9003747535294702</v>
      </c>
      <c r="E1317" s="4">
        <v>45806</v>
      </c>
      <c r="F1317" s="23">
        <v>1803815032076</v>
      </c>
      <c r="G1317" s="19">
        <v>2.2858793631432812</v>
      </c>
      <c r="H1317" s="31">
        <v>1792025760756</v>
      </c>
      <c r="I1317" s="31">
        <v>11789271320</v>
      </c>
      <c r="J1317" s="21">
        <v>103656113285</v>
      </c>
      <c r="K1317" s="19">
        <v>8.7456458805953154</v>
      </c>
      <c r="L1317" s="23">
        <v>103265591351</v>
      </c>
      <c r="M1317" s="21">
        <v>390521934</v>
      </c>
    </row>
    <row r="1318" spans="2:13" x14ac:dyDescent="0.3">
      <c r="B1318" s="4">
        <v>45806</v>
      </c>
      <c r="C1318" s="24">
        <v>8.7126968683746977</v>
      </c>
      <c r="E1318" s="4">
        <v>45807</v>
      </c>
      <c r="F1318" s="23">
        <v>1795550939561</v>
      </c>
      <c r="G1318" s="19">
        <v>2.2909004265847615</v>
      </c>
      <c r="H1318" s="31">
        <v>1783841110090</v>
      </c>
      <c r="I1318" s="31">
        <v>11709829471</v>
      </c>
      <c r="J1318" s="21">
        <v>91475775372</v>
      </c>
      <c r="K1318" s="19">
        <v>8.0325337142430602</v>
      </c>
      <c r="L1318" s="23">
        <v>90969269378</v>
      </c>
      <c r="M1318" s="21">
        <v>506505994</v>
      </c>
    </row>
    <row r="1319" spans="2:13" x14ac:dyDescent="0.3">
      <c r="B1319" s="4">
        <v>45807</v>
      </c>
      <c r="C1319" s="24">
        <v>7.9880571688765318</v>
      </c>
      <c r="E1319" s="4">
        <v>45811</v>
      </c>
      <c r="F1319" s="23">
        <v>1799094736843</v>
      </c>
      <c r="G1319" s="19">
        <v>2.2852621526145289</v>
      </c>
      <c r="H1319" s="31">
        <v>1787295715951</v>
      </c>
      <c r="I1319" s="31">
        <v>11799020892</v>
      </c>
      <c r="J1319" s="21">
        <v>94110952132</v>
      </c>
      <c r="K1319" s="19">
        <v>8.2467033194920596</v>
      </c>
      <c r="L1319" s="23">
        <v>93664774755</v>
      </c>
      <c r="M1319" s="21">
        <v>446177377</v>
      </c>
    </row>
    <row r="1320" spans="2:13" x14ac:dyDescent="0.3">
      <c r="B1320" s="4">
        <v>45811</v>
      </c>
      <c r="C1320" s="24">
        <v>8.2076059310092884</v>
      </c>
      <c r="E1320" s="4">
        <v>45812</v>
      </c>
      <c r="F1320" s="23">
        <v>1801534608656</v>
      </c>
      <c r="G1320" s="19">
        <v>2.2747277973069924</v>
      </c>
      <c r="H1320" s="31">
        <v>1789557795092</v>
      </c>
      <c r="I1320" s="31">
        <v>11976813564</v>
      </c>
      <c r="J1320" s="21">
        <v>98421801180</v>
      </c>
      <c r="K1320" s="19">
        <v>8.5372397514255347</v>
      </c>
      <c r="L1320" s="23">
        <v>97971775163</v>
      </c>
      <c r="M1320" s="21">
        <v>450026017</v>
      </c>
    </row>
    <row r="1321" spans="2:13" x14ac:dyDescent="0.3">
      <c r="B1321" s="4">
        <v>45812</v>
      </c>
      <c r="C1321" s="24">
        <v>8.4982038878724833</v>
      </c>
      <c r="E1321" s="4">
        <v>45813</v>
      </c>
      <c r="F1321" s="23">
        <v>1806214827359</v>
      </c>
      <c r="G1321" s="19">
        <v>2.2729299033490036</v>
      </c>
      <c r="H1321" s="31">
        <v>1794061343018</v>
      </c>
      <c r="I1321" s="31">
        <v>12153484341</v>
      </c>
      <c r="J1321" s="21">
        <v>114506433836</v>
      </c>
      <c r="K1321" s="19">
        <v>8.8751466263841525</v>
      </c>
      <c r="L1321" s="23">
        <v>113965549834</v>
      </c>
      <c r="M1321" s="21">
        <v>540884002</v>
      </c>
    </row>
    <row r="1322" spans="2:13" x14ac:dyDescent="0.3">
      <c r="B1322" s="4">
        <v>45813</v>
      </c>
      <c r="C1322" s="24">
        <v>8.833223874405947</v>
      </c>
      <c r="E1322" s="4">
        <v>45814</v>
      </c>
      <c r="F1322" s="23">
        <v>1803188949912</v>
      </c>
      <c r="G1322" s="19">
        <v>2.2694353731436339</v>
      </c>
      <c r="H1322" s="31">
        <v>1791003090822</v>
      </c>
      <c r="I1322" s="31">
        <v>12185859090</v>
      </c>
      <c r="J1322" s="21">
        <v>96825110254</v>
      </c>
      <c r="K1322" s="19">
        <v>8.4061094044527724</v>
      </c>
      <c r="L1322" s="23">
        <v>96373497263</v>
      </c>
      <c r="M1322" s="21">
        <v>451612991</v>
      </c>
    </row>
    <row r="1323" spans="2:13" x14ac:dyDescent="0.3">
      <c r="B1323" s="4">
        <v>45814</v>
      </c>
      <c r="C1323" s="24">
        <v>8.3669015150854449</v>
      </c>
      <c r="E1323" s="4">
        <v>45817</v>
      </c>
      <c r="F1323" s="23">
        <v>1810552285220</v>
      </c>
      <c r="G1323" s="19">
        <v>2.2651149850061936</v>
      </c>
      <c r="H1323" s="31">
        <v>1798283378791</v>
      </c>
      <c r="I1323" s="31">
        <v>12268906429</v>
      </c>
      <c r="J1323" s="21">
        <v>118349420501</v>
      </c>
      <c r="K1323" s="19">
        <v>9.2013008840571118</v>
      </c>
      <c r="L1323" s="23">
        <v>117914824945</v>
      </c>
      <c r="M1323" s="21">
        <v>434595556</v>
      </c>
    </row>
    <row r="1324" spans="2:13" x14ac:dyDescent="0.3">
      <c r="B1324" s="4">
        <v>45817</v>
      </c>
      <c r="C1324" s="24">
        <v>9.1675124256371028</v>
      </c>
      <c r="E1324" s="4">
        <v>45818</v>
      </c>
      <c r="F1324" s="23">
        <v>1811459109069</v>
      </c>
      <c r="G1324" s="19">
        <v>2.2788308106035799</v>
      </c>
      <c r="H1324" s="31">
        <v>1799243184029</v>
      </c>
      <c r="I1324" s="31">
        <v>12215925040</v>
      </c>
      <c r="J1324" s="21">
        <v>126302852711</v>
      </c>
      <c r="K1324" s="19">
        <v>8.9248624638244713</v>
      </c>
      <c r="L1324" s="23">
        <v>125800035381</v>
      </c>
      <c r="M1324" s="21">
        <v>502817330</v>
      </c>
    </row>
    <row r="1325" spans="2:13" x14ac:dyDescent="0.3">
      <c r="B1325" s="4">
        <v>45818</v>
      </c>
      <c r="C1325" s="24">
        <v>8.8893321854629388</v>
      </c>
      <c r="E1325" s="4">
        <v>45819</v>
      </c>
      <c r="F1325" s="23">
        <v>1813400908479</v>
      </c>
      <c r="G1325" s="19">
        <v>2.2675279269220519</v>
      </c>
      <c r="H1325" s="31">
        <v>1801083617932</v>
      </c>
      <c r="I1325" s="31">
        <v>12317290547</v>
      </c>
      <c r="J1325" s="21">
        <v>112871065833</v>
      </c>
      <c r="K1325" s="19">
        <v>8.9917456141098615</v>
      </c>
      <c r="L1325" s="23">
        <v>112338290110</v>
      </c>
      <c r="M1325" s="21">
        <v>532775723</v>
      </c>
    </row>
    <row r="1326" spans="2:13" x14ac:dyDescent="0.3">
      <c r="B1326" s="4">
        <v>45819</v>
      </c>
      <c r="C1326" s="24">
        <v>8.9493026395952295</v>
      </c>
      <c r="E1326" s="4">
        <v>45820</v>
      </c>
      <c r="F1326" s="23">
        <v>1815793528239</v>
      </c>
      <c r="G1326" s="19">
        <v>2.2700594189084611</v>
      </c>
      <c r="H1326" s="31">
        <v>1803457837703</v>
      </c>
      <c r="I1326" s="31">
        <v>12335690536</v>
      </c>
      <c r="J1326" s="21">
        <v>112765918770</v>
      </c>
      <c r="K1326" s="19">
        <v>8.867825401154489</v>
      </c>
      <c r="L1326" s="23">
        <v>112330051849</v>
      </c>
      <c r="M1326" s="21">
        <v>435866921</v>
      </c>
    </row>
    <row r="1327" spans="2:13" x14ac:dyDescent="0.3">
      <c r="B1327" s="4">
        <v>45820</v>
      </c>
      <c r="C1327" s="24">
        <v>8.8335491606402741</v>
      </c>
      <c r="E1327" s="4">
        <v>45821</v>
      </c>
      <c r="F1327" s="23">
        <v>1811255016933</v>
      </c>
      <c r="G1327" s="19">
        <v>2.2861040519417881</v>
      </c>
      <c r="H1327" s="31">
        <v>1798983099755</v>
      </c>
      <c r="I1327" s="31">
        <v>12271917178</v>
      </c>
      <c r="J1327" s="21">
        <v>114810057089</v>
      </c>
      <c r="K1327" s="19">
        <v>7.8258343812575122</v>
      </c>
      <c r="L1327" s="23">
        <v>114291775787</v>
      </c>
      <c r="M1327" s="21">
        <v>518281302</v>
      </c>
    </row>
    <row r="1328" spans="2:13" x14ac:dyDescent="0.3">
      <c r="B1328" s="4">
        <v>45821</v>
      </c>
      <c r="C1328" s="24">
        <v>7.7905066082801824</v>
      </c>
      <c r="E1328" s="4">
        <v>45824</v>
      </c>
      <c r="F1328" s="23">
        <v>1816758007447</v>
      </c>
      <c r="G1328" s="19">
        <v>2.2821059258574405</v>
      </c>
      <c r="H1328" s="31">
        <v>1804480285258</v>
      </c>
      <c r="I1328" s="31">
        <v>12277722189</v>
      </c>
      <c r="J1328" s="21">
        <v>107642604255</v>
      </c>
      <c r="K1328" s="19">
        <v>8.8601209152733063</v>
      </c>
      <c r="L1328" s="23">
        <v>107139656160</v>
      </c>
      <c r="M1328" s="21">
        <v>502948095</v>
      </c>
    </row>
    <row r="1329" spans="2:13" x14ac:dyDescent="0.3">
      <c r="B1329" s="4">
        <v>45824</v>
      </c>
      <c r="C1329" s="24">
        <v>8.8187229858321903</v>
      </c>
      <c r="E1329" s="4">
        <v>45825</v>
      </c>
      <c r="F1329" s="23">
        <v>1821881457206</v>
      </c>
      <c r="G1329" s="19">
        <v>2.2890379884762733</v>
      </c>
      <c r="H1329" s="31">
        <v>1809863243573</v>
      </c>
      <c r="I1329" s="31">
        <v>12018213633</v>
      </c>
      <c r="J1329" s="21">
        <v>111827481288</v>
      </c>
      <c r="K1329" s="19">
        <v>9.2643175836537246</v>
      </c>
      <c r="L1329" s="23">
        <v>111423435082</v>
      </c>
      <c r="M1329" s="21">
        <v>404046206</v>
      </c>
    </row>
    <row r="1330" spans="2:13" x14ac:dyDescent="0.3">
      <c r="B1330" s="4">
        <v>45825</v>
      </c>
      <c r="C1330" s="24">
        <v>9.2308444844857824</v>
      </c>
      <c r="E1330" s="4">
        <v>45826</v>
      </c>
      <c r="F1330" s="23">
        <v>1823180607439</v>
      </c>
      <c r="G1330" s="19">
        <v>2.2902827060791036</v>
      </c>
      <c r="H1330" s="31">
        <v>1811188513996</v>
      </c>
      <c r="I1330" s="31">
        <v>11992093443</v>
      </c>
      <c r="J1330" s="21">
        <v>104197020858</v>
      </c>
      <c r="K1330" s="19">
        <v>8.7492450562902793</v>
      </c>
      <c r="L1330" s="23">
        <v>103727211960</v>
      </c>
      <c r="M1330" s="21">
        <v>469808898</v>
      </c>
    </row>
    <row r="1331" spans="2:13" x14ac:dyDescent="0.3">
      <c r="B1331" s="4">
        <v>45826</v>
      </c>
      <c r="C1331" s="24">
        <v>8.7097960092409448</v>
      </c>
      <c r="E1331" s="4">
        <v>45827</v>
      </c>
      <c r="F1331" s="23">
        <v>1815462102155</v>
      </c>
      <c r="G1331" s="19">
        <v>2.3043779720752715</v>
      </c>
      <c r="H1331" s="31">
        <v>1803771963941</v>
      </c>
      <c r="I1331" s="31">
        <v>11690138214</v>
      </c>
      <c r="J1331" s="21">
        <v>108353086950</v>
      </c>
      <c r="K1331" s="19">
        <v>8.6647512347041786</v>
      </c>
      <c r="L1331" s="23">
        <v>107829888276</v>
      </c>
      <c r="M1331" s="21">
        <v>523198674</v>
      </c>
    </row>
    <row r="1332" spans="2:13" x14ac:dyDescent="0.3">
      <c r="B1332" s="4">
        <v>45827</v>
      </c>
      <c r="C1332" s="24">
        <v>8.622912220383995</v>
      </c>
      <c r="E1332" s="4">
        <v>45828</v>
      </c>
      <c r="F1332" s="23">
        <v>1807115720585</v>
      </c>
      <c r="G1332" s="19">
        <v>2.2990823415695023</v>
      </c>
      <c r="H1332" s="31">
        <v>1795582727539</v>
      </c>
      <c r="I1332" s="31">
        <v>11532993046</v>
      </c>
      <c r="J1332" s="21">
        <v>84514318864</v>
      </c>
      <c r="K1332" s="19">
        <v>7.9163873584170172</v>
      </c>
      <c r="L1332" s="23">
        <v>84033351078</v>
      </c>
      <c r="M1332" s="21">
        <v>480967786</v>
      </c>
    </row>
    <row r="1333" spans="2:13" x14ac:dyDescent="0.3">
      <c r="B1333" s="4">
        <v>45828</v>
      </c>
      <c r="C1333" s="24">
        <v>7.8713354979503514</v>
      </c>
      <c r="E1333" s="4">
        <v>45831</v>
      </c>
      <c r="F1333" s="23">
        <v>1811433035875</v>
      </c>
      <c r="G1333" s="19">
        <v>2.2871769042465955</v>
      </c>
      <c r="H1333" s="31">
        <v>1799705081714</v>
      </c>
      <c r="I1333" s="31">
        <v>11727954161</v>
      </c>
      <c r="J1333" s="21">
        <v>96985853028</v>
      </c>
      <c r="K1333" s="19">
        <v>8.6404960367300809</v>
      </c>
      <c r="L1333" s="23">
        <v>96459261339</v>
      </c>
      <c r="M1333" s="21">
        <v>526591689</v>
      </c>
    </row>
    <row r="1334" spans="2:13" x14ac:dyDescent="0.3">
      <c r="B1334" s="4">
        <v>45831</v>
      </c>
      <c r="C1334" s="24">
        <v>8.5935818398681345</v>
      </c>
      <c r="E1334" s="4">
        <v>45832</v>
      </c>
      <c r="F1334" s="23">
        <v>1816534468306</v>
      </c>
      <c r="G1334" s="19">
        <v>2.2622417800020869</v>
      </c>
      <c r="H1334" s="31">
        <v>1804833097178</v>
      </c>
      <c r="I1334" s="31">
        <v>11701371128</v>
      </c>
      <c r="J1334" s="21">
        <v>134252882591</v>
      </c>
      <c r="K1334" s="19">
        <v>9.4927114933276577</v>
      </c>
      <c r="L1334" s="23">
        <v>133745655127</v>
      </c>
      <c r="M1334" s="21">
        <v>507227464</v>
      </c>
    </row>
    <row r="1335" spans="2:13" x14ac:dyDescent="0.3">
      <c r="B1335" s="4">
        <v>45832</v>
      </c>
      <c r="C1335" s="24">
        <v>9.4568466099499719</v>
      </c>
      <c r="E1335" s="4">
        <v>45833</v>
      </c>
      <c r="F1335" s="23">
        <v>1823647482894</v>
      </c>
      <c r="G1335" s="19">
        <v>2.2452903113040281</v>
      </c>
      <c r="H1335" s="31">
        <v>1811638367055</v>
      </c>
      <c r="I1335" s="31">
        <v>12009115839</v>
      </c>
      <c r="J1335" s="21">
        <v>159485091600</v>
      </c>
      <c r="K1335" s="19">
        <v>9.9520492136199508</v>
      </c>
      <c r="L1335" s="23">
        <v>158821185519</v>
      </c>
      <c r="M1335" s="21">
        <v>663906081</v>
      </c>
    </row>
    <row r="1336" spans="2:13" x14ac:dyDescent="0.3">
      <c r="B1336" s="4">
        <v>45833</v>
      </c>
      <c r="C1336" s="24">
        <v>9.9106207269504587</v>
      </c>
      <c r="E1336" s="4">
        <v>45834</v>
      </c>
      <c r="F1336" s="23">
        <v>1832725944347</v>
      </c>
      <c r="G1336" s="19">
        <v>2.2622785740006219</v>
      </c>
      <c r="H1336" s="31">
        <v>1820786957134</v>
      </c>
      <c r="I1336" s="31">
        <v>11938987213</v>
      </c>
      <c r="J1336" s="21">
        <v>154992338216</v>
      </c>
      <c r="K1336" s="19">
        <v>9.7913310010586105</v>
      </c>
      <c r="L1336" s="23">
        <v>154545342554</v>
      </c>
      <c r="M1336" s="21">
        <v>446995662</v>
      </c>
    </row>
    <row r="1337" spans="2:13" x14ac:dyDescent="0.3">
      <c r="B1337" s="4">
        <v>45834</v>
      </c>
      <c r="C1337" s="24">
        <v>9.7630929440484628</v>
      </c>
      <c r="E1337" s="4">
        <v>45835</v>
      </c>
      <c r="F1337" s="23">
        <v>1833658589387</v>
      </c>
      <c r="G1337" s="19">
        <v>2.2708680873224991</v>
      </c>
      <c r="H1337" s="31">
        <v>1821686102938</v>
      </c>
      <c r="I1337" s="31">
        <v>11972486449</v>
      </c>
      <c r="J1337" s="21">
        <v>151626212078</v>
      </c>
      <c r="K1337" s="19">
        <v>9.8398798532634562</v>
      </c>
      <c r="L1337" s="23">
        <v>151042611125</v>
      </c>
      <c r="M1337" s="21">
        <v>583600953</v>
      </c>
    </row>
    <row r="1338" spans="2:13" x14ac:dyDescent="0.3">
      <c r="B1338" s="4">
        <v>45835</v>
      </c>
      <c r="C1338" s="24">
        <v>9.8020066967618877</v>
      </c>
      <c r="E1338" s="4">
        <v>45838</v>
      </c>
      <c r="F1338" s="23">
        <v>1844638408468</v>
      </c>
      <c r="G1338" s="19">
        <v>2.266658217298974</v>
      </c>
      <c r="H1338" s="31">
        <v>1832335393975</v>
      </c>
      <c r="I1338" s="31">
        <v>12303014493</v>
      </c>
      <c r="J1338" s="21">
        <v>143776700418</v>
      </c>
      <c r="K1338" s="19">
        <v>9.6712724454345107</v>
      </c>
      <c r="L1338" s="23">
        <v>143139155323</v>
      </c>
      <c r="M1338" s="21">
        <v>637545095</v>
      </c>
    </row>
    <row r="1339" spans="2:13" x14ac:dyDescent="0.3">
      <c r="B1339" s="4">
        <v>45838</v>
      </c>
      <c r="C1339" s="24">
        <v>9.628387386227633</v>
      </c>
      <c r="E1339" s="4">
        <v>45839</v>
      </c>
      <c r="F1339" s="23">
        <v>1848693761551</v>
      </c>
      <c r="G1339" s="19">
        <v>2.2627697661038071</v>
      </c>
      <c r="H1339" s="31">
        <v>1836033171588</v>
      </c>
      <c r="I1339" s="31">
        <v>12660589963</v>
      </c>
      <c r="J1339" s="21">
        <v>134261565491</v>
      </c>
      <c r="K1339" s="19">
        <v>9.1595808908475931</v>
      </c>
      <c r="L1339" s="23">
        <v>133550164456</v>
      </c>
      <c r="M1339" s="21">
        <v>711401035</v>
      </c>
    </row>
    <row r="1340" spans="2:13" x14ac:dyDescent="0.3">
      <c r="B1340" s="4">
        <v>45839</v>
      </c>
      <c r="C1340" s="24">
        <v>9.1110477510611947</v>
      </c>
      <c r="E1340" s="4">
        <v>45840</v>
      </c>
      <c r="F1340" s="23">
        <v>1849691648829</v>
      </c>
      <c r="G1340" s="19">
        <v>2.2694682670202955</v>
      </c>
      <c r="H1340" s="31">
        <v>1837085614686</v>
      </c>
      <c r="I1340" s="31">
        <v>12606034143</v>
      </c>
      <c r="J1340" s="21">
        <v>120337115261</v>
      </c>
      <c r="K1340" s="19">
        <v>8.7408136447346489</v>
      </c>
      <c r="L1340" s="23">
        <v>119822482011</v>
      </c>
      <c r="M1340" s="21">
        <v>514633250</v>
      </c>
    </row>
    <row r="1341" spans="2:13" x14ac:dyDescent="0.3">
      <c r="B1341" s="4">
        <v>45840</v>
      </c>
      <c r="C1341" s="24">
        <v>8.7034327143053485</v>
      </c>
      <c r="E1341" s="4">
        <v>45841</v>
      </c>
      <c r="F1341" s="23">
        <v>1853210237702</v>
      </c>
      <c r="G1341" s="19">
        <v>2.2634901390547806</v>
      </c>
      <c r="H1341" s="31">
        <v>1840467688088</v>
      </c>
      <c r="I1341" s="31">
        <v>12742549614</v>
      </c>
      <c r="J1341" s="21">
        <v>119911088818</v>
      </c>
      <c r="K1341" s="19">
        <v>9.1564069603375255</v>
      </c>
      <c r="L1341" s="23">
        <v>119377575375</v>
      </c>
      <c r="M1341" s="21">
        <v>533513443</v>
      </c>
    </row>
    <row r="1342" spans="2:13" x14ac:dyDescent="0.3">
      <c r="B1342" s="4">
        <v>45841</v>
      </c>
      <c r="C1342" s="24">
        <v>9.1156678906562103</v>
      </c>
      <c r="E1342" s="4">
        <v>45842</v>
      </c>
      <c r="F1342" s="23">
        <v>1847061494097</v>
      </c>
      <c r="G1342" s="19">
        <v>2.2544846378005956</v>
      </c>
      <c r="H1342" s="31">
        <v>1834182269423</v>
      </c>
      <c r="I1342" s="31">
        <v>12879224674</v>
      </c>
      <c r="J1342" s="21">
        <v>131196056766</v>
      </c>
      <c r="K1342" s="19">
        <v>9.1850521695762755</v>
      </c>
      <c r="L1342" s="23">
        <v>130561169543</v>
      </c>
      <c r="M1342" s="21">
        <v>634887223</v>
      </c>
    </row>
    <row r="1343" spans="2:13" x14ac:dyDescent="0.3">
      <c r="B1343" s="4">
        <v>45842</v>
      </c>
      <c r="C1343" s="24">
        <v>9.1406036365273486</v>
      </c>
      <c r="E1343" s="4">
        <v>45845</v>
      </c>
      <c r="F1343" s="23">
        <v>1853468896726</v>
      </c>
      <c r="G1343" s="19">
        <v>2.2625416415869783</v>
      </c>
      <c r="H1343" s="31">
        <v>1840495280722</v>
      </c>
      <c r="I1343" s="31">
        <v>12973616004</v>
      </c>
      <c r="J1343" s="21">
        <v>109503422221</v>
      </c>
      <c r="K1343" s="19">
        <v>9.0611261562466279</v>
      </c>
      <c r="L1343" s="23">
        <v>109013759800</v>
      </c>
      <c r="M1343" s="21">
        <v>489662421</v>
      </c>
    </row>
    <row r="1344" spans="2:13" x14ac:dyDescent="0.3">
      <c r="B1344" s="4">
        <v>45845</v>
      </c>
      <c r="C1344" s="24">
        <v>9.0206078520634065</v>
      </c>
      <c r="E1344" s="4">
        <v>45846</v>
      </c>
      <c r="F1344" s="23">
        <v>1859011364485</v>
      </c>
      <c r="G1344" s="19">
        <v>2.2482349528594661</v>
      </c>
      <c r="H1344" s="31">
        <v>1845974616973</v>
      </c>
      <c r="I1344" s="31">
        <v>13036747512</v>
      </c>
      <c r="J1344" s="21">
        <v>138844875370</v>
      </c>
      <c r="K1344" s="19">
        <v>9.5507155372652566</v>
      </c>
      <c r="L1344" s="23">
        <v>138340560074</v>
      </c>
      <c r="M1344" s="21">
        <v>504315296</v>
      </c>
    </row>
    <row r="1345" spans="2:13" x14ac:dyDescent="0.3">
      <c r="B1345" s="4">
        <v>45846</v>
      </c>
      <c r="C1345" s="24">
        <v>9.5160252260791047</v>
      </c>
      <c r="E1345" s="4">
        <v>45847</v>
      </c>
      <c r="F1345" s="23">
        <v>1862876452656</v>
      </c>
      <c r="G1345" s="19">
        <v>2.2550491813938023</v>
      </c>
      <c r="H1345" s="31">
        <v>1849817469827</v>
      </c>
      <c r="I1345" s="31">
        <v>13058982829</v>
      </c>
      <c r="J1345" s="21">
        <v>140043536980</v>
      </c>
      <c r="K1345" s="19">
        <v>9.3053658334668228</v>
      </c>
      <c r="L1345" s="23">
        <v>139574151351</v>
      </c>
      <c r="M1345" s="21">
        <v>469385629</v>
      </c>
    </row>
    <row r="1346" spans="2:13" x14ac:dyDescent="0.3">
      <c r="B1346" s="4">
        <v>45847</v>
      </c>
      <c r="C1346" s="24">
        <v>9.2741769254385957</v>
      </c>
      <c r="E1346" s="4">
        <v>45848</v>
      </c>
      <c r="F1346" s="23">
        <v>1867724084067</v>
      </c>
      <c r="G1346" s="19">
        <v>2.2510138930251165</v>
      </c>
      <c r="H1346" s="31">
        <v>1854516111649</v>
      </c>
      <c r="I1346" s="31">
        <v>13207972418</v>
      </c>
      <c r="J1346" s="21">
        <v>141259066256</v>
      </c>
      <c r="K1346" s="19">
        <v>9.4554956756930348</v>
      </c>
      <c r="L1346" s="23">
        <v>140707004430</v>
      </c>
      <c r="M1346" s="21">
        <v>552061826</v>
      </c>
    </row>
    <row r="1347" spans="2:13" x14ac:dyDescent="0.3">
      <c r="B1347" s="4">
        <v>45848</v>
      </c>
      <c r="C1347" s="24">
        <v>9.4185421664648334</v>
      </c>
      <c r="E1347" s="4">
        <v>45849</v>
      </c>
      <c r="F1347" s="23">
        <v>1869890784259</v>
      </c>
      <c r="G1347" s="19">
        <v>2.2494011328852697</v>
      </c>
      <c r="H1347" s="31">
        <v>1856683085695</v>
      </c>
      <c r="I1347" s="31">
        <v>13207698564</v>
      </c>
      <c r="J1347" s="21">
        <v>170126666284</v>
      </c>
      <c r="K1347" s="19">
        <v>9.9382111253635887</v>
      </c>
      <c r="L1347" s="23">
        <v>169622991564</v>
      </c>
      <c r="M1347" s="21">
        <v>503674720</v>
      </c>
    </row>
    <row r="1348" spans="2:13" x14ac:dyDescent="0.3">
      <c r="B1348" s="4">
        <v>45849</v>
      </c>
      <c r="C1348" s="24">
        <v>9.9087881911745885</v>
      </c>
      <c r="E1348" s="4">
        <v>45852</v>
      </c>
      <c r="F1348" s="23">
        <v>1879477701152</v>
      </c>
      <c r="G1348" s="19">
        <v>2.2557970082468546</v>
      </c>
      <c r="H1348" s="31">
        <v>1866412234525</v>
      </c>
      <c r="I1348" s="31">
        <v>13065466627</v>
      </c>
      <c r="J1348" s="21">
        <v>139061528558</v>
      </c>
      <c r="K1348" s="19">
        <v>9.5348348871822015</v>
      </c>
      <c r="L1348" s="23">
        <v>138604154242</v>
      </c>
      <c r="M1348" s="21">
        <v>457374316</v>
      </c>
    </row>
    <row r="1349" spans="2:13" x14ac:dyDescent="0.3">
      <c r="B1349" s="4">
        <v>45852</v>
      </c>
      <c r="C1349" s="24">
        <v>9.5034747501988157</v>
      </c>
      <c r="E1349" s="4">
        <v>45853</v>
      </c>
      <c r="F1349" s="23">
        <v>1884498963374</v>
      </c>
      <c r="G1349" s="19">
        <v>2.2682103357022294</v>
      </c>
      <c r="H1349" s="31">
        <v>1871356924087</v>
      </c>
      <c r="I1349" s="31">
        <v>13142039287</v>
      </c>
      <c r="J1349" s="21">
        <v>158786462726</v>
      </c>
      <c r="K1349" s="19">
        <v>9.8514913925312779</v>
      </c>
      <c r="L1349" s="23">
        <v>158201682117</v>
      </c>
      <c r="M1349" s="21">
        <v>584780609</v>
      </c>
    </row>
    <row r="1350" spans="2:13" x14ac:dyDescent="0.3">
      <c r="B1350" s="4">
        <v>45853</v>
      </c>
      <c r="C1350" s="24">
        <v>9.8152102068610372</v>
      </c>
      <c r="E1350" s="4">
        <v>45854</v>
      </c>
      <c r="F1350" s="23">
        <v>1891256494222</v>
      </c>
      <c r="G1350" s="19">
        <v>2.2761065319382956</v>
      </c>
      <c r="H1350" s="31">
        <v>1878165704443</v>
      </c>
      <c r="I1350" s="31">
        <v>13090789779</v>
      </c>
      <c r="J1350" s="21">
        <v>139362974424</v>
      </c>
      <c r="K1350" s="19">
        <v>9.6655419833935365</v>
      </c>
      <c r="L1350" s="23">
        <v>138897739425</v>
      </c>
      <c r="M1350" s="21">
        <v>465234999</v>
      </c>
    </row>
    <row r="1351" spans="2:13" x14ac:dyDescent="0.3">
      <c r="B1351" s="4">
        <v>45854</v>
      </c>
      <c r="C1351" s="24">
        <v>9.6332755336168709</v>
      </c>
      <c r="E1351" s="4">
        <v>45855</v>
      </c>
      <c r="F1351" s="23">
        <v>1898437626251</v>
      </c>
      <c r="G1351" s="19">
        <v>2.2698611927925447</v>
      </c>
      <c r="H1351" s="31">
        <v>1885193930194</v>
      </c>
      <c r="I1351" s="31">
        <v>13243696057</v>
      </c>
      <c r="J1351" s="21">
        <v>152452949422</v>
      </c>
      <c r="K1351" s="19">
        <v>9.9052259410206673</v>
      </c>
      <c r="L1351" s="23">
        <v>151998706936</v>
      </c>
      <c r="M1351" s="21">
        <v>454242486</v>
      </c>
    </row>
    <row r="1352" spans="2:13" x14ac:dyDescent="0.3">
      <c r="B1352" s="4">
        <v>45855</v>
      </c>
      <c r="C1352" s="24">
        <v>9.8757127405683338</v>
      </c>
      <c r="E1352" s="4">
        <v>45856</v>
      </c>
      <c r="F1352" s="23">
        <v>1896412613470</v>
      </c>
      <c r="G1352" s="19">
        <v>2.2574947831989651</v>
      </c>
      <c r="H1352" s="31">
        <v>1883244371086</v>
      </c>
      <c r="I1352" s="31">
        <v>13168242384</v>
      </c>
      <c r="J1352" s="21">
        <v>153813422036</v>
      </c>
      <c r="K1352" s="19">
        <v>9.7916949156951141</v>
      </c>
      <c r="L1352" s="23">
        <v>153372354458</v>
      </c>
      <c r="M1352" s="21">
        <v>441067578</v>
      </c>
    </row>
    <row r="1353" spans="2:13" x14ac:dyDescent="0.3">
      <c r="B1353" s="4">
        <v>45856</v>
      </c>
      <c r="C1353" s="24">
        <v>9.7636167473284434</v>
      </c>
      <c r="E1353" s="4">
        <v>45859</v>
      </c>
      <c r="F1353" s="23">
        <v>1911837183257</v>
      </c>
      <c r="G1353" s="19">
        <v>2.2563933951987378</v>
      </c>
      <c r="H1353" s="31">
        <v>1898484773567</v>
      </c>
      <c r="I1353" s="31">
        <v>13352409690</v>
      </c>
      <c r="J1353" s="21">
        <v>177282983292</v>
      </c>
      <c r="K1353" s="19">
        <v>10.430331128061969</v>
      </c>
      <c r="L1353" s="23">
        <v>176769158278</v>
      </c>
      <c r="M1353" s="21">
        <v>513825014</v>
      </c>
    </row>
    <row r="1354" spans="2:13" x14ac:dyDescent="0.3">
      <c r="B1354" s="4">
        <v>45859</v>
      </c>
      <c r="C1354" s="24">
        <v>10.400100561436892</v>
      </c>
      <c r="E1354" s="4">
        <v>45860</v>
      </c>
      <c r="F1354" s="23">
        <v>1927098917432</v>
      </c>
      <c r="G1354" s="19">
        <v>2.2595799633887483</v>
      </c>
      <c r="H1354" s="31">
        <v>1913440236999</v>
      </c>
      <c r="I1354" s="31">
        <v>13658680433</v>
      </c>
      <c r="J1354" s="21">
        <v>200416367467</v>
      </c>
      <c r="K1354" s="19">
        <v>10.58877418120462</v>
      </c>
      <c r="L1354" s="23">
        <v>199748123246</v>
      </c>
      <c r="M1354" s="21">
        <v>668244221</v>
      </c>
    </row>
    <row r="1355" spans="2:13" x14ac:dyDescent="0.3">
      <c r="B1355" s="4">
        <v>45860</v>
      </c>
      <c r="C1355" s="24">
        <v>10.553468246647009</v>
      </c>
      <c r="E1355" s="4">
        <v>45861</v>
      </c>
      <c r="F1355" s="23">
        <v>1929631910168</v>
      </c>
      <c r="G1355" s="19">
        <v>2.2670787864554858</v>
      </c>
      <c r="H1355" s="31">
        <v>1916087518085</v>
      </c>
      <c r="I1355" s="31">
        <v>13544392083</v>
      </c>
      <c r="J1355" s="21">
        <v>191366359226</v>
      </c>
      <c r="K1355" s="19">
        <v>10.2649231627485</v>
      </c>
      <c r="L1355" s="23">
        <v>190814626861</v>
      </c>
      <c r="M1355" s="21">
        <v>551732365</v>
      </c>
    </row>
    <row r="1356" spans="2:13" x14ac:dyDescent="0.3">
      <c r="B1356" s="4">
        <v>45861</v>
      </c>
      <c r="C1356" s="24">
        <v>10.235328147427975</v>
      </c>
      <c r="E1356" s="4">
        <v>45862</v>
      </c>
      <c r="F1356" s="23">
        <v>1935734657046</v>
      </c>
      <c r="G1356" s="19">
        <v>2.2552400805234551</v>
      </c>
      <c r="H1356" s="31">
        <v>1922112164897</v>
      </c>
      <c r="I1356" s="31">
        <v>13622492149</v>
      </c>
      <c r="J1356" s="21">
        <v>195460752049</v>
      </c>
      <c r="K1356" s="19">
        <v>10.597514826385362</v>
      </c>
      <c r="L1356" s="23">
        <v>194972782021</v>
      </c>
      <c r="M1356" s="21">
        <v>487970028</v>
      </c>
    </row>
    <row r="1357" spans="2:13" x14ac:dyDescent="0.3">
      <c r="B1357" s="4">
        <v>45862</v>
      </c>
      <c r="C1357" s="24">
        <v>10.571058008060703</v>
      </c>
      <c r="E1357" s="4">
        <v>45863</v>
      </c>
      <c r="F1357" s="23">
        <v>1941222222392</v>
      </c>
      <c r="G1357" s="19">
        <v>2.2667518300024252</v>
      </c>
      <c r="H1357" s="31">
        <v>1927634164768</v>
      </c>
      <c r="I1357" s="31">
        <v>13588057624</v>
      </c>
      <c r="J1357" s="21">
        <v>183370297286</v>
      </c>
      <c r="K1357" s="19">
        <v>10.261450728552756</v>
      </c>
      <c r="L1357" s="23">
        <v>182812107887</v>
      </c>
      <c r="M1357" s="21">
        <v>558189399</v>
      </c>
    </row>
    <row r="1358" spans="2:13" x14ac:dyDescent="0.3">
      <c r="B1358" s="4">
        <v>45863</v>
      </c>
      <c r="C1358" s="24">
        <v>10.23021430095344</v>
      </c>
      <c r="E1358" s="4">
        <v>45866</v>
      </c>
      <c r="F1358" s="23">
        <v>1960745212562</v>
      </c>
      <c r="G1358" s="19">
        <v>2.2829020176140014</v>
      </c>
      <c r="H1358" s="31">
        <v>1946815554194</v>
      </c>
      <c r="I1358" s="31">
        <v>13929658368</v>
      </c>
      <c r="J1358" s="21">
        <v>191492690440</v>
      </c>
      <c r="K1358" s="19">
        <v>10.993234809192009</v>
      </c>
      <c r="L1358" s="23">
        <v>190746054232</v>
      </c>
      <c r="M1358" s="21">
        <v>746636208</v>
      </c>
    </row>
    <row r="1359" spans="2:13" x14ac:dyDescent="0.3">
      <c r="B1359" s="4">
        <v>45866</v>
      </c>
      <c r="C1359" s="24">
        <v>10.950371830282846</v>
      </c>
      <c r="E1359" s="4">
        <v>45867</v>
      </c>
      <c r="F1359" s="23">
        <v>1976307091060</v>
      </c>
      <c r="G1359" s="19">
        <v>2.2916408605783367</v>
      </c>
      <c r="H1359" s="31">
        <v>1962087336671</v>
      </c>
      <c r="I1359" s="31">
        <v>14219754389</v>
      </c>
      <c r="J1359" s="21">
        <v>197943304683</v>
      </c>
      <c r="K1359" s="19">
        <v>10.979235861688222</v>
      </c>
      <c r="L1359" s="23">
        <v>197288008055</v>
      </c>
      <c r="M1359" s="21">
        <v>655296628</v>
      </c>
    </row>
    <row r="1360" spans="2:13" x14ac:dyDescent="0.3">
      <c r="B1360" s="4">
        <v>45867</v>
      </c>
      <c r="C1360" s="24">
        <v>10.942888806405383</v>
      </c>
      <c r="E1360" s="4">
        <v>45868</v>
      </c>
      <c r="F1360" s="23">
        <v>1978406505708</v>
      </c>
      <c r="G1360" s="19">
        <v>2.2969897977259781</v>
      </c>
      <c r="H1360" s="31">
        <v>1964254730712</v>
      </c>
      <c r="I1360" s="31">
        <v>14151774996</v>
      </c>
      <c r="J1360" s="21">
        <v>194209880275</v>
      </c>
      <c r="K1360" s="19">
        <v>10.532188804834428</v>
      </c>
      <c r="L1360" s="23">
        <v>193633766696</v>
      </c>
      <c r="M1360" s="21">
        <v>576113579</v>
      </c>
    </row>
    <row r="1361" spans="2:13" x14ac:dyDescent="0.3">
      <c r="B1361" s="4">
        <v>45868</v>
      </c>
      <c r="C1361" s="24">
        <v>10.50094561072677</v>
      </c>
      <c r="E1361" s="4">
        <v>45869</v>
      </c>
      <c r="F1361" s="23">
        <v>1978496794910</v>
      </c>
      <c r="G1361" s="19">
        <v>2.3245194486834961</v>
      </c>
      <c r="H1361" s="31">
        <v>1964698211351</v>
      </c>
      <c r="I1361" s="31">
        <v>13798583559</v>
      </c>
      <c r="J1361" s="21">
        <v>204522260686</v>
      </c>
      <c r="K1361" s="19">
        <v>10.565529103626506</v>
      </c>
      <c r="L1361" s="23">
        <v>203959653291</v>
      </c>
      <c r="M1361" s="21">
        <v>562607395</v>
      </c>
    </row>
    <row r="1362" spans="2:13" x14ac:dyDescent="0.3">
      <c r="B1362" s="4">
        <v>45869</v>
      </c>
      <c r="C1362" s="24">
        <v>10.536465055606255</v>
      </c>
      <c r="E1362" s="4">
        <v>45870</v>
      </c>
      <c r="F1362" s="23">
        <v>1973622588301</v>
      </c>
      <c r="G1362" s="19">
        <v>2.3239278923412274</v>
      </c>
      <c r="H1362" s="31">
        <v>1960039902763</v>
      </c>
      <c r="I1362" s="31">
        <v>13582685538</v>
      </c>
      <c r="J1362" s="21">
        <v>157425050938</v>
      </c>
      <c r="K1362" s="19">
        <v>9.8504328457520351</v>
      </c>
      <c r="L1362" s="23">
        <v>156960659635</v>
      </c>
      <c r="M1362" s="21">
        <v>464391303</v>
      </c>
    </row>
    <row r="1363" spans="2:13" x14ac:dyDescent="0.3">
      <c r="B1363" s="4">
        <v>45870</v>
      </c>
      <c r="C1363" s="24">
        <v>9.8213748570958703</v>
      </c>
      <c r="E1363" s="4">
        <v>45873</v>
      </c>
      <c r="F1363" s="23">
        <v>1985068525216</v>
      </c>
      <c r="G1363" s="19">
        <v>2.3215039637000294</v>
      </c>
      <c r="H1363" s="31">
        <v>1971360752504</v>
      </c>
      <c r="I1363" s="31">
        <v>13707772712</v>
      </c>
      <c r="J1363" s="21">
        <v>152382134695</v>
      </c>
      <c r="K1363" s="19">
        <v>10.169710178752419</v>
      </c>
      <c r="L1363" s="23">
        <v>151867182210</v>
      </c>
      <c r="M1363" s="21">
        <v>514952485</v>
      </c>
    </row>
    <row r="1364" spans="2:13" x14ac:dyDescent="0.3">
      <c r="B1364" s="4">
        <v>45873</v>
      </c>
      <c r="C1364" s="24">
        <v>10.135343174124481</v>
      </c>
      <c r="E1364" s="4">
        <v>45874</v>
      </c>
      <c r="F1364" s="23">
        <v>1994037363748</v>
      </c>
      <c r="G1364" s="19">
        <v>2.3110186243246678</v>
      </c>
      <c r="H1364" s="31">
        <v>1980089813707</v>
      </c>
      <c r="I1364" s="31">
        <v>13947550041</v>
      </c>
      <c r="J1364" s="21">
        <v>163501633854</v>
      </c>
      <c r="K1364" s="19">
        <v>10.245449368364742</v>
      </c>
      <c r="L1364" s="23">
        <v>162941409805</v>
      </c>
      <c r="M1364" s="21">
        <v>560224049</v>
      </c>
    </row>
    <row r="1365" spans="2:13" x14ac:dyDescent="0.3">
      <c r="B1365" s="4">
        <v>45874</v>
      </c>
      <c r="C1365" s="24">
        <v>10.210344232142708</v>
      </c>
      <c r="E1365" s="4">
        <v>45875</v>
      </c>
      <c r="F1365" s="23">
        <v>2003037289929</v>
      </c>
      <c r="G1365" s="19">
        <v>2.3088624116118064</v>
      </c>
      <c r="H1365" s="31">
        <v>1988957784098</v>
      </c>
      <c r="I1365" s="31">
        <v>14079505831</v>
      </c>
      <c r="J1365" s="21">
        <v>176793028362</v>
      </c>
      <c r="K1365" s="19">
        <v>10.197007549820649</v>
      </c>
      <c r="L1365" s="23">
        <v>176264160958</v>
      </c>
      <c r="M1365" s="21">
        <v>528867404</v>
      </c>
    </row>
    <row r="1366" spans="2:13" x14ac:dyDescent="0.3">
      <c r="B1366" s="4">
        <v>45875</v>
      </c>
      <c r="C1366" s="24">
        <v>10.166503717393503</v>
      </c>
      <c r="E1366" s="4">
        <v>45876</v>
      </c>
      <c r="F1366" s="23">
        <v>2006699839008</v>
      </c>
      <c r="G1366" s="19">
        <v>2.3110441222369293</v>
      </c>
      <c r="H1366" s="31">
        <v>1992488926534</v>
      </c>
      <c r="I1366" s="31">
        <v>14210912474</v>
      </c>
      <c r="J1366" s="21">
        <v>186771773346</v>
      </c>
      <c r="K1366" s="19">
        <v>10.23278679627882</v>
      </c>
      <c r="L1366" s="23">
        <v>186147402881</v>
      </c>
      <c r="M1366" s="21">
        <v>624370465</v>
      </c>
    </row>
    <row r="1367" spans="2:13" x14ac:dyDescent="0.3">
      <c r="B1367" s="4">
        <v>45876</v>
      </c>
      <c r="C1367" s="24">
        <v>10.198579004941942</v>
      </c>
      <c r="E1367" s="4">
        <v>45877</v>
      </c>
      <c r="F1367" s="23">
        <v>2003109453890</v>
      </c>
      <c r="G1367" s="19">
        <v>2.3086197081405131</v>
      </c>
      <c r="H1367" s="31">
        <v>1988953365036</v>
      </c>
      <c r="I1367" s="31">
        <v>14156088854</v>
      </c>
      <c r="J1367" s="21">
        <v>166577527759</v>
      </c>
      <c r="K1367" s="19">
        <v>9.7413844497979216</v>
      </c>
      <c r="L1367" s="23">
        <v>166083348320</v>
      </c>
      <c r="M1367" s="21">
        <v>494179439</v>
      </c>
    </row>
    <row r="1368" spans="2:13" x14ac:dyDescent="0.3">
      <c r="B1368" s="4">
        <v>45877</v>
      </c>
      <c r="C1368" s="24">
        <v>9.7124850420131619</v>
      </c>
      <c r="E1368" s="4">
        <v>45880</v>
      </c>
      <c r="F1368" s="23">
        <v>2019687253940</v>
      </c>
      <c r="G1368" s="19">
        <v>2.3108695748594652</v>
      </c>
      <c r="H1368" s="31">
        <v>2005690038666</v>
      </c>
      <c r="I1368" s="31">
        <v>13997215274</v>
      </c>
      <c r="J1368" s="21">
        <v>194774481723</v>
      </c>
      <c r="K1368" s="19">
        <v>10.662693114844489</v>
      </c>
      <c r="L1368" s="23">
        <v>194273461242</v>
      </c>
      <c r="M1368" s="21">
        <v>501020481</v>
      </c>
    </row>
    <row r="1369" spans="2:13" x14ac:dyDescent="0.3">
      <c r="B1369" s="4">
        <v>45880</v>
      </c>
      <c r="C1369" s="24">
        <v>10.635265355387004</v>
      </c>
      <c r="E1369" s="4">
        <v>45881</v>
      </c>
      <c r="F1369" s="23">
        <v>2027949076944</v>
      </c>
      <c r="G1369" s="19">
        <v>2.3048490177529906</v>
      </c>
      <c r="H1369" s="31">
        <v>2013781550276</v>
      </c>
      <c r="I1369" s="31">
        <v>14167526668</v>
      </c>
      <c r="J1369" s="21">
        <v>193724780589</v>
      </c>
      <c r="K1369" s="19">
        <v>10.298452297627724</v>
      </c>
      <c r="L1369" s="23">
        <v>193139226834</v>
      </c>
      <c r="M1369" s="21">
        <v>585553755</v>
      </c>
    </row>
    <row r="1370" spans="2:13" x14ac:dyDescent="0.3">
      <c r="B1370" s="4">
        <v>45881</v>
      </c>
      <c r="C1370" s="24">
        <v>10.267324130156171</v>
      </c>
      <c r="E1370" s="4">
        <v>45882</v>
      </c>
      <c r="F1370" s="23">
        <v>2039633330740</v>
      </c>
      <c r="G1370" s="19">
        <v>2.2998922284057643</v>
      </c>
      <c r="H1370" s="31">
        <v>2025443450689</v>
      </c>
      <c r="I1370" s="31">
        <v>14189880051</v>
      </c>
      <c r="J1370" s="21">
        <v>235139149893</v>
      </c>
      <c r="K1370" s="19">
        <v>10.934039658834989</v>
      </c>
      <c r="L1370" s="23">
        <v>234627089887</v>
      </c>
      <c r="M1370" s="21">
        <v>512060006</v>
      </c>
    </row>
    <row r="1371" spans="2:13" x14ac:dyDescent="0.3">
      <c r="B1371" s="4">
        <v>45882</v>
      </c>
      <c r="C1371" s="24">
        <v>10.910228717884259</v>
      </c>
      <c r="E1371" s="4">
        <v>45883</v>
      </c>
      <c r="F1371" s="23">
        <v>2048456532110</v>
      </c>
      <c r="G1371" s="19">
        <v>2.3256666925763425</v>
      </c>
      <c r="H1371" s="31">
        <v>2034306294468</v>
      </c>
      <c r="I1371" s="31">
        <v>14150237642</v>
      </c>
      <c r="J1371" s="21">
        <v>242360128359</v>
      </c>
      <c r="K1371" s="19">
        <v>10.634973229310415</v>
      </c>
      <c r="L1371" s="23">
        <v>241767342862</v>
      </c>
      <c r="M1371" s="21">
        <v>592785497</v>
      </c>
    </row>
    <row r="1372" spans="2:13" x14ac:dyDescent="0.3">
      <c r="B1372" s="4">
        <v>45883</v>
      </c>
      <c r="C1372" s="24">
        <v>10.608961286116605</v>
      </c>
      <c r="E1372" s="4">
        <v>45884</v>
      </c>
      <c r="F1372" s="23">
        <v>2055940300119</v>
      </c>
      <c r="G1372" s="19">
        <v>2.3075933283204053</v>
      </c>
      <c r="H1372" s="31">
        <v>2041897132799</v>
      </c>
      <c r="I1372" s="31">
        <v>14043167320</v>
      </c>
      <c r="J1372" s="21">
        <v>246886451378</v>
      </c>
      <c r="K1372" s="19">
        <v>11.000783595673028</v>
      </c>
      <c r="L1372" s="23">
        <v>246355443774</v>
      </c>
      <c r="M1372" s="21">
        <v>531007604</v>
      </c>
    </row>
    <row r="1373" spans="2:13" x14ac:dyDescent="0.3">
      <c r="B1373" s="4">
        <v>45884</v>
      </c>
      <c r="C1373" s="24">
        <v>10.977122922085407</v>
      </c>
      <c r="E1373" s="4">
        <v>45887</v>
      </c>
      <c r="F1373" s="23">
        <v>2095315967093</v>
      </c>
      <c r="G1373" s="19">
        <v>2.3239346390480189</v>
      </c>
      <c r="H1373" s="31">
        <v>2081112783039</v>
      </c>
      <c r="I1373" s="31">
        <v>14203184054</v>
      </c>
      <c r="J1373" s="21">
        <v>325441598195</v>
      </c>
      <c r="K1373" s="19">
        <v>11.775719111730467</v>
      </c>
      <c r="L1373" s="23">
        <v>324757893491</v>
      </c>
      <c r="M1373" s="21">
        <v>683704704</v>
      </c>
    </row>
    <row r="1374" spans="2:13" x14ac:dyDescent="0.3">
      <c r="B1374" s="4">
        <v>45887</v>
      </c>
      <c r="C1374" s="24">
        <v>11.75098006609424</v>
      </c>
      <c r="E1374" s="4">
        <v>45888</v>
      </c>
      <c r="F1374" s="23">
        <v>2124278090441</v>
      </c>
      <c r="G1374" s="19">
        <v>2.3548464308411279</v>
      </c>
      <c r="H1374" s="31">
        <v>2110095327288</v>
      </c>
      <c r="I1374" s="31">
        <v>14182763153</v>
      </c>
      <c r="J1374" s="21">
        <v>291178094542</v>
      </c>
      <c r="K1374" s="19">
        <v>11.252016829428218</v>
      </c>
      <c r="L1374" s="23">
        <v>290510773799</v>
      </c>
      <c r="M1374" s="21">
        <v>667320743</v>
      </c>
    </row>
    <row r="1375" spans="2:13" x14ac:dyDescent="0.3">
      <c r="B1375" s="4">
        <v>45888</v>
      </c>
      <c r="C1375" s="24">
        <v>11.226229504173984</v>
      </c>
      <c r="E1375" s="4">
        <v>45889</v>
      </c>
      <c r="F1375" s="23">
        <v>2140016207487</v>
      </c>
      <c r="G1375" s="19">
        <v>2.349682524378756</v>
      </c>
      <c r="H1375" s="31">
        <v>2125416951589</v>
      </c>
      <c r="I1375" s="31">
        <v>14599255898</v>
      </c>
      <c r="J1375" s="21">
        <v>263820687929</v>
      </c>
      <c r="K1375" s="19">
        <v>10.957248543947157</v>
      </c>
      <c r="L1375" s="23">
        <v>262956742914</v>
      </c>
      <c r="M1375" s="21">
        <v>863945015</v>
      </c>
    </row>
    <row r="1376" spans="2:13" x14ac:dyDescent="0.3">
      <c r="B1376" s="4">
        <v>45889</v>
      </c>
      <c r="C1376" s="24">
        <v>10.921366368322603</v>
      </c>
      <c r="E1376" s="4">
        <v>45890</v>
      </c>
      <c r="F1376" s="23">
        <v>2139288325272</v>
      </c>
      <c r="G1376" s="19">
        <v>2.3482128026123852</v>
      </c>
      <c r="H1376" s="31">
        <v>2124445886795</v>
      </c>
      <c r="I1376" s="31">
        <v>14842438477</v>
      </c>
      <c r="J1376" s="21">
        <v>260660662315</v>
      </c>
      <c r="K1376" s="19">
        <v>10.755473039936634</v>
      </c>
      <c r="L1376" s="23">
        <v>259815960981</v>
      </c>
      <c r="M1376" s="21">
        <v>844701334</v>
      </c>
    </row>
    <row r="1377" spans="2:13" x14ac:dyDescent="0.3">
      <c r="B1377" s="4">
        <v>45890</v>
      </c>
      <c r="C1377" s="24">
        <v>10.720618672791444</v>
      </c>
      <c r="E1377" s="4">
        <v>45891</v>
      </c>
      <c r="F1377" s="23">
        <v>2147730189616</v>
      </c>
      <c r="G1377" s="19">
        <v>2.3233007871826858</v>
      </c>
      <c r="H1377" s="31">
        <v>2132788693617</v>
      </c>
      <c r="I1377" s="31">
        <v>14941495999</v>
      </c>
      <c r="J1377" s="21">
        <v>296141390503</v>
      </c>
      <c r="K1377" s="19">
        <v>11.630708026899249</v>
      </c>
      <c r="L1377" s="23">
        <v>295476522277</v>
      </c>
      <c r="M1377" s="21">
        <v>664868226</v>
      </c>
    </row>
    <row r="1378" spans="2:13" x14ac:dyDescent="0.3">
      <c r="B1378" s="4">
        <v>45891</v>
      </c>
      <c r="C1378" s="24">
        <v>11.604595877564657</v>
      </c>
      <c r="E1378" s="4">
        <v>45894</v>
      </c>
      <c r="F1378" s="23">
        <v>2180950897380</v>
      </c>
      <c r="G1378" s="19">
        <v>2.3206572544271094</v>
      </c>
      <c r="H1378" s="31">
        <v>2165594433044</v>
      </c>
      <c r="I1378" s="31">
        <v>15356464336</v>
      </c>
      <c r="J1378" s="21">
        <v>373525112540</v>
      </c>
      <c r="K1378" s="19">
        <v>11.894216204294265</v>
      </c>
      <c r="L1378" s="23">
        <v>372648133224</v>
      </c>
      <c r="M1378" s="21">
        <v>876979316</v>
      </c>
    </row>
    <row r="1379" spans="2:13" x14ac:dyDescent="0.3">
      <c r="B1379" s="4">
        <v>45894</v>
      </c>
      <c r="C1379" s="24">
        <v>11.866290420348264</v>
      </c>
      <c r="E1379" s="4">
        <v>45895</v>
      </c>
      <c r="F1379" s="23">
        <v>2200231929347</v>
      </c>
      <c r="G1379" s="19">
        <v>2.34472156184744</v>
      </c>
      <c r="H1379" s="31">
        <v>2184780768028</v>
      </c>
      <c r="I1379" s="31">
        <v>15451161319</v>
      </c>
      <c r="J1379" s="21">
        <v>302504411629</v>
      </c>
      <c r="K1379" s="19">
        <v>11.297653403896422</v>
      </c>
      <c r="L1379" s="23">
        <v>301703547239</v>
      </c>
      <c r="M1379" s="21">
        <v>800864390</v>
      </c>
    </row>
    <row r="1380" spans="2:13" x14ac:dyDescent="0.3">
      <c r="B1380" s="4">
        <v>45895</v>
      </c>
      <c r="C1380" s="24">
        <v>11.267743465548682</v>
      </c>
      <c r="E1380" s="4">
        <v>45896</v>
      </c>
      <c r="F1380" s="23">
        <v>2220023702655</v>
      </c>
      <c r="G1380" s="19">
        <v>2.4092451650600695</v>
      </c>
      <c r="H1380" s="31">
        <v>2204881616931</v>
      </c>
      <c r="I1380" s="31">
        <v>15142085724</v>
      </c>
      <c r="J1380" s="21">
        <v>363229919680</v>
      </c>
      <c r="K1380" s="19">
        <v>11.476760849831292</v>
      </c>
      <c r="L1380" s="23">
        <v>362503522253</v>
      </c>
      <c r="M1380" s="21">
        <v>726397427</v>
      </c>
    </row>
    <row r="1381" spans="2:13" x14ac:dyDescent="0.3">
      <c r="B1381" s="4">
        <v>45896</v>
      </c>
      <c r="C1381" s="24">
        <v>11.453809300138039</v>
      </c>
      <c r="E1381" s="4">
        <v>45897</v>
      </c>
      <c r="F1381" s="23">
        <v>2236542573113</v>
      </c>
      <c r="G1381" s="19">
        <v>2.3946385405662109</v>
      </c>
      <c r="H1381" s="31">
        <v>2221057090247</v>
      </c>
      <c r="I1381" s="31">
        <v>15485482866</v>
      </c>
      <c r="J1381" s="21">
        <v>336372427954</v>
      </c>
      <c r="K1381" s="19">
        <v>11.324298080120649</v>
      </c>
      <c r="L1381" s="23">
        <v>335429901081</v>
      </c>
      <c r="M1381" s="21">
        <v>942526873</v>
      </c>
    </row>
    <row r="1382" spans="2:13" x14ac:dyDescent="0.3">
      <c r="B1382" s="4">
        <v>45897</v>
      </c>
      <c r="C1382" s="24">
        <v>11.292567015469192</v>
      </c>
      <c r="E1382" s="4">
        <v>45898</v>
      </c>
      <c r="F1382" s="23">
        <v>2253977277518</v>
      </c>
      <c r="G1382" s="19">
        <v>2.402808778107437</v>
      </c>
      <c r="H1382" s="31">
        <v>2238100514487</v>
      </c>
      <c r="I1382" s="31">
        <v>15876763031</v>
      </c>
      <c r="J1382" s="21">
        <v>320556524894</v>
      </c>
      <c r="K1382" s="19">
        <v>11.457032667143135</v>
      </c>
      <c r="L1382" s="23">
        <v>319466955391</v>
      </c>
      <c r="M1382" s="21">
        <v>1089569503</v>
      </c>
    </row>
    <row r="1383" spans="2:13" x14ac:dyDescent="0.3">
      <c r="B1383" s="4">
        <v>45898</v>
      </c>
      <c r="C1383" s="24">
        <v>11.418090289061386</v>
      </c>
      <c r="E1383" s="4">
        <v>45901</v>
      </c>
      <c r="F1383" s="23">
        <v>2289658303307</v>
      </c>
      <c r="G1383" s="19">
        <v>2.4262014961577139</v>
      </c>
      <c r="H1383" s="31">
        <v>2273496156564</v>
      </c>
      <c r="I1383" s="31">
        <v>16162146743</v>
      </c>
      <c r="J1383" s="21">
        <v>322888083713</v>
      </c>
      <c r="K1383" s="19">
        <v>11.743081161172546</v>
      </c>
      <c r="L1383" s="23">
        <v>322030920118</v>
      </c>
      <c r="M1383" s="21">
        <v>857163595</v>
      </c>
    </row>
    <row r="1384" spans="2:13" x14ac:dyDescent="0.3">
      <c r="B1384" s="4">
        <v>45901</v>
      </c>
      <c r="C1384" s="24">
        <v>11.711907072774057</v>
      </c>
      <c r="E1384" s="4">
        <v>45902</v>
      </c>
      <c r="F1384" s="23">
        <v>2281120921125</v>
      </c>
      <c r="G1384" s="19">
        <v>2.4448480500427512</v>
      </c>
      <c r="H1384" s="31">
        <v>2265035436812</v>
      </c>
      <c r="I1384" s="31">
        <v>16085484313</v>
      </c>
      <c r="J1384" s="21">
        <v>314357035996</v>
      </c>
      <c r="K1384" s="19">
        <v>10.935496251741228</v>
      </c>
      <c r="L1384" s="23">
        <v>313436037451</v>
      </c>
      <c r="M1384" s="21">
        <v>920998545</v>
      </c>
    </row>
    <row r="1385" spans="2:13" x14ac:dyDescent="0.3">
      <c r="B1385" s="4">
        <v>45902</v>
      </c>
      <c r="C1385" s="24">
        <v>10.903457598288487</v>
      </c>
      <c r="E1385" s="4">
        <v>45903</v>
      </c>
      <c r="F1385" s="23">
        <v>2282510037722</v>
      </c>
      <c r="G1385" s="19">
        <v>2.476600508368223</v>
      </c>
      <c r="H1385" s="31">
        <v>2266563512355</v>
      </c>
      <c r="I1385" s="31">
        <v>15946525367</v>
      </c>
      <c r="J1385" s="21">
        <v>260141630031</v>
      </c>
      <c r="K1385" s="19">
        <v>11.005853098786258</v>
      </c>
      <c r="L1385" s="23">
        <v>259331672937</v>
      </c>
      <c r="M1385" s="21">
        <v>809957094</v>
      </c>
    </row>
    <row r="1386" spans="2:13" x14ac:dyDescent="0.3">
      <c r="B1386" s="4">
        <v>45903</v>
      </c>
      <c r="C1386" s="24">
        <v>10.971586115866907</v>
      </c>
      <c r="E1386" s="4">
        <v>45904</v>
      </c>
      <c r="F1386" s="23">
        <v>2272179794272</v>
      </c>
      <c r="G1386" s="19">
        <v>2.5037938782128637</v>
      </c>
      <c r="H1386" s="31">
        <v>2256847188262</v>
      </c>
      <c r="I1386" s="31">
        <v>15332606010</v>
      </c>
      <c r="J1386" s="21">
        <v>266032699760</v>
      </c>
      <c r="K1386" s="19">
        <v>10.457537338395083</v>
      </c>
      <c r="L1386" s="23">
        <v>265181482776</v>
      </c>
      <c r="M1386" s="21">
        <v>851216984</v>
      </c>
    </row>
    <row r="1387" spans="2:13" x14ac:dyDescent="0.3">
      <c r="B1387" s="4">
        <v>45904</v>
      </c>
      <c r="C1387" s="24">
        <v>10.424076664570824</v>
      </c>
      <c r="E1387" s="4">
        <v>45905</v>
      </c>
      <c r="F1387" s="23">
        <v>2279542944582</v>
      </c>
      <c r="G1387" s="19">
        <v>2.4664239515392241</v>
      </c>
      <c r="H1387" s="31">
        <v>2263795662053</v>
      </c>
      <c r="I1387" s="31">
        <v>15747282529</v>
      </c>
      <c r="J1387" s="21">
        <v>257249116880</v>
      </c>
      <c r="K1387" s="19">
        <v>11.163869324688751</v>
      </c>
      <c r="L1387" s="23">
        <v>256386519774</v>
      </c>
      <c r="M1387" s="21">
        <v>862597106</v>
      </c>
    </row>
    <row r="1388" spans="2:13" x14ac:dyDescent="0.3">
      <c r="B1388" s="4">
        <v>45905</v>
      </c>
      <c r="C1388" s="24">
        <v>11.126435099498657</v>
      </c>
      <c r="E1388" s="4">
        <v>45908</v>
      </c>
      <c r="F1388" s="23">
        <v>2305897972951</v>
      </c>
      <c r="G1388" s="19">
        <v>2.4791607635432178</v>
      </c>
      <c r="H1388" s="31">
        <v>2289880004039</v>
      </c>
      <c r="I1388" s="31">
        <v>16017968912</v>
      </c>
      <c r="J1388" s="21">
        <v>278662662383</v>
      </c>
      <c r="K1388" s="19">
        <v>11.522494872946544</v>
      </c>
      <c r="L1388" s="23">
        <v>277831118041</v>
      </c>
      <c r="M1388" s="21">
        <v>831544342</v>
      </c>
    </row>
    <row r="1389" spans="2:13" x14ac:dyDescent="0.3">
      <c r="B1389" s="4">
        <v>45908</v>
      </c>
      <c r="C1389" s="24">
        <v>11.488111129766219</v>
      </c>
      <c r="E1389" s="4">
        <v>45909</v>
      </c>
      <c r="F1389" s="23">
        <v>2312018687472</v>
      </c>
      <c r="G1389" s="19">
        <v>2.5031050926064147</v>
      </c>
      <c r="H1389" s="31">
        <v>2295796656429</v>
      </c>
      <c r="I1389" s="31">
        <v>16222031043</v>
      </c>
      <c r="J1389" s="21">
        <v>235326930846</v>
      </c>
      <c r="K1389" s="19">
        <v>11.110057928635847</v>
      </c>
      <c r="L1389" s="23">
        <v>234418501173</v>
      </c>
      <c r="M1389" s="21">
        <v>908429673</v>
      </c>
    </row>
    <row r="1390" spans="2:13" x14ac:dyDescent="0.3">
      <c r="B1390" s="4">
        <v>45909</v>
      </c>
      <c r="C1390" s="24">
        <v>11.067169907894495</v>
      </c>
      <c r="E1390" s="4">
        <v>45910</v>
      </c>
      <c r="F1390" s="23">
        <v>2317897874934</v>
      </c>
      <c r="G1390" s="19">
        <v>2.5041341562267818</v>
      </c>
      <c r="H1390" s="31">
        <v>2301574638381</v>
      </c>
      <c r="I1390" s="31">
        <v>16323236553</v>
      </c>
      <c r="J1390" s="21">
        <v>222259507574</v>
      </c>
      <c r="K1390" s="19">
        <v>11.237490404143774</v>
      </c>
      <c r="L1390" s="23">
        <v>221591358534</v>
      </c>
      <c r="M1390" s="21">
        <v>668149040</v>
      </c>
    </row>
    <row r="1391" spans="2:13" x14ac:dyDescent="0.3">
      <c r="B1391" s="4">
        <v>45910</v>
      </c>
      <c r="C1391" s="24">
        <v>11.203708639271294</v>
      </c>
      <c r="E1391" s="4">
        <v>45911</v>
      </c>
      <c r="F1391" s="23">
        <v>2332658743623</v>
      </c>
      <c r="G1391" s="19">
        <v>2.4707101373624809</v>
      </c>
      <c r="H1391" s="31">
        <v>2315916154127</v>
      </c>
      <c r="I1391" s="31">
        <v>16742589496</v>
      </c>
      <c r="J1391" s="21">
        <v>293526304927</v>
      </c>
      <c r="K1391" s="19">
        <v>12.042739988037223</v>
      </c>
      <c r="L1391" s="23">
        <v>292720456125</v>
      </c>
      <c r="M1391" s="21">
        <v>805848802</v>
      </c>
    </row>
    <row r="1392" spans="2:13" x14ac:dyDescent="0.3">
      <c r="B1392" s="4">
        <v>45911</v>
      </c>
      <c r="C1392" s="24">
        <v>12.009677780564639</v>
      </c>
      <c r="E1392" s="4">
        <v>45912</v>
      </c>
      <c r="F1392" s="23">
        <v>2343704076803</v>
      </c>
      <c r="G1392" s="19">
        <v>2.486594518072196</v>
      </c>
      <c r="H1392" s="31">
        <v>2327097707494</v>
      </c>
      <c r="I1392" s="31">
        <v>16606369309</v>
      </c>
      <c r="J1392" s="21">
        <v>296485536882</v>
      </c>
      <c r="K1392" s="19">
        <v>11.7625088677561</v>
      </c>
      <c r="L1392" s="23">
        <v>295828016401</v>
      </c>
      <c r="M1392" s="21">
        <v>657520481</v>
      </c>
    </row>
    <row r="1393" spans="2:13" x14ac:dyDescent="0.3">
      <c r="B1393" s="4">
        <v>45912</v>
      </c>
      <c r="C1393" s="24">
        <v>11.736422973078641</v>
      </c>
      <c r="E1393" s="4">
        <v>45915</v>
      </c>
      <c r="F1393" s="23">
        <v>2362126057311</v>
      </c>
      <c r="G1393" s="19">
        <v>2.5063845513500724</v>
      </c>
      <c r="H1393" s="31">
        <v>2345427666827</v>
      </c>
      <c r="I1393" s="31">
        <v>16698390484</v>
      </c>
      <c r="J1393" s="21">
        <v>265311435621</v>
      </c>
      <c r="K1393" s="19">
        <v>11.650942056060472</v>
      </c>
      <c r="L1393" s="23">
        <v>264583401950</v>
      </c>
      <c r="M1393" s="21">
        <v>728033671</v>
      </c>
    </row>
    <row r="1394" spans="2:13" x14ac:dyDescent="0.3">
      <c r="B1394" s="4">
        <v>45915</v>
      </c>
      <c r="C1394" s="24">
        <v>11.618971032663655</v>
      </c>
      <c r="E1394" s="4">
        <v>45916</v>
      </c>
      <c r="F1394" s="23">
        <v>2384807954020</v>
      </c>
      <c r="G1394" s="19">
        <v>2.5198445902878692</v>
      </c>
      <c r="H1394" s="31">
        <v>2367967676734</v>
      </c>
      <c r="I1394" s="31">
        <v>16840277286</v>
      </c>
      <c r="J1394" s="21">
        <v>284878214530</v>
      </c>
      <c r="K1394" s="19">
        <v>12.168216511129195</v>
      </c>
      <c r="L1394" s="23">
        <v>284222195307</v>
      </c>
      <c r="M1394" s="21">
        <v>656019223</v>
      </c>
    </row>
    <row r="1395" spans="2:13" x14ac:dyDescent="0.3">
      <c r="B1395" s="4">
        <v>45916</v>
      </c>
      <c r="C1395" s="24">
        <v>12.140195470790617</v>
      </c>
      <c r="E1395" s="4">
        <v>45917</v>
      </c>
      <c r="F1395" s="23">
        <v>2397534644056</v>
      </c>
      <c r="G1395" s="19">
        <v>2.5191958842694748</v>
      </c>
      <c r="H1395" s="31">
        <v>2380613067411</v>
      </c>
      <c r="I1395" s="31">
        <v>16921576645</v>
      </c>
      <c r="J1395" s="21">
        <v>283377280281</v>
      </c>
      <c r="K1395" s="19">
        <v>11.924265032706119</v>
      </c>
      <c r="L1395" s="23">
        <v>282771949034</v>
      </c>
      <c r="M1395" s="21">
        <v>605331247</v>
      </c>
    </row>
    <row r="1396" spans="2:13" x14ac:dyDescent="0.3">
      <c r="B1396" s="4">
        <v>45917</v>
      </c>
      <c r="C1396" s="24">
        <v>11.898793229833817</v>
      </c>
      <c r="E1396" s="4">
        <v>45918</v>
      </c>
      <c r="F1396" s="23">
        <v>2394691199605</v>
      </c>
      <c r="G1396" s="19">
        <v>2.545847067127712</v>
      </c>
      <c r="H1396" s="31">
        <v>2377985808496</v>
      </c>
      <c r="I1396" s="31">
        <v>16705391109</v>
      </c>
      <c r="J1396" s="21">
        <v>372507692919</v>
      </c>
      <c r="K1396" s="19">
        <v>11.883096577442286</v>
      </c>
      <c r="L1396" s="23">
        <v>371638804200</v>
      </c>
      <c r="M1396" s="21">
        <v>868888719</v>
      </c>
    </row>
    <row r="1397" spans="2:13" x14ac:dyDescent="0.3">
      <c r="B1397" s="4">
        <v>45918</v>
      </c>
      <c r="C1397" s="24">
        <v>11.855378791315458</v>
      </c>
      <c r="E1397" s="4">
        <v>45919</v>
      </c>
      <c r="F1397" s="23">
        <v>2390423103018</v>
      </c>
      <c r="G1397" s="19">
        <v>2.5485826478906461</v>
      </c>
      <c r="H1397" s="31">
        <v>2373848676870</v>
      </c>
      <c r="I1397" s="31">
        <v>16574426148</v>
      </c>
      <c r="J1397" s="21">
        <v>258507278484</v>
      </c>
      <c r="K1397" s="19">
        <v>11.125860601995901</v>
      </c>
      <c r="L1397" s="23">
        <v>257788254410</v>
      </c>
      <c r="M1397" s="21">
        <v>719024074</v>
      </c>
    </row>
    <row r="1398" spans="2:13" x14ac:dyDescent="0.3">
      <c r="B1398" s="4">
        <v>45919</v>
      </c>
      <c r="C1398" s="24">
        <v>11.094914619879972</v>
      </c>
      <c r="E1398" s="4">
        <v>45922</v>
      </c>
      <c r="F1398" s="23">
        <v>2409722517381</v>
      </c>
      <c r="G1398" s="19">
        <v>2.5593882757448427</v>
      </c>
      <c r="H1398" s="31">
        <v>2393033830318</v>
      </c>
      <c r="I1398" s="31">
        <v>16688687063</v>
      </c>
      <c r="J1398" s="21">
        <v>256437751496</v>
      </c>
      <c r="K1398" s="19">
        <v>12.089015929926029</v>
      </c>
      <c r="L1398" s="23">
        <v>255782150555</v>
      </c>
      <c r="M1398" s="21">
        <v>655600941</v>
      </c>
    </row>
    <row r="1399" spans="2:13" x14ac:dyDescent="0.3">
      <c r="B1399" s="4">
        <v>45922</v>
      </c>
      <c r="C1399" s="24">
        <v>12.058109520190383</v>
      </c>
      <c r="E1399" s="4">
        <v>45923</v>
      </c>
      <c r="F1399" s="23">
        <v>2408997006077</v>
      </c>
      <c r="G1399" s="19">
        <v>2.568578172541931</v>
      </c>
      <c r="H1399" s="31">
        <v>2392250958143</v>
      </c>
      <c r="I1399" s="31">
        <v>16746047934</v>
      </c>
      <c r="J1399" s="21">
        <v>278016726749</v>
      </c>
      <c r="K1399" s="19">
        <v>11.147126159523541</v>
      </c>
      <c r="L1399" s="23">
        <v>277102121091</v>
      </c>
      <c r="M1399" s="21">
        <v>914605658</v>
      </c>
    </row>
    <row r="1400" spans="2:13" x14ac:dyDescent="0.3">
      <c r="B1400" s="4">
        <v>45923</v>
      </c>
      <c r="C1400" s="24">
        <v>11.110454895980666</v>
      </c>
      <c r="E1400" s="4">
        <v>45924</v>
      </c>
      <c r="F1400" s="23">
        <v>2423354489021</v>
      </c>
      <c r="G1400" s="19">
        <v>2.5559301212105203</v>
      </c>
      <c r="H1400" s="31">
        <v>2406372090497</v>
      </c>
      <c r="I1400" s="31">
        <v>16982398524</v>
      </c>
      <c r="J1400" s="21">
        <v>286758601708</v>
      </c>
      <c r="K1400" s="19">
        <v>12.325927201612624</v>
      </c>
      <c r="L1400" s="23">
        <v>286054979719</v>
      </c>
      <c r="M1400" s="21">
        <v>703621989</v>
      </c>
    </row>
    <row r="1401" spans="2:13" x14ac:dyDescent="0.3">
      <c r="B1401" s="4">
        <v>45924</v>
      </c>
      <c r="C1401" s="24">
        <v>12.295682970533903</v>
      </c>
      <c r="E1401" s="4">
        <v>45925</v>
      </c>
      <c r="F1401" s="23">
        <v>2436606588215</v>
      </c>
      <c r="G1401" s="19">
        <v>2.5679919229095427</v>
      </c>
      <c r="H1401" s="31">
        <v>2419651213277</v>
      </c>
      <c r="I1401" s="31">
        <v>16955374938</v>
      </c>
      <c r="J1401" s="21">
        <v>288202536842</v>
      </c>
      <c r="K1401" s="19">
        <v>12.156082310513467</v>
      </c>
      <c r="L1401" s="23">
        <v>287597893252</v>
      </c>
      <c r="M1401" s="21">
        <v>604643590</v>
      </c>
    </row>
    <row r="1402" spans="2:13" x14ac:dyDescent="0.3">
      <c r="B1402" s="4">
        <v>45925</v>
      </c>
      <c r="C1402" s="24">
        <v>12.13057907473663</v>
      </c>
      <c r="E1402" s="4">
        <v>45926</v>
      </c>
      <c r="F1402" s="23">
        <v>2416800171047</v>
      </c>
      <c r="G1402" s="19">
        <v>2.5718394284718782</v>
      </c>
      <c r="H1402" s="31">
        <v>2400398363957</v>
      </c>
      <c r="I1402" s="31">
        <v>16401807090</v>
      </c>
      <c r="J1402" s="21">
        <v>245214097815</v>
      </c>
      <c r="K1402" s="19">
        <v>11.423101273441986</v>
      </c>
      <c r="L1402" s="23">
        <v>244651449826</v>
      </c>
      <c r="M1402" s="21">
        <v>562647989</v>
      </c>
    </row>
    <row r="1403" spans="2:13" x14ac:dyDescent="0.3">
      <c r="B1403" s="4">
        <v>45926</v>
      </c>
      <c r="C1403" s="24">
        <v>11.396890769980255</v>
      </c>
      <c r="E1403" s="4">
        <v>45929</v>
      </c>
      <c r="F1403" s="23">
        <v>2421131231074</v>
      </c>
      <c r="G1403" s="19">
        <v>2.5459112423136672</v>
      </c>
      <c r="H1403" s="31">
        <v>2404826959580</v>
      </c>
      <c r="I1403" s="31">
        <v>16304271494</v>
      </c>
      <c r="J1403" s="21">
        <v>265550455466</v>
      </c>
      <c r="K1403" s="19">
        <v>12.287120909231867</v>
      </c>
      <c r="L1403" s="23">
        <v>264870739838</v>
      </c>
      <c r="M1403" s="21">
        <v>679715628</v>
      </c>
    </row>
    <row r="1404" spans="2:13" x14ac:dyDescent="0.3">
      <c r="B1404" s="4">
        <v>45929</v>
      </c>
      <c r="C1404" s="24">
        <v>12.255670207742863</v>
      </c>
      <c r="E1404" s="4">
        <v>45930</v>
      </c>
      <c r="F1404" s="23">
        <v>2386739679896</v>
      </c>
      <c r="G1404" s="19">
        <v>2.4975051729906594</v>
      </c>
      <c r="H1404" s="31">
        <v>2370972118303</v>
      </c>
      <c r="I1404" s="31">
        <v>15767561593</v>
      </c>
      <c r="J1404" s="21">
        <v>259843676323</v>
      </c>
      <c r="K1404" s="19">
        <v>11.913384757990134</v>
      </c>
      <c r="L1404" s="23">
        <v>259315247418</v>
      </c>
      <c r="M1404" s="21">
        <v>528428905</v>
      </c>
    </row>
    <row r="1405" spans="2:13" x14ac:dyDescent="0.3">
      <c r="B1405" s="4">
        <v>45930</v>
      </c>
      <c r="C1405" s="24">
        <v>11.889157203363471</v>
      </c>
      <c r="E1405" s="4">
        <v>45939</v>
      </c>
      <c r="F1405" s="23">
        <v>2438033556460</v>
      </c>
      <c r="G1405" s="19">
        <v>2.5176908009097003</v>
      </c>
      <c r="H1405" s="31">
        <v>2421681333228</v>
      </c>
      <c r="I1405" s="31">
        <v>16352223232</v>
      </c>
      <c r="J1405" s="21">
        <v>343339519116</v>
      </c>
      <c r="K1405" s="19">
        <v>12.943078780996697</v>
      </c>
      <c r="L1405" s="23">
        <v>342212328436</v>
      </c>
      <c r="M1405" s="21">
        <v>1127190680</v>
      </c>
    </row>
    <row r="1406" spans="2:13" x14ac:dyDescent="0.3">
      <c r="B1406" s="4">
        <v>45939</v>
      </c>
      <c r="C1406" s="24">
        <v>12.900586388014936</v>
      </c>
      <c r="E1406" s="4">
        <v>45940</v>
      </c>
      <c r="F1406" s="23">
        <v>2434302960358</v>
      </c>
      <c r="G1406" s="19">
        <v>2.5444626887150101</v>
      </c>
      <c r="H1406" s="31">
        <v>2418185651082</v>
      </c>
      <c r="I1406" s="31">
        <v>16117309276</v>
      </c>
      <c r="J1406" s="21">
        <v>287226883503</v>
      </c>
      <c r="K1406" s="19">
        <v>11.419331850191044</v>
      </c>
      <c r="L1406" s="23">
        <v>286260170799</v>
      </c>
      <c r="M1406" s="21">
        <v>966712704</v>
      </c>
    </row>
    <row r="1407" spans="2:13" x14ac:dyDescent="0.3">
      <c r="B1407" s="4">
        <v>45940</v>
      </c>
      <c r="C1407" s="24">
        <v>11.380898076039621</v>
      </c>
      <c r="E1407" s="4">
        <v>45943</v>
      </c>
      <c r="F1407" s="23">
        <v>2436859498205</v>
      </c>
      <c r="G1407" s="19">
        <v>2.5571321048825277</v>
      </c>
      <c r="H1407" s="31">
        <v>2420388570480</v>
      </c>
      <c r="I1407" s="31">
        <v>16470927725</v>
      </c>
      <c r="J1407" s="21">
        <v>263352646835</v>
      </c>
      <c r="K1407" s="19">
        <v>11.185417576324456</v>
      </c>
      <c r="L1407" s="23">
        <v>262090872618</v>
      </c>
      <c r="M1407" s="21">
        <v>1261774217</v>
      </c>
    </row>
    <row r="1408" spans="2:13" x14ac:dyDescent="0.3">
      <c r="B1408" s="4">
        <v>45943</v>
      </c>
      <c r="C1408" s="24">
        <v>11.131826045448264</v>
      </c>
      <c r="E1408" s="4">
        <v>45944</v>
      </c>
      <c r="F1408" s="23">
        <v>2439368707025</v>
      </c>
      <c r="G1408" s="19">
        <v>2.5878723783046649</v>
      </c>
      <c r="H1408" s="31">
        <v>2422674929141</v>
      </c>
      <c r="I1408" s="31">
        <v>16693777884</v>
      </c>
      <c r="J1408" s="21">
        <v>290681560117</v>
      </c>
      <c r="K1408" s="19">
        <v>11.284648752064102</v>
      </c>
      <c r="L1408" s="23">
        <v>289361114689</v>
      </c>
      <c r="M1408" s="21">
        <v>1320445428</v>
      </c>
    </row>
    <row r="1409" spans="2:13" x14ac:dyDescent="0.3">
      <c r="B1409" s="4">
        <v>45944</v>
      </c>
      <c r="C1409" s="24">
        <v>11.233387286268847</v>
      </c>
      <c r="E1409" s="4">
        <v>45945</v>
      </c>
      <c r="F1409" s="23">
        <v>2441847785452</v>
      </c>
      <c r="G1409" s="19">
        <v>2.5556902382494706</v>
      </c>
      <c r="H1409" s="31">
        <v>2424974005516</v>
      </c>
      <c r="I1409" s="31">
        <v>16873779936</v>
      </c>
      <c r="J1409" s="21">
        <v>234558411729</v>
      </c>
      <c r="K1409" s="19">
        <v>11.317163121364196</v>
      </c>
      <c r="L1409" s="23">
        <v>233663205860</v>
      </c>
      <c r="M1409" s="21">
        <v>895205869</v>
      </c>
    </row>
    <row r="1410" spans="2:13" x14ac:dyDescent="0.3">
      <c r="B1410" s="4">
        <v>45945</v>
      </c>
      <c r="C1410" s="24">
        <v>11.273970507754667</v>
      </c>
      <c r="E1410" s="4">
        <v>45946</v>
      </c>
      <c r="F1410" s="23">
        <v>2449633211814</v>
      </c>
      <c r="G1410" s="19">
        <v>2.5671123281543329</v>
      </c>
      <c r="H1410" s="31">
        <v>2432575326416</v>
      </c>
      <c r="I1410" s="31">
        <v>17057885398</v>
      </c>
      <c r="J1410" s="21">
        <v>216236525679</v>
      </c>
      <c r="K1410" s="19">
        <v>11.198664944102589</v>
      </c>
      <c r="L1410" s="23">
        <v>215242202633</v>
      </c>
      <c r="M1410" s="21">
        <v>994323046</v>
      </c>
    </row>
    <row r="1411" spans="2:13" x14ac:dyDescent="0.3">
      <c r="B1411" s="4">
        <v>45946</v>
      </c>
      <c r="C1411" s="24">
        <v>11.147169986886697</v>
      </c>
      <c r="E1411" s="4">
        <v>45947</v>
      </c>
      <c r="F1411" s="23">
        <v>2421931870242</v>
      </c>
      <c r="G1411" s="19">
        <v>2.5955993982936882</v>
      </c>
      <c r="H1411" s="31">
        <v>2405382024292</v>
      </c>
      <c r="I1411" s="31">
        <v>16549845950</v>
      </c>
      <c r="J1411" s="21">
        <v>199278948177</v>
      </c>
      <c r="K1411" s="19">
        <v>10.283541238625949</v>
      </c>
      <c r="L1411" s="23">
        <v>198384519757</v>
      </c>
      <c r="M1411" s="21">
        <v>894428420</v>
      </c>
    </row>
    <row r="1412" spans="2:13" x14ac:dyDescent="0.3">
      <c r="B1412" s="4">
        <v>45947</v>
      </c>
      <c r="C1412" s="24">
        <v>10.237385377075038</v>
      </c>
      <c r="E1412" s="4">
        <v>45950</v>
      </c>
      <c r="F1412" s="23">
        <v>2422533469711</v>
      </c>
      <c r="G1412" s="19">
        <v>2.5755112677540564</v>
      </c>
      <c r="H1412" s="31">
        <v>2405766692462</v>
      </c>
      <c r="I1412" s="31">
        <v>16766777249</v>
      </c>
      <c r="J1412" s="21">
        <v>186434459436</v>
      </c>
      <c r="K1412" s="19">
        <v>10.730604884301062</v>
      </c>
      <c r="L1412" s="23">
        <v>185589551780</v>
      </c>
      <c r="M1412" s="21">
        <v>844907656</v>
      </c>
    </row>
    <row r="1413" spans="2:13" x14ac:dyDescent="0.3">
      <c r="B1413" s="4">
        <v>45950</v>
      </c>
      <c r="C1413" s="24">
        <v>10.68197454928851</v>
      </c>
      <c r="E1413" s="4">
        <v>45951</v>
      </c>
      <c r="F1413" s="23">
        <v>2436658890478</v>
      </c>
      <c r="G1413" s="19">
        <v>2.5514245726741649</v>
      </c>
      <c r="H1413" s="31">
        <v>2419673815243</v>
      </c>
      <c r="I1413" s="31">
        <v>16985075235</v>
      </c>
      <c r="J1413" s="21">
        <v>217266692755</v>
      </c>
      <c r="K1413" s="19">
        <v>11.595591045931357</v>
      </c>
      <c r="L1413" s="23">
        <v>216448098285</v>
      </c>
      <c r="M1413" s="21">
        <v>818594470</v>
      </c>
    </row>
    <row r="1414" spans="2:13" x14ac:dyDescent="0.3">
      <c r="B1414" s="4">
        <v>45951</v>
      </c>
      <c r="C1414" s="24">
        <v>11.551902404169388</v>
      </c>
      <c r="E1414" s="4">
        <v>45952</v>
      </c>
      <c r="F1414" s="23">
        <v>2444831534741</v>
      </c>
      <c r="G1414" s="19">
        <v>2.5646695564919968</v>
      </c>
      <c r="H1414" s="31">
        <v>2427967822902</v>
      </c>
      <c r="I1414" s="31">
        <v>16863711839</v>
      </c>
      <c r="J1414" s="21">
        <v>185906013718</v>
      </c>
      <c r="K1414" s="19">
        <v>11.1480774810715</v>
      </c>
      <c r="L1414" s="23">
        <v>185261245601</v>
      </c>
      <c r="M1414" s="21">
        <v>644768117</v>
      </c>
    </row>
    <row r="1415" spans="2:13" x14ac:dyDescent="0.3">
      <c r="B1415" s="4">
        <v>45952</v>
      </c>
      <c r="C1415" s="24">
        <v>11.109413186238392</v>
      </c>
      <c r="E1415" s="4">
        <v>45953</v>
      </c>
      <c r="F1415" s="23">
        <v>2443497965868</v>
      </c>
      <c r="G1415" s="19">
        <v>2.5578032380722817</v>
      </c>
      <c r="H1415" s="31">
        <v>2426377191667</v>
      </c>
      <c r="I1415" s="31">
        <v>17120774201</v>
      </c>
      <c r="J1415" s="21">
        <v>177261287103</v>
      </c>
      <c r="K1415" s="19">
        <v>10.784389301986295</v>
      </c>
      <c r="L1415" s="23">
        <v>176394886327</v>
      </c>
      <c r="M1415" s="21">
        <v>866400776</v>
      </c>
    </row>
    <row r="1416" spans="2:13" x14ac:dyDescent="0.3">
      <c r="B1416" s="4">
        <v>45953</v>
      </c>
      <c r="C1416" s="24">
        <v>10.731678394756463</v>
      </c>
      <c r="E1416" s="4">
        <v>45954</v>
      </c>
      <c r="F1416" s="23">
        <v>2449669067602</v>
      </c>
      <c r="G1416" s="19">
        <v>2.5399089378135802</v>
      </c>
      <c r="H1416" s="31">
        <v>2432297248557</v>
      </c>
      <c r="I1416" s="31">
        <v>17371819045</v>
      </c>
      <c r="J1416" s="21">
        <v>236912809169</v>
      </c>
      <c r="K1416" s="19">
        <v>12.001534612351275</v>
      </c>
      <c r="L1416" s="23">
        <v>236150668798</v>
      </c>
      <c r="M1416" s="21">
        <v>762140371</v>
      </c>
    </row>
    <row r="1417" spans="2:13" x14ac:dyDescent="0.3">
      <c r="B1417" s="4">
        <v>45954</v>
      </c>
      <c r="C1417" s="24">
        <v>11.962926087661916</v>
      </c>
      <c r="E1417" s="4">
        <v>45957</v>
      </c>
      <c r="F1417" s="23">
        <v>2474392080134</v>
      </c>
      <c r="G1417" s="19">
        <v>2.5340042908579452</v>
      </c>
      <c r="H1417" s="31">
        <v>2456667850644</v>
      </c>
      <c r="I1417" s="31">
        <v>17724229490</v>
      </c>
      <c r="J1417" s="21">
        <v>287168761595</v>
      </c>
      <c r="K1417" s="19">
        <v>12.272580919821916</v>
      </c>
      <c r="L1417" s="23">
        <v>286307797838</v>
      </c>
      <c r="M1417" s="21">
        <v>860963757</v>
      </c>
    </row>
    <row r="1418" spans="2:13" x14ac:dyDescent="0.3">
      <c r="B1418" s="4">
        <v>45957</v>
      </c>
      <c r="C1418" s="24">
        <v>12.235786362788174</v>
      </c>
      <c r="E1418" s="4">
        <v>45958</v>
      </c>
      <c r="F1418" s="23">
        <v>2487133087364</v>
      </c>
      <c r="G1418" s="19">
        <v>2.5527167167160574</v>
      </c>
      <c r="H1418" s="31">
        <v>2469363777991</v>
      </c>
      <c r="I1418" s="31">
        <v>17769309373</v>
      </c>
      <c r="J1418" s="21">
        <v>258645875432</v>
      </c>
      <c r="K1418" s="19">
        <v>12.043269383425306</v>
      </c>
      <c r="L1418" s="23">
        <v>257806033061</v>
      </c>
      <c r="M1418" s="21">
        <v>839842371</v>
      </c>
    </row>
    <row r="1419" spans="2:13" x14ac:dyDescent="0.3">
      <c r="B1419" s="4">
        <v>45958</v>
      </c>
      <c r="C1419" s="24">
        <v>12.004163993104761</v>
      </c>
      <c r="E1419" s="4">
        <v>45959</v>
      </c>
      <c r="F1419" s="23">
        <v>2498731961513</v>
      </c>
      <c r="G1419" s="19">
        <v>2.5403527894823763</v>
      </c>
      <c r="H1419" s="31">
        <v>2480662402813</v>
      </c>
      <c r="I1419" s="31">
        <v>18069558700</v>
      </c>
      <c r="J1419" s="21">
        <v>280149060989</v>
      </c>
      <c r="K1419" s="19">
        <v>12.419200558119934</v>
      </c>
      <c r="L1419" s="23">
        <v>279390071797</v>
      </c>
      <c r="M1419" s="21">
        <v>758989192</v>
      </c>
    </row>
    <row r="1420" spans="2:13" x14ac:dyDescent="0.3">
      <c r="B1420" s="4">
        <v>45959</v>
      </c>
      <c r="C1420" s="24">
        <v>12.385554045211354</v>
      </c>
      <c r="E1420" s="4">
        <v>45960</v>
      </c>
      <c r="F1420" s="23">
        <v>2491175803273</v>
      </c>
      <c r="G1420" s="19">
        <v>2.5564775311628889</v>
      </c>
      <c r="H1420" s="31">
        <v>2473270262516</v>
      </c>
      <c r="I1420" s="31">
        <v>17905540757</v>
      </c>
      <c r="J1420" s="21">
        <v>281158545390</v>
      </c>
      <c r="K1420" s="19">
        <v>11.611428158308723</v>
      </c>
      <c r="L1420" s="23">
        <v>280392502477</v>
      </c>
      <c r="M1420" s="21">
        <v>766042913</v>
      </c>
    </row>
    <row r="1421" spans="2:13" x14ac:dyDescent="0.3">
      <c r="B1421" s="4">
        <v>45960</v>
      </c>
      <c r="C1421" s="24">
        <v>11.5797917296946</v>
      </c>
      <c r="E1421" s="4">
        <v>45961</v>
      </c>
      <c r="F1421" s="23">
        <v>2478469898907</v>
      </c>
      <c r="G1421" s="19">
        <v>2.5601302323056059</v>
      </c>
      <c r="H1421" s="31">
        <v>2460989122997</v>
      </c>
      <c r="I1421" s="31">
        <v>17480775910</v>
      </c>
      <c r="J1421" s="21">
        <v>253800598162</v>
      </c>
      <c r="K1421" s="19">
        <v>10.951528806993753</v>
      </c>
      <c r="L1421" s="23">
        <v>253094531317</v>
      </c>
      <c r="M1421" s="21">
        <v>706066845</v>
      </c>
    </row>
    <row r="1422" spans="2:13" x14ac:dyDescent="0.3">
      <c r="B1422" s="4">
        <v>45961</v>
      </c>
      <c r="C1422" s="24">
        <v>10.921061930837121</v>
      </c>
      <c r="E1422" s="4">
        <v>45964</v>
      </c>
      <c r="F1422" s="23">
        <v>2486779468836</v>
      </c>
      <c r="G1422" s="19">
        <v>2.555690056032947</v>
      </c>
      <c r="H1422" s="31">
        <v>2469023159919</v>
      </c>
      <c r="I1422" s="31">
        <v>17756308917</v>
      </c>
      <c r="J1422" s="21">
        <v>229693470698</v>
      </c>
      <c r="K1422" s="19">
        <v>10.902088724486919</v>
      </c>
      <c r="L1422" s="23">
        <v>228703617861</v>
      </c>
      <c r="M1422" s="21">
        <v>989852837</v>
      </c>
    </row>
    <row r="1423" spans="2:13" x14ac:dyDescent="0.3">
      <c r="B1423" s="4">
        <v>45964</v>
      </c>
      <c r="C1423" s="24">
        <v>10.855106703533664</v>
      </c>
      <c r="E1423" s="4">
        <v>45965</v>
      </c>
      <c r="F1423" s="23">
        <v>2483648009560</v>
      </c>
      <c r="G1423" s="19">
        <v>2.5719705772429222</v>
      </c>
      <c r="H1423" s="31">
        <v>2465712848488</v>
      </c>
      <c r="I1423" s="31">
        <v>17935161072</v>
      </c>
      <c r="J1423" s="21">
        <v>198064368773</v>
      </c>
      <c r="K1423" s="19">
        <v>10.340371584569628</v>
      </c>
      <c r="L1423" s="23">
        <v>197048146188</v>
      </c>
      <c r="M1423" s="21">
        <v>1016222585</v>
      </c>
    </row>
    <row r="1424" spans="2:13" x14ac:dyDescent="0.3">
      <c r="B1424" s="4">
        <v>45965</v>
      </c>
      <c r="C1424" s="24">
        <v>10.287317523374123</v>
      </c>
      <c r="E1424" s="4">
        <v>45966</v>
      </c>
      <c r="F1424" s="23">
        <v>2483503673805</v>
      </c>
      <c r="G1424" s="19">
        <v>2.5638151005644998</v>
      </c>
      <c r="H1424" s="31">
        <v>2465569782515</v>
      </c>
      <c r="I1424" s="31">
        <v>17933891290</v>
      </c>
      <c r="J1424" s="21">
        <v>199925641793</v>
      </c>
      <c r="K1424" s="19">
        <v>10.679071405778439</v>
      </c>
      <c r="L1424" s="23">
        <v>199217622484</v>
      </c>
      <c r="M1424" s="21">
        <v>708019309</v>
      </c>
    </row>
    <row r="1425" spans="2:13" x14ac:dyDescent="0.3">
      <c r="B1425" s="4">
        <v>45966</v>
      </c>
      <c r="C1425" s="24">
        <v>10.64125240122419</v>
      </c>
      <c r="E1425" s="4">
        <v>45967</v>
      </c>
      <c r="F1425" s="23">
        <v>2490891684673</v>
      </c>
      <c r="G1425" s="19">
        <v>2.5445304185713851</v>
      </c>
      <c r="H1425" s="31">
        <v>2472592078662</v>
      </c>
      <c r="I1425" s="31">
        <v>18299606011</v>
      </c>
      <c r="J1425" s="21">
        <v>233754916186</v>
      </c>
      <c r="K1425" s="19">
        <v>11.374977871742574</v>
      </c>
      <c r="L1425" s="23">
        <v>232936572964</v>
      </c>
      <c r="M1425" s="21">
        <v>818343222</v>
      </c>
    </row>
    <row r="1426" spans="2:13" x14ac:dyDescent="0.3">
      <c r="B1426" s="4">
        <v>45967</v>
      </c>
      <c r="C1426" s="24">
        <v>11.33515566738588</v>
      </c>
      <c r="E1426" s="4">
        <v>45968</v>
      </c>
      <c r="F1426" s="23">
        <v>2485738736968</v>
      </c>
      <c r="G1426" s="19">
        <v>2.545643404284724</v>
      </c>
      <c r="H1426" s="31">
        <v>2467573804799</v>
      </c>
      <c r="I1426" s="31">
        <v>18164932169</v>
      </c>
      <c r="J1426" s="21">
        <v>218361208148</v>
      </c>
      <c r="K1426" s="19">
        <v>10.925079935216514</v>
      </c>
      <c r="L1426" s="23">
        <v>217726593180</v>
      </c>
      <c r="M1426" s="21">
        <v>634614968</v>
      </c>
    </row>
    <row r="1427" spans="2:13" x14ac:dyDescent="0.3">
      <c r="B1427" s="4">
        <v>45968</v>
      </c>
      <c r="C1427" s="24">
        <v>10.893328786226782</v>
      </c>
      <c r="E1427" s="4">
        <v>45971</v>
      </c>
      <c r="F1427" s="23">
        <v>2493503818211</v>
      </c>
      <c r="G1427" s="19">
        <v>2.5409101730783461</v>
      </c>
      <c r="H1427" s="31">
        <v>2475243848876</v>
      </c>
      <c r="I1427" s="31">
        <v>18259969335</v>
      </c>
      <c r="J1427" s="21">
        <v>242738301616</v>
      </c>
      <c r="K1427" s="19">
        <v>11.16451399662099</v>
      </c>
      <c r="L1427" s="23">
        <v>241988858066</v>
      </c>
      <c r="M1427" s="21">
        <v>749443550</v>
      </c>
    </row>
    <row r="1428" spans="2:13" x14ac:dyDescent="0.3">
      <c r="B1428" s="4">
        <v>45971</v>
      </c>
      <c r="C1428" s="24">
        <v>11.130044063578083</v>
      </c>
      <c r="E1428" s="4">
        <v>45972</v>
      </c>
      <c r="F1428" s="23">
        <v>2497399506679</v>
      </c>
      <c r="G1428" s="19">
        <v>2.5562670473489879</v>
      </c>
      <c r="H1428" s="31">
        <v>2479265531870</v>
      </c>
      <c r="I1428" s="31">
        <v>18133974809</v>
      </c>
      <c r="J1428" s="21">
        <v>227898884094</v>
      </c>
      <c r="K1428" s="19">
        <v>11.432638368945469</v>
      </c>
      <c r="L1428" s="23">
        <v>227227243080</v>
      </c>
      <c r="M1428" s="21">
        <v>671641014</v>
      </c>
    </row>
    <row r="1429" spans="2:13" x14ac:dyDescent="0.3">
      <c r="B1429" s="4">
        <v>45972</v>
      </c>
      <c r="C1429" s="24">
        <v>11.398945229738842</v>
      </c>
      <c r="E1429" s="4">
        <v>45973</v>
      </c>
      <c r="F1429" s="23">
        <v>2494354424123</v>
      </c>
      <c r="G1429" s="19">
        <v>2.5575728827833477</v>
      </c>
      <c r="H1429" s="31">
        <v>2476241652329</v>
      </c>
      <c r="I1429" s="31">
        <v>18112771794</v>
      </c>
      <c r="J1429" s="21">
        <v>206766435661</v>
      </c>
      <c r="K1429" s="19">
        <v>10.631219015496809</v>
      </c>
      <c r="L1429" s="23">
        <v>206022573283</v>
      </c>
      <c r="M1429" s="21">
        <v>743862378</v>
      </c>
    </row>
    <row r="1430" spans="2:13" x14ac:dyDescent="0.3">
      <c r="B1430" s="4">
        <v>45973</v>
      </c>
      <c r="C1430" s="24">
        <v>10.592972170293789</v>
      </c>
      <c r="E1430" s="4">
        <v>45974</v>
      </c>
      <c r="F1430" s="23">
        <v>2498639258022</v>
      </c>
      <c r="G1430" s="19">
        <v>2.5353807192946705</v>
      </c>
      <c r="H1430" s="31">
        <v>2480261416995</v>
      </c>
      <c r="I1430" s="31">
        <v>18377841027</v>
      </c>
      <c r="J1430" s="21">
        <v>228699800109</v>
      </c>
      <c r="K1430" s="19">
        <v>11.200809384917438</v>
      </c>
      <c r="L1430" s="23">
        <v>227968566097</v>
      </c>
      <c r="M1430" s="21">
        <v>731234012</v>
      </c>
    </row>
    <row r="1431" spans="2:13" x14ac:dyDescent="0.3">
      <c r="B1431" s="4">
        <v>45974</v>
      </c>
      <c r="C1431" s="24">
        <v>11.164996442447542</v>
      </c>
      <c r="E1431" s="4">
        <v>45975</v>
      </c>
      <c r="F1431" s="23">
        <v>2484866449360</v>
      </c>
      <c r="G1431" s="19">
        <v>2.5501040108202981</v>
      </c>
      <c r="H1431" s="31">
        <v>2466861998344</v>
      </c>
      <c r="I1431" s="31">
        <v>18004451016</v>
      </c>
      <c r="J1431" s="21">
        <v>198115145776</v>
      </c>
      <c r="K1431" s="19">
        <v>10.118653852704243</v>
      </c>
      <c r="L1431" s="23">
        <v>197518730330</v>
      </c>
      <c r="M1431" s="21">
        <v>596415446</v>
      </c>
    </row>
    <row r="1432" spans="2:13" x14ac:dyDescent="0.3">
      <c r="B1432" s="4">
        <v>45975</v>
      </c>
      <c r="C1432" s="24">
        <v>10.08819216626002</v>
      </c>
      <c r="E1432" s="4">
        <v>45978</v>
      </c>
      <c r="F1432" s="23">
        <v>2492454104830</v>
      </c>
      <c r="G1432" s="19">
        <v>2.5643484209534293</v>
      </c>
      <c r="H1432" s="31">
        <v>2474440299981</v>
      </c>
      <c r="I1432" s="31">
        <v>18013804849</v>
      </c>
      <c r="J1432" s="21">
        <v>199594970293</v>
      </c>
      <c r="K1432" s="19">
        <v>10.446480730194684</v>
      </c>
      <c r="L1432" s="23">
        <v>198855643671</v>
      </c>
      <c r="M1432" s="21">
        <v>739326622</v>
      </c>
    </row>
    <row r="1433" spans="2:13" x14ac:dyDescent="0.3">
      <c r="B1433" s="4">
        <v>45978</v>
      </c>
      <c r="C1433" s="24">
        <v>10.407785560177599</v>
      </c>
      <c r="E1433" s="4">
        <v>45979</v>
      </c>
      <c r="F1433" s="23">
        <v>2494832276473</v>
      </c>
      <c r="G1433" s="19">
        <v>2.5894955154746215</v>
      </c>
      <c r="H1433" s="31">
        <v>2477023966549</v>
      </c>
      <c r="I1433" s="31">
        <v>17808309924</v>
      </c>
      <c r="J1433" s="21">
        <v>198026892085</v>
      </c>
      <c r="K1433" s="19">
        <v>10.282536152035913</v>
      </c>
      <c r="L1433" s="23">
        <v>197380341951</v>
      </c>
      <c r="M1433" s="21">
        <v>646550134</v>
      </c>
    </row>
    <row r="1434" spans="2:13" x14ac:dyDescent="0.3">
      <c r="B1434" s="4">
        <v>45979</v>
      </c>
      <c r="C1434" s="24">
        <v>10.248964069694161</v>
      </c>
      <c r="E1434" s="4">
        <v>45980</v>
      </c>
      <c r="F1434" s="23">
        <v>2490069217605</v>
      </c>
      <c r="G1434" s="19">
        <v>2.586006437985235</v>
      </c>
      <c r="H1434" s="31">
        <v>2472454630074</v>
      </c>
      <c r="I1434" s="31">
        <v>17614587531</v>
      </c>
      <c r="J1434" s="21">
        <v>169255003457</v>
      </c>
      <c r="K1434" s="19">
        <v>9.8077453365020446</v>
      </c>
      <c r="L1434" s="23">
        <v>168563026985</v>
      </c>
      <c r="M1434" s="21">
        <v>691976472</v>
      </c>
    </row>
    <row r="1435" spans="2:13" x14ac:dyDescent="0.3">
      <c r="B1435" s="4">
        <v>45980</v>
      </c>
      <c r="C1435" s="24">
        <v>9.7676476798442824</v>
      </c>
      <c r="E1435" s="4">
        <v>45981</v>
      </c>
      <c r="F1435" s="23">
        <v>2483936071666</v>
      </c>
      <c r="G1435" s="19">
        <v>2.593647269732299</v>
      </c>
      <c r="H1435" s="31">
        <v>2466619249662</v>
      </c>
      <c r="I1435" s="31">
        <v>17316822004</v>
      </c>
      <c r="J1435" s="21">
        <v>173557129787</v>
      </c>
      <c r="K1435" s="19">
        <v>10.161274840150254</v>
      </c>
      <c r="L1435" s="23">
        <v>172824814530</v>
      </c>
      <c r="M1435" s="21">
        <v>732315257</v>
      </c>
    </row>
    <row r="1436" spans="2:13" x14ac:dyDescent="0.3">
      <c r="B1436" s="4">
        <v>45981</v>
      </c>
      <c r="C1436" s="24">
        <v>10.118399870938994</v>
      </c>
      <c r="E1436" s="4">
        <v>45982</v>
      </c>
      <c r="F1436" s="23">
        <v>2453831108219</v>
      </c>
      <c r="G1436" s="19">
        <v>2.6350014183467598</v>
      </c>
      <c r="H1436" s="31">
        <v>2437559646440</v>
      </c>
      <c r="I1436" s="31">
        <v>16271461779</v>
      </c>
      <c r="J1436" s="21">
        <v>184777393744</v>
      </c>
      <c r="K1436" s="19">
        <v>9.4017354684437269</v>
      </c>
      <c r="L1436" s="23">
        <v>184081297596</v>
      </c>
      <c r="M1436" s="21">
        <v>696096148</v>
      </c>
    </row>
    <row r="1437" spans="2:13" x14ac:dyDescent="0.3">
      <c r="B1437" s="4">
        <v>45982</v>
      </c>
      <c r="C1437" s="24">
        <v>9.3663171106484775</v>
      </c>
      <c r="E1437" s="4">
        <v>45985</v>
      </c>
      <c r="F1437" s="23">
        <v>2451125916256</v>
      </c>
      <c r="G1437" s="19">
        <v>2.6234100833302292</v>
      </c>
      <c r="H1437" s="31">
        <v>2434755411919</v>
      </c>
      <c r="I1437" s="31">
        <v>16370504337</v>
      </c>
      <c r="J1437" s="21">
        <v>164466651758</v>
      </c>
      <c r="K1437" s="19">
        <v>9.5202256898456561</v>
      </c>
      <c r="L1437" s="23">
        <v>163598470083</v>
      </c>
      <c r="M1437" s="21">
        <v>868181675</v>
      </c>
    </row>
    <row r="1438" spans="2:13" x14ac:dyDescent="0.3">
      <c r="B1438" s="4">
        <v>45985</v>
      </c>
      <c r="C1438" s="24">
        <v>9.4699706053197676</v>
      </c>
      <c r="E1438" s="4">
        <v>45986</v>
      </c>
      <c r="F1438" s="23">
        <v>2455538302667</v>
      </c>
      <c r="G1438" s="19">
        <v>2.599892403585677</v>
      </c>
      <c r="H1438" s="31">
        <v>2438794712037</v>
      </c>
      <c r="I1438" s="31">
        <v>16743590630</v>
      </c>
      <c r="J1438" s="21">
        <v>187461584534</v>
      </c>
      <c r="K1438" s="19">
        <v>10.34558394064014</v>
      </c>
      <c r="L1438" s="23">
        <v>186645968238</v>
      </c>
      <c r="M1438" s="21">
        <v>815616296</v>
      </c>
    </row>
    <row r="1439" spans="2:13" x14ac:dyDescent="0.3">
      <c r="B1439" s="4">
        <v>45986</v>
      </c>
      <c r="C1439" s="24">
        <v>10.300571908577156</v>
      </c>
      <c r="E1439" s="4">
        <v>45987</v>
      </c>
      <c r="F1439" s="23">
        <v>2461875974382</v>
      </c>
      <c r="G1439" s="19">
        <v>2.6048346060786218</v>
      </c>
      <c r="H1439" s="31">
        <v>2444786656458</v>
      </c>
      <c r="I1439" s="31">
        <v>17089317924</v>
      </c>
      <c r="J1439" s="21">
        <v>186275779451</v>
      </c>
      <c r="K1439" s="19">
        <v>10.446258756998512</v>
      </c>
      <c r="L1439" s="23">
        <v>185323991555</v>
      </c>
      <c r="M1439" s="21">
        <v>951787896</v>
      </c>
    </row>
    <row r="1440" spans="2:13" x14ac:dyDescent="0.3">
      <c r="B1440" s="4">
        <v>45987</v>
      </c>
      <c r="C1440" s="24">
        <v>10.392882936090938</v>
      </c>
      <c r="E1440" s="4">
        <v>45988</v>
      </c>
      <c r="F1440" s="23">
        <v>2464556458841</v>
      </c>
      <c r="G1440" s="19">
        <v>2.6042945726255438</v>
      </c>
      <c r="H1440" s="31">
        <v>2447527579329</v>
      </c>
      <c r="I1440" s="31">
        <v>17028879512</v>
      </c>
      <c r="J1440" s="21">
        <v>178121599832</v>
      </c>
      <c r="K1440" s="19">
        <v>10.418608604713246</v>
      </c>
      <c r="L1440" s="23">
        <v>177378197317</v>
      </c>
      <c r="M1440" s="21">
        <v>743402515</v>
      </c>
    </row>
    <row r="1441" spans="2:13" x14ac:dyDescent="0.3">
      <c r="B1441" s="4">
        <v>45988</v>
      </c>
      <c r="C1441" s="24">
        <v>10.375125838744101</v>
      </c>
      <c r="E1441" s="4">
        <v>45989</v>
      </c>
      <c r="F1441" s="23">
        <v>2466049984496</v>
      </c>
      <c r="G1441" s="19">
        <v>2.5912254761345279</v>
      </c>
      <c r="H1441" s="31">
        <v>2448973139044</v>
      </c>
      <c r="I1441" s="31">
        <v>17076845452</v>
      </c>
      <c r="J1441" s="21">
        <v>157289270503</v>
      </c>
      <c r="K1441" s="19">
        <v>9.9194387132262225</v>
      </c>
      <c r="L1441" s="23">
        <v>156667931997</v>
      </c>
      <c r="M1441" s="21">
        <v>621338506</v>
      </c>
    </row>
    <row r="1442" spans="2:13" x14ac:dyDescent="0.3">
      <c r="B1442" s="4">
        <v>45989</v>
      </c>
      <c r="C1442" s="24">
        <v>9.8802540364156251</v>
      </c>
      <c r="E1442" s="4">
        <v>45992</v>
      </c>
      <c r="F1442" s="23">
        <v>2476741264008</v>
      </c>
      <c r="G1442" s="19">
        <v>2.5802240980521773</v>
      </c>
      <c r="H1442" s="31">
        <v>2459139618103</v>
      </c>
      <c r="I1442" s="31">
        <v>17601645905</v>
      </c>
      <c r="J1442" s="21">
        <v>191881442043</v>
      </c>
      <c r="K1442" s="19">
        <v>10.239991427657714</v>
      </c>
      <c r="L1442" s="23">
        <v>190884480181</v>
      </c>
      <c r="M1442" s="21">
        <v>996961862</v>
      </c>
    </row>
    <row r="1443" spans="2:13" x14ac:dyDescent="0.3">
      <c r="B1443" s="4">
        <v>45992</v>
      </c>
      <c r="C1443" s="24">
        <v>10.186787319892597</v>
      </c>
      <c r="E1443" s="4">
        <v>45993</v>
      </c>
      <c r="F1443" s="23">
        <v>2478900838857</v>
      </c>
      <c r="G1443" s="19">
        <v>2.5950473822716988</v>
      </c>
      <c r="H1443" s="31">
        <v>2461350217002</v>
      </c>
      <c r="I1443" s="31">
        <v>17550621855</v>
      </c>
      <c r="J1443" s="21">
        <v>155740104462</v>
      </c>
      <c r="K1443" s="19">
        <v>9.7745528694089625</v>
      </c>
      <c r="L1443" s="23">
        <v>155021007653</v>
      </c>
      <c r="M1443" s="21">
        <v>719096809</v>
      </c>
    </row>
    <row r="1444" spans="2:13" x14ac:dyDescent="0.3">
      <c r="B1444" s="4">
        <v>45993</v>
      </c>
      <c r="C1444" s="24">
        <v>9.7294209504207565</v>
      </c>
      <c r="E1444" s="4">
        <v>45994</v>
      </c>
      <c r="F1444" s="23">
        <v>2475067383967</v>
      </c>
      <c r="G1444" s="19">
        <v>2.6068979455962373</v>
      </c>
      <c r="H1444" s="31">
        <v>2457665108761</v>
      </c>
      <c r="I1444" s="31">
        <v>17402275206</v>
      </c>
      <c r="J1444" s="21">
        <v>161032192418</v>
      </c>
      <c r="K1444" s="19">
        <v>9.6436547812682161</v>
      </c>
      <c r="L1444" s="23">
        <v>160418195592</v>
      </c>
      <c r="M1444" s="21">
        <v>613996826</v>
      </c>
    </row>
    <row r="1445" spans="2:13" x14ac:dyDescent="0.3">
      <c r="B1445" s="4">
        <v>45994</v>
      </c>
      <c r="C1445" s="24">
        <v>9.6068846588608388</v>
      </c>
      <c r="E1445" s="4">
        <v>45995</v>
      </c>
      <c r="F1445" s="23">
        <v>2476353547323</v>
      </c>
      <c r="G1445" s="19">
        <v>2.6097643668961323</v>
      </c>
      <c r="H1445" s="31">
        <v>2458973561734</v>
      </c>
      <c r="I1445" s="31">
        <v>17379985589</v>
      </c>
      <c r="J1445" s="21">
        <v>154108150018</v>
      </c>
      <c r="K1445" s="19">
        <v>9.9497977290317881</v>
      </c>
      <c r="L1445" s="23">
        <v>153500095933</v>
      </c>
      <c r="M1445" s="21">
        <v>608054085</v>
      </c>
    </row>
    <row r="1446" spans="2:13" x14ac:dyDescent="0.3">
      <c r="B1446" s="4">
        <v>45995</v>
      </c>
      <c r="C1446" s="24">
        <v>9.9105394863408272</v>
      </c>
      <c r="E1446" s="4">
        <v>45996</v>
      </c>
      <c r="F1446" s="23">
        <v>2474174710330</v>
      </c>
      <c r="G1446" s="19">
        <v>2.5835504895423496</v>
      </c>
      <c r="H1446" s="31">
        <v>2456610584650</v>
      </c>
      <c r="I1446" s="31">
        <v>17564125680</v>
      </c>
      <c r="J1446" s="21">
        <v>178949899224</v>
      </c>
      <c r="K1446" s="19">
        <v>10.369945491606218</v>
      </c>
      <c r="L1446" s="23">
        <v>178255456814</v>
      </c>
      <c r="M1446" s="21">
        <v>694442410</v>
      </c>
    </row>
    <row r="1447" spans="2:13" x14ac:dyDescent="0.3">
      <c r="B1447" s="4">
        <v>45996</v>
      </c>
      <c r="C1447" s="24">
        <v>10.32970333461151</v>
      </c>
      <c r="E1447" s="4">
        <v>45999</v>
      </c>
      <c r="F1447" s="23">
        <v>2492952298689</v>
      </c>
      <c r="G1447" s="19">
        <v>2.5820215223770724</v>
      </c>
      <c r="H1447" s="31">
        <v>2475180491924</v>
      </c>
      <c r="I1447" s="31">
        <v>17771806765</v>
      </c>
      <c r="J1447" s="21">
        <v>228076855101</v>
      </c>
      <c r="K1447" s="19">
        <v>11.199375456371019</v>
      </c>
      <c r="L1447" s="23">
        <v>227362616365</v>
      </c>
      <c r="M1447" s="21">
        <v>714238736</v>
      </c>
    </row>
    <row r="1448" spans="2:13" x14ac:dyDescent="0.3">
      <c r="B1448" s="4">
        <v>45999</v>
      </c>
      <c r="C1448" s="24">
        <v>11.164303823318178</v>
      </c>
      <c r="E1448" s="4">
        <v>46000</v>
      </c>
      <c r="F1448" s="23">
        <v>2503035878264</v>
      </c>
      <c r="G1448" s="19">
        <v>2.6031492238852154</v>
      </c>
      <c r="H1448" s="31">
        <v>2485359874016</v>
      </c>
      <c r="I1448" s="31">
        <v>17676004248</v>
      </c>
      <c r="J1448" s="21">
        <v>202537755573</v>
      </c>
      <c r="K1448" s="19">
        <v>10.638754873231788</v>
      </c>
      <c r="L1448" s="23">
        <v>201824478284</v>
      </c>
      <c r="M1448" s="21">
        <v>713277289</v>
      </c>
    </row>
    <row r="1449" spans="2:13" x14ac:dyDescent="0.3">
      <c r="B1449" s="4">
        <v>46000</v>
      </c>
      <c r="C1449" s="24">
        <v>10.601288366244752</v>
      </c>
      <c r="E1449" s="4">
        <v>46001</v>
      </c>
      <c r="F1449" s="23">
        <v>2506714265270</v>
      </c>
      <c r="G1449" s="19">
        <v>2.6079370105325572</v>
      </c>
      <c r="H1449" s="31">
        <v>2488831436012</v>
      </c>
      <c r="I1449" s="31">
        <v>17882829258</v>
      </c>
      <c r="J1449" s="21">
        <v>180771736895</v>
      </c>
      <c r="K1449" s="19">
        <v>10.165093369634194</v>
      </c>
      <c r="L1449" s="23">
        <v>179909975170</v>
      </c>
      <c r="M1449" s="21">
        <v>861761725</v>
      </c>
    </row>
    <row r="1450" spans="2:13" x14ac:dyDescent="0.3">
      <c r="B1450" s="4">
        <v>46001</v>
      </c>
      <c r="C1450" s="24">
        <v>10.116635084354288</v>
      </c>
      <c r="E1450" s="4">
        <v>46002</v>
      </c>
      <c r="F1450" s="23">
        <v>2500272571399</v>
      </c>
      <c r="G1450" s="19">
        <v>2.626430218391032</v>
      </c>
      <c r="H1450" s="31">
        <v>2482436665596</v>
      </c>
      <c r="I1450" s="31">
        <v>17835905803</v>
      </c>
      <c r="J1450" s="21">
        <v>185275019567</v>
      </c>
      <c r="K1450" s="19">
        <v>9.9772077047019412</v>
      </c>
      <c r="L1450" s="23">
        <v>184563593444</v>
      </c>
      <c r="M1450" s="21">
        <v>711426123</v>
      </c>
    </row>
    <row r="1451" spans="2:13" x14ac:dyDescent="0.3">
      <c r="B1451" s="4">
        <v>46002</v>
      </c>
      <c r="C1451" s="24">
        <v>9.9388968400623874</v>
      </c>
      <c r="E1451" s="4">
        <v>46003</v>
      </c>
      <c r="F1451" s="23">
        <v>2493688804004</v>
      </c>
      <c r="G1451" s="19">
        <v>2.6067628744030191</v>
      </c>
      <c r="H1451" s="31">
        <v>2476016835154</v>
      </c>
      <c r="I1451" s="31">
        <v>17671968850</v>
      </c>
      <c r="J1451" s="21">
        <v>194366502433</v>
      </c>
      <c r="K1451" s="19">
        <v>9.2906581497247203</v>
      </c>
      <c r="L1451" s="23">
        <v>193762504248</v>
      </c>
      <c r="M1451" s="21">
        <v>603998185</v>
      </c>
    </row>
    <row r="1452" spans="2:13" x14ac:dyDescent="0.3">
      <c r="B1452" s="4">
        <v>46003</v>
      </c>
      <c r="C1452" s="24">
        <v>9.2617872250044311</v>
      </c>
      <c r="E1452" s="4">
        <v>46006</v>
      </c>
      <c r="F1452" s="23">
        <v>2497951079721</v>
      </c>
      <c r="G1452" s="19">
        <v>2.6274473681438781</v>
      </c>
      <c r="H1452" s="31">
        <v>2480855593465</v>
      </c>
      <c r="I1452" s="31">
        <v>17095486256</v>
      </c>
      <c r="J1452" s="21">
        <v>177087656729</v>
      </c>
      <c r="K1452" s="19">
        <v>9.9861840451918926</v>
      </c>
      <c r="L1452" s="23">
        <v>176371419048</v>
      </c>
      <c r="M1452" s="21">
        <v>716237681</v>
      </c>
    </row>
    <row r="1453" spans="2:13" x14ac:dyDescent="0.3">
      <c r="B1453" s="4">
        <v>46006</v>
      </c>
      <c r="C1453" s="24">
        <v>9.9457945486302375</v>
      </c>
      <c r="E1453" s="4">
        <v>46007</v>
      </c>
      <c r="F1453" s="23">
        <v>2497077765198</v>
      </c>
      <c r="G1453" s="19">
        <v>2.6599432467473316</v>
      </c>
      <c r="H1453" s="31">
        <v>2480357528954</v>
      </c>
      <c r="I1453" s="31">
        <v>16720236244</v>
      </c>
      <c r="J1453" s="21">
        <v>178050533505</v>
      </c>
      <c r="K1453" s="19">
        <v>10.327813663503662</v>
      </c>
      <c r="L1453" s="23">
        <v>177409443008</v>
      </c>
      <c r="M1453" s="21">
        <v>641090497</v>
      </c>
    </row>
    <row r="1454" spans="2:13" x14ac:dyDescent="0.3">
      <c r="B1454" s="4">
        <v>46007</v>
      </c>
      <c r="C1454" s="24">
        <v>10.290627236346603</v>
      </c>
      <c r="E1454" s="4">
        <v>46008</v>
      </c>
      <c r="F1454" s="23">
        <v>2495119354770</v>
      </c>
      <c r="G1454" s="19">
        <v>2.6209463309603422</v>
      </c>
      <c r="H1454" s="31">
        <v>2478154119196</v>
      </c>
      <c r="I1454" s="31">
        <v>16965235574</v>
      </c>
      <c r="J1454" s="21">
        <v>184520053924</v>
      </c>
      <c r="K1454" s="19">
        <v>10.188836335797991</v>
      </c>
      <c r="L1454" s="23">
        <v>183595973179</v>
      </c>
      <c r="M1454" s="21">
        <v>924080745</v>
      </c>
    </row>
    <row r="1455" spans="2:13" x14ac:dyDescent="0.3">
      <c r="B1455" s="4">
        <v>46008</v>
      </c>
      <c r="C1455" s="24">
        <v>10.137810405165295</v>
      </c>
      <c r="E1455" s="4">
        <v>46009</v>
      </c>
      <c r="F1455" s="23">
        <v>2491650140348</v>
      </c>
      <c r="G1455" s="19">
        <v>2.6221102017416125</v>
      </c>
      <c r="H1455" s="31">
        <v>2474841169284</v>
      </c>
      <c r="I1455" s="31">
        <v>16808971064</v>
      </c>
      <c r="J1455" s="21">
        <v>171154774257</v>
      </c>
      <c r="K1455" s="19">
        <v>10.3399654542942</v>
      </c>
      <c r="L1455" s="23">
        <v>170493424295</v>
      </c>
      <c r="M1455" s="21">
        <v>661349962</v>
      </c>
    </row>
    <row r="1456" spans="2:13" x14ac:dyDescent="0.3">
      <c r="B1456" s="4">
        <v>46009</v>
      </c>
      <c r="C1456" s="24">
        <v>10.300011349654323</v>
      </c>
      <c r="E1456" s="4">
        <v>46010</v>
      </c>
      <c r="F1456" s="23">
        <v>2496073463516</v>
      </c>
      <c r="G1456" s="19">
        <v>2.6109967396114766</v>
      </c>
      <c r="H1456" s="31">
        <v>2479379468494</v>
      </c>
      <c r="I1456" s="31">
        <v>16693995022</v>
      </c>
      <c r="J1456" s="21">
        <v>176652017021</v>
      </c>
      <c r="K1456" s="19">
        <v>10.236432782870049</v>
      </c>
      <c r="L1456" s="23">
        <v>176090643422</v>
      </c>
      <c r="M1456" s="21">
        <v>561373599</v>
      </c>
    </row>
    <row r="1457" spans="2:13" x14ac:dyDescent="0.3">
      <c r="B1457" s="4">
        <v>46010</v>
      </c>
      <c r="C1457" s="24">
        <v>10.20390293572113</v>
      </c>
      <c r="E1457" s="4">
        <v>46013</v>
      </c>
      <c r="F1457" s="23">
        <v>2508815920752</v>
      </c>
      <c r="G1457" s="19">
        <v>2.5998010095129347</v>
      </c>
      <c r="H1457" s="31">
        <v>2491913248112</v>
      </c>
      <c r="I1457" s="31">
        <v>16902672640</v>
      </c>
      <c r="J1457" s="21">
        <v>202284731083</v>
      </c>
      <c r="K1457" s="19">
        <v>10.865458061471971</v>
      </c>
      <c r="L1457" s="23">
        <v>201587676293</v>
      </c>
      <c r="M1457" s="21">
        <v>697054790</v>
      </c>
    </row>
    <row r="1458" spans="2:13" x14ac:dyDescent="0.3">
      <c r="B1458" s="4">
        <v>46013</v>
      </c>
      <c r="C1458" s="24">
        <v>10.828016680964682</v>
      </c>
      <c r="E1458" s="4">
        <v>46014</v>
      </c>
      <c r="F1458" s="23">
        <v>2523675562618</v>
      </c>
      <c r="G1458" s="19">
        <v>2.6125940711844891</v>
      </c>
      <c r="H1458" s="31">
        <v>2506708381019</v>
      </c>
      <c r="I1458" s="31">
        <v>16967181599</v>
      </c>
      <c r="J1458" s="21">
        <v>216853637391</v>
      </c>
      <c r="K1458" s="19">
        <v>11.415228908427061</v>
      </c>
      <c r="L1458" s="23">
        <v>216123820814</v>
      </c>
      <c r="M1458" s="21">
        <v>729816577</v>
      </c>
    </row>
    <row r="1459" spans="2:13" x14ac:dyDescent="0.3">
      <c r="B1459" s="4">
        <v>46014</v>
      </c>
      <c r="C1459" s="24">
        <v>11.376811183975436</v>
      </c>
      <c r="E1459" s="4">
        <v>46015</v>
      </c>
      <c r="F1459" s="23">
        <v>2533724045231</v>
      </c>
      <c r="G1459" s="19">
        <v>2.6037856489869098</v>
      </c>
      <c r="H1459" s="31">
        <v>2516763819265</v>
      </c>
      <c r="I1459" s="31">
        <v>16960225966</v>
      </c>
      <c r="J1459" s="21">
        <v>206743086721</v>
      </c>
      <c r="K1459" s="19">
        <v>10.996218154374635</v>
      </c>
      <c r="L1459" s="23">
        <v>206132015045</v>
      </c>
      <c r="M1459" s="21">
        <v>611071676</v>
      </c>
    </row>
    <row r="1460" spans="2:13" x14ac:dyDescent="0.3">
      <c r="B1460" s="4">
        <v>46015</v>
      </c>
      <c r="C1460" s="24">
        <v>10.963716572029957</v>
      </c>
      <c r="E1460" s="4">
        <v>46016</v>
      </c>
      <c r="F1460" s="23">
        <v>2537479048667</v>
      </c>
      <c r="G1460" s="19">
        <v>2.5936339669513284</v>
      </c>
      <c r="H1460" s="31">
        <v>2520547931574</v>
      </c>
      <c r="I1460" s="31">
        <v>16931117093</v>
      </c>
      <c r="J1460" s="21">
        <v>219517929569</v>
      </c>
      <c r="K1460" s="19">
        <v>11.407198450222392</v>
      </c>
      <c r="L1460" s="23">
        <v>218972851010</v>
      </c>
      <c r="M1460" s="21">
        <v>545078559</v>
      </c>
    </row>
    <row r="1461" spans="2:13" x14ac:dyDescent="0.3">
      <c r="B1461" s="4">
        <v>46016</v>
      </c>
      <c r="C1461" s="24">
        <v>11.378873568944211</v>
      </c>
      <c r="E1461" s="4">
        <v>46017</v>
      </c>
      <c r="F1461" s="23">
        <v>2535350949473</v>
      </c>
      <c r="G1461" s="19">
        <v>2.5864334575975381</v>
      </c>
      <c r="H1461" s="31">
        <v>2518483462081</v>
      </c>
      <c r="I1461" s="31">
        <v>16867487392</v>
      </c>
      <c r="J1461" s="21">
        <v>238820845056</v>
      </c>
      <c r="K1461" s="19">
        <v>11.056363512079296</v>
      </c>
      <c r="L1461" s="23">
        <v>238060501882</v>
      </c>
      <c r="M1461" s="21">
        <v>760343174</v>
      </c>
    </row>
    <row r="1462" spans="2:13" x14ac:dyDescent="0.3">
      <c r="B1462" s="4">
        <v>46017</v>
      </c>
      <c r="C1462" s="24">
        <v>11.021162939349972</v>
      </c>
      <c r="E1462" s="4">
        <v>46020</v>
      </c>
      <c r="F1462" s="23">
        <v>2543720808820</v>
      </c>
      <c r="G1462" s="19">
        <v>2.5974491136823699</v>
      </c>
      <c r="H1462" s="31">
        <v>2526830095079</v>
      </c>
      <c r="I1462" s="31">
        <v>16890713741</v>
      </c>
      <c r="J1462" s="21">
        <v>229276378835</v>
      </c>
      <c r="K1462" s="19">
        <v>10.717819573262798</v>
      </c>
      <c r="L1462" s="23">
        <v>228550747586</v>
      </c>
      <c r="M1462" s="21">
        <v>725631249</v>
      </c>
    </row>
    <row r="1463" spans="2:13" x14ac:dyDescent="0.3">
      <c r="B1463" s="4">
        <v>46020</v>
      </c>
      <c r="C1463" s="24">
        <v>10.683899006115755</v>
      </c>
      <c r="E1463" s="4">
        <v>46021</v>
      </c>
      <c r="F1463" s="23">
        <v>2547292792147</v>
      </c>
      <c r="G1463" s="19">
        <v>2.5976803683442036</v>
      </c>
      <c r="H1463" s="31">
        <v>2530534098397</v>
      </c>
      <c r="I1463" s="31">
        <v>16758693750</v>
      </c>
      <c r="J1463" s="21">
        <v>229240994048</v>
      </c>
      <c r="K1463" s="19">
        <v>10.699961755140189</v>
      </c>
      <c r="L1463" s="23">
        <v>228623331520</v>
      </c>
      <c r="M1463" s="21">
        <v>617662528</v>
      </c>
    </row>
    <row r="1464" spans="2:13" x14ac:dyDescent="0.3">
      <c r="B1464" s="4">
        <v>46021</v>
      </c>
      <c r="C1464" s="24">
        <v>10.671131983856789</v>
      </c>
      <c r="E1464" s="4">
        <v>46022</v>
      </c>
      <c r="F1464" s="23">
        <v>2532714379448</v>
      </c>
      <c r="G1464" s="19">
        <v>2.5844336058140356</v>
      </c>
      <c r="H1464" s="31">
        <v>2516188348107</v>
      </c>
      <c r="I1464" s="31">
        <v>16526031341</v>
      </c>
      <c r="J1464" s="21">
        <v>217594993319</v>
      </c>
      <c r="K1464" s="19">
        <v>10.639820211262684</v>
      </c>
      <c r="L1464" s="23">
        <v>216968102979</v>
      </c>
      <c r="M1464" s="21">
        <v>626890340</v>
      </c>
    </row>
    <row r="1465" spans="2:13" x14ac:dyDescent="0.3">
      <c r="B1465" s="4">
        <v>46022</v>
      </c>
      <c r="C1465" s="24">
        <v>10.609166930100102</v>
      </c>
      <c r="E1465" s="4">
        <v>46027</v>
      </c>
      <c r="F1465" s="23">
        <v>2552509747063</v>
      </c>
      <c r="G1465" s="19">
        <v>2.5624437719728177</v>
      </c>
      <c r="H1465" s="31">
        <v>2535283591915</v>
      </c>
      <c r="I1465" s="31">
        <v>17226155148</v>
      </c>
      <c r="J1465" s="21">
        <v>290451368949</v>
      </c>
      <c r="K1465" s="19">
        <v>11.407690641053859</v>
      </c>
      <c r="L1465" s="23">
        <v>289478423705</v>
      </c>
      <c r="M1465" s="21">
        <v>972945244</v>
      </c>
    </row>
    <row r="1466" spans="2:13" x14ac:dyDescent="0.3">
      <c r="B1466" s="4">
        <v>46027</v>
      </c>
      <c r="C1466" s="24">
        <v>11.369477502674107</v>
      </c>
      <c r="E1466" s="4">
        <v>46028</v>
      </c>
      <c r="F1466" s="23">
        <v>2571611010597</v>
      </c>
      <c r="G1466" s="19">
        <v>2.5414280271724512</v>
      </c>
      <c r="H1466" s="31">
        <v>2554020158077</v>
      </c>
      <c r="I1466" s="31">
        <v>17590852520</v>
      </c>
      <c r="J1466" s="21">
        <v>327558449329</v>
      </c>
      <c r="K1466" s="19">
        <v>11.672300846937864</v>
      </c>
      <c r="L1466" s="23">
        <v>326660515768</v>
      </c>
      <c r="M1466" s="21">
        <v>897933561</v>
      </c>
    </row>
    <row r="1467" spans="2:13" x14ac:dyDescent="0.3">
      <c r="B1467" s="4">
        <v>46028</v>
      </c>
      <c r="C1467" s="24">
        <v>11.640303654723697</v>
      </c>
      <c r="E1467" s="4">
        <v>46029</v>
      </c>
      <c r="F1467" s="23">
        <v>2596516594552</v>
      </c>
      <c r="G1467" s="19">
        <v>2.5642663762724176</v>
      </c>
      <c r="H1467" s="31">
        <v>2578985286669</v>
      </c>
      <c r="I1467" s="31">
        <v>17531307883</v>
      </c>
      <c r="J1467" s="21">
        <v>329967441148</v>
      </c>
      <c r="K1467" s="19">
        <v>11.561504696346077</v>
      </c>
      <c r="L1467" s="23">
        <v>329180665878</v>
      </c>
      <c r="M1467" s="21">
        <v>786775270</v>
      </c>
    </row>
    <row r="1468" spans="2:13" x14ac:dyDescent="0.3">
      <c r="B1468" s="4">
        <v>46029</v>
      </c>
      <c r="C1468" s="24">
        <v>11.53393741289706</v>
      </c>
      <c r="E1468" s="4">
        <v>46030</v>
      </c>
      <c r="F1468" s="23">
        <v>2612221929342</v>
      </c>
      <c r="G1468" s="19">
        <v>2.57955364986891</v>
      </c>
      <c r="H1468" s="31">
        <v>2594767453263</v>
      </c>
      <c r="I1468" s="31">
        <v>17454476079</v>
      </c>
      <c r="J1468" s="21">
        <v>311345139908</v>
      </c>
      <c r="K1468" s="19">
        <v>11.118858894553757</v>
      </c>
      <c r="L1468" s="23">
        <v>310610334050</v>
      </c>
      <c r="M1468" s="21">
        <v>734805858</v>
      </c>
    </row>
    <row r="1469" spans="2:13" x14ac:dyDescent="0.3">
      <c r="B1469" s="4">
        <v>46030</v>
      </c>
      <c r="C1469" s="24">
        <v>11.092617268773417</v>
      </c>
      <c r="E1469" s="4">
        <v>46031</v>
      </c>
      <c r="F1469" s="23">
        <v>2619152432132</v>
      </c>
      <c r="G1469" s="19">
        <v>2.5592072013096363</v>
      </c>
      <c r="H1469" s="31">
        <v>2601486948742</v>
      </c>
      <c r="I1469" s="31">
        <v>17665483390</v>
      </c>
      <c r="J1469" s="21">
        <v>344102975005</v>
      </c>
      <c r="K1469" s="19">
        <v>11.019975137372061</v>
      </c>
      <c r="L1469" s="23">
        <v>343260591922</v>
      </c>
      <c r="M1469" s="21">
        <v>842383083</v>
      </c>
    </row>
    <row r="1470" spans="2:13" x14ac:dyDescent="0.3">
      <c r="B1470" s="4">
        <v>46031</v>
      </c>
      <c r="C1470" s="24">
        <v>10.992997629750491</v>
      </c>
      <c r="E1470" s="4">
        <v>46034</v>
      </c>
      <c r="F1470" s="23">
        <v>2665145588196</v>
      </c>
      <c r="G1470" s="19">
        <v>2.5665705104814629</v>
      </c>
      <c r="H1470" s="31">
        <v>2647072209154</v>
      </c>
      <c r="I1470" s="31">
        <v>18073379042</v>
      </c>
      <c r="J1470" s="21">
        <v>424970132679</v>
      </c>
      <c r="K1470" s="19">
        <v>11.80114199712445</v>
      </c>
      <c r="L1470" s="23">
        <v>424090919170</v>
      </c>
      <c r="M1470" s="21">
        <v>879213509</v>
      </c>
    </row>
    <row r="1471" spans="2:13" x14ac:dyDescent="0.3">
      <c r="B1471" s="4">
        <v>46034</v>
      </c>
      <c r="C1471" s="24">
        <v>11.776726814344213</v>
      </c>
      <c r="E1471" s="4">
        <v>46035</v>
      </c>
      <c r="F1471" s="23">
        <v>2673881393050</v>
      </c>
      <c r="G1471" s="19">
        <v>2.5988120015310749</v>
      </c>
      <c r="H1471" s="31">
        <v>2656280225099</v>
      </c>
      <c r="I1471" s="31">
        <v>17601167951</v>
      </c>
      <c r="J1471" s="21">
        <v>402891565060</v>
      </c>
      <c r="K1471" s="19">
        <v>11.03580772036435</v>
      </c>
      <c r="L1471" s="23">
        <v>402039426327</v>
      </c>
      <c r="M1471" s="21">
        <v>852138733</v>
      </c>
    </row>
    <row r="1472" spans="2:13" x14ac:dyDescent="0.3">
      <c r="B1472" s="4">
        <v>46035</v>
      </c>
      <c r="C1472" s="24">
        <v>11.012466355034295</v>
      </c>
      <c r="E1472" s="4">
        <v>46036</v>
      </c>
      <c r="F1472" s="23">
        <v>2688945855575</v>
      </c>
      <c r="G1472" s="19">
        <v>2.6124370597093804</v>
      </c>
      <c r="H1472" s="31">
        <v>2671342958207</v>
      </c>
      <c r="I1472" s="31">
        <v>17602897368</v>
      </c>
      <c r="J1472" s="21">
        <v>449682182037</v>
      </c>
      <c r="K1472" s="19">
        <v>11.409992366915397</v>
      </c>
      <c r="L1472" s="23">
        <v>448603402068</v>
      </c>
      <c r="M1472" s="21">
        <v>1078779969</v>
      </c>
    </row>
    <row r="1473" spans="2:13" x14ac:dyDescent="0.3">
      <c r="B1473" s="4">
        <v>46036</v>
      </c>
      <c r="C1473" s="24">
        <v>11.382619987702785</v>
      </c>
      <c r="E1473" s="4">
        <v>46037</v>
      </c>
      <c r="F1473" s="23">
        <v>2709612723308</v>
      </c>
      <c r="G1473" s="19">
        <v>2.6391158997424866</v>
      </c>
      <c r="H1473" s="31">
        <v>2692102218608</v>
      </c>
      <c r="I1473" s="31">
        <v>17510504700</v>
      </c>
      <c r="J1473" s="21">
        <v>316646249103</v>
      </c>
      <c r="K1473" s="19">
        <v>10.899012135398968</v>
      </c>
      <c r="L1473" s="23">
        <v>315688787641</v>
      </c>
      <c r="M1473" s="21">
        <v>957461462</v>
      </c>
    </row>
    <row r="1474" spans="2:13" x14ac:dyDescent="0.3">
      <c r="B1474" s="4">
        <v>46037</v>
      </c>
      <c r="C1474" s="24">
        <v>10.866056166007017</v>
      </c>
      <c r="E1474" s="4">
        <v>46038</v>
      </c>
      <c r="F1474" s="23">
        <v>2722556172241</v>
      </c>
      <c r="G1474" s="19">
        <v>2.6591540992509781</v>
      </c>
      <c r="H1474" s="31">
        <v>2705452081653</v>
      </c>
      <c r="I1474" s="31">
        <v>17104090588</v>
      </c>
      <c r="J1474" s="21">
        <v>335209009283</v>
      </c>
      <c r="K1474" s="19">
        <v>11.077293275647854</v>
      </c>
      <c r="L1474" s="23">
        <v>334428938793</v>
      </c>
      <c r="M1474" s="21">
        <v>780070490</v>
      </c>
    </row>
    <row r="1475" spans="2:13" x14ac:dyDescent="0.3">
      <c r="B1475" s="4">
        <v>46038</v>
      </c>
      <c r="C1475" s="24">
        <v>11.051515121260264</v>
      </c>
      <c r="E1475" s="4">
        <v>46041</v>
      </c>
      <c r="F1475" s="23">
        <v>2714062912030</v>
      </c>
      <c r="G1475" s="19">
        <v>2.641256490049317</v>
      </c>
      <c r="H1475" s="31">
        <v>2696820515975</v>
      </c>
      <c r="I1475" s="31">
        <v>17242396055</v>
      </c>
      <c r="J1475" s="21">
        <v>267276388428</v>
      </c>
      <c r="K1475" s="19">
        <v>9.8692061584863566</v>
      </c>
      <c r="L1475" s="23">
        <v>266322040728</v>
      </c>
      <c r="M1475" s="21">
        <v>954347700</v>
      </c>
    </row>
    <row r="1476" spans="2:13" x14ac:dyDescent="0.3">
      <c r="B1476" s="4">
        <v>46041</v>
      </c>
      <c r="C1476" s="24">
        <v>9.8339667785561886</v>
      </c>
      <c r="E1476" s="4">
        <v>46042</v>
      </c>
      <c r="F1476" s="23">
        <v>2700382645283</v>
      </c>
      <c r="G1476" s="19">
        <v>2.6359107340340509</v>
      </c>
      <c r="H1476" s="31">
        <v>2683043990172</v>
      </c>
      <c r="I1476" s="31">
        <v>17338655111</v>
      </c>
      <c r="J1476" s="21">
        <v>263527395134</v>
      </c>
      <c r="K1476" s="19">
        <v>9.487571174271876</v>
      </c>
      <c r="L1476" s="23">
        <v>262427728755</v>
      </c>
      <c r="M1476" s="21">
        <v>1099666379</v>
      </c>
    </row>
    <row r="1477" spans="2:13" x14ac:dyDescent="0.3">
      <c r="B1477" s="4">
        <v>46042</v>
      </c>
      <c r="C1477" s="24">
        <v>9.4479807437080581</v>
      </c>
      <c r="E1477" s="4">
        <v>46043</v>
      </c>
      <c r="F1477" s="23">
        <v>2711974968957</v>
      </c>
      <c r="G1477" s="19">
        <v>2.6393379013702707</v>
      </c>
      <c r="H1477" s="31">
        <v>2694523080321</v>
      </c>
      <c r="I1477" s="31">
        <v>17451888636</v>
      </c>
      <c r="J1477" s="21">
        <v>259892358051</v>
      </c>
      <c r="K1477" s="19">
        <v>9.9941385271921241</v>
      </c>
      <c r="L1477" s="23">
        <v>259018269903</v>
      </c>
      <c r="M1477" s="21">
        <v>874088148</v>
      </c>
    </row>
    <row r="1478" spans="2:13" x14ac:dyDescent="0.3">
      <c r="B1478" s="4">
        <v>46043</v>
      </c>
      <c r="C1478" s="24">
        <v>9.9605255417946292</v>
      </c>
      <c r="E1478" s="4">
        <v>46044</v>
      </c>
      <c r="F1478" s="23">
        <v>2715927443555</v>
      </c>
      <c r="G1478" s="19">
        <v>2.6331960893418391</v>
      </c>
      <c r="H1478" s="31">
        <v>2698557225801</v>
      </c>
      <c r="I1478" s="31">
        <v>17370217754</v>
      </c>
      <c r="J1478" s="21">
        <v>267661334320</v>
      </c>
      <c r="K1478" s="19">
        <v>9.9447300412558413</v>
      </c>
      <c r="L1478" s="23">
        <v>266950356382</v>
      </c>
      <c r="M1478" s="21">
        <v>710977938</v>
      </c>
    </row>
    <row r="1479" spans="2:13" x14ac:dyDescent="0.3">
      <c r="B1479" s="4">
        <v>46044</v>
      </c>
      <c r="C1479" s="24">
        <v>9.918314258503127</v>
      </c>
      <c r="E1479" s="4">
        <v>46045</v>
      </c>
      <c r="F1479" s="23">
        <v>2714482759013</v>
      </c>
      <c r="G1479" s="19">
        <v>2.6150668913090649</v>
      </c>
      <c r="H1479" s="31">
        <v>2697148070427</v>
      </c>
      <c r="I1479" s="31">
        <v>17334688586</v>
      </c>
      <c r="J1479" s="21">
        <v>302071767388</v>
      </c>
      <c r="K1479" s="19">
        <v>9.7917164451428818</v>
      </c>
      <c r="L1479" s="23">
        <v>301364322785</v>
      </c>
      <c r="M1479" s="21">
        <v>707444603</v>
      </c>
    </row>
    <row r="1480" spans="2:13" x14ac:dyDescent="0.3">
      <c r="B1480" s="4">
        <v>46045</v>
      </c>
      <c r="C1480" s="24">
        <v>9.7687844875716028</v>
      </c>
      <c r="E1480" s="4">
        <v>46048</v>
      </c>
      <c r="F1480" s="23">
        <v>2716521008946</v>
      </c>
      <c r="G1480" s="19">
        <v>2.6272879374084979</v>
      </c>
      <c r="H1480" s="31">
        <v>2699102833268</v>
      </c>
      <c r="I1480" s="31">
        <v>17418175678</v>
      </c>
      <c r="J1480" s="21">
        <v>310103336120</v>
      </c>
      <c r="K1480" s="19">
        <v>9.5480138781981783</v>
      </c>
      <c r="L1480" s="23">
        <v>309058996819</v>
      </c>
      <c r="M1480" s="21">
        <v>1044339301</v>
      </c>
    </row>
    <row r="1481" spans="2:13" x14ac:dyDescent="0.3">
      <c r="B1481" s="4">
        <v>46048</v>
      </c>
      <c r="C1481" s="24">
        <v>9.515858899589249</v>
      </c>
      <c r="E1481" s="4">
        <v>46049</v>
      </c>
      <c r="F1481" s="23">
        <v>2714435493833</v>
      </c>
      <c r="G1481" s="19">
        <v>2.6230863973609684</v>
      </c>
      <c r="H1481" s="31">
        <v>2696948999309</v>
      </c>
      <c r="I1481" s="31">
        <v>17486494524</v>
      </c>
      <c r="J1481" s="21">
        <v>278417112724</v>
      </c>
      <c r="K1481" s="19">
        <v>9.6180746585296788</v>
      </c>
      <c r="L1481" s="23">
        <v>277417920680</v>
      </c>
      <c r="M1481" s="21">
        <v>999192044</v>
      </c>
    </row>
    <row r="1482" spans="2:13" x14ac:dyDescent="0.3">
      <c r="B1482" s="4">
        <v>46049</v>
      </c>
      <c r="C1482" s="24">
        <v>9.5835570113083026</v>
      </c>
      <c r="E1482" s="4">
        <v>46050</v>
      </c>
      <c r="F1482" s="23">
        <v>2733682112600</v>
      </c>
      <c r="G1482" s="19">
        <v>2.6373368278681384</v>
      </c>
      <c r="H1482" s="31">
        <v>2716299659866</v>
      </c>
      <c r="I1482" s="31">
        <v>17382452734</v>
      </c>
      <c r="J1482" s="21">
        <v>295155437869</v>
      </c>
      <c r="K1482" s="19">
        <v>9.9543554138960033</v>
      </c>
      <c r="L1482" s="23">
        <v>294365281984</v>
      </c>
      <c r="M1482" s="21">
        <v>790155885</v>
      </c>
    </row>
    <row r="1483" spans="2:13" x14ac:dyDescent="0.3">
      <c r="B1483" s="4">
        <v>46050</v>
      </c>
      <c r="C1483" s="24">
        <v>9.9277067688008636</v>
      </c>
      <c r="E1483" s="4">
        <v>46051</v>
      </c>
      <c r="F1483" s="23">
        <v>2730423531850</v>
      </c>
      <c r="G1483" s="19">
        <v>2.6352742223005263</v>
      </c>
      <c r="H1483" s="31">
        <v>2713292657149</v>
      </c>
      <c r="I1483" s="31">
        <v>17130874701</v>
      </c>
      <c r="J1483" s="21">
        <v>312153008206</v>
      </c>
      <c r="K1483" s="19">
        <v>9.6650352307682645</v>
      </c>
      <c r="L1483" s="23">
        <v>311137361910</v>
      </c>
      <c r="M1483" s="21">
        <v>1015646296</v>
      </c>
    </row>
    <row r="1484" spans="2:13" x14ac:dyDescent="0.3">
      <c r="B1484" s="4">
        <v>46051</v>
      </c>
      <c r="C1484" s="24">
        <v>9.63358828976566</v>
      </c>
      <c r="E1484" s="4">
        <v>46052</v>
      </c>
      <c r="F1484" s="23">
        <v>2706474454539</v>
      </c>
      <c r="G1484" s="19">
        <v>2.6355051158175442</v>
      </c>
      <c r="H1484" s="31">
        <v>2689875945094</v>
      </c>
      <c r="I1484" s="31">
        <v>16598509445</v>
      </c>
      <c r="J1484" s="21">
        <v>266816509454</v>
      </c>
      <c r="K1484" s="19">
        <v>9.4108051498277732</v>
      </c>
      <c r="L1484" s="23">
        <v>265964857249</v>
      </c>
      <c r="M1484" s="21">
        <v>851652205</v>
      </c>
    </row>
    <row r="1485" spans="2:13" x14ac:dyDescent="0.3">
      <c r="B1485" s="4">
        <v>46052</v>
      </c>
      <c r="C1485" s="24">
        <v>9.3807667801141559</v>
      </c>
      <c r="E1485" s="4">
        <v>46055</v>
      </c>
      <c r="F1485" s="23">
        <v>2700354699603</v>
      </c>
      <c r="G1485" s="19">
        <v>2.6949762216875182</v>
      </c>
      <c r="H1485" s="31">
        <v>2683946105688</v>
      </c>
      <c r="I1485" s="31">
        <v>16408593915</v>
      </c>
      <c r="J1485" s="21">
        <v>242399764311</v>
      </c>
      <c r="K1485" s="19">
        <v>9.379042657874761</v>
      </c>
      <c r="L1485" s="23">
        <v>241027307453</v>
      </c>
      <c r="M1485" s="21">
        <v>1372456858</v>
      </c>
    </row>
    <row r="1486" spans="2:13" x14ac:dyDescent="0.3">
      <c r="B1486" s="4">
        <v>46055</v>
      </c>
      <c r="C1486" s="24">
        <v>9.3259389287772372</v>
      </c>
      <c r="E1486" s="4">
        <v>46056</v>
      </c>
      <c r="F1486" s="23">
        <v>2697775543658</v>
      </c>
      <c r="G1486" s="19">
        <v>2.6476619650717903</v>
      </c>
      <c r="H1486" s="31">
        <v>2681051984202</v>
      </c>
      <c r="I1486" s="31">
        <v>16723559456</v>
      </c>
      <c r="J1486" s="21">
        <v>244528453493</v>
      </c>
      <c r="K1486" s="19">
        <v>9.6117306933099886</v>
      </c>
      <c r="L1486" s="23">
        <v>243487287829</v>
      </c>
      <c r="M1486" s="21">
        <v>1041165664</v>
      </c>
    </row>
    <row r="1487" spans="2:13" x14ac:dyDescent="0.3">
      <c r="B1487" s="4">
        <v>46056</v>
      </c>
      <c r="C1487" s="24">
        <v>9.570805378376134</v>
      </c>
      <c r="E1487" s="4">
        <v>46057</v>
      </c>
      <c r="F1487" s="23">
        <v>2684125015228</v>
      </c>
      <c r="G1487" s="19">
        <v>2.6167135833294211</v>
      </c>
      <c r="H1487" s="31">
        <v>2667151010054</v>
      </c>
      <c r="I1487" s="31">
        <v>16974005174</v>
      </c>
      <c r="J1487" s="21">
        <v>224522272195</v>
      </c>
      <c r="K1487" s="19">
        <v>9.0505638967774544</v>
      </c>
      <c r="L1487" s="23">
        <v>223418490487</v>
      </c>
      <c r="M1487" s="21">
        <v>1103781708</v>
      </c>
    </row>
    <row r="1488" spans="2:13" x14ac:dyDescent="0.3">
      <c r="B1488" s="4">
        <v>46057</v>
      </c>
      <c r="C1488" s="24">
        <v>9.0060701065682061</v>
      </c>
      <c r="E1488" s="4">
        <v>46058</v>
      </c>
      <c r="F1488" s="23">
        <v>2672187068152</v>
      </c>
      <c r="G1488" s="19">
        <v>2.6279898799964054</v>
      </c>
      <c r="H1488" s="31">
        <v>2655394024084</v>
      </c>
      <c r="I1488" s="31">
        <v>16793044068</v>
      </c>
      <c r="J1488" s="21">
        <v>198706807341</v>
      </c>
      <c r="K1488" s="19">
        <v>9.1318156730273561</v>
      </c>
      <c r="L1488" s="23">
        <v>197732138384</v>
      </c>
      <c r="M1488" s="21">
        <v>974668957</v>
      </c>
    </row>
    <row r="1489" spans="2:13" x14ac:dyDescent="0.3">
      <c r="B1489" s="4">
        <v>46058</v>
      </c>
      <c r="C1489" s="24">
        <v>9.0870235625976825</v>
      </c>
      <c r="E1489" s="4">
        <v>46059</v>
      </c>
      <c r="F1489" s="23">
        <v>2654998242801</v>
      </c>
      <c r="G1489" s="19">
        <v>2.6157141206806656</v>
      </c>
      <c r="H1489" s="31">
        <v>2638383830521</v>
      </c>
      <c r="I1489" s="31">
        <v>16614412280</v>
      </c>
      <c r="J1489" s="21">
        <v>190455168092</v>
      </c>
      <c r="K1489" s="19">
        <v>8.8766909020763336</v>
      </c>
      <c r="L1489" s="23">
        <v>189560648867</v>
      </c>
      <c r="M1489" s="21">
        <v>894519225</v>
      </c>
    </row>
    <row r="1490" spans="2:13" x14ac:dyDescent="0.3">
      <c r="B1490" s="4">
        <v>46059</v>
      </c>
      <c r="C1490" s="24">
        <v>8.8349993546857455</v>
      </c>
      <c r="E1490" s="4">
        <v>46062</v>
      </c>
      <c r="F1490" s="23">
        <v>2655613286996</v>
      </c>
      <c r="G1490" s="19">
        <v>2.5743627381982481</v>
      </c>
      <c r="H1490" s="31">
        <v>2638781838995</v>
      </c>
      <c r="I1490" s="31">
        <v>16831448001</v>
      </c>
      <c r="J1490" s="21">
        <v>215689657685</v>
      </c>
      <c r="K1490" s="19">
        <v>9.5892499202902375</v>
      </c>
      <c r="L1490" s="23">
        <v>214959476667</v>
      </c>
      <c r="M1490" s="21">
        <v>730181018</v>
      </c>
    </row>
    <row r="1491" spans="2:13" x14ac:dyDescent="0.3">
      <c r="B1491" s="4">
        <v>46062</v>
      </c>
      <c r="C1491" s="24">
        <v>9.5567871293349107</v>
      </c>
      <c r="E1491" s="4">
        <v>46063</v>
      </c>
      <c r="F1491" s="23">
        <v>2651782703096</v>
      </c>
      <c r="G1491" s="19">
        <v>2.5682744765589494</v>
      </c>
      <c r="H1491" s="31">
        <v>2635049141945</v>
      </c>
      <c r="I1491" s="31">
        <v>16733561151</v>
      </c>
      <c r="J1491" s="21">
        <v>191940966847</v>
      </c>
      <c r="K1491" s="19">
        <v>9.1165500468546963</v>
      </c>
      <c r="L1491" s="23">
        <v>191294096295</v>
      </c>
      <c r="M1491" s="21">
        <v>646870552</v>
      </c>
    </row>
    <row r="1492" spans="2:13" x14ac:dyDescent="0.3">
      <c r="B1492" s="4">
        <v>46063</v>
      </c>
      <c r="C1492" s="24">
        <v>9.0858258723440759</v>
      </c>
      <c r="E1492" s="4">
        <v>46064</v>
      </c>
      <c r="F1492" s="23">
        <v>2635790319230</v>
      </c>
      <c r="G1492" s="19">
        <v>2.553834068814782</v>
      </c>
      <c r="H1492" s="31">
        <v>2619179391302</v>
      </c>
      <c r="I1492" s="31">
        <v>16610927928</v>
      </c>
      <c r="J1492" s="21">
        <v>179903661694</v>
      </c>
      <c r="K1492" s="19">
        <v>9.0672986429169615</v>
      </c>
      <c r="L1492" s="23">
        <v>179277550895</v>
      </c>
      <c r="M1492" s="21">
        <v>626110799</v>
      </c>
    </row>
    <row r="1493" spans="2:13" x14ac:dyDescent="0.3">
      <c r="B1493" s="4">
        <v>46064</v>
      </c>
      <c r="C1493" s="24">
        <v>9.0357421223623948</v>
      </c>
      <c r="E1493" s="4">
        <v>46065</v>
      </c>
      <c r="F1493" s="23">
        <v>2636861575803</v>
      </c>
      <c r="G1493" s="19">
        <v>2.5492047189095874</v>
      </c>
      <c r="H1493" s="31">
        <v>2620597108157</v>
      </c>
      <c r="I1493" s="31">
        <v>16264467646</v>
      </c>
      <c r="J1493" s="21">
        <v>215274750901</v>
      </c>
      <c r="K1493" s="19">
        <v>10.052487519806132</v>
      </c>
      <c r="L1493" s="23">
        <v>214811941067</v>
      </c>
      <c r="M1493" s="21">
        <v>462809834</v>
      </c>
    </row>
    <row r="1494" spans="2:13" x14ac:dyDescent="0.3">
      <c r="B1494" s="4">
        <v>46065</v>
      </c>
      <c r="C1494" s="24">
        <v>10.030876113633987</v>
      </c>
      <c r="E1494" s="4">
        <v>46066</v>
      </c>
      <c r="F1494" s="23">
        <v>2579757824367</v>
      </c>
      <c r="G1494" s="19">
        <v>2.5241587757186159</v>
      </c>
      <c r="H1494" s="31">
        <v>2564012285101</v>
      </c>
      <c r="I1494" s="31">
        <v>15745539266</v>
      </c>
      <c r="J1494" s="21">
        <v>179206174425</v>
      </c>
      <c r="K1494" s="19">
        <v>9.0393809182761515</v>
      </c>
      <c r="L1494" s="23">
        <v>178539362611</v>
      </c>
      <c r="M1494" s="21">
        <v>666811814</v>
      </c>
    </row>
    <row r="1495" spans="2:13" x14ac:dyDescent="0.3">
      <c r="B1495" s="4">
        <v>46066</v>
      </c>
      <c r="C1495" s="24">
        <v>9.0057461062676207</v>
      </c>
      <c r="E1495" s="4">
        <v>46077</v>
      </c>
      <c r="F1495" s="23">
        <v>2614238837498</v>
      </c>
      <c r="G1495" s="19">
        <v>2.5304752635498566</v>
      </c>
      <c r="H1495" s="31">
        <v>2597750389722</v>
      </c>
      <c r="I1495" s="31">
        <v>16488447776</v>
      </c>
      <c r="J1495" s="21">
        <v>227273468092</v>
      </c>
      <c r="K1495" s="19">
        <v>10.3222540780634</v>
      </c>
      <c r="L1495" s="23">
        <v>226157126957</v>
      </c>
      <c r="M1495" s="21">
        <v>1116341135</v>
      </c>
    </row>
    <row r="1496" spans="2:13" x14ac:dyDescent="0.3">
      <c r="B1496" s="4">
        <v>46077</v>
      </c>
      <c r="C1496" s="24">
        <v>10.271552353264624</v>
      </c>
      <c r="E1496" s="4">
        <v>46078</v>
      </c>
      <c r="F1496" s="23">
        <v>2638104090478</v>
      </c>
      <c r="G1496" s="19">
        <v>2.5305016485608287</v>
      </c>
      <c r="H1496" s="31">
        <v>2621383885644</v>
      </c>
      <c r="I1496" s="31">
        <v>16720204834</v>
      </c>
      <c r="J1496" s="21">
        <v>246679662522</v>
      </c>
      <c r="K1496" s="19">
        <v>10.018523398810004</v>
      </c>
      <c r="L1496" s="23">
        <v>245807632952</v>
      </c>
      <c r="M1496" s="21">
        <v>872029570</v>
      </c>
    </row>
    <row r="1497" spans="2:13" x14ac:dyDescent="0.3">
      <c r="B1497" s="4">
        <v>46078</v>
      </c>
      <c r="C1497" s="24">
        <v>9.9831072296691037</v>
      </c>
      <c r="E1497" s="4">
        <v>46079</v>
      </c>
      <c r="F1497" s="23">
        <v>2658461113254</v>
      </c>
      <c r="G1497" s="19">
        <v>2.5474079270214847</v>
      </c>
      <c r="H1497" s="31">
        <v>2641396664216</v>
      </c>
      <c r="I1497" s="31">
        <v>17064449038</v>
      </c>
      <c r="J1497" s="21">
        <v>256433648071</v>
      </c>
      <c r="K1497" s="19">
        <v>10.102825864608386</v>
      </c>
      <c r="L1497" s="23">
        <v>255336917055</v>
      </c>
      <c r="M1497" s="21">
        <v>1096731016</v>
      </c>
    </row>
    <row r="1498" spans="2:13" x14ac:dyDescent="0.3">
      <c r="B1498" s="4">
        <v>46079</v>
      </c>
      <c r="C1498" s="24">
        <v>10.059617484747506</v>
      </c>
      <c r="E1498" s="4">
        <v>46080</v>
      </c>
      <c r="F1498" s="23">
        <v>2660588287103</v>
      </c>
      <c r="G1498" s="19">
        <v>2.5402474394097623</v>
      </c>
      <c r="H1498" s="31">
        <v>2643255222910</v>
      </c>
      <c r="I1498" s="31">
        <v>17333064193</v>
      </c>
      <c r="J1498" s="21">
        <v>242948333871</v>
      </c>
      <c r="K1498" s="19">
        <v>9.7683656222995427</v>
      </c>
      <c r="L1498" s="23">
        <v>242063856413</v>
      </c>
      <c r="M1498" s="21">
        <v>884477458</v>
      </c>
    </row>
    <row r="1499" spans="2:13" x14ac:dyDescent="0.3">
      <c r="B1499" s="4">
        <v>46080</v>
      </c>
      <c r="C1499" s="24">
        <v>9.7328029203177557</v>
      </c>
      <c r="E1499" s="4">
        <v>46083</v>
      </c>
      <c r="F1499" s="23">
        <v>2665555289888</v>
      </c>
      <c r="G1499" s="19">
        <v>2.544080951036702</v>
      </c>
      <c r="H1499" s="31">
        <v>2647833221815</v>
      </c>
      <c r="I1499" s="31">
        <v>17722068073</v>
      </c>
      <c r="J1499" s="21">
        <v>279901580263</v>
      </c>
      <c r="K1499" s="19">
        <v>9.2674620988041045</v>
      </c>
      <c r="L1499" s="23">
        <v>278651994481</v>
      </c>
      <c r="M1499" s="21">
        <v>1249585782</v>
      </c>
    </row>
    <row r="1500" spans="2:13" x14ac:dyDescent="0.3">
      <c r="B1500" s="4">
        <v>46083</v>
      </c>
      <c r="C1500" s="24">
        <v>9.2260886672464544</v>
      </c>
      <c r="E1500" s="4">
        <v>46084</v>
      </c>
      <c r="F1500" s="23">
        <v>2642883362417</v>
      </c>
      <c r="G1500" s="19">
        <v>2.5766103617002756</v>
      </c>
      <c r="H1500" s="31">
        <v>2625355638801</v>
      </c>
      <c r="I1500" s="31">
        <v>17527723616</v>
      </c>
      <c r="J1500" s="21">
        <v>282483348052</v>
      </c>
      <c r="K1500" s="19">
        <v>9.0276884452663282</v>
      </c>
      <c r="L1500" s="23">
        <v>281026004078</v>
      </c>
      <c r="M1500" s="21">
        <v>1457343974</v>
      </c>
    </row>
    <row r="1501" spans="2:13" x14ac:dyDescent="0.3">
      <c r="B1501" s="4">
        <v>46084</v>
      </c>
      <c r="C1501" s="24">
        <v>8.9811142048886747</v>
      </c>
      <c r="E1501" s="4">
        <v>46085</v>
      </c>
      <c r="F1501" s="23">
        <v>2634306997293</v>
      </c>
      <c r="G1501" s="19">
        <v>2.5895842850025637</v>
      </c>
      <c r="H1501" s="31">
        <v>2617107659727</v>
      </c>
      <c r="I1501" s="31">
        <v>17199337566</v>
      </c>
      <c r="J1501" s="21">
        <v>211786791455</v>
      </c>
      <c r="K1501" s="19">
        <v>8.95313720381235</v>
      </c>
      <c r="L1501" s="23">
        <v>210695141020</v>
      </c>
      <c r="M1501" s="21">
        <v>1091650435</v>
      </c>
    </row>
    <row r="1502" spans="2:13" x14ac:dyDescent="0.3">
      <c r="B1502" s="4">
        <v>46085</v>
      </c>
      <c r="C1502" s="24">
        <v>8.9069884517772966</v>
      </c>
      <c r="E1502" s="4">
        <v>46086</v>
      </c>
      <c r="F1502" s="23">
        <v>2643411710473</v>
      </c>
      <c r="G1502" s="19">
        <v>2.5764783856367082</v>
      </c>
      <c r="H1502" s="31">
        <v>2625435939602</v>
      </c>
      <c r="I1502" s="31">
        <v>17975770871</v>
      </c>
      <c r="J1502" s="21">
        <v>228719215376</v>
      </c>
      <c r="K1502" s="19">
        <v>9.5704716639846001</v>
      </c>
      <c r="L1502" s="23">
        <v>227365839777</v>
      </c>
      <c r="M1502" s="21">
        <v>1353375599</v>
      </c>
    </row>
    <row r="1503" spans="2:13" x14ac:dyDescent="0.3">
      <c r="B1503" s="4">
        <v>46086</v>
      </c>
      <c r="C1503" s="24">
        <v>9.513841341955624</v>
      </c>
      <c r="E1503" s="4">
        <v>46087</v>
      </c>
      <c r="F1503" s="23">
        <v>2637202366684</v>
      </c>
      <c r="G1503" s="19">
        <v>2.5553447326233005</v>
      </c>
      <c r="H1503" s="31">
        <v>2619309085077</v>
      </c>
      <c r="I1503" s="31">
        <v>17893281607</v>
      </c>
      <c r="J1503" s="21">
        <v>201970231293</v>
      </c>
      <c r="K1503" s="19">
        <v>9.1805775993255647</v>
      </c>
      <c r="L1503" s="23">
        <v>201137345337</v>
      </c>
      <c r="M1503" s="21">
        <v>832885956</v>
      </c>
    </row>
    <row r="1504" spans="2:13" x14ac:dyDescent="0.3">
      <c r="B1504" s="4">
        <v>46087</v>
      </c>
      <c r="C1504" s="24">
        <v>9.1427186826847571</v>
      </c>
      <c r="E1504" s="4">
        <v>46090</v>
      </c>
      <c r="F1504" s="23">
        <v>2637169264428</v>
      </c>
      <c r="G1504" s="19">
        <v>2.5725152229216528</v>
      </c>
      <c r="H1504" s="31">
        <v>2619048882638</v>
      </c>
      <c r="I1504" s="31">
        <v>18120381790</v>
      </c>
      <c r="J1504" s="21">
        <v>239391766152</v>
      </c>
      <c r="K1504" s="19">
        <v>9.0430548566518443</v>
      </c>
      <c r="L1504" s="23">
        <v>238134453456</v>
      </c>
      <c r="M1504" s="21">
        <v>1257312696</v>
      </c>
    </row>
    <row r="1505" spans="2:13" x14ac:dyDescent="0.3">
      <c r="B1505" s="4">
        <v>46090</v>
      </c>
      <c r="C1505" s="24">
        <v>8.995559707321295</v>
      </c>
      <c r="E1505" s="4">
        <v>46091</v>
      </c>
      <c r="F1505" s="23">
        <v>2646825121373</v>
      </c>
      <c r="G1505" s="19">
        <v>2.553685544018153</v>
      </c>
      <c r="H1505" s="31">
        <v>2628777076224</v>
      </c>
      <c r="I1505" s="31">
        <v>18048045149</v>
      </c>
      <c r="J1505" s="21">
        <v>234264437173</v>
      </c>
      <c r="K1505" s="19">
        <v>9.7704112383154893</v>
      </c>
      <c r="L1505" s="23">
        <v>233384087942</v>
      </c>
      <c r="M1505" s="21">
        <v>880349231</v>
      </c>
    </row>
    <row r="1506" spans="2:13" x14ac:dyDescent="0.3">
      <c r="B1506" s="4">
        <v>46091</v>
      </c>
      <c r="C1506" s="24">
        <v>9.7336947220401111</v>
      </c>
      <c r="E1506" s="4">
        <v>46092</v>
      </c>
      <c r="F1506" s="23">
        <v>2652750472632</v>
      </c>
      <c r="G1506" s="19">
        <v>2.5496558137010337</v>
      </c>
      <c r="H1506" s="31">
        <v>2634199544732</v>
      </c>
      <c r="I1506" s="31">
        <v>18550927900</v>
      </c>
      <c r="J1506" s="21">
        <v>243657039979</v>
      </c>
      <c r="K1506" s="19">
        <v>9.7144221397740562</v>
      </c>
      <c r="L1506" s="23">
        <v>242423192880</v>
      </c>
      <c r="M1506" s="21">
        <v>1233847099</v>
      </c>
    </row>
    <row r="1507" spans="2:13" x14ac:dyDescent="0.3">
      <c r="B1507" s="4">
        <v>46092</v>
      </c>
      <c r="C1507" s="24">
        <v>9.6652295879124122</v>
      </c>
      <c r="E1507" s="4">
        <v>46093</v>
      </c>
      <c r="F1507" s="23">
        <v>2656152701224</v>
      </c>
      <c r="G1507" s="19">
        <v>2.5608587934037956</v>
      </c>
      <c r="H1507" s="31">
        <v>2637441320399</v>
      </c>
      <c r="I1507" s="31">
        <v>18711380825</v>
      </c>
      <c r="J1507" s="21">
        <v>232848469797</v>
      </c>
      <c r="K1507" s="19">
        <v>9.5364379471828205</v>
      </c>
      <c r="L1507" s="23">
        <v>231823976725</v>
      </c>
      <c r="M1507" s="21">
        <v>1024493072</v>
      </c>
    </row>
    <row r="1508" spans="2:13" x14ac:dyDescent="0.3">
      <c r="B1508" s="4">
        <v>46093</v>
      </c>
      <c r="C1508" s="24">
        <v>9.4944792664280619</v>
      </c>
      <c r="E1508" s="4">
        <v>46094</v>
      </c>
      <c r="F1508" s="23">
        <v>2643283550179</v>
      </c>
      <c r="G1508" s="19">
        <v>2.5697564232458259</v>
      </c>
      <c r="H1508" s="31">
        <v>2624833288165</v>
      </c>
      <c r="I1508" s="31">
        <v>18450262014</v>
      </c>
      <c r="J1508" s="21">
        <v>218738198415</v>
      </c>
      <c r="K1508" s="19">
        <v>9.1137667900056485</v>
      </c>
      <c r="L1508" s="23">
        <v>217870748974</v>
      </c>
      <c r="M1508" s="21">
        <v>867449441</v>
      </c>
    </row>
    <row r="1509" spans="2:13" x14ac:dyDescent="0.3">
      <c r="B1509" s="4">
        <v>46094</v>
      </c>
      <c r="C1509" s="24">
        <v>9.0776243513978496</v>
      </c>
      <c r="E1509" s="4">
        <v>46097</v>
      </c>
      <c r="F1509" s="23">
        <v>2652932399602</v>
      </c>
      <c r="G1509" s="19">
        <v>2.5817476532972581</v>
      </c>
      <c r="H1509" s="31">
        <v>2634554002442</v>
      </c>
      <c r="I1509" s="31">
        <v>18378397160</v>
      </c>
      <c r="J1509" s="21">
        <v>223535938206</v>
      </c>
      <c r="K1509" s="19">
        <v>9.6139455720327049</v>
      </c>
      <c r="L1509" s="23">
        <v>222716337660</v>
      </c>
      <c r="M1509" s="21">
        <v>819600546</v>
      </c>
    </row>
    <row r="1510" spans="2:13" x14ac:dyDescent="0.3">
      <c r="B1510" s="4">
        <v>46097</v>
      </c>
      <c r="C1510" s="24">
        <v>9.5786957813131881</v>
      </c>
      <c r="E1510" s="4">
        <v>46098</v>
      </c>
      <c r="F1510" s="23">
        <v>2643592135918</v>
      </c>
      <c r="G1510" s="19">
        <v>2.6045070339106671</v>
      </c>
      <c r="H1510" s="31">
        <v>2625550250825</v>
      </c>
      <c r="I1510" s="31">
        <v>18041885093</v>
      </c>
      <c r="J1510" s="21">
        <v>199604848659</v>
      </c>
      <c r="K1510" s="19">
        <v>9.0412911108620513</v>
      </c>
      <c r="L1510" s="23">
        <v>198719420856</v>
      </c>
      <c r="M1510" s="21">
        <v>885427803</v>
      </c>
    </row>
    <row r="1511" spans="2:13" x14ac:dyDescent="0.3">
      <c r="B1511" s="4">
        <v>46098</v>
      </c>
      <c r="C1511" s="24">
        <v>9.0011848179620699</v>
      </c>
      <c r="E1511" s="4">
        <v>46099</v>
      </c>
      <c r="F1511" s="23">
        <v>2646162809730</v>
      </c>
      <c r="G1511" s="19">
        <v>2.5922309106543282</v>
      </c>
      <c r="H1511" s="31">
        <v>2628124337772</v>
      </c>
      <c r="I1511" s="31">
        <v>18038471958</v>
      </c>
      <c r="J1511" s="21">
        <v>192888221542</v>
      </c>
      <c r="K1511" s="19">
        <v>9.4281575781370535</v>
      </c>
      <c r="L1511" s="23">
        <v>192019943000</v>
      </c>
      <c r="M1511" s="21">
        <v>868278542</v>
      </c>
    </row>
    <row r="1512" spans="2:13" x14ac:dyDescent="0.3">
      <c r="B1512" s="4">
        <v>46099</v>
      </c>
      <c r="C1512" s="24">
        <v>9.3857171074320611</v>
      </c>
      <c r="E1512" s="4">
        <v>46100</v>
      </c>
      <c r="F1512" s="23">
        <v>2641712146772</v>
      </c>
      <c r="G1512" s="19">
        <v>2.6320394609763005</v>
      </c>
      <c r="H1512" s="31">
        <v>2623835315111</v>
      </c>
      <c r="I1512" s="31">
        <v>17876831661</v>
      </c>
      <c r="J1512" s="21">
        <v>192235332135</v>
      </c>
      <c r="K1512" s="19">
        <v>9.1074052824351792</v>
      </c>
      <c r="L1512" s="23">
        <v>191244367424</v>
      </c>
      <c r="M1512" s="21">
        <v>990964711</v>
      </c>
    </row>
    <row r="1513" spans="2:13" x14ac:dyDescent="0.3">
      <c r="B1513" s="4">
        <v>46100</v>
      </c>
      <c r="C1513" s="24">
        <v>9.0604570074046027</v>
      </c>
      <c r="E1513" s="4">
        <v>46101</v>
      </c>
      <c r="F1513" s="23">
        <v>2624020260607</v>
      </c>
      <c r="G1513" s="19">
        <v>2.6456985257370951</v>
      </c>
      <c r="H1513" s="31">
        <v>2606569847833</v>
      </c>
      <c r="I1513" s="31">
        <v>17450412774</v>
      </c>
      <c r="J1513" s="21">
        <v>207887334594</v>
      </c>
      <c r="K1513" s="19">
        <v>9.0915704582250108</v>
      </c>
      <c r="L1513" s="23">
        <v>206965591780</v>
      </c>
      <c r="M1513" s="21">
        <v>921742814</v>
      </c>
    </row>
    <row r="1514" spans="2:13" x14ac:dyDescent="0.3">
      <c r="B1514" s="4">
        <v>46101</v>
      </c>
      <c r="C1514" s="24">
        <v>9.0512597305214229</v>
      </c>
      <c r="E1514" s="4">
        <v>46104</v>
      </c>
      <c r="F1514" s="23">
        <v>2611867978013</v>
      </c>
      <c r="G1514" s="19">
        <v>2.73767752515062</v>
      </c>
      <c r="H1514" s="31">
        <v>2595170904991</v>
      </c>
      <c r="I1514" s="31">
        <v>16697073022</v>
      </c>
      <c r="J1514" s="21">
        <v>210659690338</v>
      </c>
      <c r="K1514" s="19">
        <v>8.6649876926025389</v>
      </c>
      <c r="L1514" s="23">
        <v>209664449441</v>
      </c>
      <c r="M1514" s="21">
        <v>995240897</v>
      </c>
    </row>
    <row r="1515" spans="2:13" x14ac:dyDescent="0.3">
      <c r="B1515" s="4">
        <v>46104</v>
      </c>
      <c r="C1515" s="24">
        <v>8.6240508142190038</v>
      </c>
      <c r="E1515" s="4">
        <v>46105</v>
      </c>
      <c r="F1515" s="23">
        <v>2605458728437</v>
      </c>
      <c r="G1515" s="19">
        <v>2.679703149298347</v>
      </c>
      <c r="H1515" s="31">
        <v>2588296184219</v>
      </c>
      <c r="I1515" s="31">
        <v>17162544218</v>
      </c>
      <c r="J1515" s="21">
        <v>180869585332</v>
      </c>
      <c r="K1515" s="19">
        <v>8.6843295098413762</v>
      </c>
      <c r="L1515" s="23">
        <v>179802195859</v>
      </c>
      <c r="M1515" s="21">
        <v>1067389473</v>
      </c>
    </row>
    <row r="1516" spans="2:13" x14ac:dyDescent="0.3">
      <c r="B1516" s="4">
        <v>46105</v>
      </c>
      <c r="C1516" s="24">
        <v>8.6330795338885213</v>
      </c>
      <c r="E1516" s="4">
        <v>46106</v>
      </c>
      <c r="F1516" s="23">
        <v>2609347726552</v>
      </c>
      <c r="G1516" s="19">
        <v>2.6414474111687358</v>
      </c>
      <c r="H1516" s="31">
        <v>2591468692480</v>
      </c>
      <c r="I1516" s="31">
        <v>17879034072</v>
      </c>
      <c r="J1516" s="21">
        <v>206904563956</v>
      </c>
      <c r="K1516" s="19">
        <v>9.4926377779591409</v>
      </c>
      <c r="L1516" s="23">
        <v>205731517102</v>
      </c>
      <c r="M1516" s="21">
        <v>1173046854</v>
      </c>
    </row>
    <row r="1517" spans="2:13" x14ac:dyDescent="0.3">
      <c r="B1517" s="4">
        <v>46106</v>
      </c>
      <c r="C1517" s="24">
        <v>9.4388192025314641</v>
      </c>
      <c r="E1517" s="4">
        <v>46107</v>
      </c>
      <c r="F1517" s="23">
        <v>2608394463346</v>
      </c>
      <c r="G1517" s="19">
        <v>2.6724368819472697</v>
      </c>
      <c r="H1517" s="31">
        <v>2590604985033</v>
      </c>
      <c r="I1517" s="31">
        <v>17789478313</v>
      </c>
      <c r="J1517" s="21">
        <v>176649741776</v>
      </c>
      <c r="K1517" s="19">
        <v>9.0894802719837529</v>
      </c>
      <c r="L1517" s="23">
        <v>175653891143</v>
      </c>
      <c r="M1517" s="21">
        <v>995850633</v>
      </c>
    </row>
    <row r="1518" spans="2:13" x14ac:dyDescent="0.3">
      <c r="B1518" s="4">
        <v>46107</v>
      </c>
      <c r="C1518" s="24">
        <v>9.0382389591378267</v>
      </c>
      <c r="E1518" s="4">
        <v>46108</v>
      </c>
      <c r="F1518" s="23">
        <v>2600724635884</v>
      </c>
      <c r="G1518" s="19">
        <v>2.6408892532838832</v>
      </c>
      <c r="H1518" s="31">
        <v>2582693415482</v>
      </c>
      <c r="I1518" s="31">
        <v>18031220402</v>
      </c>
      <c r="J1518" s="21">
        <v>166417813238</v>
      </c>
      <c r="K1518" s="19">
        <v>8.98065127749814</v>
      </c>
      <c r="L1518" s="23">
        <v>165491141502</v>
      </c>
      <c r="M1518" s="21">
        <v>926671736</v>
      </c>
    </row>
    <row r="1519" spans="2:13" x14ac:dyDescent="0.3">
      <c r="B1519" s="4">
        <v>46108</v>
      </c>
      <c r="C1519" s="24">
        <v>8.9306439162198856</v>
      </c>
      <c r="E1519" s="4">
        <v>46111</v>
      </c>
      <c r="F1519" s="23">
        <v>2608795321442</v>
      </c>
      <c r="G1519" s="19">
        <v>2.6449652250880096</v>
      </c>
      <c r="H1519" s="31">
        <v>2590495142289</v>
      </c>
      <c r="I1519" s="31">
        <v>18300179153</v>
      </c>
      <c r="J1519" s="21">
        <v>173932318843</v>
      </c>
      <c r="K1519" s="19">
        <v>9.0795023356452731</v>
      </c>
      <c r="L1519" s="23">
        <v>172914537678</v>
      </c>
      <c r="M1519" s="21">
        <v>1017781165</v>
      </c>
    </row>
    <row r="1520" spans="2:13" x14ac:dyDescent="0.3">
      <c r="B1520" s="4">
        <v>46111</v>
      </c>
      <c r="C1520" s="24">
        <v>9.0263727819989796</v>
      </c>
      <c r="E1520" s="4">
        <v>46112</v>
      </c>
      <c r="F1520" s="23">
        <v>2600518101219</v>
      </c>
      <c r="G1520" s="19">
        <v>2.6674037959626098</v>
      </c>
      <c r="H1520" s="31">
        <v>2582338030855</v>
      </c>
      <c r="I1520" s="31">
        <v>18180070364</v>
      </c>
      <c r="J1520" s="21">
        <v>179593462188</v>
      </c>
      <c r="K1520" s="19">
        <v>9.0137776072527611</v>
      </c>
      <c r="L1520" s="23">
        <v>178625552112</v>
      </c>
      <c r="M1520" s="21">
        <v>967910076</v>
      </c>
    </row>
    <row r="1521" spans="2:13" x14ac:dyDescent="0.3">
      <c r="B1521" s="4">
        <v>46112</v>
      </c>
      <c r="C1521" s="24">
        <v>8.9651982989494883</v>
      </c>
      <c r="E1521" s="4">
        <v>46113</v>
      </c>
      <c r="F1521" s="23">
        <v>2601616687174</v>
      </c>
      <c r="G1521" s="19">
        <v>2.6284467529109148</v>
      </c>
      <c r="H1521" s="31">
        <v>2583044909907</v>
      </c>
      <c r="I1521" s="31">
        <v>18571777267</v>
      </c>
      <c r="J1521" s="21">
        <v>188837392034</v>
      </c>
      <c r="K1521" s="19">
        <v>9.3844789771235853</v>
      </c>
      <c r="L1521" s="23">
        <v>187964802590</v>
      </c>
      <c r="M1521" s="21">
        <v>872589444</v>
      </c>
    </row>
    <row r="1522" spans="2:13" x14ac:dyDescent="0.3">
      <c r="B1522" s="4">
        <v>46113</v>
      </c>
      <c r="C1522" s="24">
        <v>9.3411146984461748</v>
      </c>
      <c r="E1522" s="4">
        <v>46114</v>
      </c>
      <c r="F1522" s="23">
        <v>2590519281568</v>
      </c>
      <c r="G1522" s="19">
        <v>2.6448873594802169</v>
      </c>
      <c r="H1522" s="31">
        <v>2572055528853</v>
      </c>
      <c r="I1522" s="31">
        <v>18463752715</v>
      </c>
      <c r="J1522" s="21">
        <v>163451362966</v>
      </c>
      <c r="K1522" s="19">
        <v>8.8697439441445489</v>
      </c>
      <c r="L1522" s="23">
        <v>162403563628</v>
      </c>
      <c r="M1522" s="21">
        <v>1047799338</v>
      </c>
    </row>
    <row r="1523" spans="2:13" x14ac:dyDescent="0.3">
      <c r="B1523" s="4">
        <v>46114</v>
      </c>
      <c r="C1523" s="24">
        <v>8.8128847557948173</v>
      </c>
      <c r="E1523" s="4">
        <v>46115</v>
      </c>
      <c r="F1523" s="23">
        <v>2572800122416</v>
      </c>
      <c r="G1523" s="19">
        <v>2.6581769726439455</v>
      </c>
      <c r="H1523" s="31">
        <v>2554721808244</v>
      </c>
      <c r="I1523" s="31">
        <v>18078314172</v>
      </c>
      <c r="J1523" s="21">
        <v>150664449840</v>
      </c>
      <c r="K1523" s="19">
        <v>9.0963072917581886</v>
      </c>
      <c r="L1523" s="23">
        <v>149928777538</v>
      </c>
      <c r="M1523" s="21">
        <v>735672302</v>
      </c>
    </row>
    <row r="1524" spans="2:13" x14ac:dyDescent="0.3">
      <c r="B1524" s="4">
        <v>46115</v>
      </c>
      <c r="C1524" s="24">
        <v>9.0518913639654421</v>
      </c>
      <c r="E1524" s="4">
        <v>46119</v>
      </c>
      <c r="F1524" s="23">
        <v>2576896526441</v>
      </c>
      <c r="G1524" s="19">
        <v>2.6498679884642002</v>
      </c>
      <c r="H1524" s="31">
        <v>2558522218973</v>
      </c>
      <c r="I1524" s="31">
        <v>18374307468</v>
      </c>
      <c r="J1524" s="21">
        <v>149687417259</v>
      </c>
      <c r="K1524" s="19">
        <v>9.2731849951893679</v>
      </c>
      <c r="L1524" s="23">
        <v>148822216003</v>
      </c>
      <c r="M1524" s="21">
        <v>865201256</v>
      </c>
    </row>
    <row r="1525" spans="2:13" x14ac:dyDescent="0.3">
      <c r="B1525" s="4">
        <v>46119</v>
      </c>
      <c r="C1525" s="24">
        <v>9.2195854912906814</v>
      </c>
      <c r="E1525" s="4">
        <v>46120</v>
      </c>
      <c r="F1525" s="23">
        <v>2593332997617</v>
      </c>
      <c r="G1525" s="19">
        <v>2.5812749210405328</v>
      </c>
      <c r="H1525" s="31">
        <v>2574652442848</v>
      </c>
      <c r="I1525" s="31">
        <v>18680554769</v>
      </c>
      <c r="J1525" s="21">
        <v>242477159677</v>
      </c>
      <c r="K1525" s="19">
        <v>9.9613922691056658</v>
      </c>
      <c r="L1525" s="23">
        <v>241473682767</v>
      </c>
      <c r="M1525" s="21">
        <v>1003476910</v>
      </c>
    </row>
    <row r="1526" spans="2:13" x14ac:dyDescent="0.3">
      <c r="B1526" s="4">
        <v>46120</v>
      </c>
      <c r="C1526" s="24">
        <v>9.9201676558397587</v>
      </c>
      <c r="E1526" s="4">
        <v>46121</v>
      </c>
      <c r="F1526" s="23">
        <v>2600577145213</v>
      </c>
      <c r="G1526" s="19">
        <v>2.6055983906577613</v>
      </c>
      <c r="H1526" s="31">
        <v>2582072670263</v>
      </c>
      <c r="I1526" s="31">
        <v>18504474950</v>
      </c>
      <c r="J1526" s="21">
        <v>204379429326</v>
      </c>
      <c r="K1526" s="19">
        <v>9.5776541314651062</v>
      </c>
      <c r="L1526" s="23">
        <v>203500171329</v>
      </c>
      <c r="M1526" s="21">
        <v>879257997</v>
      </c>
    </row>
    <row r="1527" spans="2:13" x14ac:dyDescent="0.3">
      <c r="B1527" s="4">
        <v>46121</v>
      </c>
      <c r="C1527" s="24">
        <v>9.5364502343049953</v>
      </c>
      <c r="E1527" s="4">
        <v>46122</v>
      </c>
      <c r="F1527" s="23">
        <v>2606298547640</v>
      </c>
      <c r="G1527" s="19">
        <v>2.5851121182636021</v>
      </c>
      <c r="H1527" s="31">
        <v>2587403798130</v>
      </c>
      <c r="I1527" s="31">
        <v>18894749510</v>
      </c>
      <c r="J1527" s="21">
        <v>235048652348</v>
      </c>
      <c r="K1527" s="19">
        <v>10.119587024727625</v>
      </c>
      <c r="L1527" s="23">
        <v>234161641985</v>
      </c>
      <c r="M1527" s="21">
        <v>887010363</v>
      </c>
    </row>
    <row r="1528" spans="2:13" x14ac:dyDescent="0.3">
      <c r="B1528" s="4">
        <v>46122</v>
      </c>
      <c r="C1528" s="24">
        <v>10.081398426450004</v>
      </c>
      <c r="E1528" s="4">
        <v>46125</v>
      </c>
      <c r="F1528" s="23">
        <v>2622547830690</v>
      </c>
      <c r="G1528" s="19">
        <v>2.5942968685434282</v>
      </c>
      <c r="H1528" s="31">
        <v>2603417021680</v>
      </c>
      <c r="I1528" s="31">
        <v>19130809010</v>
      </c>
      <c r="J1528" s="21">
        <v>211586608626</v>
      </c>
      <c r="K1528" s="19">
        <v>9.8404448302007061</v>
      </c>
      <c r="L1528" s="23">
        <v>210608425654</v>
      </c>
      <c r="M1528" s="21">
        <v>978182972</v>
      </c>
    </row>
    <row r="1529" spans="2:13" x14ac:dyDescent="0.3">
      <c r="B1529" s="4">
        <v>46125</v>
      </c>
      <c r="C1529" s="24">
        <v>9.7949516128732235</v>
      </c>
      <c r="E1529" s="4">
        <v>46126</v>
      </c>
      <c r="F1529" s="23">
        <v>2639499232905</v>
      </c>
      <c r="G1529" s="19">
        <v>2.5819028695731889</v>
      </c>
      <c r="H1529" s="31">
        <v>2619762419287</v>
      </c>
      <c r="I1529" s="31">
        <v>19736813618</v>
      </c>
      <c r="J1529" s="21">
        <v>247236513544</v>
      </c>
      <c r="K1529" s="19">
        <v>10.37261585001162</v>
      </c>
      <c r="L1529" s="23">
        <v>246182063031</v>
      </c>
      <c r="M1529" s="21">
        <v>1054450513</v>
      </c>
    </row>
    <row r="1530" spans="2:13" x14ac:dyDescent="0.3">
      <c r="B1530" s="4">
        <v>46126</v>
      </c>
      <c r="C1530" s="24">
        <v>10.328377197931413</v>
      </c>
      <c r="E1530" s="4">
        <v>46127</v>
      </c>
      <c r="F1530" s="23">
        <v>2649536797465</v>
      </c>
      <c r="G1530" s="19">
        <v>2.5983973484119285</v>
      </c>
      <c r="H1530" s="31">
        <v>2629944594985</v>
      </c>
      <c r="I1530" s="31">
        <v>19592202480</v>
      </c>
      <c r="J1530" s="21">
        <v>246493569997</v>
      </c>
      <c r="K1530" s="19">
        <v>10.206522680482923</v>
      </c>
      <c r="L1530" s="23">
        <v>245653561463</v>
      </c>
      <c r="M1530" s="21">
        <v>840008534</v>
      </c>
    </row>
    <row r="1531" spans="2:13" x14ac:dyDescent="0.3">
      <c r="B1531" s="4">
        <v>46127</v>
      </c>
      <c r="C1531" s="24">
        <v>10.171740571748101</v>
      </c>
      <c r="E1531" s="4">
        <v>46128</v>
      </c>
      <c r="F1531" s="23">
        <v>2660493163705</v>
      </c>
      <c r="G1531" s="19">
        <v>2.5797855281827533</v>
      </c>
      <c r="H1531" s="31">
        <v>2640679137139</v>
      </c>
      <c r="I1531" s="31">
        <v>19814026566</v>
      </c>
      <c r="J1531" s="21">
        <v>237363709129</v>
      </c>
      <c r="K1531" s="19">
        <v>10.137229930123397</v>
      </c>
      <c r="L1531" s="23">
        <v>236578330882</v>
      </c>
      <c r="M1531" s="21">
        <v>785378247</v>
      </c>
    </row>
    <row r="1532" spans="2:13" x14ac:dyDescent="0.3">
      <c r="B1532" s="4">
        <v>46128</v>
      </c>
      <c r="C1532" s="24">
        <v>10.103688324706246</v>
      </c>
      <c r="E1532" s="4">
        <v>46129</v>
      </c>
      <c r="F1532" s="23">
        <v>2662669620523</v>
      </c>
      <c r="G1532" s="19">
        <v>2.5793928361063831</v>
      </c>
      <c r="H1532" s="31">
        <v>2642847623455</v>
      </c>
      <c r="I1532" s="31">
        <v>19821997068</v>
      </c>
      <c r="J1532" s="21">
        <v>247251579982</v>
      </c>
      <c r="K1532" s="19">
        <v>10.194382645095391</v>
      </c>
      <c r="L1532" s="23">
        <v>246486129056</v>
      </c>
      <c r="M1532" s="21">
        <v>765450926</v>
      </c>
    </row>
    <row r="1533" spans="2:13" x14ac:dyDescent="0.3">
      <c r="B1533" s="4">
        <v>46129</v>
      </c>
      <c r="C1533" s="24">
        <v>10.162822484241193</v>
      </c>
      <c r="E1533" s="4">
        <v>46132</v>
      </c>
      <c r="F1533" s="23">
        <v>2691806949376</v>
      </c>
      <c r="G1533" s="19">
        <v>2.5880519820016858</v>
      </c>
      <c r="H1533" s="31">
        <v>2671904542698</v>
      </c>
      <c r="I1533" s="31">
        <v>19902406678</v>
      </c>
      <c r="J1533" s="21">
        <v>269623506571</v>
      </c>
      <c r="K1533" s="19">
        <v>10.456186292056319</v>
      </c>
      <c r="L1533" s="23">
        <v>268871371675</v>
      </c>
      <c r="M1533" s="21">
        <v>752134896</v>
      </c>
    </row>
    <row r="1534" spans="2:13" x14ac:dyDescent="0.3">
      <c r="B1534" s="4">
        <v>46132</v>
      </c>
      <c r="C1534" s="24">
        <v>10.427017979955679</v>
      </c>
      <c r="E1534" s="4">
        <v>46133</v>
      </c>
      <c r="F1534" s="23">
        <v>2698161642967</v>
      </c>
      <c r="G1534" s="19">
        <v>2.5933613983826311</v>
      </c>
      <c r="H1534" s="31">
        <v>2678306998070</v>
      </c>
      <c r="I1534" s="31">
        <v>19854644897</v>
      </c>
      <c r="J1534" s="21">
        <v>234880475767</v>
      </c>
      <c r="K1534" s="19">
        <v>9.7527469203337116</v>
      </c>
      <c r="L1534" s="23">
        <v>234069490937</v>
      </c>
      <c r="M1534" s="21">
        <v>810984830</v>
      </c>
    </row>
    <row r="1535" spans="2:13" x14ac:dyDescent="0.3">
      <c r="B1535" s="4">
        <v>46133</v>
      </c>
      <c r="C1535" s="24">
        <v>9.7190730707836703</v>
      </c>
      <c r="E1535" s="4">
        <v>46134</v>
      </c>
      <c r="F1535" s="23">
        <v>2712201577710</v>
      </c>
      <c r="G1535" s="19">
        <v>2.5884020633755846</v>
      </c>
      <c r="H1535" s="31">
        <v>2691968846032</v>
      </c>
      <c r="I1535" s="31">
        <v>20232731678</v>
      </c>
      <c r="J1535" s="21">
        <v>263386554072</v>
      </c>
      <c r="K1535" s="19">
        <v>10.290384718518784</v>
      </c>
      <c r="L1535" s="23">
        <v>262586055248</v>
      </c>
      <c r="M1535" s="21">
        <v>800498824</v>
      </c>
    </row>
    <row r="1536" spans="2:13" x14ac:dyDescent="0.3">
      <c r="B1536" s="4">
        <v>46134</v>
      </c>
      <c r="C1536" s="24">
        <v>10.25910961833493</v>
      </c>
      <c r="E1536" s="4">
        <v>46135</v>
      </c>
      <c r="F1536" s="23">
        <v>2715812410755</v>
      </c>
      <c r="G1536" s="19">
        <v>2.606953174182784</v>
      </c>
      <c r="H1536" s="31">
        <v>2695768367122</v>
      </c>
      <c r="I1536" s="31">
        <v>20044043633</v>
      </c>
      <c r="J1536" s="21">
        <v>283143010245</v>
      </c>
      <c r="K1536" s="19">
        <v>10.096923325509081</v>
      </c>
      <c r="L1536" s="23">
        <v>282232708850</v>
      </c>
      <c r="M1536" s="21">
        <v>910301395</v>
      </c>
    </row>
    <row r="1537" spans="2:13" x14ac:dyDescent="0.3">
      <c r="B1537" s="4">
        <v>46135</v>
      </c>
      <c r="C1537" s="24">
        <v>10.064461837653649</v>
      </c>
      <c r="E1537" s="4">
        <v>46136</v>
      </c>
      <c r="F1537" s="23">
        <v>2704325084969</v>
      </c>
      <c r="G1537" s="19">
        <v>2.6067868326325119</v>
      </c>
      <c r="H1537" s="31">
        <v>2684530395510</v>
      </c>
      <c r="I1537" s="31">
        <v>19794689459</v>
      </c>
      <c r="J1537" s="21">
        <v>259095218018</v>
      </c>
      <c r="K1537" s="19">
        <v>9.8086670137448326</v>
      </c>
      <c r="L1537" s="23">
        <v>258261993874</v>
      </c>
      <c r="M1537" s="21">
        <v>833224144</v>
      </c>
    </row>
    <row r="1538" spans="2:13" x14ac:dyDescent="0.3">
      <c r="B1538" s="4">
        <v>46136</v>
      </c>
      <c r="C1538" s="24">
        <v>9.7771233278411405</v>
      </c>
      <c r="E1538" s="4">
        <v>46139</v>
      </c>
      <c r="F1538" s="23">
        <v>2720029260184</v>
      </c>
      <c r="G1538" s="19">
        <v>2.6142171167462847</v>
      </c>
      <c r="H1538" s="31">
        <v>2700072341557</v>
      </c>
      <c r="I1538" s="31">
        <v>19956918627</v>
      </c>
      <c r="J1538" s="21">
        <v>261875009562</v>
      </c>
      <c r="K1538" s="19">
        <v>10.114476254597861</v>
      </c>
      <c r="L1538" s="23">
        <v>261005089357</v>
      </c>
      <c r="M1538" s="21">
        <v>869920205</v>
      </c>
    </row>
    <row r="1539" spans="2:13" x14ac:dyDescent="0.3">
      <c r="B1539" s="4">
        <v>46139</v>
      </c>
      <c r="C1539" s="24">
        <v>10.080877068208965</v>
      </c>
      <c r="E1539" s="4">
        <v>46140</v>
      </c>
      <c r="F1539" s="23">
        <v>2719970963206</v>
      </c>
      <c r="G1539" s="19">
        <v>2.6274869740650355</v>
      </c>
      <c r="H1539" s="31">
        <v>2700228761671</v>
      </c>
      <c r="I1539" s="31">
        <v>19742201535</v>
      </c>
      <c r="J1539" s="21">
        <v>248201974597</v>
      </c>
      <c r="K1539" s="19">
        <v>9.7873499584278001</v>
      </c>
      <c r="L1539" s="23">
        <v>247390806812</v>
      </c>
      <c r="M1539" s="21">
        <v>811167785</v>
      </c>
    </row>
    <row r="1540" spans="2:13" x14ac:dyDescent="0.3">
      <c r="B1540" s="4">
        <v>46140</v>
      </c>
      <c r="C1540" s="24">
        <v>9.7553631742787683</v>
      </c>
      <c r="E1540" s="4">
        <v>46141</v>
      </c>
      <c r="F1540" s="23">
        <v>2723702724245</v>
      </c>
      <c r="G1540" s="19">
        <v>2.6032678889475638</v>
      </c>
      <c r="H1540" s="31">
        <v>2703892296907</v>
      </c>
      <c r="I1540" s="31">
        <v>19810427338</v>
      </c>
      <c r="J1540" s="21">
        <v>263204535165</v>
      </c>
      <c r="K1540" s="19">
        <v>10.162656585745315</v>
      </c>
      <c r="L1540" s="23">
        <v>262253656092</v>
      </c>
      <c r="M1540" s="21">
        <v>950879073</v>
      </c>
    </row>
    <row r="1541" spans="2:13" x14ac:dyDescent="0.3">
      <c r="B1541" s="4">
        <v>46141</v>
      </c>
      <c r="C1541" s="24">
        <v>10.125941954413401</v>
      </c>
      <c r="E1541" s="4">
        <v>46142</v>
      </c>
      <c r="F1541" s="23">
        <v>2706778726019</v>
      </c>
      <c r="G1541" s="19">
        <v>2.5858210274685516</v>
      </c>
      <c r="H1541" s="31">
        <v>2687150297414</v>
      </c>
      <c r="I1541" s="31">
        <v>19628428605</v>
      </c>
      <c r="J1541" s="21">
        <v>268823730838</v>
      </c>
      <c r="K1541" s="19">
        <v>9.8090178889321358</v>
      </c>
      <c r="L1541" s="23">
        <v>268086759419</v>
      </c>
      <c r="M1541" s="21">
        <v>736971419</v>
      </c>
    </row>
    <row r="1542" spans="2:13" x14ac:dyDescent="0.3">
      <c r="B1542" s="4">
        <v>46142</v>
      </c>
      <c r="C1542" s="24">
        <v>9.7821267889162709</v>
      </c>
      <c r="E1542" s="4">
        <v>46148</v>
      </c>
      <c r="F1542" s="23">
        <v>2748200425716</v>
      </c>
      <c r="G1542" s="19">
        <v>2.5843274654780606</v>
      </c>
      <c r="H1542" s="31">
        <v>2728233110932</v>
      </c>
      <c r="I1542" s="31">
        <v>19967314784</v>
      </c>
      <c r="J1542" s="21">
        <v>350574430108</v>
      </c>
      <c r="K1542" s="19">
        <v>10.865606906046004</v>
      </c>
      <c r="L1542" s="23">
        <v>349429745045</v>
      </c>
      <c r="M1542" s="21">
        <v>1144685063</v>
      </c>
    </row>
    <row r="1543" spans="2:13" x14ac:dyDescent="0.3">
      <c r="B1543" s="4">
        <v>46148</v>
      </c>
      <c r="C1543" s="24">
        <v>10.830128853861909</v>
      </c>
      <c r="E1543" s="4">
        <v>46149</v>
      </c>
      <c r="F1543" s="23">
        <v>2777813999632</v>
      </c>
      <c r="G1543" s="19">
        <v>2.593099352948089</v>
      </c>
      <c r="H1543" s="31">
        <v>2757723021996</v>
      </c>
      <c r="I1543" s="31">
        <v>20090977636</v>
      </c>
      <c r="J1543" s="21">
        <v>334306881983</v>
      </c>
      <c r="K1543" s="19">
        <v>10.634473602935451</v>
      </c>
      <c r="L1543" s="23">
        <v>333338567563</v>
      </c>
      <c r="M1543" s="21">
        <v>968314420</v>
      </c>
    </row>
    <row r="1544" spans="2:13" x14ac:dyDescent="0.3">
      <c r="B1544" s="4">
        <v>46149</v>
      </c>
      <c r="C1544" s="24">
        <v>10.603671023946498</v>
      </c>
      <c r="E1544" s="4">
        <v>46150</v>
      </c>
      <c r="F1544" s="23">
        <v>2793706678623</v>
      </c>
      <c r="G1544" s="19">
        <v>2.6074996522950333</v>
      </c>
      <c r="H1544" s="31">
        <v>2773528480275</v>
      </c>
      <c r="I1544" s="31">
        <v>20178198348</v>
      </c>
      <c r="J1544" s="21">
        <v>307329267229</v>
      </c>
      <c r="K1544" s="19">
        <v>10.081885065699874</v>
      </c>
      <c r="L1544" s="23">
        <v>306379336038</v>
      </c>
      <c r="M1544" s="21">
        <v>949931191</v>
      </c>
    </row>
    <row r="1545" spans="2:13" x14ac:dyDescent="0.3">
      <c r="B1545" s="4">
        <v>46150</v>
      </c>
      <c r="C1545" s="24">
        <v>10.05072273230307</v>
      </c>
      <c r="E1545" s="4">
        <v>46153</v>
      </c>
      <c r="F1545" s="23">
        <v>2824900979175</v>
      </c>
      <c r="G1545" s="19">
        <v>2.6024251323084995</v>
      </c>
      <c r="H1545" s="31">
        <v>2804080579409</v>
      </c>
      <c r="I1545" s="31">
        <v>20820399766</v>
      </c>
      <c r="J1545" s="21">
        <v>374769299166</v>
      </c>
      <c r="K1545" s="19">
        <v>10.590861940711743</v>
      </c>
      <c r="L1545" s="23">
        <v>373618766049</v>
      </c>
      <c r="M1545" s="21">
        <v>1150533117</v>
      </c>
    </row>
    <row r="1546" spans="2:13" x14ac:dyDescent="0.3">
      <c r="B1546" s="4">
        <v>46153</v>
      </c>
      <c r="C1546" s="24">
        <v>10.558348238475514</v>
      </c>
      <c r="E1546" s="4">
        <v>46154</v>
      </c>
      <c r="F1546" s="23">
        <v>2841840426487</v>
      </c>
      <c r="G1546" s="19">
        <v>2.6282357749674046</v>
      </c>
      <c r="H1546" s="31">
        <v>2820961344960</v>
      </c>
      <c r="I1546" s="31">
        <v>20879081527</v>
      </c>
      <c r="J1546" s="21">
        <v>327945439864</v>
      </c>
      <c r="K1546" s="19">
        <v>10.114312679505874</v>
      </c>
      <c r="L1546" s="23">
        <v>326796932964</v>
      </c>
      <c r="M1546" s="21">
        <v>1148506900</v>
      </c>
    </row>
    <row r="1547" spans="2:13" x14ac:dyDescent="0.3">
      <c r="B1547" s="4">
        <v>46154</v>
      </c>
      <c r="C1547" s="24">
        <v>10.078891062099066</v>
      </c>
    </row>
  </sheetData>
  <phoneticPr fontId="7" type="noConversion"/>
  <pageMargins left="0.7" right="0.7" top="0.75" bottom="0.75" header="0.3" footer="0.3"/>
  <pageSetup orientation="portrait" horizontalDpi="1200" verticalDpi="12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B1542"/>
  <sheetViews>
    <sheetView workbookViewId="0">
      <pane xSplit="1" ySplit="4" topLeftCell="B1525" activePane="bottomRight" state="frozen"/>
      <selection pane="topRight" activeCell="B1" sqref="B1"/>
      <selection pane="bottomLeft" activeCell="A5" sqref="A5"/>
      <selection pane="bottomRight" activeCell="B1538" sqref="B1538"/>
    </sheetView>
  </sheetViews>
  <sheetFormatPr defaultColWidth="9" defaultRowHeight="13.5" x14ac:dyDescent="0.3"/>
  <cols>
    <col min="1" max="1" width="17.86328125" customWidth="1"/>
    <col min="2" max="2" width="15.265625" customWidth="1"/>
  </cols>
  <sheetData>
    <row r="1" spans="1:2" ht="13.9" x14ac:dyDescent="0.35">
      <c r="B1" s="56" t="str">
        <f>[1]!WSS(B2,"sec_name","ShowCodes=N","cols=1;rows=1")</f>
        <v>CBOE波动率</v>
      </c>
    </row>
    <row r="2" spans="1:2" ht="13.9" x14ac:dyDescent="0.35">
      <c r="B2" s="1" t="s">
        <v>23</v>
      </c>
    </row>
    <row r="3" spans="1:2" ht="13.9" x14ac:dyDescent="0.35">
      <c r="A3" s="1" t="s">
        <v>12</v>
      </c>
      <c r="B3" s="53" t="s">
        <v>130</v>
      </c>
    </row>
    <row r="4" spans="1:2" ht="13.9" x14ac:dyDescent="0.35">
      <c r="A4" s="1" t="s">
        <v>13</v>
      </c>
      <c r="B4" s="1" t="s">
        <v>129</v>
      </c>
    </row>
    <row r="5" spans="1:2" ht="13.9" x14ac:dyDescent="0.35">
      <c r="A5" s="2">
        <v>43832</v>
      </c>
      <c r="B5" s="3">
        <f>[1]!WSD(B2,B4:B4,"2020-01-01","","TradingCalendar=SSE","rptType=1","ShowParams=Y","cols=1;rows=1538")</f>
        <v>12.47</v>
      </c>
    </row>
    <row r="6" spans="1:2" ht="13.9" x14ac:dyDescent="0.35">
      <c r="A6" s="2">
        <v>43833</v>
      </c>
      <c r="B6" s="3">
        <v>14.02</v>
      </c>
    </row>
    <row r="7" spans="1:2" ht="13.9" x14ac:dyDescent="0.35">
      <c r="A7" s="2">
        <v>43836</v>
      </c>
      <c r="B7" s="3">
        <v>13.85</v>
      </c>
    </row>
    <row r="8" spans="1:2" ht="13.9" x14ac:dyDescent="0.35">
      <c r="A8" s="2">
        <v>43837</v>
      </c>
      <c r="B8" s="3">
        <v>13.79</v>
      </c>
    </row>
    <row r="9" spans="1:2" ht="13.9" x14ac:dyDescent="0.35">
      <c r="A9" s="2">
        <v>43838</v>
      </c>
      <c r="B9" s="3">
        <v>13.45</v>
      </c>
    </row>
    <row r="10" spans="1:2" ht="13.9" x14ac:dyDescent="0.35">
      <c r="A10" s="2">
        <v>43839</v>
      </c>
      <c r="B10" s="3">
        <v>12.54</v>
      </c>
    </row>
    <row r="11" spans="1:2" ht="13.9" x14ac:dyDescent="0.35">
      <c r="A11" s="2">
        <v>43840</v>
      </c>
      <c r="B11" s="3">
        <v>12.56</v>
      </c>
    </row>
    <row r="12" spans="1:2" ht="13.9" x14ac:dyDescent="0.35">
      <c r="A12" s="2">
        <v>43843</v>
      </c>
      <c r="B12" s="3">
        <v>12.32</v>
      </c>
    </row>
    <row r="13" spans="1:2" ht="13.9" x14ac:dyDescent="0.35">
      <c r="A13" s="2">
        <v>43844</v>
      </c>
      <c r="B13" s="3">
        <v>12.39</v>
      </c>
    </row>
    <row r="14" spans="1:2" ht="13.9" x14ac:dyDescent="0.35">
      <c r="A14" s="2">
        <v>43845</v>
      </c>
      <c r="B14" s="3">
        <v>12.42</v>
      </c>
    </row>
    <row r="15" spans="1:2" ht="13.9" x14ac:dyDescent="0.35">
      <c r="A15" s="2">
        <v>43846</v>
      </c>
      <c r="B15" s="3">
        <v>12.32</v>
      </c>
    </row>
    <row r="16" spans="1:2" ht="13.9" x14ac:dyDescent="0.35">
      <c r="A16" s="2">
        <v>43847</v>
      </c>
      <c r="B16" s="3">
        <v>12.1</v>
      </c>
    </row>
    <row r="17" spans="1:2" ht="13.9" x14ac:dyDescent="0.35">
      <c r="A17" s="2">
        <v>43850</v>
      </c>
      <c r="B17" s="3">
        <v>12.1</v>
      </c>
    </row>
    <row r="18" spans="1:2" ht="13.9" x14ac:dyDescent="0.35">
      <c r="A18" s="2">
        <v>43851</v>
      </c>
      <c r="B18" s="3">
        <v>12.85</v>
      </c>
    </row>
    <row r="19" spans="1:2" ht="13.9" x14ac:dyDescent="0.35">
      <c r="A19" s="2">
        <v>43852</v>
      </c>
      <c r="B19" s="3">
        <v>12.91</v>
      </c>
    </row>
    <row r="20" spans="1:2" ht="13.9" x14ac:dyDescent="0.35">
      <c r="A20" s="2">
        <v>43853</v>
      </c>
      <c r="B20" s="3">
        <v>12.98</v>
      </c>
    </row>
    <row r="21" spans="1:2" ht="13.9" x14ac:dyDescent="0.35">
      <c r="A21" s="2">
        <v>43864</v>
      </c>
      <c r="B21" s="3">
        <v>17.97</v>
      </c>
    </row>
    <row r="22" spans="1:2" ht="13.9" x14ac:dyDescent="0.35">
      <c r="A22" s="2">
        <v>43865</v>
      </c>
      <c r="B22" s="3">
        <v>16.05</v>
      </c>
    </row>
    <row r="23" spans="1:2" ht="13.9" x14ac:dyDescent="0.35">
      <c r="A23" s="2">
        <v>43866</v>
      </c>
      <c r="B23" s="3">
        <v>15.15</v>
      </c>
    </row>
    <row r="24" spans="1:2" ht="13.9" x14ac:dyDescent="0.35">
      <c r="A24" s="2">
        <v>43867</v>
      </c>
      <c r="B24" s="3">
        <v>14.96</v>
      </c>
    </row>
    <row r="25" spans="1:2" ht="13.9" x14ac:dyDescent="0.35">
      <c r="A25" s="2">
        <v>43868</v>
      </c>
      <c r="B25" s="3">
        <v>15.47</v>
      </c>
    </row>
    <row r="26" spans="1:2" ht="13.9" x14ac:dyDescent="0.35">
      <c r="A26" s="2">
        <v>43871</v>
      </c>
      <c r="B26" s="3">
        <v>15.04</v>
      </c>
    </row>
    <row r="27" spans="1:2" ht="13.9" x14ac:dyDescent="0.35">
      <c r="A27" s="2">
        <v>43872</v>
      </c>
      <c r="B27" s="3">
        <v>15.18</v>
      </c>
    </row>
    <row r="28" spans="1:2" ht="13.9" x14ac:dyDescent="0.35">
      <c r="A28" s="2">
        <v>43873</v>
      </c>
      <c r="B28" s="3">
        <v>13.74</v>
      </c>
    </row>
    <row r="29" spans="1:2" ht="13.9" x14ac:dyDescent="0.35">
      <c r="A29" s="2">
        <v>43874</v>
      </c>
      <c r="B29" s="3">
        <v>14.15</v>
      </c>
    </row>
    <row r="30" spans="1:2" ht="13.9" x14ac:dyDescent="0.35">
      <c r="A30" s="2">
        <v>43875</v>
      </c>
      <c r="B30" s="3">
        <v>13.68</v>
      </c>
    </row>
    <row r="31" spans="1:2" ht="13.9" x14ac:dyDescent="0.35">
      <c r="A31" s="2">
        <v>43878</v>
      </c>
      <c r="B31" s="3">
        <v>13.68</v>
      </c>
    </row>
    <row r="32" spans="1:2" ht="13.9" x14ac:dyDescent="0.35">
      <c r="A32" s="2">
        <v>43879</v>
      </c>
      <c r="B32" s="3">
        <v>14.83</v>
      </c>
    </row>
    <row r="33" spans="1:2" ht="13.9" x14ac:dyDescent="0.35">
      <c r="A33" s="2">
        <v>43880</v>
      </c>
      <c r="B33" s="3">
        <v>14.38</v>
      </c>
    </row>
    <row r="34" spans="1:2" ht="13.9" x14ac:dyDescent="0.35">
      <c r="A34" s="2">
        <v>43881</v>
      </c>
      <c r="B34" s="3">
        <v>15.56</v>
      </c>
    </row>
    <row r="35" spans="1:2" ht="13.9" x14ac:dyDescent="0.35">
      <c r="A35" s="2">
        <v>43882</v>
      </c>
      <c r="B35" s="3">
        <v>17.079999999999998</v>
      </c>
    </row>
    <row r="36" spans="1:2" ht="13.9" x14ac:dyDescent="0.35">
      <c r="A36" s="2">
        <v>43885</v>
      </c>
      <c r="B36" s="3">
        <v>25.03</v>
      </c>
    </row>
    <row r="37" spans="1:2" ht="13.9" x14ac:dyDescent="0.35">
      <c r="A37" s="2">
        <v>43886</v>
      </c>
      <c r="B37" s="3">
        <v>27.85</v>
      </c>
    </row>
    <row r="38" spans="1:2" ht="13.9" x14ac:dyDescent="0.35">
      <c r="A38" s="2">
        <v>43887</v>
      </c>
      <c r="B38" s="3">
        <v>27.56</v>
      </c>
    </row>
    <row r="39" spans="1:2" ht="13.9" x14ac:dyDescent="0.35">
      <c r="A39" s="2">
        <v>43888</v>
      </c>
      <c r="B39" s="3">
        <v>39.159999999999997</v>
      </c>
    </row>
    <row r="40" spans="1:2" ht="13.9" x14ac:dyDescent="0.35">
      <c r="A40" s="2">
        <v>43889</v>
      </c>
      <c r="B40" s="3">
        <v>40.11</v>
      </c>
    </row>
    <row r="41" spans="1:2" ht="13.9" x14ac:dyDescent="0.35">
      <c r="A41" s="2">
        <v>43892</v>
      </c>
      <c r="B41" s="3">
        <v>33.42</v>
      </c>
    </row>
    <row r="42" spans="1:2" ht="13.9" x14ac:dyDescent="0.35">
      <c r="A42" s="2">
        <v>43893</v>
      </c>
      <c r="B42" s="3">
        <v>36.82</v>
      </c>
    </row>
    <row r="43" spans="1:2" ht="13.9" x14ac:dyDescent="0.35">
      <c r="A43" s="2">
        <v>43894</v>
      </c>
      <c r="B43" s="3">
        <v>31.99</v>
      </c>
    </row>
    <row r="44" spans="1:2" ht="13.9" x14ac:dyDescent="0.35">
      <c r="A44" s="2">
        <v>43895</v>
      </c>
      <c r="B44" s="3">
        <v>39.619999999999997</v>
      </c>
    </row>
    <row r="45" spans="1:2" ht="13.9" x14ac:dyDescent="0.35">
      <c r="A45" s="2">
        <v>43896</v>
      </c>
      <c r="B45" s="3">
        <v>41.94</v>
      </c>
    </row>
    <row r="46" spans="1:2" ht="13.9" x14ac:dyDescent="0.35">
      <c r="A46" s="2">
        <v>43899</v>
      </c>
      <c r="B46" s="3">
        <v>54.46</v>
      </c>
    </row>
    <row r="47" spans="1:2" ht="13.9" x14ac:dyDescent="0.35">
      <c r="A47" s="2">
        <v>43900</v>
      </c>
      <c r="B47" s="3">
        <v>47.3</v>
      </c>
    </row>
    <row r="48" spans="1:2" ht="13.9" x14ac:dyDescent="0.35">
      <c r="A48" s="2">
        <v>43901</v>
      </c>
      <c r="B48" s="3">
        <v>53.9</v>
      </c>
    </row>
    <row r="49" spans="1:2" ht="13.9" x14ac:dyDescent="0.35">
      <c r="A49" s="2">
        <v>43902</v>
      </c>
      <c r="B49" s="3">
        <v>75.47</v>
      </c>
    </row>
    <row r="50" spans="1:2" ht="13.9" x14ac:dyDescent="0.35">
      <c r="A50" s="2">
        <v>43903</v>
      </c>
      <c r="B50" s="3">
        <v>57.83</v>
      </c>
    </row>
    <row r="51" spans="1:2" ht="13.9" x14ac:dyDescent="0.35">
      <c r="A51" s="2">
        <v>43906</v>
      </c>
      <c r="B51" s="3">
        <v>82.69</v>
      </c>
    </row>
    <row r="52" spans="1:2" ht="13.9" x14ac:dyDescent="0.35">
      <c r="A52" s="2">
        <v>43907</v>
      </c>
      <c r="B52" s="3">
        <v>75.91</v>
      </c>
    </row>
    <row r="53" spans="1:2" ht="13.9" x14ac:dyDescent="0.35">
      <c r="A53" s="2">
        <v>43908</v>
      </c>
      <c r="B53" s="3">
        <v>76.45</v>
      </c>
    </row>
    <row r="54" spans="1:2" ht="13.9" x14ac:dyDescent="0.35">
      <c r="A54" s="2">
        <v>43909</v>
      </c>
      <c r="B54" s="3">
        <v>72</v>
      </c>
    </row>
    <row r="55" spans="1:2" ht="13.9" x14ac:dyDescent="0.35">
      <c r="A55" s="2">
        <v>43910</v>
      </c>
      <c r="B55" s="3">
        <v>66.040000000000006</v>
      </c>
    </row>
    <row r="56" spans="1:2" ht="13.9" x14ac:dyDescent="0.35">
      <c r="A56" s="2">
        <v>43913</v>
      </c>
      <c r="B56" s="3">
        <v>61.59</v>
      </c>
    </row>
    <row r="57" spans="1:2" ht="13.9" x14ac:dyDescent="0.35">
      <c r="A57" s="2">
        <v>43914</v>
      </c>
      <c r="B57" s="3">
        <v>61.67</v>
      </c>
    </row>
    <row r="58" spans="1:2" ht="13.9" x14ac:dyDescent="0.35">
      <c r="A58" s="2">
        <v>43915</v>
      </c>
      <c r="B58" s="3">
        <v>63.95</v>
      </c>
    </row>
    <row r="59" spans="1:2" ht="13.9" x14ac:dyDescent="0.35">
      <c r="A59" s="2">
        <v>43916</v>
      </c>
      <c r="B59" s="3">
        <v>61</v>
      </c>
    </row>
    <row r="60" spans="1:2" ht="13.9" x14ac:dyDescent="0.35">
      <c r="A60" s="2">
        <v>43917</v>
      </c>
      <c r="B60" s="3">
        <v>65.540000000000006</v>
      </c>
    </row>
    <row r="61" spans="1:2" ht="13.9" x14ac:dyDescent="0.35">
      <c r="A61" s="2">
        <v>43920</v>
      </c>
      <c r="B61" s="3">
        <v>57.08</v>
      </c>
    </row>
    <row r="62" spans="1:2" ht="13.9" x14ac:dyDescent="0.35">
      <c r="A62" s="2">
        <v>43921</v>
      </c>
      <c r="B62" s="3">
        <v>53.54</v>
      </c>
    </row>
    <row r="63" spans="1:2" ht="13.9" x14ac:dyDescent="0.35">
      <c r="A63" s="2">
        <v>43922</v>
      </c>
      <c r="B63" s="3">
        <v>57.06</v>
      </c>
    </row>
    <row r="64" spans="1:2" ht="13.9" x14ac:dyDescent="0.35">
      <c r="A64" s="2">
        <v>43923</v>
      </c>
      <c r="B64" s="3">
        <v>50.91</v>
      </c>
    </row>
    <row r="65" spans="1:2" ht="13.9" x14ac:dyDescent="0.35">
      <c r="A65" s="2">
        <v>43924</v>
      </c>
      <c r="B65" s="3">
        <v>46.8</v>
      </c>
    </row>
    <row r="66" spans="1:2" ht="13.9" x14ac:dyDescent="0.35">
      <c r="A66" s="2">
        <v>43928</v>
      </c>
      <c r="B66" s="3">
        <v>46.7</v>
      </c>
    </row>
    <row r="67" spans="1:2" ht="13.9" x14ac:dyDescent="0.35">
      <c r="A67" s="2">
        <v>43929</v>
      </c>
      <c r="B67" s="3">
        <v>43.35</v>
      </c>
    </row>
    <row r="68" spans="1:2" ht="13.9" x14ac:dyDescent="0.35">
      <c r="A68" s="2">
        <v>43930</v>
      </c>
      <c r="B68" s="3">
        <v>41.67</v>
      </c>
    </row>
    <row r="69" spans="1:2" ht="13.9" x14ac:dyDescent="0.35">
      <c r="A69" s="2">
        <v>43931</v>
      </c>
      <c r="B69" s="3">
        <v>41.67</v>
      </c>
    </row>
    <row r="70" spans="1:2" ht="13.9" x14ac:dyDescent="0.35">
      <c r="A70" s="2">
        <v>43934</v>
      </c>
      <c r="B70" s="3">
        <v>41.17</v>
      </c>
    </row>
    <row r="71" spans="1:2" ht="13.9" x14ac:dyDescent="0.35">
      <c r="A71" s="2">
        <v>43935</v>
      </c>
      <c r="B71" s="3">
        <v>37.76</v>
      </c>
    </row>
    <row r="72" spans="1:2" ht="13.9" x14ac:dyDescent="0.35">
      <c r="A72" s="2">
        <v>43936</v>
      </c>
      <c r="B72" s="3">
        <v>40.840000000000003</v>
      </c>
    </row>
    <row r="73" spans="1:2" ht="13.9" x14ac:dyDescent="0.35">
      <c r="A73" s="2">
        <v>43937</v>
      </c>
      <c r="B73" s="3">
        <v>40.11</v>
      </c>
    </row>
    <row r="74" spans="1:2" ht="13.9" x14ac:dyDescent="0.35">
      <c r="A74" s="2">
        <v>43938</v>
      </c>
      <c r="B74" s="3">
        <v>38.15</v>
      </c>
    </row>
    <row r="75" spans="1:2" ht="13.9" x14ac:dyDescent="0.35">
      <c r="A75" s="2">
        <v>43941</v>
      </c>
      <c r="B75" s="3">
        <v>43.83</v>
      </c>
    </row>
    <row r="76" spans="1:2" ht="13.9" x14ac:dyDescent="0.35">
      <c r="A76" s="2">
        <v>43942</v>
      </c>
      <c r="B76" s="3">
        <v>45.41</v>
      </c>
    </row>
    <row r="77" spans="1:2" ht="13.9" x14ac:dyDescent="0.35">
      <c r="A77" s="2">
        <v>43943</v>
      </c>
      <c r="B77" s="3">
        <v>41.98</v>
      </c>
    </row>
    <row r="78" spans="1:2" ht="13.9" x14ac:dyDescent="0.35">
      <c r="A78" s="2">
        <v>43944</v>
      </c>
      <c r="B78" s="3">
        <v>41.38</v>
      </c>
    </row>
    <row r="79" spans="1:2" ht="13.9" x14ac:dyDescent="0.35">
      <c r="A79" s="2">
        <v>43945</v>
      </c>
      <c r="B79" s="3">
        <v>35.93</v>
      </c>
    </row>
    <row r="80" spans="1:2" ht="13.9" x14ac:dyDescent="0.35">
      <c r="A80" s="2">
        <v>43948</v>
      </c>
      <c r="B80" s="3">
        <v>33.29</v>
      </c>
    </row>
    <row r="81" spans="1:2" ht="13.9" x14ac:dyDescent="0.35">
      <c r="A81" s="2">
        <v>43949</v>
      </c>
      <c r="B81" s="3">
        <v>33.57</v>
      </c>
    </row>
    <row r="82" spans="1:2" ht="13.9" x14ac:dyDescent="0.35">
      <c r="A82" s="2">
        <v>43950</v>
      </c>
      <c r="B82" s="3">
        <v>31.23</v>
      </c>
    </row>
    <row r="83" spans="1:2" ht="13.9" x14ac:dyDescent="0.35">
      <c r="A83" s="2">
        <v>43951</v>
      </c>
      <c r="B83" s="3">
        <v>34.15</v>
      </c>
    </row>
    <row r="84" spans="1:2" ht="13.9" x14ac:dyDescent="0.35">
      <c r="A84" s="2">
        <v>43957</v>
      </c>
      <c r="B84" s="3">
        <v>34.119999999999997</v>
      </c>
    </row>
    <row r="85" spans="1:2" ht="13.9" x14ac:dyDescent="0.35">
      <c r="A85" s="2">
        <v>43958</v>
      </c>
      <c r="B85" s="3">
        <v>31.44</v>
      </c>
    </row>
    <row r="86" spans="1:2" ht="13.9" x14ac:dyDescent="0.35">
      <c r="A86" s="2">
        <v>43959</v>
      </c>
      <c r="B86" s="3">
        <v>27.98</v>
      </c>
    </row>
    <row r="87" spans="1:2" ht="13.9" x14ac:dyDescent="0.35">
      <c r="A87" s="2">
        <v>43962</v>
      </c>
      <c r="B87" s="3">
        <v>27.57</v>
      </c>
    </row>
    <row r="88" spans="1:2" ht="13.9" x14ac:dyDescent="0.35">
      <c r="A88" s="2">
        <v>43963</v>
      </c>
      <c r="B88" s="3">
        <v>33.04</v>
      </c>
    </row>
    <row r="89" spans="1:2" ht="13.9" x14ac:dyDescent="0.35">
      <c r="A89" s="2">
        <v>43964</v>
      </c>
      <c r="B89" s="3">
        <v>35.28</v>
      </c>
    </row>
    <row r="90" spans="1:2" ht="13.9" x14ac:dyDescent="0.35">
      <c r="A90" s="2">
        <v>43965</v>
      </c>
      <c r="B90" s="3">
        <v>32.61</v>
      </c>
    </row>
    <row r="91" spans="1:2" ht="13.9" x14ac:dyDescent="0.35">
      <c r="A91" s="2">
        <v>43966</v>
      </c>
      <c r="B91" s="3">
        <v>31.89</v>
      </c>
    </row>
    <row r="92" spans="1:2" ht="13.9" x14ac:dyDescent="0.35">
      <c r="A92" s="2">
        <v>43969</v>
      </c>
      <c r="B92" s="3">
        <v>29.3</v>
      </c>
    </row>
    <row r="93" spans="1:2" ht="13.9" x14ac:dyDescent="0.35">
      <c r="A93" s="2">
        <v>43970</v>
      </c>
      <c r="B93" s="3">
        <v>30.53</v>
      </c>
    </row>
    <row r="94" spans="1:2" ht="13.9" x14ac:dyDescent="0.35">
      <c r="A94" s="2">
        <v>43971</v>
      </c>
      <c r="B94" s="3">
        <v>27.99</v>
      </c>
    </row>
    <row r="95" spans="1:2" ht="13.9" x14ac:dyDescent="0.35">
      <c r="A95" s="2">
        <v>43972</v>
      </c>
      <c r="B95" s="3">
        <v>29.53</v>
      </c>
    </row>
    <row r="96" spans="1:2" ht="13.9" x14ac:dyDescent="0.35">
      <c r="A96" s="2">
        <v>43973</v>
      </c>
      <c r="B96" s="3">
        <v>28.16</v>
      </c>
    </row>
    <row r="97" spans="1:2" ht="13.9" x14ac:dyDescent="0.35">
      <c r="A97" s="10">
        <v>43976</v>
      </c>
      <c r="B97" s="11">
        <v>28.16</v>
      </c>
    </row>
    <row r="98" spans="1:2" ht="13.9" x14ac:dyDescent="0.35">
      <c r="A98" s="10">
        <v>43977</v>
      </c>
      <c r="B98" s="11">
        <v>28.01</v>
      </c>
    </row>
    <row r="99" spans="1:2" ht="13.9" x14ac:dyDescent="0.35">
      <c r="A99" s="10">
        <v>43978</v>
      </c>
      <c r="B99" s="11">
        <v>27.62</v>
      </c>
    </row>
    <row r="100" spans="1:2" ht="13.9" x14ac:dyDescent="0.35">
      <c r="A100" s="10">
        <v>43979</v>
      </c>
      <c r="B100" s="11">
        <v>28.59</v>
      </c>
    </row>
    <row r="101" spans="1:2" ht="13.9" x14ac:dyDescent="0.35">
      <c r="A101" s="10">
        <v>43980</v>
      </c>
      <c r="B101" s="11">
        <v>27.51</v>
      </c>
    </row>
    <row r="102" spans="1:2" ht="13.9" x14ac:dyDescent="0.35">
      <c r="A102" s="12">
        <v>43983</v>
      </c>
      <c r="B102" s="13">
        <v>28.23</v>
      </c>
    </row>
    <row r="103" spans="1:2" ht="13.9" x14ac:dyDescent="0.35">
      <c r="A103" s="12">
        <v>43984</v>
      </c>
      <c r="B103" s="13">
        <v>26.84</v>
      </c>
    </row>
    <row r="104" spans="1:2" ht="13.9" x14ac:dyDescent="0.35">
      <c r="A104" s="12">
        <v>43985</v>
      </c>
      <c r="B104" s="13">
        <v>25.66</v>
      </c>
    </row>
    <row r="105" spans="1:2" ht="13.9" x14ac:dyDescent="0.35">
      <c r="A105" s="12">
        <v>43986</v>
      </c>
      <c r="B105" s="13">
        <v>25.81</v>
      </c>
    </row>
    <row r="106" spans="1:2" ht="13.9" x14ac:dyDescent="0.35">
      <c r="A106" s="12">
        <v>43987</v>
      </c>
      <c r="B106" s="13">
        <v>24.52</v>
      </c>
    </row>
    <row r="107" spans="1:2" ht="13.9" x14ac:dyDescent="0.35">
      <c r="A107" s="14">
        <v>43990</v>
      </c>
      <c r="B107" s="15">
        <v>25.81</v>
      </c>
    </row>
    <row r="108" spans="1:2" ht="13.9" x14ac:dyDescent="0.35">
      <c r="A108" s="14">
        <v>43991</v>
      </c>
      <c r="B108" s="15">
        <v>27.57</v>
      </c>
    </row>
    <row r="109" spans="1:2" ht="13.9" x14ac:dyDescent="0.35">
      <c r="A109" s="14">
        <v>43992</v>
      </c>
      <c r="B109" s="15">
        <v>27.57</v>
      </c>
    </row>
    <row r="110" spans="1:2" ht="13.9" x14ac:dyDescent="0.35">
      <c r="A110" s="14">
        <v>43993</v>
      </c>
      <c r="B110" s="15">
        <v>40.79</v>
      </c>
    </row>
    <row r="111" spans="1:2" ht="13.9" x14ac:dyDescent="0.35">
      <c r="A111" s="14">
        <v>43994</v>
      </c>
      <c r="B111" s="15">
        <v>36.090000000000003</v>
      </c>
    </row>
    <row r="112" spans="1:2" ht="13.9" x14ac:dyDescent="0.35">
      <c r="A112" s="2">
        <v>43997</v>
      </c>
      <c r="B112" s="3">
        <v>34.4</v>
      </c>
    </row>
    <row r="113" spans="1:2" ht="13.9" x14ac:dyDescent="0.35">
      <c r="A113" s="2">
        <v>43998</v>
      </c>
      <c r="B113" s="3">
        <v>33.67</v>
      </c>
    </row>
    <row r="114" spans="1:2" ht="13.9" x14ac:dyDescent="0.35">
      <c r="A114" s="2">
        <v>43999</v>
      </c>
      <c r="B114" s="3">
        <v>33.47</v>
      </c>
    </row>
    <row r="115" spans="1:2" ht="13.9" x14ac:dyDescent="0.35">
      <c r="A115" s="2">
        <v>44000</v>
      </c>
      <c r="B115" s="3">
        <v>32.94</v>
      </c>
    </row>
    <row r="116" spans="1:2" ht="13.9" x14ac:dyDescent="0.35">
      <c r="A116" s="2">
        <v>44001</v>
      </c>
      <c r="B116" s="3">
        <v>35.119999999999997</v>
      </c>
    </row>
    <row r="117" spans="1:2" ht="13.9" x14ac:dyDescent="0.35">
      <c r="A117" s="2">
        <v>44004</v>
      </c>
      <c r="B117" s="3">
        <v>31.77</v>
      </c>
    </row>
    <row r="118" spans="1:2" ht="13.9" x14ac:dyDescent="0.35">
      <c r="A118" s="2">
        <v>44005</v>
      </c>
      <c r="B118" s="3">
        <v>31.37</v>
      </c>
    </row>
    <row r="119" spans="1:2" ht="13.9" x14ac:dyDescent="0.35">
      <c r="A119" s="2">
        <v>44006</v>
      </c>
      <c r="B119" s="3">
        <v>33.840000000000003</v>
      </c>
    </row>
    <row r="120" spans="1:2" ht="13.9" x14ac:dyDescent="0.35">
      <c r="A120" s="2">
        <v>44011</v>
      </c>
      <c r="B120" s="3">
        <v>31.78</v>
      </c>
    </row>
    <row r="121" spans="1:2" ht="13.9" x14ac:dyDescent="0.35">
      <c r="A121" s="2">
        <v>44012</v>
      </c>
      <c r="B121" s="3">
        <v>30.43</v>
      </c>
    </row>
    <row r="122" spans="1:2" ht="13.9" x14ac:dyDescent="0.35">
      <c r="A122" s="2">
        <v>44013</v>
      </c>
      <c r="B122" s="3">
        <v>28.62</v>
      </c>
    </row>
    <row r="123" spans="1:2" ht="13.9" x14ac:dyDescent="0.35">
      <c r="A123" s="2">
        <v>44014</v>
      </c>
      <c r="B123" s="3">
        <v>27.68</v>
      </c>
    </row>
    <row r="124" spans="1:2" ht="13.9" x14ac:dyDescent="0.35">
      <c r="A124" s="2">
        <v>44015</v>
      </c>
      <c r="B124" s="3">
        <v>27.68</v>
      </c>
    </row>
    <row r="125" spans="1:2" ht="13.9" x14ac:dyDescent="0.35">
      <c r="A125" s="2">
        <v>44018</v>
      </c>
      <c r="B125" s="3">
        <v>27.94</v>
      </c>
    </row>
    <row r="126" spans="1:2" ht="13.9" x14ac:dyDescent="0.35">
      <c r="A126" s="2">
        <v>44019</v>
      </c>
      <c r="B126" s="3">
        <v>29.43</v>
      </c>
    </row>
    <row r="127" spans="1:2" ht="13.9" x14ac:dyDescent="0.35">
      <c r="A127" s="2">
        <v>44020</v>
      </c>
      <c r="B127" s="3">
        <v>28.08</v>
      </c>
    </row>
    <row r="128" spans="1:2" ht="13.9" x14ac:dyDescent="0.35">
      <c r="A128" s="2">
        <v>44021</v>
      </c>
      <c r="B128" s="3">
        <v>29.26</v>
      </c>
    </row>
    <row r="129" spans="1:2" ht="13.9" x14ac:dyDescent="0.35">
      <c r="A129" s="2">
        <v>44022</v>
      </c>
      <c r="B129" s="3">
        <v>27.29</v>
      </c>
    </row>
    <row r="130" spans="1:2" ht="13.9" x14ac:dyDescent="0.35">
      <c r="A130" s="2">
        <v>44025</v>
      </c>
      <c r="B130" s="3">
        <v>32.19</v>
      </c>
    </row>
    <row r="131" spans="1:2" ht="13.9" x14ac:dyDescent="0.35">
      <c r="A131" s="2">
        <v>44026</v>
      </c>
      <c r="B131" s="3">
        <v>29.52</v>
      </c>
    </row>
    <row r="132" spans="1:2" ht="13.9" x14ac:dyDescent="0.35">
      <c r="A132" s="2">
        <v>44027</v>
      </c>
      <c r="B132" s="3">
        <v>27.76</v>
      </c>
    </row>
    <row r="133" spans="1:2" ht="13.9" x14ac:dyDescent="0.35">
      <c r="A133" s="2">
        <v>44028</v>
      </c>
      <c r="B133" s="3">
        <v>28</v>
      </c>
    </row>
    <row r="134" spans="1:2" ht="13.9" x14ac:dyDescent="0.35">
      <c r="A134" s="2">
        <v>44029</v>
      </c>
      <c r="B134" s="3">
        <v>25.68</v>
      </c>
    </row>
    <row r="135" spans="1:2" ht="13.9" x14ac:dyDescent="0.35">
      <c r="A135" s="2">
        <v>44032</v>
      </c>
      <c r="B135" s="3">
        <v>24.46</v>
      </c>
    </row>
    <row r="136" spans="1:2" ht="13.9" x14ac:dyDescent="0.35">
      <c r="A136" s="2">
        <v>44033</v>
      </c>
      <c r="B136" s="3">
        <v>24.84</v>
      </c>
    </row>
    <row r="137" spans="1:2" ht="13.9" x14ac:dyDescent="0.35">
      <c r="A137" s="2">
        <v>44034</v>
      </c>
      <c r="B137" s="3">
        <v>24.32</v>
      </c>
    </row>
    <row r="138" spans="1:2" ht="13.9" x14ac:dyDescent="0.35">
      <c r="A138" s="2">
        <v>44035</v>
      </c>
      <c r="B138" s="3">
        <v>26.08</v>
      </c>
    </row>
    <row r="139" spans="1:2" ht="13.9" x14ac:dyDescent="0.35">
      <c r="A139" s="2">
        <v>44036</v>
      </c>
      <c r="B139" s="3">
        <v>25.84</v>
      </c>
    </row>
    <row r="140" spans="1:2" ht="13.9" x14ac:dyDescent="0.35">
      <c r="A140" s="2">
        <v>44039</v>
      </c>
      <c r="B140" s="3">
        <v>24.74</v>
      </c>
    </row>
    <row r="141" spans="1:2" ht="13.9" x14ac:dyDescent="0.35">
      <c r="A141" s="2">
        <v>44040</v>
      </c>
      <c r="B141" s="3">
        <v>25.44</v>
      </c>
    </row>
    <row r="142" spans="1:2" ht="13.9" x14ac:dyDescent="0.35">
      <c r="A142" s="2">
        <v>44041</v>
      </c>
      <c r="B142" s="3">
        <v>24.1</v>
      </c>
    </row>
    <row r="143" spans="1:2" ht="13.9" x14ac:dyDescent="0.35">
      <c r="A143" s="2">
        <v>44042</v>
      </c>
      <c r="B143" s="3">
        <v>24.76</v>
      </c>
    </row>
    <row r="144" spans="1:2" ht="13.9" x14ac:dyDescent="0.35">
      <c r="A144" s="2">
        <v>44043</v>
      </c>
      <c r="B144" s="3">
        <v>24.46</v>
      </c>
    </row>
    <row r="145" spans="1:2" ht="13.9" x14ac:dyDescent="0.35">
      <c r="A145" s="2">
        <v>44046</v>
      </c>
      <c r="B145" s="3">
        <v>24.28</v>
      </c>
    </row>
    <row r="146" spans="1:2" ht="13.9" x14ac:dyDescent="0.35">
      <c r="A146" s="2">
        <v>44047</v>
      </c>
      <c r="B146" s="3">
        <v>23.76</v>
      </c>
    </row>
    <row r="147" spans="1:2" ht="13.9" x14ac:dyDescent="0.35">
      <c r="A147" s="2">
        <v>44048</v>
      </c>
      <c r="B147" s="3">
        <v>22.99</v>
      </c>
    </row>
    <row r="148" spans="1:2" ht="13.9" x14ac:dyDescent="0.35">
      <c r="A148" s="2">
        <v>44049</v>
      </c>
      <c r="B148" s="3">
        <v>22.65</v>
      </c>
    </row>
    <row r="149" spans="1:2" ht="13.9" x14ac:dyDescent="0.35">
      <c r="A149" s="2">
        <v>44050</v>
      </c>
      <c r="B149" s="3">
        <v>22.21</v>
      </c>
    </row>
    <row r="150" spans="1:2" ht="13.9" x14ac:dyDescent="0.35">
      <c r="A150" s="2">
        <v>44053</v>
      </c>
      <c r="B150" s="3">
        <v>22.13</v>
      </c>
    </row>
    <row r="151" spans="1:2" ht="13.9" x14ac:dyDescent="0.35">
      <c r="A151" s="2">
        <v>44054</v>
      </c>
      <c r="B151" s="3">
        <v>24.03</v>
      </c>
    </row>
    <row r="152" spans="1:2" ht="13.9" x14ac:dyDescent="0.35">
      <c r="A152" s="2">
        <v>44055</v>
      </c>
      <c r="B152" s="3">
        <v>22.28</v>
      </c>
    </row>
    <row r="153" spans="1:2" ht="13.9" x14ac:dyDescent="0.35">
      <c r="A153" s="2">
        <v>44056</v>
      </c>
      <c r="B153" s="3">
        <v>22.13</v>
      </c>
    </row>
    <row r="154" spans="1:2" ht="13.9" x14ac:dyDescent="0.35">
      <c r="A154" s="2">
        <v>44057</v>
      </c>
      <c r="B154" s="3">
        <v>22.05</v>
      </c>
    </row>
    <row r="155" spans="1:2" ht="13.9" x14ac:dyDescent="0.35">
      <c r="A155" s="2">
        <v>44060</v>
      </c>
      <c r="B155" s="3">
        <v>21.35</v>
      </c>
    </row>
    <row r="156" spans="1:2" ht="13.9" x14ac:dyDescent="0.35">
      <c r="A156" s="2">
        <v>44061</v>
      </c>
      <c r="B156" s="3">
        <v>21.51</v>
      </c>
    </row>
    <row r="157" spans="1:2" ht="13.9" x14ac:dyDescent="0.35">
      <c r="A157" s="2">
        <v>44062</v>
      </c>
      <c r="B157" s="3">
        <v>22.54</v>
      </c>
    </row>
    <row r="158" spans="1:2" ht="13.9" x14ac:dyDescent="0.35">
      <c r="A158" s="2">
        <v>44063</v>
      </c>
      <c r="B158" s="3">
        <v>22.72</v>
      </c>
    </row>
    <row r="159" spans="1:2" ht="13.9" x14ac:dyDescent="0.35">
      <c r="A159" s="2">
        <v>44064</v>
      </c>
      <c r="B159" s="3">
        <v>22.54</v>
      </c>
    </row>
    <row r="160" spans="1:2" ht="13.9" x14ac:dyDescent="0.35">
      <c r="A160" s="2">
        <v>44067</v>
      </c>
      <c r="B160" s="3">
        <v>22.37</v>
      </c>
    </row>
    <row r="161" spans="1:2" ht="13.9" x14ac:dyDescent="0.35">
      <c r="A161" s="2">
        <v>44068</v>
      </c>
      <c r="B161" s="3">
        <v>22.03</v>
      </c>
    </row>
    <row r="162" spans="1:2" ht="13.9" x14ac:dyDescent="0.35">
      <c r="A162" s="2">
        <v>44069</v>
      </c>
      <c r="B162" s="3">
        <v>23.27</v>
      </c>
    </row>
    <row r="163" spans="1:2" ht="13.9" x14ac:dyDescent="0.35">
      <c r="A163" s="2">
        <v>44070</v>
      </c>
      <c r="B163" s="3">
        <v>24.47</v>
      </c>
    </row>
    <row r="164" spans="1:2" ht="13.9" x14ac:dyDescent="0.35">
      <c r="A164" s="2">
        <v>44071</v>
      </c>
      <c r="B164" s="3">
        <v>22.96</v>
      </c>
    </row>
    <row r="165" spans="1:2" ht="13.9" x14ac:dyDescent="0.35">
      <c r="A165" s="2">
        <v>44074</v>
      </c>
      <c r="B165" s="3">
        <v>26.41</v>
      </c>
    </row>
    <row r="166" spans="1:2" ht="13.9" x14ac:dyDescent="0.35">
      <c r="A166" s="2">
        <v>44075</v>
      </c>
      <c r="B166" s="3">
        <v>26.12</v>
      </c>
    </row>
    <row r="167" spans="1:2" ht="13.9" x14ac:dyDescent="0.35">
      <c r="A167" s="2">
        <v>44076</v>
      </c>
      <c r="B167" s="3">
        <v>26.57</v>
      </c>
    </row>
    <row r="168" spans="1:2" ht="13.9" x14ac:dyDescent="0.35">
      <c r="A168" s="2">
        <v>44077</v>
      </c>
      <c r="B168" s="3">
        <v>33.6</v>
      </c>
    </row>
    <row r="169" spans="1:2" ht="13.9" x14ac:dyDescent="0.35">
      <c r="A169" s="2">
        <v>44078</v>
      </c>
      <c r="B169" s="3">
        <v>30.75</v>
      </c>
    </row>
    <row r="170" spans="1:2" ht="13.9" x14ac:dyDescent="0.35">
      <c r="A170" s="2">
        <v>44081</v>
      </c>
      <c r="B170" s="3">
        <v>30.75</v>
      </c>
    </row>
    <row r="171" spans="1:2" ht="13.9" x14ac:dyDescent="0.35">
      <c r="A171" s="2">
        <v>44082</v>
      </c>
      <c r="B171" s="3">
        <v>31.46</v>
      </c>
    </row>
    <row r="172" spans="1:2" ht="13.9" x14ac:dyDescent="0.35">
      <c r="A172" s="2">
        <v>44083</v>
      </c>
      <c r="B172" s="3">
        <v>28.81</v>
      </c>
    </row>
    <row r="173" spans="1:2" ht="13.9" x14ac:dyDescent="0.35">
      <c r="A173" s="2">
        <v>44084</v>
      </c>
      <c r="B173" s="3">
        <v>29.71</v>
      </c>
    </row>
    <row r="174" spans="1:2" ht="13.9" x14ac:dyDescent="0.35">
      <c r="A174" s="2">
        <v>44085</v>
      </c>
      <c r="B174" s="3">
        <v>26.87</v>
      </c>
    </row>
    <row r="175" spans="1:2" ht="13.9" x14ac:dyDescent="0.35">
      <c r="A175" s="2">
        <v>44088</v>
      </c>
      <c r="B175" s="3">
        <v>25.85</v>
      </c>
    </row>
    <row r="176" spans="1:2" ht="13.9" x14ac:dyDescent="0.35">
      <c r="A176" s="2">
        <v>44089</v>
      </c>
      <c r="B176" s="3">
        <v>25.59</v>
      </c>
    </row>
    <row r="177" spans="1:2" ht="13.9" x14ac:dyDescent="0.35">
      <c r="A177" s="2">
        <v>44090</v>
      </c>
      <c r="B177" s="3">
        <v>26.04</v>
      </c>
    </row>
    <row r="178" spans="1:2" ht="13.9" x14ac:dyDescent="0.35">
      <c r="A178" s="2">
        <v>44091</v>
      </c>
      <c r="B178" s="3">
        <v>26.46</v>
      </c>
    </row>
    <row r="179" spans="1:2" ht="13.9" x14ac:dyDescent="0.35">
      <c r="A179" s="2">
        <v>44092</v>
      </c>
      <c r="B179" s="3">
        <v>25.83</v>
      </c>
    </row>
    <row r="180" spans="1:2" ht="13.9" x14ac:dyDescent="0.35">
      <c r="A180" s="2">
        <v>44095</v>
      </c>
      <c r="B180" s="3">
        <v>27.78</v>
      </c>
    </row>
    <row r="181" spans="1:2" ht="13.9" x14ac:dyDescent="0.35">
      <c r="A181" s="2">
        <v>44096</v>
      </c>
      <c r="B181" s="3">
        <v>26.86</v>
      </c>
    </row>
    <row r="182" spans="1:2" ht="13.9" x14ac:dyDescent="0.35">
      <c r="A182" s="2">
        <v>44097</v>
      </c>
      <c r="B182" s="3">
        <v>28.58</v>
      </c>
    </row>
    <row r="183" spans="1:2" ht="13.9" x14ac:dyDescent="0.35">
      <c r="A183" s="2">
        <v>44098</v>
      </c>
      <c r="B183" s="3">
        <v>28.51</v>
      </c>
    </row>
    <row r="184" spans="1:2" ht="13.9" x14ac:dyDescent="0.35">
      <c r="A184" s="2">
        <v>44099</v>
      </c>
      <c r="B184" s="3">
        <v>26.38</v>
      </c>
    </row>
    <row r="185" spans="1:2" ht="13.9" x14ac:dyDescent="0.35">
      <c r="A185" s="2">
        <v>44102</v>
      </c>
      <c r="B185" s="3">
        <v>26.19</v>
      </c>
    </row>
    <row r="186" spans="1:2" ht="13.9" x14ac:dyDescent="0.35">
      <c r="A186" s="2">
        <v>44103</v>
      </c>
      <c r="B186" s="3">
        <v>26.27</v>
      </c>
    </row>
    <row r="187" spans="1:2" ht="13.9" x14ac:dyDescent="0.35">
      <c r="A187" s="2">
        <v>44104</v>
      </c>
      <c r="B187" s="3">
        <v>26.37</v>
      </c>
    </row>
    <row r="188" spans="1:2" ht="13.9" x14ac:dyDescent="0.35">
      <c r="A188" s="2">
        <v>44113</v>
      </c>
      <c r="B188" s="3">
        <v>25</v>
      </c>
    </row>
    <row r="189" spans="1:2" ht="13.9" x14ac:dyDescent="0.35">
      <c r="A189" s="2">
        <v>44116</v>
      </c>
      <c r="B189" s="3">
        <v>25.07</v>
      </c>
    </row>
    <row r="190" spans="1:2" ht="13.9" x14ac:dyDescent="0.35">
      <c r="A190" s="2">
        <v>44117</v>
      </c>
      <c r="B190" s="3">
        <v>26.07</v>
      </c>
    </row>
    <row r="191" spans="1:2" ht="13.9" x14ac:dyDescent="0.35">
      <c r="A191" s="2">
        <v>44118</v>
      </c>
      <c r="B191" s="3">
        <v>26.4</v>
      </c>
    </row>
    <row r="192" spans="1:2" ht="13.9" x14ac:dyDescent="0.35">
      <c r="A192" s="2">
        <v>44119</v>
      </c>
      <c r="B192" s="3">
        <v>26.97</v>
      </c>
    </row>
    <row r="193" spans="1:2" ht="13.9" x14ac:dyDescent="0.35">
      <c r="A193" s="2">
        <v>44120</v>
      </c>
      <c r="B193" s="3">
        <v>27.41</v>
      </c>
    </row>
    <row r="194" spans="1:2" ht="13.9" x14ac:dyDescent="0.35">
      <c r="A194" s="2">
        <v>44123</v>
      </c>
      <c r="B194" s="3">
        <v>29.18</v>
      </c>
    </row>
    <row r="195" spans="1:2" ht="13.9" x14ac:dyDescent="0.35">
      <c r="A195" s="2">
        <v>44124</v>
      </c>
      <c r="B195" s="3">
        <v>29.35</v>
      </c>
    </row>
    <row r="196" spans="1:2" ht="13.9" x14ac:dyDescent="0.35">
      <c r="A196" s="2">
        <v>44125</v>
      </c>
      <c r="B196" s="3">
        <v>28.65</v>
      </c>
    </row>
    <row r="197" spans="1:2" ht="13.9" x14ac:dyDescent="0.35">
      <c r="A197" s="2">
        <v>44126</v>
      </c>
      <c r="B197" s="3">
        <v>28.11</v>
      </c>
    </row>
    <row r="198" spans="1:2" ht="13.9" x14ac:dyDescent="0.35">
      <c r="A198" s="2">
        <v>44127</v>
      </c>
      <c r="B198" s="3">
        <v>27.55</v>
      </c>
    </row>
    <row r="199" spans="1:2" ht="13.9" x14ac:dyDescent="0.35">
      <c r="A199" s="2">
        <v>44130</v>
      </c>
      <c r="B199" s="3">
        <v>32.46</v>
      </c>
    </row>
    <row r="200" spans="1:2" ht="13.9" x14ac:dyDescent="0.35">
      <c r="A200" s="2">
        <v>44131</v>
      </c>
      <c r="B200" s="3">
        <v>33.35</v>
      </c>
    </row>
    <row r="201" spans="1:2" ht="13.9" x14ac:dyDescent="0.35">
      <c r="A201" s="2">
        <v>44132</v>
      </c>
      <c r="B201" s="3">
        <v>40.28</v>
      </c>
    </row>
    <row r="202" spans="1:2" ht="13.9" x14ac:dyDescent="0.35">
      <c r="A202" s="2">
        <v>44133</v>
      </c>
      <c r="B202" s="3">
        <v>37.590000000000003</v>
      </c>
    </row>
    <row r="203" spans="1:2" ht="13.9" x14ac:dyDescent="0.35">
      <c r="A203" s="2">
        <v>44134</v>
      </c>
      <c r="B203" s="3">
        <v>38.020000000000003</v>
      </c>
    </row>
    <row r="204" spans="1:2" ht="13.9" x14ac:dyDescent="0.35">
      <c r="A204" s="2">
        <v>44137</v>
      </c>
      <c r="B204" s="3">
        <v>37.130000000000003</v>
      </c>
    </row>
    <row r="205" spans="1:2" ht="13.9" x14ac:dyDescent="0.35">
      <c r="A205" s="2">
        <v>44138</v>
      </c>
      <c r="B205" s="3">
        <v>35.549999999999997</v>
      </c>
    </row>
    <row r="206" spans="1:2" ht="13.9" x14ac:dyDescent="0.35">
      <c r="A206" s="2">
        <v>44139</v>
      </c>
      <c r="B206" s="3">
        <v>29.57</v>
      </c>
    </row>
    <row r="207" spans="1:2" ht="13.9" x14ac:dyDescent="0.35">
      <c r="A207" s="2">
        <v>44140</v>
      </c>
      <c r="B207" s="3">
        <v>27.58</v>
      </c>
    </row>
    <row r="208" spans="1:2" ht="13.9" x14ac:dyDescent="0.35">
      <c r="A208" s="2">
        <v>44141</v>
      </c>
      <c r="B208" s="3">
        <v>24.86</v>
      </c>
    </row>
    <row r="209" spans="1:2" ht="13.9" x14ac:dyDescent="0.35">
      <c r="A209" s="2">
        <v>44144</v>
      </c>
      <c r="B209" s="3">
        <v>25.75</v>
      </c>
    </row>
    <row r="210" spans="1:2" ht="13.9" x14ac:dyDescent="0.35">
      <c r="A210" s="2">
        <v>44145</v>
      </c>
      <c r="B210" s="3">
        <v>24.8</v>
      </c>
    </row>
    <row r="211" spans="1:2" ht="13.9" x14ac:dyDescent="0.35">
      <c r="A211" s="2">
        <v>44146</v>
      </c>
      <c r="B211" s="3">
        <v>23.45</v>
      </c>
    </row>
    <row r="212" spans="1:2" ht="13.9" x14ac:dyDescent="0.35">
      <c r="A212" s="2">
        <v>44147</v>
      </c>
      <c r="B212" s="3">
        <v>25.35</v>
      </c>
    </row>
    <row r="213" spans="1:2" ht="13.9" x14ac:dyDescent="0.35">
      <c r="A213" s="2">
        <v>44148</v>
      </c>
      <c r="B213" s="3">
        <v>23.1</v>
      </c>
    </row>
    <row r="214" spans="1:2" ht="13.9" x14ac:dyDescent="0.35">
      <c r="A214" s="2">
        <v>44151</v>
      </c>
      <c r="B214" s="3">
        <v>22.45</v>
      </c>
    </row>
    <row r="215" spans="1:2" ht="13.9" x14ac:dyDescent="0.35">
      <c r="A215" s="2">
        <v>44152</v>
      </c>
      <c r="B215" s="3">
        <v>22.71</v>
      </c>
    </row>
    <row r="216" spans="1:2" ht="13.9" x14ac:dyDescent="0.35">
      <c r="A216" s="2">
        <v>44153</v>
      </c>
      <c r="B216" s="3">
        <v>23.84</v>
      </c>
    </row>
    <row r="217" spans="1:2" ht="13.9" x14ac:dyDescent="0.35">
      <c r="A217" s="2">
        <v>44154</v>
      </c>
      <c r="B217" s="3">
        <v>23.11</v>
      </c>
    </row>
    <row r="218" spans="1:2" ht="13.9" x14ac:dyDescent="0.35">
      <c r="A218" s="2">
        <v>44155</v>
      </c>
      <c r="B218" s="3">
        <v>23.7</v>
      </c>
    </row>
    <row r="219" spans="1:2" ht="13.9" x14ac:dyDescent="0.35">
      <c r="A219" s="2">
        <v>44158</v>
      </c>
      <c r="B219" s="3">
        <v>22.66</v>
      </c>
    </row>
    <row r="220" spans="1:2" ht="13.9" x14ac:dyDescent="0.35">
      <c r="A220" s="2">
        <v>44159</v>
      </c>
      <c r="B220" s="3">
        <v>21.64</v>
      </c>
    </row>
    <row r="221" spans="1:2" ht="13.9" x14ac:dyDescent="0.35">
      <c r="A221" s="2">
        <v>44160</v>
      </c>
      <c r="B221" s="3">
        <v>21.25</v>
      </c>
    </row>
    <row r="222" spans="1:2" ht="13.9" x14ac:dyDescent="0.35">
      <c r="A222" s="2">
        <v>44161</v>
      </c>
      <c r="B222" s="3">
        <v>21.25</v>
      </c>
    </row>
    <row r="223" spans="1:2" ht="13.9" x14ac:dyDescent="0.35">
      <c r="A223" s="2">
        <v>44162</v>
      </c>
      <c r="B223" s="3">
        <v>20.84</v>
      </c>
    </row>
    <row r="224" spans="1:2" ht="13.9" x14ac:dyDescent="0.35">
      <c r="A224" s="2">
        <v>44165</v>
      </c>
      <c r="B224" s="3">
        <v>20.57</v>
      </c>
    </row>
    <row r="225" spans="1:2" ht="13.9" x14ac:dyDescent="0.35">
      <c r="A225" s="2">
        <v>44166</v>
      </c>
      <c r="B225" s="3">
        <v>20.77</v>
      </c>
    </row>
    <row r="226" spans="1:2" ht="13.9" x14ac:dyDescent="0.35">
      <c r="A226" s="2">
        <v>44167</v>
      </c>
      <c r="B226" s="3">
        <v>21.17</v>
      </c>
    </row>
    <row r="227" spans="1:2" ht="13.9" x14ac:dyDescent="0.35">
      <c r="A227" s="2">
        <v>44168</v>
      </c>
      <c r="B227" s="3">
        <v>21.28</v>
      </c>
    </row>
    <row r="228" spans="1:2" ht="13.9" x14ac:dyDescent="0.35">
      <c r="A228" s="2">
        <v>44169</v>
      </c>
      <c r="B228" s="3">
        <v>20.79</v>
      </c>
    </row>
    <row r="229" spans="1:2" ht="13.9" x14ac:dyDescent="0.35">
      <c r="A229" s="2">
        <v>44172</v>
      </c>
      <c r="B229" s="3">
        <v>21.3</v>
      </c>
    </row>
    <row r="230" spans="1:2" ht="13.9" x14ac:dyDescent="0.35">
      <c r="A230" s="2">
        <v>44173</v>
      </c>
      <c r="B230" s="3">
        <v>20.68</v>
      </c>
    </row>
    <row r="231" spans="1:2" ht="13.9" x14ac:dyDescent="0.35">
      <c r="A231" s="2">
        <v>44174</v>
      </c>
      <c r="B231" s="3">
        <v>22.27</v>
      </c>
    </row>
    <row r="232" spans="1:2" ht="13.9" x14ac:dyDescent="0.35">
      <c r="A232" s="2">
        <v>44175</v>
      </c>
      <c r="B232" s="3">
        <v>22.52</v>
      </c>
    </row>
    <row r="233" spans="1:2" ht="13.9" x14ac:dyDescent="0.35">
      <c r="A233" s="2">
        <v>44176</v>
      </c>
      <c r="B233" s="3">
        <v>23.31</v>
      </c>
    </row>
    <row r="234" spans="1:2" ht="13.9" x14ac:dyDescent="0.35">
      <c r="A234" s="2">
        <v>44179</v>
      </c>
      <c r="B234" s="3">
        <v>24.72</v>
      </c>
    </row>
    <row r="235" spans="1:2" ht="13.9" x14ac:dyDescent="0.35">
      <c r="A235" s="2">
        <v>44180</v>
      </c>
      <c r="B235" s="3">
        <v>22.89</v>
      </c>
    </row>
    <row r="236" spans="1:2" ht="13.9" x14ac:dyDescent="0.35">
      <c r="A236" s="2">
        <v>44181</v>
      </c>
      <c r="B236" s="3">
        <v>22.5</v>
      </c>
    </row>
    <row r="237" spans="1:2" ht="13.9" x14ac:dyDescent="0.35">
      <c r="A237" s="2">
        <v>44182</v>
      </c>
      <c r="B237" s="3">
        <v>21.93</v>
      </c>
    </row>
    <row r="238" spans="1:2" ht="13.9" x14ac:dyDescent="0.35">
      <c r="A238" s="2">
        <v>44183</v>
      </c>
      <c r="B238" s="3">
        <v>21.57</v>
      </c>
    </row>
    <row r="239" spans="1:2" ht="13.9" x14ac:dyDescent="0.35">
      <c r="A239" s="2">
        <v>44186</v>
      </c>
      <c r="B239" s="3">
        <v>25.16</v>
      </c>
    </row>
    <row r="240" spans="1:2" ht="13.9" x14ac:dyDescent="0.35">
      <c r="A240" s="2">
        <v>44187</v>
      </c>
      <c r="B240" s="3">
        <v>24.23</v>
      </c>
    </row>
    <row r="241" spans="1:2" ht="13.9" x14ac:dyDescent="0.35">
      <c r="A241" s="2">
        <v>44188</v>
      </c>
      <c r="B241" s="3">
        <v>23.31</v>
      </c>
    </row>
    <row r="242" spans="1:2" ht="13.9" x14ac:dyDescent="0.35">
      <c r="A242" s="2">
        <v>44189</v>
      </c>
      <c r="B242" s="3">
        <v>21.53</v>
      </c>
    </row>
    <row r="243" spans="1:2" ht="13.9" x14ac:dyDescent="0.35">
      <c r="A243" s="2">
        <v>44190</v>
      </c>
      <c r="B243" s="3">
        <v>21.53</v>
      </c>
    </row>
    <row r="244" spans="1:2" ht="13.9" x14ac:dyDescent="0.35">
      <c r="A244" s="2">
        <v>44193</v>
      </c>
      <c r="B244" s="3">
        <v>21.7</v>
      </c>
    </row>
    <row r="245" spans="1:2" ht="13.9" x14ac:dyDescent="0.35">
      <c r="A245" s="2">
        <v>44194</v>
      </c>
      <c r="B245" s="3">
        <v>23.08</v>
      </c>
    </row>
    <row r="246" spans="1:2" ht="13.9" x14ac:dyDescent="0.35">
      <c r="A246" s="2">
        <v>44195</v>
      </c>
      <c r="B246" s="3">
        <v>22.77</v>
      </c>
    </row>
    <row r="247" spans="1:2" ht="13.9" x14ac:dyDescent="0.35">
      <c r="A247" s="2">
        <v>44196</v>
      </c>
      <c r="B247" s="3">
        <v>22.75</v>
      </c>
    </row>
    <row r="248" spans="1:2" ht="13.9" x14ac:dyDescent="0.35">
      <c r="A248" s="2">
        <v>44200</v>
      </c>
      <c r="B248" s="3">
        <v>26.97</v>
      </c>
    </row>
    <row r="249" spans="1:2" ht="13.9" x14ac:dyDescent="0.35">
      <c r="A249" s="2">
        <v>44201</v>
      </c>
      <c r="B249" s="3">
        <v>25.34</v>
      </c>
    </row>
    <row r="250" spans="1:2" ht="13.9" x14ac:dyDescent="0.35">
      <c r="A250" s="2">
        <v>44202</v>
      </c>
      <c r="B250" s="3">
        <v>25.07</v>
      </c>
    </row>
    <row r="251" spans="1:2" ht="13.9" x14ac:dyDescent="0.35">
      <c r="A251" s="2">
        <v>44203</v>
      </c>
      <c r="B251" s="3">
        <v>22.37</v>
      </c>
    </row>
    <row r="252" spans="1:2" ht="13.9" x14ac:dyDescent="0.35">
      <c r="A252" s="2">
        <v>44204</v>
      </c>
      <c r="B252" s="3">
        <v>21.56</v>
      </c>
    </row>
    <row r="253" spans="1:2" ht="13.9" x14ac:dyDescent="0.35">
      <c r="A253" s="2">
        <v>44207</v>
      </c>
      <c r="B253" s="3">
        <v>24.08</v>
      </c>
    </row>
    <row r="254" spans="1:2" ht="13.9" x14ac:dyDescent="0.35">
      <c r="A254" s="2">
        <v>44208</v>
      </c>
      <c r="B254" s="3">
        <v>23.33</v>
      </c>
    </row>
    <row r="255" spans="1:2" ht="13.9" x14ac:dyDescent="0.35">
      <c r="A255" s="2">
        <v>44209</v>
      </c>
      <c r="B255" s="3">
        <v>22.21</v>
      </c>
    </row>
    <row r="256" spans="1:2" ht="13.9" x14ac:dyDescent="0.35">
      <c r="A256" s="2">
        <v>44210</v>
      </c>
      <c r="B256" s="3">
        <v>23.25</v>
      </c>
    </row>
    <row r="257" spans="1:2" ht="13.9" x14ac:dyDescent="0.35">
      <c r="A257" s="2">
        <v>44211</v>
      </c>
      <c r="B257" s="3">
        <v>24.34</v>
      </c>
    </row>
    <row r="258" spans="1:2" ht="13.9" x14ac:dyDescent="0.35">
      <c r="A258" s="2">
        <v>44214</v>
      </c>
      <c r="B258" s="3">
        <v>24.34</v>
      </c>
    </row>
    <row r="259" spans="1:2" ht="13.9" x14ac:dyDescent="0.35">
      <c r="A259" s="2">
        <v>44215</v>
      </c>
      <c r="B259" s="3">
        <v>23.24</v>
      </c>
    </row>
    <row r="260" spans="1:2" ht="13.9" x14ac:dyDescent="0.35">
      <c r="A260" s="2">
        <v>44216</v>
      </c>
      <c r="B260" s="3">
        <v>21.58</v>
      </c>
    </row>
    <row r="261" spans="1:2" ht="13.9" x14ac:dyDescent="0.35">
      <c r="A261" s="2">
        <v>44217</v>
      </c>
      <c r="B261" s="3">
        <v>21.32</v>
      </c>
    </row>
    <row r="262" spans="1:2" ht="13.9" x14ac:dyDescent="0.35">
      <c r="A262" s="2">
        <v>44218</v>
      </c>
      <c r="B262" s="3">
        <v>21.91</v>
      </c>
    </row>
    <row r="263" spans="1:2" ht="13.9" x14ac:dyDescent="0.35">
      <c r="A263" s="2">
        <v>44221</v>
      </c>
      <c r="B263" s="3">
        <v>23.19</v>
      </c>
    </row>
    <row r="264" spans="1:2" ht="13.9" x14ac:dyDescent="0.35">
      <c r="A264" s="2">
        <v>44222</v>
      </c>
      <c r="B264" s="3">
        <v>23.02</v>
      </c>
    </row>
    <row r="265" spans="1:2" ht="13.9" x14ac:dyDescent="0.35">
      <c r="A265" s="2">
        <v>44223</v>
      </c>
      <c r="B265" s="3">
        <v>37.21</v>
      </c>
    </row>
    <row r="266" spans="1:2" ht="13.9" x14ac:dyDescent="0.35">
      <c r="A266" s="2">
        <v>44224</v>
      </c>
      <c r="B266" s="3">
        <v>30.21</v>
      </c>
    </row>
    <row r="267" spans="1:2" ht="13.9" x14ac:dyDescent="0.35">
      <c r="A267" s="2">
        <v>44225</v>
      </c>
      <c r="B267" s="3">
        <v>33.090000000000003</v>
      </c>
    </row>
    <row r="268" spans="1:2" ht="13.9" x14ac:dyDescent="0.35">
      <c r="A268" s="2">
        <v>44228</v>
      </c>
      <c r="B268" s="3">
        <v>30.24</v>
      </c>
    </row>
    <row r="269" spans="1:2" ht="13.9" x14ac:dyDescent="0.35">
      <c r="A269" s="2">
        <v>44229</v>
      </c>
      <c r="B269" s="3">
        <v>25.56</v>
      </c>
    </row>
    <row r="270" spans="1:2" ht="13.9" x14ac:dyDescent="0.35">
      <c r="A270" s="2">
        <v>44230</v>
      </c>
      <c r="B270" s="3">
        <v>22.91</v>
      </c>
    </row>
    <row r="271" spans="1:2" ht="13.9" x14ac:dyDescent="0.35">
      <c r="A271" s="2">
        <v>44231</v>
      </c>
      <c r="B271" s="3">
        <v>21.77</v>
      </c>
    </row>
    <row r="272" spans="1:2" ht="13.9" x14ac:dyDescent="0.35">
      <c r="A272" s="2">
        <v>44232</v>
      </c>
      <c r="B272" s="3">
        <v>20.87</v>
      </c>
    </row>
    <row r="273" spans="1:2" ht="13.9" x14ac:dyDescent="0.35">
      <c r="A273" s="2">
        <v>44235</v>
      </c>
      <c r="B273" s="3">
        <v>21.24</v>
      </c>
    </row>
    <row r="274" spans="1:2" ht="13.9" x14ac:dyDescent="0.35">
      <c r="A274" s="2">
        <v>44236</v>
      </c>
      <c r="B274" s="3">
        <v>21.63</v>
      </c>
    </row>
    <row r="275" spans="1:2" ht="13.9" x14ac:dyDescent="0.35">
      <c r="A275" s="2">
        <v>44237</v>
      </c>
      <c r="B275" s="3">
        <v>21.99</v>
      </c>
    </row>
    <row r="276" spans="1:2" ht="13.9" x14ac:dyDescent="0.35">
      <c r="A276" s="2">
        <v>44245</v>
      </c>
      <c r="B276" s="3">
        <v>22.49</v>
      </c>
    </row>
    <row r="277" spans="1:2" ht="13.9" x14ac:dyDescent="0.35">
      <c r="A277" s="2">
        <v>44246</v>
      </c>
      <c r="B277" s="3">
        <v>22.05</v>
      </c>
    </row>
    <row r="278" spans="1:2" ht="13.9" x14ac:dyDescent="0.35">
      <c r="A278" s="2">
        <v>44249</v>
      </c>
      <c r="B278" s="3">
        <v>23.45</v>
      </c>
    </row>
    <row r="279" spans="1:2" ht="13.9" x14ac:dyDescent="0.35">
      <c r="A279" s="2">
        <v>44250</v>
      </c>
      <c r="B279" s="3">
        <v>23.11</v>
      </c>
    </row>
    <row r="280" spans="1:2" ht="13.9" x14ac:dyDescent="0.35">
      <c r="A280" s="2">
        <v>44251</v>
      </c>
      <c r="B280" s="3">
        <v>21.34</v>
      </c>
    </row>
    <row r="281" spans="1:2" ht="13.9" x14ac:dyDescent="0.35">
      <c r="A281" s="2">
        <v>44252</v>
      </c>
      <c r="B281" s="3">
        <v>28.89</v>
      </c>
    </row>
    <row r="282" spans="1:2" ht="13.9" x14ac:dyDescent="0.35">
      <c r="A282" s="2">
        <v>44253</v>
      </c>
      <c r="B282" s="3">
        <v>27.95</v>
      </c>
    </row>
    <row r="283" spans="1:2" ht="13.9" x14ac:dyDescent="0.35">
      <c r="A283" s="2">
        <v>44256</v>
      </c>
      <c r="B283" s="3">
        <v>23.35</v>
      </c>
    </row>
    <row r="284" spans="1:2" ht="13.9" x14ac:dyDescent="0.35">
      <c r="A284" s="2">
        <v>44257</v>
      </c>
      <c r="B284" s="3">
        <v>24.1</v>
      </c>
    </row>
    <row r="285" spans="1:2" ht="13.9" x14ac:dyDescent="0.35">
      <c r="A285" s="2">
        <v>44258</v>
      </c>
      <c r="B285" s="3">
        <v>26.67</v>
      </c>
    </row>
    <row r="286" spans="1:2" ht="13.9" x14ac:dyDescent="0.35">
      <c r="A286" s="2">
        <v>44259</v>
      </c>
      <c r="B286" s="3">
        <v>28.57</v>
      </c>
    </row>
    <row r="287" spans="1:2" ht="13.9" x14ac:dyDescent="0.35">
      <c r="A287" s="2">
        <v>44260</v>
      </c>
      <c r="B287" s="3">
        <v>24.66</v>
      </c>
    </row>
    <row r="288" spans="1:2" ht="13.9" x14ac:dyDescent="0.35">
      <c r="A288" s="2">
        <v>44263</v>
      </c>
      <c r="B288" s="3">
        <v>25.47</v>
      </c>
    </row>
    <row r="289" spans="1:2" ht="13.9" x14ac:dyDescent="0.35">
      <c r="A289" s="2">
        <v>44264</v>
      </c>
      <c r="B289" s="3">
        <v>24.03</v>
      </c>
    </row>
    <row r="290" spans="1:2" ht="13.9" x14ac:dyDescent="0.35">
      <c r="A290" s="2">
        <v>44265</v>
      </c>
      <c r="B290" s="3">
        <v>22.56</v>
      </c>
    </row>
    <row r="291" spans="1:2" ht="13.9" x14ac:dyDescent="0.35">
      <c r="A291" s="2">
        <v>44266</v>
      </c>
      <c r="B291" s="3">
        <v>21.91</v>
      </c>
    </row>
    <row r="292" spans="1:2" ht="13.9" x14ac:dyDescent="0.35">
      <c r="A292" s="2">
        <v>44267</v>
      </c>
      <c r="B292" s="3">
        <v>20.69</v>
      </c>
    </row>
    <row r="293" spans="1:2" ht="13.9" x14ac:dyDescent="0.35">
      <c r="A293" s="2">
        <v>44270</v>
      </c>
      <c r="B293" s="3">
        <v>20.03</v>
      </c>
    </row>
    <row r="294" spans="1:2" ht="13.9" x14ac:dyDescent="0.35">
      <c r="A294" s="2">
        <v>44271</v>
      </c>
      <c r="B294" s="3">
        <v>19.79</v>
      </c>
    </row>
    <row r="295" spans="1:2" ht="13.9" x14ac:dyDescent="0.35">
      <c r="A295" s="2">
        <v>44272</v>
      </c>
      <c r="B295" s="3">
        <v>19.23</v>
      </c>
    </row>
    <row r="296" spans="1:2" ht="13.9" x14ac:dyDescent="0.35">
      <c r="A296" s="2">
        <v>44273</v>
      </c>
      <c r="B296" s="3">
        <v>21.58</v>
      </c>
    </row>
    <row r="297" spans="1:2" ht="13.9" x14ac:dyDescent="0.35">
      <c r="A297" s="2">
        <v>44274</v>
      </c>
      <c r="B297" s="3">
        <v>20.95</v>
      </c>
    </row>
    <row r="298" spans="1:2" ht="13.9" x14ac:dyDescent="0.35">
      <c r="A298" s="2">
        <v>44277</v>
      </c>
      <c r="B298" s="3">
        <v>18.88</v>
      </c>
    </row>
    <row r="299" spans="1:2" ht="13.9" x14ac:dyDescent="0.35">
      <c r="A299" s="2">
        <v>44278</v>
      </c>
      <c r="B299" s="3">
        <v>20.3</v>
      </c>
    </row>
    <row r="300" spans="1:2" ht="13.9" x14ac:dyDescent="0.35">
      <c r="A300" s="2">
        <v>44279</v>
      </c>
      <c r="B300" s="3">
        <v>21.2</v>
      </c>
    </row>
    <row r="301" spans="1:2" ht="13.9" x14ac:dyDescent="0.35">
      <c r="A301" s="2">
        <v>44280</v>
      </c>
      <c r="B301" s="3">
        <v>19.809999999999999</v>
      </c>
    </row>
    <row r="302" spans="1:2" ht="13.9" x14ac:dyDescent="0.35">
      <c r="A302" s="2">
        <v>44281</v>
      </c>
      <c r="B302" s="3">
        <v>18.86</v>
      </c>
    </row>
    <row r="303" spans="1:2" ht="13.9" x14ac:dyDescent="0.35">
      <c r="A303" s="2">
        <v>44284</v>
      </c>
      <c r="B303" s="3">
        <v>20.74</v>
      </c>
    </row>
    <row r="304" spans="1:2" ht="13.9" x14ac:dyDescent="0.35">
      <c r="A304" s="2">
        <v>44285</v>
      </c>
      <c r="B304" s="3">
        <v>19.61</v>
      </c>
    </row>
    <row r="305" spans="1:2" ht="13.9" x14ac:dyDescent="0.35">
      <c r="A305" s="2">
        <v>44286</v>
      </c>
      <c r="B305" s="3">
        <v>19.399999999999999</v>
      </c>
    </row>
    <row r="306" spans="1:2" ht="13.9" x14ac:dyDescent="0.35">
      <c r="A306" s="2">
        <v>44287</v>
      </c>
      <c r="B306" s="3">
        <v>17.329999999999998</v>
      </c>
    </row>
    <row r="307" spans="1:2" ht="13.9" x14ac:dyDescent="0.35">
      <c r="A307" s="2">
        <v>44288</v>
      </c>
      <c r="B307" s="3">
        <v>17.329999999999998</v>
      </c>
    </row>
    <row r="308" spans="1:2" ht="13.9" x14ac:dyDescent="0.35">
      <c r="A308" s="2">
        <v>44292</v>
      </c>
      <c r="B308" s="3">
        <v>18.12</v>
      </c>
    </row>
    <row r="309" spans="1:2" ht="13.9" x14ac:dyDescent="0.35">
      <c r="A309" s="2">
        <v>44293</v>
      </c>
      <c r="B309" s="3">
        <v>17.16</v>
      </c>
    </row>
    <row r="310" spans="1:2" ht="13.9" x14ac:dyDescent="0.35">
      <c r="A310" s="2">
        <v>44294</v>
      </c>
      <c r="B310" s="3">
        <v>16.95</v>
      </c>
    </row>
    <row r="311" spans="1:2" ht="13.9" x14ac:dyDescent="0.35">
      <c r="A311" s="2">
        <v>44295</v>
      </c>
      <c r="B311" s="3">
        <v>16.690000000000001</v>
      </c>
    </row>
    <row r="312" spans="1:2" ht="13.9" x14ac:dyDescent="0.35">
      <c r="A312" s="2">
        <v>44298</v>
      </c>
      <c r="B312" s="3">
        <v>16.91</v>
      </c>
    </row>
    <row r="313" spans="1:2" ht="13.9" x14ac:dyDescent="0.35">
      <c r="A313" s="2">
        <v>44299</v>
      </c>
      <c r="B313" s="3">
        <v>16.649999999999999</v>
      </c>
    </row>
    <row r="314" spans="1:2" ht="13.9" x14ac:dyDescent="0.35">
      <c r="A314" s="2">
        <v>44300</v>
      </c>
      <c r="B314" s="3">
        <v>16.989999999999998</v>
      </c>
    </row>
    <row r="315" spans="1:2" ht="13.9" x14ac:dyDescent="0.35">
      <c r="A315" s="2">
        <v>44301</v>
      </c>
      <c r="B315" s="3">
        <v>16.57</v>
      </c>
    </row>
    <row r="316" spans="1:2" ht="13.9" x14ac:dyDescent="0.35">
      <c r="A316" s="2">
        <v>44302</v>
      </c>
      <c r="B316" s="3">
        <v>16.25</v>
      </c>
    </row>
    <row r="317" spans="1:2" ht="13.9" x14ac:dyDescent="0.35">
      <c r="A317" s="2">
        <v>44305</v>
      </c>
      <c r="B317" s="3">
        <v>17.29</v>
      </c>
    </row>
    <row r="318" spans="1:2" ht="13.9" x14ac:dyDescent="0.35">
      <c r="A318" s="2">
        <v>44306</v>
      </c>
      <c r="B318" s="3">
        <v>18.68</v>
      </c>
    </row>
    <row r="319" spans="1:2" ht="13.9" x14ac:dyDescent="0.35">
      <c r="A319" s="2">
        <v>44307</v>
      </c>
      <c r="B319" s="3">
        <v>17.5</v>
      </c>
    </row>
    <row r="320" spans="1:2" ht="13.9" x14ac:dyDescent="0.35">
      <c r="A320" s="2">
        <v>44308</v>
      </c>
      <c r="B320" s="3">
        <v>18.71</v>
      </c>
    </row>
    <row r="321" spans="1:2" ht="13.9" x14ac:dyDescent="0.35">
      <c r="A321" s="2">
        <v>44309</v>
      </c>
      <c r="B321" s="3">
        <v>17.329999999999998</v>
      </c>
    </row>
    <row r="322" spans="1:2" ht="13.9" x14ac:dyDescent="0.35">
      <c r="A322" s="2">
        <v>44312</v>
      </c>
      <c r="B322" s="3">
        <v>17.64</v>
      </c>
    </row>
    <row r="323" spans="1:2" ht="13.9" x14ac:dyDescent="0.35">
      <c r="A323" s="2">
        <v>44313</v>
      </c>
      <c r="B323" s="3">
        <v>17.559999999999999</v>
      </c>
    </row>
    <row r="324" spans="1:2" ht="13.9" x14ac:dyDescent="0.35">
      <c r="A324" s="2">
        <v>44314</v>
      </c>
      <c r="B324" s="3">
        <v>17.28</v>
      </c>
    </row>
    <row r="325" spans="1:2" ht="13.9" x14ac:dyDescent="0.35">
      <c r="A325" s="2">
        <v>44315</v>
      </c>
      <c r="B325" s="3">
        <v>17.61</v>
      </c>
    </row>
    <row r="326" spans="1:2" ht="13.9" x14ac:dyDescent="0.35">
      <c r="A326" s="2">
        <v>44316</v>
      </c>
      <c r="B326" s="3">
        <v>18.61</v>
      </c>
    </row>
    <row r="327" spans="1:2" ht="13.9" x14ac:dyDescent="0.35">
      <c r="A327" s="2">
        <v>44322</v>
      </c>
      <c r="B327" s="3">
        <v>18.39</v>
      </c>
    </row>
    <row r="328" spans="1:2" ht="13.9" x14ac:dyDescent="0.35">
      <c r="A328" s="2">
        <v>44323</v>
      </c>
      <c r="B328" s="3">
        <v>16.690000000000001</v>
      </c>
    </row>
    <row r="329" spans="1:2" ht="13.9" x14ac:dyDescent="0.35">
      <c r="A329" s="2">
        <v>44326</v>
      </c>
      <c r="B329" s="3">
        <v>19.66</v>
      </c>
    </row>
    <row r="330" spans="1:2" ht="13.9" x14ac:dyDescent="0.35">
      <c r="A330" s="2">
        <v>44327</v>
      </c>
      <c r="B330" s="3">
        <v>21.84</v>
      </c>
    </row>
    <row r="331" spans="1:2" ht="13.9" x14ac:dyDescent="0.35">
      <c r="A331" s="2">
        <v>44328</v>
      </c>
      <c r="B331" s="3">
        <v>27.59</v>
      </c>
    </row>
    <row r="332" spans="1:2" ht="13.9" x14ac:dyDescent="0.35">
      <c r="A332" s="2">
        <v>44329</v>
      </c>
      <c r="B332" s="3">
        <v>23.13</v>
      </c>
    </row>
    <row r="333" spans="1:2" ht="13.9" x14ac:dyDescent="0.35">
      <c r="A333" s="2">
        <v>44330</v>
      </c>
      <c r="B333" s="3">
        <v>18.809999999999999</v>
      </c>
    </row>
    <row r="334" spans="1:2" ht="13.9" x14ac:dyDescent="0.35">
      <c r="A334" s="2">
        <v>44333</v>
      </c>
      <c r="B334" s="3">
        <v>19.72</v>
      </c>
    </row>
    <row r="335" spans="1:2" ht="13.9" x14ac:dyDescent="0.35">
      <c r="A335" s="2">
        <v>44334</v>
      </c>
      <c r="B335" s="3">
        <v>21.34</v>
      </c>
    </row>
    <row r="336" spans="1:2" ht="13.9" x14ac:dyDescent="0.35">
      <c r="A336" s="2">
        <v>44335</v>
      </c>
      <c r="B336" s="3">
        <v>22.18</v>
      </c>
    </row>
    <row r="337" spans="1:2" ht="13.9" x14ac:dyDescent="0.35">
      <c r="A337" s="2">
        <v>44336</v>
      </c>
      <c r="B337" s="3">
        <v>20.67</v>
      </c>
    </row>
    <row r="338" spans="1:2" ht="13.9" x14ac:dyDescent="0.35">
      <c r="A338" s="2">
        <v>44337</v>
      </c>
      <c r="B338" s="3">
        <v>20.149999999999999</v>
      </c>
    </row>
    <row r="339" spans="1:2" ht="13.9" x14ac:dyDescent="0.35">
      <c r="A339" s="2">
        <v>44340</v>
      </c>
      <c r="B339" s="3">
        <v>18.399999999999999</v>
      </c>
    </row>
    <row r="340" spans="1:2" ht="13.9" x14ac:dyDescent="0.35">
      <c r="A340" s="2">
        <v>44341</v>
      </c>
      <c r="B340" s="3">
        <v>18.84</v>
      </c>
    </row>
    <row r="341" spans="1:2" ht="13.9" x14ac:dyDescent="0.35">
      <c r="A341" s="2">
        <v>44342</v>
      </c>
      <c r="B341" s="3">
        <v>17.36</v>
      </c>
    </row>
    <row r="342" spans="1:2" ht="13.9" x14ac:dyDescent="0.35">
      <c r="A342" s="2">
        <v>44343</v>
      </c>
      <c r="B342" s="3">
        <v>16.739999999999998</v>
      </c>
    </row>
    <row r="343" spans="1:2" ht="13.9" x14ac:dyDescent="0.35">
      <c r="A343" s="2">
        <v>44344</v>
      </c>
      <c r="B343" s="3">
        <v>16.760000000000002</v>
      </c>
    </row>
    <row r="344" spans="1:2" ht="13.9" x14ac:dyDescent="0.35">
      <c r="A344" s="2">
        <v>44347</v>
      </c>
      <c r="B344" s="3">
        <v>16.760000000000002</v>
      </c>
    </row>
    <row r="345" spans="1:2" ht="13.9" x14ac:dyDescent="0.35">
      <c r="A345" s="2">
        <v>44348</v>
      </c>
      <c r="B345" s="3">
        <v>17.899999999999999</v>
      </c>
    </row>
    <row r="346" spans="1:2" ht="13.9" x14ac:dyDescent="0.35">
      <c r="A346" s="2">
        <v>44349</v>
      </c>
      <c r="B346" s="3">
        <v>17.48</v>
      </c>
    </row>
    <row r="347" spans="1:2" ht="13.9" x14ac:dyDescent="0.35">
      <c r="A347" s="2">
        <v>44350</v>
      </c>
      <c r="B347" s="3">
        <v>18.04</v>
      </c>
    </row>
    <row r="348" spans="1:2" ht="13.9" x14ac:dyDescent="0.35">
      <c r="A348" s="2">
        <v>44351</v>
      </c>
      <c r="B348" s="3">
        <v>16.420000000000002</v>
      </c>
    </row>
    <row r="349" spans="1:2" x14ac:dyDescent="0.3">
      <c r="A349" s="4">
        <v>44354</v>
      </c>
      <c r="B349" s="5">
        <v>16.420000000000002</v>
      </c>
    </row>
    <row r="350" spans="1:2" x14ac:dyDescent="0.3">
      <c r="A350" s="4">
        <v>44355</v>
      </c>
      <c r="B350" s="5">
        <v>17.07</v>
      </c>
    </row>
    <row r="351" spans="1:2" x14ac:dyDescent="0.3">
      <c r="A351" s="4">
        <v>44356</v>
      </c>
      <c r="B351" s="5">
        <v>17.89</v>
      </c>
    </row>
    <row r="352" spans="1:2" x14ac:dyDescent="0.3">
      <c r="A352" s="4">
        <v>44357</v>
      </c>
      <c r="B352" s="5">
        <v>16.100000000000001</v>
      </c>
    </row>
    <row r="353" spans="1:2" x14ac:dyDescent="0.3">
      <c r="A353" s="4">
        <v>44358</v>
      </c>
      <c r="B353" s="5">
        <v>15.65</v>
      </c>
    </row>
    <row r="354" spans="1:2" x14ac:dyDescent="0.3">
      <c r="A354" s="4">
        <v>44362</v>
      </c>
      <c r="B354" s="5">
        <v>17.02</v>
      </c>
    </row>
    <row r="355" spans="1:2" x14ac:dyDescent="0.3">
      <c r="A355" s="4">
        <v>44363</v>
      </c>
      <c r="B355" s="5">
        <v>18.149999999999999</v>
      </c>
    </row>
    <row r="356" spans="1:2" x14ac:dyDescent="0.3">
      <c r="A356" s="4">
        <v>44364</v>
      </c>
      <c r="B356" s="5">
        <v>17.75</v>
      </c>
    </row>
    <row r="357" spans="1:2" x14ac:dyDescent="0.3">
      <c r="A357" s="4">
        <v>44365</v>
      </c>
      <c r="B357" s="5">
        <v>20.7</v>
      </c>
    </row>
    <row r="358" spans="1:2" x14ac:dyDescent="0.3">
      <c r="A358" s="4">
        <v>44368</v>
      </c>
      <c r="B358" s="5">
        <v>17.89</v>
      </c>
    </row>
    <row r="359" spans="1:2" x14ac:dyDescent="0.3">
      <c r="A359" s="4">
        <v>44369</v>
      </c>
      <c r="B359" s="5">
        <v>16.66</v>
      </c>
    </row>
    <row r="360" spans="1:2" x14ac:dyDescent="0.3">
      <c r="A360" s="4">
        <v>44370</v>
      </c>
      <c r="B360" s="5">
        <v>16.32</v>
      </c>
    </row>
    <row r="361" spans="1:2" x14ac:dyDescent="0.3">
      <c r="A361" s="4">
        <v>44371</v>
      </c>
      <c r="B361" s="5">
        <v>15.97</v>
      </c>
    </row>
    <row r="362" spans="1:2" x14ac:dyDescent="0.3">
      <c r="A362" s="4">
        <v>44372</v>
      </c>
      <c r="B362" s="5">
        <v>15.62</v>
      </c>
    </row>
    <row r="363" spans="1:2" x14ac:dyDescent="0.3">
      <c r="A363" s="4">
        <v>44375</v>
      </c>
      <c r="B363" s="5">
        <v>15.76</v>
      </c>
    </row>
    <row r="364" spans="1:2" x14ac:dyDescent="0.3">
      <c r="A364" s="4">
        <v>44376</v>
      </c>
      <c r="B364" s="5">
        <v>16.02</v>
      </c>
    </row>
    <row r="365" spans="1:2" x14ac:dyDescent="0.3">
      <c r="A365" s="4">
        <v>44377</v>
      </c>
      <c r="B365" s="5">
        <v>15.83</v>
      </c>
    </row>
    <row r="366" spans="1:2" x14ac:dyDescent="0.3">
      <c r="A366" s="4">
        <v>44378</v>
      </c>
      <c r="B366" s="5">
        <v>15.48</v>
      </c>
    </row>
    <row r="367" spans="1:2" x14ac:dyDescent="0.3">
      <c r="A367" s="4">
        <v>44379</v>
      </c>
      <c r="B367" s="5">
        <v>15.07</v>
      </c>
    </row>
    <row r="368" spans="1:2" x14ac:dyDescent="0.3">
      <c r="A368" s="4">
        <v>44382</v>
      </c>
      <c r="B368" s="5">
        <v>15.07</v>
      </c>
    </row>
    <row r="369" spans="1:2" x14ac:dyDescent="0.3">
      <c r="A369" s="4">
        <v>44383</v>
      </c>
      <c r="B369" s="5">
        <v>16.440000000000001</v>
      </c>
    </row>
    <row r="370" spans="1:2" x14ac:dyDescent="0.3">
      <c r="A370" s="4">
        <v>44384</v>
      </c>
      <c r="B370" s="5">
        <v>16.2</v>
      </c>
    </row>
    <row r="371" spans="1:2" x14ac:dyDescent="0.3">
      <c r="A371" s="4">
        <v>44385</v>
      </c>
      <c r="B371" s="5">
        <v>19</v>
      </c>
    </row>
    <row r="372" spans="1:2" x14ac:dyDescent="0.3">
      <c r="A372" s="4">
        <v>44386</v>
      </c>
      <c r="B372" s="5">
        <v>16.18</v>
      </c>
    </row>
    <row r="373" spans="1:2" x14ac:dyDescent="0.3">
      <c r="A373" s="4">
        <v>44389</v>
      </c>
      <c r="B373" s="5">
        <v>16.170000000000002</v>
      </c>
    </row>
    <row r="374" spans="1:2" x14ac:dyDescent="0.3">
      <c r="A374" s="4">
        <v>44390</v>
      </c>
      <c r="B374" s="5">
        <v>17.12</v>
      </c>
    </row>
    <row r="375" spans="1:2" x14ac:dyDescent="0.3">
      <c r="A375" s="4">
        <v>44391</v>
      </c>
      <c r="B375" s="5">
        <v>16.329999999999998</v>
      </c>
    </row>
    <row r="376" spans="1:2" x14ac:dyDescent="0.3">
      <c r="A376" s="4">
        <v>44392</v>
      </c>
      <c r="B376" s="5">
        <v>17.010000000000002</v>
      </c>
    </row>
    <row r="377" spans="1:2" x14ac:dyDescent="0.3">
      <c r="A377" s="4">
        <v>44393</v>
      </c>
      <c r="B377" s="5">
        <v>18.45</v>
      </c>
    </row>
    <row r="378" spans="1:2" x14ac:dyDescent="0.3">
      <c r="A378" s="4">
        <v>44396</v>
      </c>
      <c r="B378" s="5">
        <v>22.5</v>
      </c>
    </row>
    <row r="379" spans="1:2" x14ac:dyDescent="0.3">
      <c r="A379" s="4">
        <v>44397</v>
      </c>
      <c r="B379" s="5">
        <v>19.73</v>
      </c>
    </row>
    <row r="380" spans="1:2" x14ac:dyDescent="0.3">
      <c r="A380" s="4">
        <v>44398</v>
      </c>
      <c r="B380" s="5">
        <v>17.91</v>
      </c>
    </row>
    <row r="381" spans="1:2" x14ac:dyDescent="0.3">
      <c r="A381" s="4">
        <v>44399</v>
      </c>
      <c r="B381" s="5">
        <v>17.690000000000001</v>
      </c>
    </row>
    <row r="382" spans="1:2" x14ac:dyDescent="0.3">
      <c r="A382" s="4">
        <v>44400</v>
      </c>
      <c r="B382" s="5">
        <v>17.2</v>
      </c>
    </row>
    <row r="383" spans="1:2" x14ac:dyDescent="0.3">
      <c r="A383" s="4">
        <v>44403</v>
      </c>
      <c r="B383" s="5">
        <v>17.579999999999998</v>
      </c>
    </row>
    <row r="384" spans="1:2" x14ac:dyDescent="0.3">
      <c r="A384" s="4">
        <v>44404</v>
      </c>
      <c r="B384" s="5">
        <v>19.36</v>
      </c>
    </row>
    <row r="385" spans="1:2" x14ac:dyDescent="0.3">
      <c r="A385" s="4">
        <v>44405</v>
      </c>
      <c r="B385" s="5">
        <v>18.309999999999999</v>
      </c>
    </row>
    <row r="386" spans="1:2" x14ac:dyDescent="0.3">
      <c r="A386" s="4">
        <v>44406</v>
      </c>
      <c r="B386" s="5">
        <v>17.7</v>
      </c>
    </row>
    <row r="387" spans="1:2" x14ac:dyDescent="0.3">
      <c r="A387" s="4">
        <v>44407</v>
      </c>
      <c r="B387" s="5">
        <v>18.239999999999998</v>
      </c>
    </row>
    <row r="388" spans="1:2" x14ac:dyDescent="0.3">
      <c r="A388" s="4">
        <v>44410</v>
      </c>
      <c r="B388" s="5">
        <v>19.46</v>
      </c>
    </row>
    <row r="389" spans="1:2" x14ac:dyDescent="0.3">
      <c r="A389" s="4">
        <v>44411</v>
      </c>
      <c r="B389" s="5">
        <v>18.04</v>
      </c>
    </row>
    <row r="390" spans="1:2" x14ac:dyDescent="0.3">
      <c r="A390" s="4">
        <v>44412</v>
      </c>
      <c r="B390" s="5">
        <v>17.97</v>
      </c>
    </row>
    <row r="391" spans="1:2" x14ac:dyDescent="0.3">
      <c r="A391" s="4">
        <v>44413</v>
      </c>
      <c r="B391" s="5">
        <v>17.28</v>
      </c>
    </row>
    <row r="392" spans="1:2" x14ac:dyDescent="0.3">
      <c r="A392" s="4">
        <v>44414</v>
      </c>
      <c r="B392" s="5">
        <v>16.149999999999999</v>
      </c>
    </row>
    <row r="393" spans="1:2" x14ac:dyDescent="0.3">
      <c r="A393" s="4">
        <v>44417</v>
      </c>
      <c r="B393" s="5">
        <v>16.72</v>
      </c>
    </row>
    <row r="394" spans="1:2" x14ac:dyDescent="0.3">
      <c r="A394" s="4">
        <v>44418</v>
      </c>
      <c r="B394" s="5">
        <v>16.79</v>
      </c>
    </row>
    <row r="395" spans="1:2" x14ac:dyDescent="0.3">
      <c r="A395" s="4">
        <v>44419</v>
      </c>
      <c r="B395" s="5">
        <v>16.059999999999999</v>
      </c>
    </row>
    <row r="396" spans="1:2" x14ac:dyDescent="0.3">
      <c r="A396" s="4">
        <v>44420</v>
      </c>
      <c r="B396" s="5">
        <v>15.59</v>
      </c>
    </row>
    <row r="397" spans="1:2" x14ac:dyDescent="0.3">
      <c r="A397" s="4">
        <v>44421</v>
      </c>
      <c r="B397" s="5">
        <v>15.45</v>
      </c>
    </row>
    <row r="398" spans="1:2" x14ac:dyDescent="0.3">
      <c r="A398" s="4">
        <v>44424</v>
      </c>
      <c r="B398" s="5">
        <v>16.12</v>
      </c>
    </row>
    <row r="399" spans="1:2" x14ac:dyDescent="0.3">
      <c r="A399" s="4">
        <v>44425</v>
      </c>
      <c r="B399" s="5">
        <v>17.91</v>
      </c>
    </row>
    <row r="400" spans="1:2" x14ac:dyDescent="0.3">
      <c r="A400" s="4">
        <v>44426</v>
      </c>
      <c r="B400" s="5">
        <v>21.57</v>
      </c>
    </row>
    <row r="401" spans="1:2" x14ac:dyDescent="0.3">
      <c r="A401" s="4">
        <v>44427</v>
      </c>
      <c r="B401" s="5">
        <v>21.67</v>
      </c>
    </row>
    <row r="402" spans="1:2" x14ac:dyDescent="0.3">
      <c r="A402" s="4">
        <v>44428</v>
      </c>
      <c r="B402" s="5">
        <v>18.559999999999999</v>
      </c>
    </row>
    <row r="403" spans="1:2" x14ac:dyDescent="0.3">
      <c r="A403" s="4">
        <v>44431</v>
      </c>
      <c r="B403" s="5">
        <v>17.149999999999999</v>
      </c>
    </row>
    <row r="404" spans="1:2" x14ac:dyDescent="0.3">
      <c r="A404" s="4">
        <v>44432</v>
      </c>
      <c r="B404" s="5">
        <v>17.22</v>
      </c>
    </row>
    <row r="405" spans="1:2" x14ac:dyDescent="0.3">
      <c r="A405" s="4">
        <v>44433</v>
      </c>
      <c r="B405" s="5">
        <v>16.79</v>
      </c>
    </row>
    <row r="406" spans="1:2" x14ac:dyDescent="0.3">
      <c r="A406" s="4">
        <v>44434</v>
      </c>
      <c r="B406" s="5">
        <v>18.84</v>
      </c>
    </row>
    <row r="407" spans="1:2" x14ac:dyDescent="0.3">
      <c r="A407" s="4">
        <v>44435</v>
      </c>
      <c r="B407" s="5">
        <v>16.39</v>
      </c>
    </row>
    <row r="408" spans="1:2" x14ac:dyDescent="0.3">
      <c r="A408" s="4">
        <v>44438</v>
      </c>
      <c r="B408" s="5">
        <v>16.190000000000001</v>
      </c>
    </row>
    <row r="409" spans="1:2" x14ac:dyDescent="0.3">
      <c r="A409" s="4">
        <v>44439</v>
      </c>
      <c r="B409" s="5">
        <v>16.48</v>
      </c>
    </row>
    <row r="410" spans="1:2" x14ac:dyDescent="0.3">
      <c r="A410" s="4">
        <v>44440</v>
      </c>
      <c r="B410" s="5">
        <v>16.11</v>
      </c>
    </row>
    <row r="411" spans="1:2" x14ac:dyDescent="0.3">
      <c r="A411" s="4">
        <v>44441</v>
      </c>
      <c r="B411" s="5">
        <v>16.41</v>
      </c>
    </row>
    <row r="412" spans="1:2" x14ac:dyDescent="0.3">
      <c r="A412" s="4">
        <v>44442</v>
      </c>
      <c r="B412" s="5">
        <v>16.41</v>
      </c>
    </row>
    <row r="413" spans="1:2" x14ac:dyDescent="0.3">
      <c r="A413" s="4">
        <v>44445</v>
      </c>
      <c r="B413" s="5">
        <v>16.41</v>
      </c>
    </row>
    <row r="414" spans="1:2" x14ac:dyDescent="0.3">
      <c r="A414" s="4">
        <v>44446</v>
      </c>
      <c r="B414" s="5">
        <v>18.14</v>
      </c>
    </row>
    <row r="415" spans="1:2" x14ac:dyDescent="0.3">
      <c r="A415" s="4">
        <v>44447</v>
      </c>
      <c r="B415" s="5">
        <v>17.96</v>
      </c>
    </row>
    <row r="416" spans="1:2" x14ac:dyDescent="0.3">
      <c r="A416" s="4">
        <v>44448</v>
      </c>
      <c r="B416" s="5">
        <v>18.8</v>
      </c>
    </row>
    <row r="417" spans="1:2" x14ac:dyDescent="0.3">
      <c r="A417" s="4">
        <v>44449</v>
      </c>
      <c r="B417" s="5">
        <v>20.95</v>
      </c>
    </row>
    <row r="418" spans="1:2" x14ac:dyDescent="0.3">
      <c r="A418" s="4">
        <v>44452</v>
      </c>
      <c r="B418" s="5">
        <v>19.37</v>
      </c>
    </row>
    <row r="419" spans="1:2" x14ac:dyDescent="0.3">
      <c r="A419" s="4">
        <v>44453</v>
      </c>
      <c r="B419" s="5">
        <v>19.46</v>
      </c>
    </row>
    <row r="420" spans="1:2" x14ac:dyDescent="0.3">
      <c r="A420" s="4">
        <v>44454</v>
      </c>
      <c r="B420" s="5">
        <v>18.18</v>
      </c>
    </row>
    <row r="421" spans="1:2" x14ac:dyDescent="0.3">
      <c r="A421" s="4">
        <v>44455</v>
      </c>
      <c r="B421" s="5">
        <v>18.690000000000001</v>
      </c>
    </row>
    <row r="422" spans="1:2" x14ac:dyDescent="0.3">
      <c r="A422" s="4">
        <v>44456</v>
      </c>
      <c r="B422" s="5">
        <v>20.81</v>
      </c>
    </row>
    <row r="423" spans="1:2" x14ac:dyDescent="0.3">
      <c r="A423" s="4">
        <v>44461</v>
      </c>
      <c r="B423" s="5">
        <v>20.87</v>
      </c>
    </row>
    <row r="424" spans="1:2" x14ac:dyDescent="0.3">
      <c r="A424" s="4">
        <v>44462</v>
      </c>
      <c r="B424" s="5">
        <v>18.63</v>
      </c>
    </row>
    <row r="425" spans="1:2" x14ac:dyDescent="0.3">
      <c r="A425" s="4">
        <v>44463</v>
      </c>
      <c r="B425" s="5">
        <v>17.75</v>
      </c>
    </row>
    <row r="426" spans="1:2" x14ac:dyDescent="0.3">
      <c r="A426" s="4">
        <v>44466</v>
      </c>
      <c r="B426" s="5">
        <v>18.760000000000002</v>
      </c>
    </row>
    <row r="427" spans="1:2" x14ac:dyDescent="0.3">
      <c r="A427" s="4">
        <v>44467</v>
      </c>
      <c r="B427" s="5">
        <v>23.25</v>
      </c>
    </row>
    <row r="428" spans="1:2" x14ac:dyDescent="0.3">
      <c r="A428" s="4">
        <v>44468</v>
      </c>
      <c r="B428" s="5">
        <v>22.56</v>
      </c>
    </row>
    <row r="429" spans="1:2" x14ac:dyDescent="0.3">
      <c r="A429" s="4">
        <v>44469</v>
      </c>
      <c r="B429" s="5">
        <v>23.14</v>
      </c>
    </row>
    <row r="430" spans="1:2" x14ac:dyDescent="0.3">
      <c r="A430" s="4">
        <v>44477</v>
      </c>
      <c r="B430" s="5">
        <v>18.77</v>
      </c>
    </row>
    <row r="431" spans="1:2" x14ac:dyDescent="0.3">
      <c r="A431" s="4">
        <v>44480</v>
      </c>
      <c r="B431" s="5">
        <v>20</v>
      </c>
    </row>
    <row r="432" spans="1:2" x14ac:dyDescent="0.3">
      <c r="A432" s="4">
        <v>44481</v>
      </c>
      <c r="B432" s="5">
        <v>19.850000000000001</v>
      </c>
    </row>
    <row r="433" spans="1:2" x14ac:dyDescent="0.3">
      <c r="A433" s="4">
        <v>44482</v>
      </c>
      <c r="B433" s="5">
        <v>18.64</v>
      </c>
    </row>
    <row r="434" spans="1:2" x14ac:dyDescent="0.3">
      <c r="A434" s="4">
        <v>44483</v>
      </c>
      <c r="B434" s="5">
        <v>16.86</v>
      </c>
    </row>
    <row r="435" spans="1:2" x14ac:dyDescent="0.3">
      <c r="A435" s="4">
        <v>44484</v>
      </c>
      <c r="B435" s="5">
        <v>16.3</v>
      </c>
    </row>
    <row r="436" spans="1:2" x14ac:dyDescent="0.3">
      <c r="A436" s="4">
        <v>44487</v>
      </c>
      <c r="B436" s="5">
        <v>16.309999999999999</v>
      </c>
    </row>
    <row r="437" spans="1:2" x14ac:dyDescent="0.3">
      <c r="A437" s="4">
        <v>44488</v>
      </c>
      <c r="B437" s="5">
        <v>15.7</v>
      </c>
    </row>
    <row r="438" spans="1:2" x14ac:dyDescent="0.3">
      <c r="A438" s="4">
        <v>44489</v>
      </c>
      <c r="B438" s="5">
        <v>15.49</v>
      </c>
    </row>
    <row r="439" spans="1:2" x14ac:dyDescent="0.3">
      <c r="A439" s="4">
        <v>44490</v>
      </c>
      <c r="B439" s="5">
        <v>15.01</v>
      </c>
    </row>
    <row r="440" spans="1:2" x14ac:dyDescent="0.3">
      <c r="A440" s="4">
        <v>44491</v>
      </c>
      <c r="B440" s="5">
        <v>15.43</v>
      </c>
    </row>
    <row r="441" spans="1:2" x14ac:dyDescent="0.3">
      <c r="A441" s="4">
        <v>44494</v>
      </c>
      <c r="B441" s="5">
        <v>15.24</v>
      </c>
    </row>
    <row r="442" spans="1:2" x14ac:dyDescent="0.3">
      <c r="A442" s="4">
        <v>44495</v>
      </c>
      <c r="B442" s="5">
        <v>15.98</v>
      </c>
    </row>
    <row r="443" spans="1:2" x14ac:dyDescent="0.3">
      <c r="A443" s="4">
        <v>44496</v>
      </c>
      <c r="B443" s="5">
        <v>16.98</v>
      </c>
    </row>
    <row r="444" spans="1:2" x14ac:dyDescent="0.3">
      <c r="A444" s="4">
        <v>44497</v>
      </c>
      <c r="B444" s="5">
        <v>16.53</v>
      </c>
    </row>
    <row r="445" spans="1:2" x14ac:dyDescent="0.3">
      <c r="A445" s="4">
        <v>44498</v>
      </c>
      <c r="B445" s="5">
        <v>16.260000000000002</v>
      </c>
    </row>
    <row r="446" spans="1:2" x14ac:dyDescent="0.3">
      <c r="A446" s="4">
        <v>44501</v>
      </c>
      <c r="B446" s="5">
        <v>16.41</v>
      </c>
    </row>
    <row r="447" spans="1:2" x14ac:dyDescent="0.3">
      <c r="A447" s="4">
        <v>44502</v>
      </c>
      <c r="B447" s="5">
        <v>16.03</v>
      </c>
    </row>
    <row r="448" spans="1:2" x14ac:dyDescent="0.3">
      <c r="A448" s="4">
        <v>44503</v>
      </c>
      <c r="B448" s="5">
        <v>15.1</v>
      </c>
    </row>
    <row r="449" spans="1:2" x14ac:dyDescent="0.3">
      <c r="A449" s="4">
        <v>44504</v>
      </c>
      <c r="B449" s="5">
        <v>15.44</v>
      </c>
    </row>
    <row r="450" spans="1:2" x14ac:dyDescent="0.3">
      <c r="A450" s="4">
        <v>44505</v>
      </c>
      <c r="B450" s="5">
        <v>16.48</v>
      </c>
    </row>
    <row r="451" spans="1:2" x14ac:dyDescent="0.3">
      <c r="A451" s="4">
        <v>44508</v>
      </c>
      <c r="B451" s="5">
        <v>17.22</v>
      </c>
    </row>
    <row r="452" spans="1:2" x14ac:dyDescent="0.3">
      <c r="A452" s="4">
        <v>44509</v>
      </c>
      <c r="B452" s="5">
        <v>17.78</v>
      </c>
    </row>
    <row r="453" spans="1:2" x14ac:dyDescent="0.3">
      <c r="A453" s="4">
        <v>44510</v>
      </c>
      <c r="B453" s="5">
        <v>18.73</v>
      </c>
    </row>
    <row r="454" spans="1:2" x14ac:dyDescent="0.3">
      <c r="A454" s="4">
        <v>44511</v>
      </c>
      <c r="B454" s="5">
        <v>17.66</v>
      </c>
    </row>
    <row r="455" spans="1:2" x14ac:dyDescent="0.3">
      <c r="A455" s="4">
        <v>44512</v>
      </c>
      <c r="B455" s="5">
        <v>16.29</v>
      </c>
    </row>
    <row r="456" spans="1:2" x14ac:dyDescent="0.3">
      <c r="A456" s="4">
        <v>44515</v>
      </c>
      <c r="B456" s="5">
        <v>16.489999999999998</v>
      </c>
    </row>
    <row r="457" spans="1:2" x14ac:dyDescent="0.3">
      <c r="A457" s="4">
        <v>44516</v>
      </c>
      <c r="B457" s="5">
        <v>16.37</v>
      </c>
    </row>
    <row r="458" spans="1:2" x14ac:dyDescent="0.3">
      <c r="A458" s="4">
        <v>44517</v>
      </c>
      <c r="B458" s="5">
        <v>17.11</v>
      </c>
    </row>
    <row r="459" spans="1:2" x14ac:dyDescent="0.3">
      <c r="A459" s="4">
        <v>44518</v>
      </c>
      <c r="B459" s="5">
        <v>17.59</v>
      </c>
    </row>
    <row r="460" spans="1:2" x14ac:dyDescent="0.3">
      <c r="A460" s="4">
        <v>44519</v>
      </c>
      <c r="B460" s="5">
        <v>17.91</v>
      </c>
    </row>
    <row r="461" spans="1:2" x14ac:dyDescent="0.3">
      <c r="A461" s="4">
        <v>44522</v>
      </c>
      <c r="B461" s="5">
        <v>19.170000000000002</v>
      </c>
    </row>
    <row r="462" spans="1:2" x14ac:dyDescent="0.3">
      <c r="A462" s="4">
        <v>44523</v>
      </c>
      <c r="B462" s="5">
        <v>19.38</v>
      </c>
    </row>
    <row r="463" spans="1:2" x14ac:dyDescent="0.3">
      <c r="A463" s="4">
        <v>44524</v>
      </c>
      <c r="B463" s="5">
        <v>18.579999999999998</v>
      </c>
    </row>
    <row r="464" spans="1:2" x14ac:dyDescent="0.3">
      <c r="A464" s="4">
        <v>44525</v>
      </c>
      <c r="B464" s="5">
        <v>18.579999999999998</v>
      </c>
    </row>
    <row r="465" spans="1:2" x14ac:dyDescent="0.3">
      <c r="A465" s="4">
        <v>44526</v>
      </c>
      <c r="B465" s="5">
        <v>28.62</v>
      </c>
    </row>
    <row r="466" spans="1:2" x14ac:dyDescent="0.3">
      <c r="A466" s="4">
        <v>44529</v>
      </c>
      <c r="B466" s="5">
        <v>22.96</v>
      </c>
    </row>
    <row r="467" spans="1:2" x14ac:dyDescent="0.3">
      <c r="A467" s="4">
        <v>44530</v>
      </c>
      <c r="B467" s="5">
        <v>27.19</v>
      </c>
    </row>
    <row r="468" spans="1:2" x14ac:dyDescent="0.3">
      <c r="A468" s="4">
        <v>44531</v>
      </c>
      <c r="B468" s="5">
        <v>31.12</v>
      </c>
    </row>
    <row r="469" spans="1:2" x14ac:dyDescent="0.3">
      <c r="A469" s="4">
        <v>44532</v>
      </c>
      <c r="B469" s="5">
        <v>27.95</v>
      </c>
    </row>
    <row r="470" spans="1:2" x14ac:dyDescent="0.3">
      <c r="A470" s="4">
        <v>44533</v>
      </c>
      <c r="B470" s="5">
        <v>30.67</v>
      </c>
    </row>
    <row r="471" spans="1:2" x14ac:dyDescent="0.3">
      <c r="A471" s="4">
        <v>44536</v>
      </c>
      <c r="B471" s="5">
        <v>27.18</v>
      </c>
    </row>
    <row r="472" spans="1:2" x14ac:dyDescent="0.3">
      <c r="A472" s="4">
        <v>44537</v>
      </c>
      <c r="B472" s="5">
        <v>21.89</v>
      </c>
    </row>
    <row r="473" spans="1:2" x14ac:dyDescent="0.3">
      <c r="A473" s="4">
        <v>44538</v>
      </c>
      <c r="B473" s="5">
        <v>19.899999999999999</v>
      </c>
    </row>
    <row r="474" spans="1:2" x14ac:dyDescent="0.3">
      <c r="A474" s="4">
        <v>44539</v>
      </c>
      <c r="B474" s="5">
        <v>21.58</v>
      </c>
    </row>
    <row r="475" spans="1:2" x14ac:dyDescent="0.3">
      <c r="A475" s="4">
        <v>44540</v>
      </c>
      <c r="B475" s="5">
        <v>18.690000000000001</v>
      </c>
    </row>
    <row r="476" spans="1:2" x14ac:dyDescent="0.3">
      <c r="A476" s="4">
        <v>44543</v>
      </c>
      <c r="B476" s="5">
        <v>20.309999999999999</v>
      </c>
    </row>
    <row r="477" spans="1:2" x14ac:dyDescent="0.3">
      <c r="A477" s="4">
        <v>44544</v>
      </c>
      <c r="B477" s="5">
        <v>21.89</v>
      </c>
    </row>
    <row r="478" spans="1:2" x14ac:dyDescent="0.3">
      <c r="A478" s="4">
        <v>44545</v>
      </c>
      <c r="B478" s="5">
        <v>19.29</v>
      </c>
    </row>
    <row r="479" spans="1:2" x14ac:dyDescent="0.3">
      <c r="A479" s="4">
        <v>44546</v>
      </c>
      <c r="B479" s="5">
        <v>20.57</v>
      </c>
    </row>
    <row r="480" spans="1:2" x14ac:dyDescent="0.3">
      <c r="A480" s="4">
        <v>44547</v>
      </c>
      <c r="B480" s="5">
        <v>21.57</v>
      </c>
    </row>
    <row r="481" spans="1:2" x14ac:dyDescent="0.3">
      <c r="A481" s="4">
        <v>44550</v>
      </c>
      <c r="B481" s="5">
        <v>22.87</v>
      </c>
    </row>
    <row r="482" spans="1:2" x14ac:dyDescent="0.3">
      <c r="A482" s="4">
        <v>44551</v>
      </c>
      <c r="B482" s="5">
        <v>21.01</v>
      </c>
    </row>
    <row r="483" spans="1:2" x14ac:dyDescent="0.3">
      <c r="A483" s="4">
        <v>44552</v>
      </c>
      <c r="B483" s="5">
        <v>18.63</v>
      </c>
    </row>
    <row r="484" spans="1:2" x14ac:dyDescent="0.3">
      <c r="A484" s="4">
        <v>44553</v>
      </c>
      <c r="B484" s="5">
        <v>17.96</v>
      </c>
    </row>
    <row r="485" spans="1:2" x14ac:dyDescent="0.3">
      <c r="A485" s="4">
        <v>44554</v>
      </c>
      <c r="B485" s="5">
        <v>17.96</v>
      </c>
    </row>
    <row r="486" spans="1:2" x14ac:dyDescent="0.3">
      <c r="A486" s="4">
        <v>44557</v>
      </c>
      <c r="B486" s="5">
        <v>17.68</v>
      </c>
    </row>
    <row r="487" spans="1:2" x14ac:dyDescent="0.3">
      <c r="A487" s="4">
        <v>44558</v>
      </c>
      <c r="B487" s="5">
        <v>17.54</v>
      </c>
    </row>
    <row r="488" spans="1:2" x14ac:dyDescent="0.3">
      <c r="A488" s="4">
        <v>44559</v>
      </c>
      <c r="B488" s="5">
        <v>16.95</v>
      </c>
    </row>
    <row r="489" spans="1:2" x14ac:dyDescent="0.3">
      <c r="A489" s="4">
        <v>44560</v>
      </c>
      <c r="B489" s="5">
        <v>17.329999999999998</v>
      </c>
    </row>
    <row r="490" spans="1:2" x14ac:dyDescent="0.3">
      <c r="A490" s="4">
        <v>44561</v>
      </c>
      <c r="B490" s="5">
        <v>17.22</v>
      </c>
    </row>
    <row r="491" spans="1:2" x14ac:dyDescent="0.3">
      <c r="A491" s="4">
        <v>44565</v>
      </c>
      <c r="B491" s="5">
        <v>16.91</v>
      </c>
    </row>
    <row r="492" spans="1:2" x14ac:dyDescent="0.3">
      <c r="A492" s="4">
        <v>44566</v>
      </c>
      <c r="B492" s="5">
        <v>19.73</v>
      </c>
    </row>
    <row r="493" spans="1:2" x14ac:dyDescent="0.3">
      <c r="A493" s="4">
        <v>44567</v>
      </c>
      <c r="B493" s="5">
        <v>19.61</v>
      </c>
    </row>
    <row r="494" spans="1:2" x14ac:dyDescent="0.3">
      <c r="A494" s="4">
        <v>44568</v>
      </c>
      <c r="B494" s="5">
        <v>18.760000000000002</v>
      </c>
    </row>
    <row r="495" spans="1:2" x14ac:dyDescent="0.3">
      <c r="A495" s="4">
        <v>44571</v>
      </c>
      <c r="B495" s="5">
        <v>19.399999999999999</v>
      </c>
    </row>
    <row r="496" spans="1:2" x14ac:dyDescent="0.3">
      <c r="A496" s="4">
        <v>44572</v>
      </c>
      <c r="B496" s="5">
        <v>18.41</v>
      </c>
    </row>
    <row r="497" spans="1:2" x14ac:dyDescent="0.3">
      <c r="A497" s="4">
        <v>44573</v>
      </c>
      <c r="B497" s="5">
        <v>17.62</v>
      </c>
    </row>
    <row r="498" spans="1:2" x14ac:dyDescent="0.3">
      <c r="A498" s="4">
        <v>44574</v>
      </c>
      <c r="B498" s="5">
        <v>20.309999999999999</v>
      </c>
    </row>
    <row r="499" spans="1:2" x14ac:dyDescent="0.3">
      <c r="A499" s="4">
        <v>44575</v>
      </c>
      <c r="B499" s="5">
        <v>19.190000000000001</v>
      </c>
    </row>
    <row r="500" spans="1:2" x14ac:dyDescent="0.3">
      <c r="A500" s="4">
        <v>44578</v>
      </c>
      <c r="B500" s="5">
        <v>19.190000000000001</v>
      </c>
    </row>
    <row r="501" spans="1:2" x14ac:dyDescent="0.3">
      <c r="A501" s="4">
        <v>44579</v>
      </c>
      <c r="B501" s="5">
        <v>22.79</v>
      </c>
    </row>
    <row r="502" spans="1:2" x14ac:dyDescent="0.3">
      <c r="A502" s="4">
        <v>44580</v>
      </c>
      <c r="B502" s="5">
        <v>23.85</v>
      </c>
    </row>
    <row r="503" spans="1:2" x14ac:dyDescent="0.3">
      <c r="A503" s="4">
        <v>44581</v>
      </c>
      <c r="B503" s="5">
        <v>25.59</v>
      </c>
    </row>
    <row r="504" spans="1:2" x14ac:dyDescent="0.3">
      <c r="A504" s="4">
        <v>44582</v>
      </c>
      <c r="B504" s="5">
        <v>28.85</v>
      </c>
    </row>
    <row r="505" spans="1:2" x14ac:dyDescent="0.3">
      <c r="A505" s="4">
        <v>44585</v>
      </c>
      <c r="B505" s="5">
        <v>29.9</v>
      </c>
    </row>
    <row r="506" spans="1:2" x14ac:dyDescent="0.3">
      <c r="A506" s="4">
        <v>44586</v>
      </c>
      <c r="B506" s="5">
        <v>31.16</v>
      </c>
    </row>
    <row r="507" spans="1:2" x14ac:dyDescent="0.3">
      <c r="A507" s="4">
        <v>44587</v>
      </c>
      <c r="B507" s="5">
        <v>31.96</v>
      </c>
    </row>
    <row r="508" spans="1:2" x14ac:dyDescent="0.3">
      <c r="A508" s="4">
        <v>44588</v>
      </c>
      <c r="B508" s="5">
        <v>30.49</v>
      </c>
    </row>
    <row r="509" spans="1:2" x14ac:dyDescent="0.3">
      <c r="A509" s="4">
        <v>44589</v>
      </c>
      <c r="B509" s="5">
        <v>27.66</v>
      </c>
    </row>
    <row r="510" spans="1:2" x14ac:dyDescent="0.3">
      <c r="A510" s="4">
        <v>44599</v>
      </c>
      <c r="B510" s="5">
        <v>22.86</v>
      </c>
    </row>
    <row r="511" spans="1:2" x14ac:dyDescent="0.3">
      <c r="A511" s="4">
        <v>44600</v>
      </c>
      <c r="B511" s="5">
        <v>21.44</v>
      </c>
    </row>
    <row r="512" spans="1:2" x14ac:dyDescent="0.3">
      <c r="A512" s="4">
        <v>44601</v>
      </c>
      <c r="B512" s="5">
        <v>19.96</v>
      </c>
    </row>
    <row r="513" spans="1:2" x14ac:dyDescent="0.3">
      <c r="A513" s="4">
        <v>44602</v>
      </c>
      <c r="B513" s="5">
        <v>23.91</v>
      </c>
    </row>
    <row r="514" spans="1:2" x14ac:dyDescent="0.3">
      <c r="A514" s="4">
        <v>44603</v>
      </c>
      <c r="B514" s="5">
        <v>27.36</v>
      </c>
    </row>
    <row r="515" spans="1:2" x14ac:dyDescent="0.3">
      <c r="A515" s="4">
        <v>44606</v>
      </c>
      <c r="B515" s="5">
        <v>28.33</v>
      </c>
    </row>
    <row r="516" spans="1:2" x14ac:dyDescent="0.3">
      <c r="A516" s="4">
        <v>44607</v>
      </c>
      <c r="B516" s="5">
        <v>25.7</v>
      </c>
    </row>
    <row r="517" spans="1:2" x14ac:dyDescent="0.3">
      <c r="A517" s="4">
        <v>44608</v>
      </c>
      <c r="B517" s="5">
        <v>24.29</v>
      </c>
    </row>
    <row r="518" spans="1:2" x14ac:dyDescent="0.3">
      <c r="A518" s="4">
        <v>44609</v>
      </c>
      <c r="B518" s="5">
        <v>28.11</v>
      </c>
    </row>
    <row r="519" spans="1:2" x14ac:dyDescent="0.3">
      <c r="A519" s="4">
        <v>44610</v>
      </c>
      <c r="B519" s="5">
        <v>27.75</v>
      </c>
    </row>
    <row r="520" spans="1:2" x14ac:dyDescent="0.3">
      <c r="A520" s="4">
        <v>44613</v>
      </c>
      <c r="B520" s="5">
        <v>27.75</v>
      </c>
    </row>
    <row r="521" spans="1:2" x14ac:dyDescent="0.3">
      <c r="A521" s="4">
        <v>44614</v>
      </c>
      <c r="B521" s="5">
        <v>28.81</v>
      </c>
    </row>
    <row r="522" spans="1:2" x14ac:dyDescent="0.3">
      <c r="A522" s="4">
        <v>44615</v>
      </c>
      <c r="B522" s="5">
        <v>31.02</v>
      </c>
    </row>
    <row r="523" spans="1:2" x14ac:dyDescent="0.3">
      <c r="A523" s="4">
        <v>44616</v>
      </c>
      <c r="B523" s="5">
        <v>30.32</v>
      </c>
    </row>
    <row r="524" spans="1:2" x14ac:dyDescent="0.3">
      <c r="A524" s="4">
        <v>44617</v>
      </c>
      <c r="B524" s="5">
        <v>27.59</v>
      </c>
    </row>
    <row r="525" spans="1:2" x14ac:dyDescent="0.3">
      <c r="A525" s="4">
        <v>44620</v>
      </c>
      <c r="B525" s="5">
        <v>30.15</v>
      </c>
    </row>
    <row r="526" spans="1:2" x14ac:dyDescent="0.3">
      <c r="A526" s="4">
        <v>44621</v>
      </c>
      <c r="B526" s="5">
        <v>33.32</v>
      </c>
    </row>
    <row r="527" spans="1:2" x14ac:dyDescent="0.3">
      <c r="A527" s="4">
        <v>44622</v>
      </c>
      <c r="B527" s="5">
        <v>30.74</v>
      </c>
    </row>
    <row r="528" spans="1:2" x14ac:dyDescent="0.3">
      <c r="A528" s="4">
        <v>44623</v>
      </c>
      <c r="B528" s="5">
        <v>30.48</v>
      </c>
    </row>
    <row r="529" spans="1:2" x14ac:dyDescent="0.3">
      <c r="A529" s="4">
        <v>44624</v>
      </c>
      <c r="B529" s="5">
        <v>31.98</v>
      </c>
    </row>
    <row r="530" spans="1:2" x14ac:dyDescent="0.3">
      <c r="A530" s="4">
        <v>44627</v>
      </c>
      <c r="B530" s="5">
        <v>36.450000000000003</v>
      </c>
    </row>
    <row r="531" spans="1:2" x14ac:dyDescent="0.3">
      <c r="A531" s="4">
        <v>44628</v>
      </c>
      <c r="B531" s="5">
        <v>35.130000000000003</v>
      </c>
    </row>
    <row r="532" spans="1:2" x14ac:dyDescent="0.3">
      <c r="A532" s="4">
        <v>44629</v>
      </c>
      <c r="B532" s="5">
        <v>32.450000000000003</v>
      </c>
    </row>
    <row r="533" spans="1:2" x14ac:dyDescent="0.3">
      <c r="A533" s="4">
        <v>44630</v>
      </c>
      <c r="B533" s="5">
        <v>30.23</v>
      </c>
    </row>
    <row r="534" spans="1:2" x14ac:dyDescent="0.3">
      <c r="A534" s="4">
        <v>44631</v>
      </c>
      <c r="B534" s="5">
        <v>30.75</v>
      </c>
    </row>
    <row r="535" spans="1:2" x14ac:dyDescent="0.3">
      <c r="A535" s="4">
        <v>44634</v>
      </c>
      <c r="B535" s="5">
        <v>31.77</v>
      </c>
    </row>
    <row r="536" spans="1:2" x14ac:dyDescent="0.3">
      <c r="A536" s="4">
        <v>44635</v>
      </c>
      <c r="B536" s="5">
        <v>29.83</v>
      </c>
    </row>
    <row r="537" spans="1:2" x14ac:dyDescent="0.3">
      <c r="A537" s="4">
        <v>44636</v>
      </c>
      <c r="B537" s="5">
        <v>26.67</v>
      </c>
    </row>
    <row r="538" spans="1:2" x14ac:dyDescent="0.3">
      <c r="A538" s="4">
        <v>44637</v>
      </c>
      <c r="B538" s="5">
        <v>25.67</v>
      </c>
    </row>
    <row r="539" spans="1:2" x14ac:dyDescent="0.3">
      <c r="A539" s="4">
        <v>44638</v>
      </c>
      <c r="B539" s="5">
        <v>23.87</v>
      </c>
    </row>
    <row r="540" spans="1:2" x14ac:dyDescent="0.3">
      <c r="A540" s="4">
        <v>44641</v>
      </c>
      <c r="B540" s="5">
        <v>23.53</v>
      </c>
    </row>
    <row r="541" spans="1:2" x14ac:dyDescent="0.3">
      <c r="A541" s="4">
        <v>44642</v>
      </c>
      <c r="B541" s="5">
        <v>22.94</v>
      </c>
    </row>
    <row r="542" spans="1:2" x14ac:dyDescent="0.3">
      <c r="A542" s="4">
        <v>44643</v>
      </c>
      <c r="B542" s="5">
        <v>23.57</v>
      </c>
    </row>
    <row r="543" spans="1:2" x14ac:dyDescent="0.3">
      <c r="A543" s="4">
        <v>44644</v>
      </c>
      <c r="B543" s="5">
        <v>21.67</v>
      </c>
    </row>
    <row r="544" spans="1:2" x14ac:dyDescent="0.3">
      <c r="A544" s="4">
        <v>44645</v>
      </c>
      <c r="B544" s="5">
        <v>20.81</v>
      </c>
    </row>
    <row r="545" spans="1:2" x14ac:dyDescent="0.3">
      <c r="A545" s="4">
        <v>44648</v>
      </c>
      <c r="B545" s="5">
        <v>19.63</v>
      </c>
    </row>
    <row r="546" spans="1:2" x14ac:dyDescent="0.3">
      <c r="A546" s="4">
        <v>44649</v>
      </c>
      <c r="B546" s="5">
        <v>18.899999999999999</v>
      </c>
    </row>
    <row r="547" spans="1:2" x14ac:dyDescent="0.3">
      <c r="A547" s="4">
        <v>44650</v>
      </c>
      <c r="B547" s="5">
        <v>19.329999999999998</v>
      </c>
    </row>
    <row r="548" spans="1:2" x14ac:dyDescent="0.3">
      <c r="A548" s="4">
        <v>44651</v>
      </c>
      <c r="B548" s="5">
        <v>20.56</v>
      </c>
    </row>
    <row r="549" spans="1:2" x14ac:dyDescent="0.3">
      <c r="A549" s="4">
        <v>44652</v>
      </c>
      <c r="B549" s="5">
        <v>19.63</v>
      </c>
    </row>
    <row r="550" spans="1:2" x14ac:dyDescent="0.3">
      <c r="A550" s="4">
        <v>44657</v>
      </c>
      <c r="B550" s="5">
        <v>22.1</v>
      </c>
    </row>
    <row r="551" spans="1:2" x14ac:dyDescent="0.3">
      <c r="A551" s="4">
        <v>44658</v>
      </c>
      <c r="B551" s="5">
        <v>21.55</v>
      </c>
    </row>
    <row r="552" spans="1:2" x14ac:dyDescent="0.3">
      <c r="A552" s="4">
        <v>44659</v>
      </c>
      <c r="B552" s="5">
        <v>21.16</v>
      </c>
    </row>
    <row r="553" spans="1:2" x14ac:dyDescent="0.3">
      <c r="A553" s="4">
        <v>44662</v>
      </c>
      <c r="B553" s="5">
        <v>24.37</v>
      </c>
    </row>
    <row r="554" spans="1:2" x14ac:dyDescent="0.3">
      <c r="A554" s="4">
        <v>44663</v>
      </c>
      <c r="B554" s="5">
        <v>24.26</v>
      </c>
    </row>
    <row r="555" spans="1:2" x14ac:dyDescent="0.3">
      <c r="A555" s="4">
        <v>44664</v>
      </c>
      <c r="B555" s="5">
        <v>21.82</v>
      </c>
    </row>
    <row r="556" spans="1:2" x14ac:dyDescent="0.3">
      <c r="A556" s="4">
        <v>44665</v>
      </c>
      <c r="B556" s="5">
        <v>22.7</v>
      </c>
    </row>
    <row r="557" spans="1:2" x14ac:dyDescent="0.3">
      <c r="A557" s="4">
        <v>44666</v>
      </c>
      <c r="B557" s="5">
        <v>22.7</v>
      </c>
    </row>
    <row r="558" spans="1:2" x14ac:dyDescent="0.3">
      <c r="A558" s="4">
        <v>44669</v>
      </c>
      <c r="B558" s="5">
        <v>22.17</v>
      </c>
    </row>
    <row r="559" spans="1:2" x14ac:dyDescent="0.3">
      <c r="A559" s="4">
        <v>44670</v>
      </c>
      <c r="B559" s="5">
        <v>21.37</v>
      </c>
    </row>
    <row r="560" spans="1:2" x14ac:dyDescent="0.3">
      <c r="A560" s="4">
        <v>44671</v>
      </c>
      <c r="B560" s="5">
        <v>20.32</v>
      </c>
    </row>
    <row r="561" spans="1:2" x14ac:dyDescent="0.3">
      <c r="A561" s="4">
        <v>44672</v>
      </c>
      <c r="B561" s="5">
        <v>22.68</v>
      </c>
    </row>
    <row r="562" spans="1:2" x14ac:dyDescent="0.3">
      <c r="A562" s="4">
        <v>44673</v>
      </c>
      <c r="B562" s="5">
        <v>28.21</v>
      </c>
    </row>
    <row r="563" spans="1:2" x14ac:dyDescent="0.3">
      <c r="A563" s="4">
        <v>44676</v>
      </c>
      <c r="B563" s="5">
        <v>27.02</v>
      </c>
    </row>
    <row r="564" spans="1:2" x14ac:dyDescent="0.3">
      <c r="A564" s="4">
        <v>44677</v>
      </c>
      <c r="B564" s="5">
        <v>33.520000000000003</v>
      </c>
    </row>
    <row r="565" spans="1:2" x14ac:dyDescent="0.3">
      <c r="A565" s="4">
        <v>44678</v>
      </c>
      <c r="B565" s="5">
        <v>31.6</v>
      </c>
    </row>
    <row r="566" spans="1:2" x14ac:dyDescent="0.3">
      <c r="A566" s="4">
        <v>44679</v>
      </c>
      <c r="B566" s="5">
        <v>29.99</v>
      </c>
    </row>
    <row r="567" spans="1:2" x14ac:dyDescent="0.3">
      <c r="A567" s="4">
        <v>44680</v>
      </c>
      <c r="B567" s="5">
        <v>33.4</v>
      </c>
    </row>
    <row r="568" spans="1:2" x14ac:dyDescent="0.3">
      <c r="A568" s="4">
        <v>44686</v>
      </c>
      <c r="B568" s="5">
        <v>31.2</v>
      </c>
    </row>
    <row r="569" spans="1:2" x14ac:dyDescent="0.3">
      <c r="A569" s="4">
        <v>44687</v>
      </c>
      <c r="B569" s="5">
        <v>30.19</v>
      </c>
    </row>
    <row r="570" spans="1:2" x14ac:dyDescent="0.3">
      <c r="A570" s="4">
        <v>44690</v>
      </c>
      <c r="B570" s="5">
        <v>34.75</v>
      </c>
    </row>
    <row r="571" spans="1:2" x14ac:dyDescent="0.3">
      <c r="A571" s="4">
        <v>44691</v>
      </c>
      <c r="B571" s="5">
        <v>32.99</v>
      </c>
    </row>
    <row r="572" spans="1:2" x14ac:dyDescent="0.3">
      <c r="A572" s="4">
        <v>44692</v>
      </c>
      <c r="B572" s="5">
        <v>32.56</v>
      </c>
    </row>
    <row r="573" spans="1:2" x14ac:dyDescent="0.3">
      <c r="A573" s="4">
        <v>44693</v>
      </c>
      <c r="B573" s="5">
        <v>31.77</v>
      </c>
    </row>
    <row r="574" spans="1:2" x14ac:dyDescent="0.3">
      <c r="A574" s="4">
        <v>44694</v>
      </c>
      <c r="B574" s="5">
        <v>28.87</v>
      </c>
    </row>
    <row r="575" spans="1:2" x14ac:dyDescent="0.3">
      <c r="A575" s="4">
        <v>44697</v>
      </c>
      <c r="B575" s="5">
        <v>27.47</v>
      </c>
    </row>
    <row r="576" spans="1:2" x14ac:dyDescent="0.3">
      <c r="A576" s="4">
        <v>44698</v>
      </c>
      <c r="B576" s="5">
        <v>26.1</v>
      </c>
    </row>
    <row r="577" spans="1:2" x14ac:dyDescent="0.3">
      <c r="A577" s="4">
        <v>44699</v>
      </c>
      <c r="B577" s="5">
        <v>30.96</v>
      </c>
    </row>
    <row r="578" spans="1:2" x14ac:dyDescent="0.3">
      <c r="A578" s="4">
        <v>44700</v>
      </c>
      <c r="B578" s="5">
        <v>29.35</v>
      </c>
    </row>
    <row r="579" spans="1:2" x14ac:dyDescent="0.3">
      <c r="A579" s="4">
        <v>44701</v>
      </c>
      <c r="B579" s="5">
        <v>29.43</v>
      </c>
    </row>
    <row r="580" spans="1:2" x14ac:dyDescent="0.3">
      <c r="A580" s="4">
        <v>44704</v>
      </c>
      <c r="B580" s="5">
        <v>28.48</v>
      </c>
    </row>
    <row r="581" spans="1:2" x14ac:dyDescent="0.3">
      <c r="A581" s="4">
        <v>44705</v>
      </c>
      <c r="B581" s="5">
        <v>29.45</v>
      </c>
    </row>
    <row r="582" spans="1:2" x14ac:dyDescent="0.3">
      <c r="A582" s="4">
        <v>44706</v>
      </c>
      <c r="B582" s="5">
        <v>28.37</v>
      </c>
    </row>
    <row r="583" spans="1:2" x14ac:dyDescent="0.3">
      <c r="A583" s="4">
        <v>44707</v>
      </c>
      <c r="B583" s="5">
        <v>27.5</v>
      </c>
    </row>
    <row r="584" spans="1:2" x14ac:dyDescent="0.3">
      <c r="A584" s="4">
        <v>44708</v>
      </c>
      <c r="B584" s="5">
        <v>25.72</v>
      </c>
    </row>
    <row r="585" spans="1:2" x14ac:dyDescent="0.3">
      <c r="A585" s="4">
        <v>44711</v>
      </c>
      <c r="B585" s="5">
        <v>26.54</v>
      </c>
    </row>
    <row r="586" spans="1:2" x14ac:dyDescent="0.3">
      <c r="A586" s="4">
        <v>44712</v>
      </c>
      <c r="B586" s="5">
        <v>26.19</v>
      </c>
    </row>
    <row r="587" spans="1:2" x14ac:dyDescent="0.3">
      <c r="A587" s="4">
        <v>44713</v>
      </c>
      <c r="B587" s="5">
        <v>25.69</v>
      </c>
    </row>
    <row r="588" spans="1:2" x14ac:dyDescent="0.3">
      <c r="A588" s="4">
        <v>44714</v>
      </c>
      <c r="B588" s="5">
        <v>24.72</v>
      </c>
    </row>
    <row r="589" spans="1:2" x14ac:dyDescent="0.3">
      <c r="A589" s="4">
        <v>44718</v>
      </c>
      <c r="B589" s="5">
        <v>25.07</v>
      </c>
    </row>
    <row r="590" spans="1:2" x14ac:dyDescent="0.3">
      <c r="A590" s="4">
        <v>44719</v>
      </c>
      <c r="B590" s="5">
        <v>24.02</v>
      </c>
    </row>
    <row r="591" spans="1:2" x14ac:dyDescent="0.3">
      <c r="A591" s="4">
        <v>44720</v>
      </c>
      <c r="B591" s="5">
        <v>23.96</v>
      </c>
    </row>
    <row r="592" spans="1:2" x14ac:dyDescent="0.3">
      <c r="A592" s="4">
        <v>44721</v>
      </c>
      <c r="B592" s="5">
        <v>26.09</v>
      </c>
    </row>
    <row r="593" spans="1:2" x14ac:dyDescent="0.3">
      <c r="A593" s="4">
        <v>44722</v>
      </c>
      <c r="B593" s="5">
        <v>27.75</v>
      </c>
    </row>
    <row r="594" spans="1:2" x14ac:dyDescent="0.3">
      <c r="A594" s="4">
        <v>44725</v>
      </c>
      <c r="B594" s="5">
        <v>34.020000000000003</v>
      </c>
    </row>
    <row r="595" spans="1:2" x14ac:dyDescent="0.3">
      <c r="A595" s="4">
        <v>44726</v>
      </c>
      <c r="B595" s="5">
        <v>32.69</v>
      </c>
    </row>
    <row r="596" spans="1:2" x14ac:dyDescent="0.3">
      <c r="A596" s="4">
        <v>44727</v>
      </c>
      <c r="B596" s="5">
        <v>29.62</v>
      </c>
    </row>
    <row r="597" spans="1:2" x14ac:dyDescent="0.3">
      <c r="A597" s="4">
        <v>44728</v>
      </c>
      <c r="B597" s="5">
        <v>32.950000000000003</v>
      </c>
    </row>
    <row r="598" spans="1:2" x14ac:dyDescent="0.3">
      <c r="A598" s="4">
        <v>44729</v>
      </c>
      <c r="B598" s="5">
        <v>31.13</v>
      </c>
    </row>
    <row r="599" spans="1:2" x14ac:dyDescent="0.3">
      <c r="A599" s="4">
        <v>44732</v>
      </c>
      <c r="B599" s="5">
        <v>31.13</v>
      </c>
    </row>
    <row r="600" spans="1:2" x14ac:dyDescent="0.3">
      <c r="A600" s="4">
        <v>44733</v>
      </c>
      <c r="B600" s="5">
        <v>30.19</v>
      </c>
    </row>
    <row r="601" spans="1:2" x14ac:dyDescent="0.3">
      <c r="A601" s="4">
        <v>44734</v>
      </c>
      <c r="B601" s="5">
        <v>28.95</v>
      </c>
    </row>
    <row r="602" spans="1:2" x14ac:dyDescent="0.3">
      <c r="A602" s="4">
        <v>44735</v>
      </c>
      <c r="B602" s="5">
        <v>29.05</v>
      </c>
    </row>
    <row r="603" spans="1:2" x14ac:dyDescent="0.3">
      <c r="A603" s="4">
        <v>44736</v>
      </c>
      <c r="B603" s="5">
        <v>27.23</v>
      </c>
    </row>
    <row r="604" spans="1:2" x14ac:dyDescent="0.3">
      <c r="A604" s="4">
        <v>44739</v>
      </c>
      <c r="B604" s="5">
        <v>26.95</v>
      </c>
    </row>
    <row r="605" spans="1:2" x14ac:dyDescent="0.3">
      <c r="A605" s="4">
        <v>44740</v>
      </c>
      <c r="B605" s="5">
        <v>28.36</v>
      </c>
    </row>
    <row r="606" spans="1:2" x14ac:dyDescent="0.3">
      <c r="A606" s="4">
        <v>44741</v>
      </c>
      <c r="B606" s="5">
        <v>28.16</v>
      </c>
    </row>
    <row r="607" spans="1:2" x14ac:dyDescent="0.3">
      <c r="A607" s="4">
        <v>44742</v>
      </c>
      <c r="B607" s="5">
        <v>28.71</v>
      </c>
    </row>
    <row r="608" spans="1:2" x14ac:dyDescent="0.3">
      <c r="A608" s="4">
        <v>44743</v>
      </c>
      <c r="B608" s="5">
        <v>26.7</v>
      </c>
    </row>
    <row r="609" spans="1:2" x14ac:dyDescent="0.3">
      <c r="A609" s="4">
        <v>44746</v>
      </c>
      <c r="B609" s="5">
        <v>26.7</v>
      </c>
    </row>
    <row r="610" spans="1:2" x14ac:dyDescent="0.3">
      <c r="A610" s="4">
        <v>44747</v>
      </c>
      <c r="B610" s="5">
        <v>27.54</v>
      </c>
    </row>
    <row r="611" spans="1:2" x14ac:dyDescent="0.3">
      <c r="A611" s="4">
        <v>44748</v>
      </c>
      <c r="B611" s="5">
        <v>26.73</v>
      </c>
    </row>
    <row r="612" spans="1:2" x14ac:dyDescent="0.3">
      <c r="A612" s="4">
        <v>44749</v>
      </c>
      <c r="B612" s="5">
        <v>26.08</v>
      </c>
    </row>
    <row r="613" spans="1:2" x14ac:dyDescent="0.3">
      <c r="A613" s="4">
        <v>44750</v>
      </c>
      <c r="B613" s="5">
        <v>24.64</v>
      </c>
    </row>
    <row r="614" spans="1:2" x14ac:dyDescent="0.3">
      <c r="A614" s="4">
        <v>44753</v>
      </c>
      <c r="B614" s="5">
        <v>26.17</v>
      </c>
    </row>
    <row r="615" spans="1:2" x14ac:dyDescent="0.3">
      <c r="A615" s="4">
        <v>44754</v>
      </c>
      <c r="B615" s="5">
        <v>27.29</v>
      </c>
    </row>
    <row r="616" spans="1:2" x14ac:dyDescent="0.3">
      <c r="A616" s="4">
        <v>44755</v>
      </c>
      <c r="B616" s="5">
        <v>26.82</v>
      </c>
    </row>
    <row r="617" spans="1:2" x14ac:dyDescent="0.3">
      <c r="A617" s="4">
        <v>44756</v>
      </c>
      <c r="B617" s="5">
        <v>26.4</v>
      </c>
    </row>
    <row r="618" spans="1:2" x14ac:dyDescent="0.3">
      <c r="A618" s="4">
        <v>44757</v>
      </c>
      <c r="B618" s="5">
        <v>24.23</v>
      </c>
    </row>
    <row r="619" spans="1:2" x14ac:dyDescent="0.3">
      <c r="A619" s="4">
        <v>44760</v>
      </c>
      <c r="B619" s="5">
        <v>25.3</v>
      </c>
    </row>
    <row r="620" spans="1:2" x14ac:dyDescent="0.3">
      <c r="A620" s="4">
        <v>44761</v>
      </c>
      <c r="B620" s="5">
        <v>24.5</v>
      </c>
    </row>
    <row r="621" spans="1:2" x14ac:dyDescent="0.3">
      <c r="A621" s="4">
        <v>44762</v>
      </c>
      <c r="B621" s="5">
        <v>23.88</v>
      </c>
    </row>
    <row r="622" spans="1:2" x14ac:dyDescent="0.3">
      <c r="A622" s="4">
        <v>44763</v>
      </c>
      <c r="B622" s="5">
        <v>23.11</v>
      </c>
    </row>
    <row r="623" spans="1:2" x14ac:dyDescent="0.3">
      <c r="A623" s="4">
        <v>44764</v>
      </c>
      <c r="B623" s="5">
        <v>23.03</v>
      </c>
    </row>
    <row r="624" spans="1:2" x14ac:dyDescent="0.3">
      <c r="A624" s="4">
        <v>44767</v>
      </c>
      <c r="B624" s="5">
        <v>23.36</v>
      </c>
    </row>
    <row r="625" spans="1:2" x14ac:dyDescent="0.3">
      <c r="A625" s="4">
        <v>44768</v>
      </c>
      <c r="B625" s="5">
        <v>24.69</v>
      </c>
    </row>
    <row r="626" spans="1:2" x14ac:dyDescent="0.3">
      <c r="A626" s="4">
        <v>44769</v>
      </c>
      <c r="B626" s="5">
        <v>23.24</v>
      </c>
    </row>
    <row r="627" spans="1:2" x14ac:dyDescent="0.3">
      <c r="A627" s="4">
        <v>44770</v>
      </c>
      <c r="B627" s="5">
        <v>22.33</v>
      </c>
    </row>
    <row r="628" spans="1:2" x14ac:dyDescent="0.3">
      <c r="A628" s="4">
        <v>44771</v>
      </c>
      <c r="B628" s="5">
        <v>21.33</v>
      </c>
    </row>
    <row r="629" spans="1:2" x14ac:dyDescent="0.3">
      <c r="A629" s="4">
        <v>44774</v>
      </c>
      <c r="B629" s="5">
        <v>22.84</v>
      </c>
    </row>
    <row r="630" spans="1:2" x14ac:dyDescent="0.3">
      <c r="A630" s="4">
        <v>44775</v>
      </c>
      <c r="B630" s="5">
        <v>23.93</v>
      </c>
    </row>
    <row r="631" spans="1:2" x14ac:dyDescent="0.3">
      <c r="A631" s="4">
        <v>44776</v>
      </c>
      <c r="B631" s="5">
        <v>21.95</v>
      </c>
    </row>
    <row r="632" spans="1:2" x14ac:dyDescent="0.3">
      <c r="A632" s="4">
        <v>44777</v>
      </c>
      <c r="B632" s="5">
        <v>21.44</v>
      </c>
    </row>
    <row r="633" spans="1:2" x14ac:dyDescent="0.3">
      <c r="A633" s="4">
        <v>44778</v>
      </c>
      <c r="B633" s="5">
        <v>21.15</v>
      </c>
    </row>
    <row r="634" spans="1:2" x14ac:dyDescent="0.3">
      <c r="A634" s="4">
        <v>44781</v>
      </c>
      <c r="B634" s="5">
        <v>21.29</v>
      </c>
    </row>
    <row r="635" spans="1:2" x14ac:dyDescent="0.3">
      <c r="A635" s="4">
        <v>44782</v>
      </c>
      <c r="B635" s="5">
        <v>21.77</v>
      </c>
    </row>
    <row r="636" spans="1:2" x14ac:dyDescent="0.3">
      <c r="A636" s="4">
        <v>44783</v>
      </c>
      <c r="B636" s="5">
        <v>19.739999999999998</v>
      </c>
    </row>
    <row r="637" spans="1:2" x14ac:dyDescent="0.3">
      <c r="A637" s="4">
        <v>44784</v>
      </c>
      <c r="B637" s="5">
        <v>20.2</v>
      </c>
    </row>
    <row r="638" spans="1:2" x14ac:dyDescent="0.3">
      <c r="A638" s="4">
        <v>44785</v>
      </c>
      <c r="B638" s="5">
        <v>19.53</v>
      </c>
    </row>
    <row r="639" spans="1:2" x14ac:dyDescent="0.3">
      <c r="A639" s="4">
        <v>44788</v>
      </c>
      <c r="B639" s="5">
        <v>19.95</v>
      </c>
    </row>
    <row r="640" spans="1:2" x14ac:dyDescent="0.3">
      <c r="A640" s="4">
        <v>44789</v>
      </c>
      <c r="B640" s="5">
        <v>19.690000000000001</v>
      </c>
    </row>
    <row r="641" spans="1:2" x14ac:dyDescent="0.3">
      <c r="A641" s="4">
        <v>44790</v>
      </c>
      <c r="B641" s="5">
        <v>19.899999999999999</v>
      </c>
    </row>
    <row r="642" spans="1:2" x14ac:dyDescent="0.3">
      <c r="A642" s="4">
        <v>44791</v>
      </c>
      <c r="B642" s="5">
        <v>19.559999999999999</v>
      </c>
    </row>
    <row r="643" spans="1:2" x14ac:dyDescent="0.3">
      <c r="A643" s="4">
        <v>44792</v>
      </c>
      <c r="B643" s="5">
        <v>20.6</v>
      </c>
    </row>
    <row r="644" spans="1:2" x14ac:dyDescent="0.3">
      <c r="A644" s="4">
        <v>44795</v>
      </c>
      <c r="B644" s="5">
        <v>23.8</v>
      </c>
    </row>
    <row r="645" spans="1:2" x14ac:dyDescent="0.3">
      <c r="A645" s="4">
        <v>44796</v>
      </c>
      <c r="B645" s="5">
        <v>24.11</v>
      </c>
    </row>
    <row r="646" spans="1:2" x14ac:dyDescent="0.3">
      <c r="A646" s="4">
        <v>44797</v>
      </c>
      <c r="B646" s="5">
        <v>22.82</v>
      </c>
    </row>
    <row r="647" spans="1:2" x14ac:dyDescent="0.3">
      <c r="A647" s="4">
        <v>44798</v>
      </c>
      <c r="B647" s="5">
        <v>21.78</v>
      </c>
    </row>
    <row r="648" spans="1:2" x14ac:dyDescent="0.3">
      <c r="A648" s="4">
        <v>44799</v>
      </c>
      <c r="B648" s="5">
        <v>25.56</v>
      </c>
    </row>
    <row r="649" spans="1:2" x14ac:dyDescent="0.3">
      <c r="A649" s="4">
        <v>44802</v>
      </c>
      <c r="B649" s="5">
        <v>26.21</v>
      </c>
    </row>
    <row r="650" spans="1:2" x14ac:dyDescent="0.3">
      <c r="A650" s="4">
        <v>44803</v>
      </c>
      <c r="B650" s="5">
        <v>26.21</v>
      </c>
    </row>
    <row r="651" spans="1:2" x14ac:dyDescent="0.3">
      <c r="A651" s="4">
        <v>44804</v>
      </c>
      <c r="B651" s="5">
        <v>25.87</v>
      </c>
    </row>
    <row r="652" spans="1:2" x14ac:dyDescent="0.3">
      <c r="A652" s="4">
        <v>44805</v>
      </c>
      <c r="B652" s="5">
        <v>25.56</v>
      </c>
    </row>
    <row r="653" spans="1:2" x14ac:dyDescent="0.3">
      <c r="A653" s="4">
        <v>44806</v>
      </c>
      <c r="B653" s="5">
        <v>25.47</v>
      </c>
    </row>
    <row r="654" spans="1:2" x14ac:dyDescent="0.3">
      <c r="A654" s="4">
        <v>44809</v>
      </c>
      <c r="B654" s="5">
        <v>25.99</v>
      </c>
    </row>
    <row r="655" spans="1:2" x14ac:dyDescent="0.3">
      <c r="A655" s="4">
        <v>44810</v>
      </c>
      <c r="B655" s="5">
        <v>26.91</v>
      </c>
    </row>
    <row r="656" spans="1:2" x14ac:dyDescent="0.3">
      <c r="A656" s="4">
        <v>44811</v>
      </c>
      <c r="B656" s="5">
        <v>24.64</v>
      </c>
    </row>
    <row r="657" spans="1:2" x14ac:dyDescent="0.3">
      <c r="A657" s="4">
        <v>44812</v>
      </c>
      <c r="B657" s="5">
        <v>23.61</v>
      </c>
    </row>
    <row r="658" spans="1:2" x14ac:dyDescent="0.3">
      <c r="A658" s="4">
        <v>44813</v>
      </c>
      <c r="B658" s="5">
        <v>22.79</v>
      </c>
    </row>
    <row r="659" spans="1:2" x14ac:dyDescent="0.3">
      <c r="A659" s="4">
        <v>44817</v>
      </c>
      <c r="B659" s="5">
        <v>27.27</v>
      </c>
    </row>
    <row r="660" spans="1:2" x14ac:dyDescent="0.3">
      <c r="A660" s="4">
        <v>44818</v>
      </c>
      <c r="B660" s="5">
        <v>26.16</v>
      </c>
    </row>
    <row r="661" spans="1:2" x14ac:dyDescent="0.3">
      <c r="A661" s="4">
        <v>44819</v>
      </c>
      <c r="B661" s="5">
        <v>26.27</v>
      </c>
    </row>
    <row r="662" spans="1:2" x14ac:dyDescent="0.3">
      <c r="A662" s="4">
        <v>44820</v>
      </c>
      <c r="B662" s="5">
        <v>26.3</v>
      </c>
    </row>
    <row r="663" spans="1:2" x14ac:dyDescent="0.3">
      <c r="A663" s="4">
        <v>44823</v>
      </c>
      <c r="B663" s="5">
        <v>25.76</v>
      </c>
    </row>
    <row r="664" spans="1:2" x14ac:dyDescent="0.3">
      <c r="A664" s="4">
        <v>44824</v>
      </c>
      <c r="B664" s="5">
        <v>27.16</v>
      </c>
    </row>
    <row r="665" spans="1:2" x14ac:dyDescent="0.3">
      <c r="A665" s="4">
        <v>44825</v>
      </c>
      <c r="B665" s="5">
        <v>27.99</v>
      </c>
    </row>
    <row r="666" spans="1:2" x14ac:dyDescent="0.3">
      <c r="A666" s="4">
        <v>44826</v>
      </c>
      <c r="B666" s="5">
        <v>27.35</v>
      </c>
    </row>
    <row r="667" spans="1:2" x14ac:dyDescent="0.3">
      <c r="A667" s="4">
        <v>44827</v>
      </c>
      <c r="B667" s="5">
        <v>29.92</v>
      </c>
    </row>
    <row r="668" spans="1:2" x14ac:dyDescent="0.3">
      <c r="A668" s="4">
        <v>44830</v>
      </c>
      <c r="B668" s="5">
        <v>32.26</v>
      </c>
    </row>
    <row r="669" spans="1:2" x14ac:dyDescent="0.3">
      <c r="A669" s="4">
        <v>44831</v>
      </c>
      <c r="B669" s="5">
        <v>32.6</v>
      </c>
    </row>
    <row r="670" spans="1:2" x14ac:dyDescent="0.3">
      <c r="A670" s="4">
        <v>44832</v>
      </c>
      <c r="B670" s="5">
        <v>30.18</v>
      </c>
    </row>
    <row r="671" spans="1:2" x14ac:dyDescent="0.3">
      <c r="A671" s="4">
        <v>44833</v>
      </c>
      <c r="B671" s="5">
        <v>31.84</v>
      </c>
    </row>
    <row r="672" spans="1:2" x14ac:dyDescent="0.3">
      <c r="A672" s="4">
        <v>44834</v>
      </c>
      <c r="B672" s="5">
        <v>31.62</v>
      </c>
    </row>
    <row r="673" spans="1:2" x14ac:dyDescent="0.3">
      <c r="A673" s="4">
        <v>44844</v>
      </c>
      <c r="B673" s="5">
        <v>32.450000000000003</v>
      </c>
    </row>
    <row r="674" spans="1:2" x14ac:dyDescent="0.3">
      <c r="A674" s="4">
        <v>44845</v>
      </c>
      <c r="B674" s="5">
        <v>33.630000000000003</v>
      </c>
    </row>
    <row r="675" spans="1:2" x14ac:dyDescent="0.3">
      <c r="A675" s="4">
        <v>44846</v>
      </c>
      <c r="B675" s="5">
        <v>33.57</v>
      </c>
    </row>
    <row r="676" spans="1:2" x14ac:dyDescent="0.3">
      <c r="A676" s="4">
        <v>44847</v>
      </c>
      <c r="B676" s="5">
        <v>31.94</v>
      </c>
    </row>
    <row r="677" spans="1:2" x14ac:dyDescent="0.3">
      <c r="A677" s="4">
        <v>44848</v>
      </c>
      <c r="B677" s="5">
        <v>32.020000000000003</v>
      </c>
    </row>
    <row r="678" spans="1:2" x14ac:dyDescent="0.3">
      <c r="A678" s="4">
        <v>44851</v>
      </c>
      <c r="B678" s="5">
        <v>31.37</v>
      </c>
    </row>
    <row r="679" spans="1:2" x14ac:dyDescent="0.3">
      <c r="A679" s="4">
        <v>44852</v>
      </c>
      <c r="B679" s="5">
        <v>30.5</v>
      </c>
    </row>
    <row r="680" spans="1:2" x14ac:dyDescent="0.3">
      <c r="A680" s="4">
        <v>44853</v>
      </c>
      <c r="B680" s="5">
        <v>30.76</v>
      </c>
    </row>
    <row r="681" spans="1:2" x14ac:dyDescent="0.3">
      <c r="A681" s="4">
        <v>44854</v>
      </c>
      <c r="B681" s="5">
        <v>29.98</v>
      </c>
    </row>
    <row r="682" spans="1:2" x14ac:dyDescent="0.3">
      <c r="A682" s="4">
        <v>44855</v>
      </c>
      <c r="B682" s="5">
        <v>29.69</v>
      </c>
    </row>
    <row r="683" spans="1:2" x14ac:dyDescent="0.3">
      <c r="A683" s="4">
        <v>44858</v>
      </c>
      <c r="B683" s="5">
        <v>29.85</v>
      </c>
    </row>
    <row r="684" spans="1:2" x14ac:dyDescent="0.3">
      <c r="A684" s="4">
        <v>44859</v>
      </c>
      <c r="B684" s="5">
        <v>28.46</v>
      </c>
    </row>
    <row r="685" spans="1:2" x14ac:dyDescent="0.3">
      <c r="A685" s="4">
        <v>44860</v>
      </c>
      <c r="B685" s="5">
        <v>27.28</v>
      </c>
    </row>
    <row r="686" spans="1:2" x14ac:dyDescent="0.3">
      <c r="A686" s="4">
        <v>44861</v>
      </c>
      <c r="B686" s="5">
        <v>27.39</v>
      </c>
    </row>
    <row r="687" spans="1:2" x14ac:dyDescent="0.3">
      <c r="A687" s="4">
        <v>44862</v>
      </c>
      <c r="B687" s="5">
        <v>25.75</v>
      </c>
    </row>
    <row r="688" spans="1:2" x14ac:dyDescent="0.3">
      <c r="A688" s="4">
        <v>44865</v>
      </c>
      <c r="B688" s="5">
        <v>25.88</v>
      </c>
    </row>
    <row r="689" spans="1:2" x14ac:dyDescent="0.3">
      <c r="A689" s="4">
        <v>44866</v>
      </c>
      <c r="B689" s="5">
        <v>25.81</v>
      </c>
    </row>
    <row r="690" spans="1:2" x14ac:dyDescent="0.3">
      <c r="A690" s="4">
        <v>44867</v>
      </c>
      <c r="B690" s="5">
        <v>25.86</v>
      </c>
    </row>
    <row r="691" spans="1:2" x14ac:dyDescent="0.3">
      <c r="A691" s="4">
        <v>44868</v>
      </c>
      <c r="B691" s="5">
        <v>25.3</v>
      </c>
    </row>
    <row r="692" spans="1:2" x14ac:dyDescent="0.3">
      <c r="A692" s="4">
        <v>44869</v>
      </c>
      <c r="B692" s="5">
        <v>24.55</v>
      </c>
    </row>
    <row r="693" spans="1:2" x14ac:dyDescent="0.3">
      <c r="A693" s="4">
        <v>44872</v>
      </c>
      <c r="B693" s="5">
        <v>24.35</v>
      </c>
    </row>
    <row r="694" spans="1:2" x14ac:dyDescent="0.3">
      <c r="A694" s="4">
        <v>44873</v>
      </c>
      <c r="B694" s="5">
        <v>25.54</v>
      </c>
    </row>
    <row r="695" spans="1:2" x14ac:dyDescent="0.3">
      <c r="A695" s="4">
        <v>44874</v>
      </c>
      <c r="B695" s="5">
        <v>26.09</v>
      </c>
    </row>
    <row r="696" spans="1:2" x14ac:dyDescent="0.3">
      <c r="A696" s="4">
        <v>44875</v>
      </c>
      <c r="B696" s="5">
        <v>23.53</v>
      </c>
    </row>
    <row r="697" spans="1:2" x14ac:dyDescent="0.3">
      <c r="A697" s="4">
        <v>44876</v>
      </c>
      <c r="B697" s="5">
        <v>22.52</v>
      </c>
    </row>
    <row r="698" spans="1:2" x14ac:dyDescent="0.3">
      <c r="A698" s="4">
        <v>44879</v>
      </c>
      <c r="B698" s="5">
        <v>23.73</v>
      </c>
    </row>
    <row r="699" spans="1:2" x14ac:dyDescent="0.3">
      <c r="A699" s="4">
        <v>44880</v>
      </c>
      <c r="B699" s="5">
        <v>24.54</v>
      </c>
    </row>
    <row r="700" spans="1:2" x14ac:dyDescent="0.3">
      <c r="A700" s="4">
        <v>44881</v>
      </c>
      <c r="B700" s="5">
        <v>24.11</v>
      </c>
    </row>
    <row r="701" spans="1:2" x14ac:dyDescent="0.3">
      <c r="A701" s="4">
        <v>44882</v>
      </c>
      <c r="B701" s="5">
        <v>23.93</v>
      </c>
    </row>
    <row r="702" spans="1:2" x14ac:dyDescent="0.3">
      <c r="A702" s="4">
        <v>44883</v>
      </c>
      <c r="B702" s="5">
        <v>23.12</v>
      </c>
    </row>
    <row r="703" spans="1:2" x14ac:dyDescent="0.3">
      <c r="A703" s="4">
        <v>44886</v>
      </c>
      <c r="B703" s="5">
        <v>22.36</v>
      </c>
    </row>
    <row r="704" spans="1:2" x14ac:dyDescent="0.3">
      <c r="A704" s="4">
        <v>44887</v>
      </c>
      <c r="B704" s="5">
        <v>21.29</v>
      </c>
    </row>
    <row r="705" spans="1:2" x14ac:dyDescent="0.3">
      <c r="A705" s="4">
        <v>44888</v>
      </c>
      <c r="B705" s="5">
        <v>20.350000000000001</v>
      </c>
    </row>
    <row r="706" spans="1:2" x14ac:dyDescent="0.3">
      <c r="A706" s="4">
        <v>44889</v>
      </c>
      <c r="B706" s="5">
        <v>20.420000000000002</v>
      </c>
    </row>
    <row r="707" spans="1:2" x14ac:dyDescent="0.3">
      <c r="A707" s="4">
        <v>44890</v>
      </c>
      <c r="B707" s="5">
        <v>20.5</v>
      </c>
    </row>
    <row r="708" spans="1:2" x14ac:dyDescent="0.3">
      <c r="A708" s="4">
        <v>44893</v>
      </c>
      <c r="B708" s="5">
        <v>22.21</v>
      </c>
    </row>
    <row r="709" spans="1:2" x14ac:dyDescent="0.3">
      <c r="A709" s="4">
        <v>44894</v>
      </c>
      <c r="B709" s="5">
        <v>21.89</v>
      </c>
    </row>
    <row r="710" spans="1:2" x14ac:dyDescent="0.3">
      <c r="A710" s="4">
        <v>44895</v>
      </c>
      <c r="B710" s="5">
        <v>20.58</v>
      </c>
    </row>
    <row r="711" spans="1:2" x14ac:dyDescent="0.3">
      <c r="A711" s="4">
        <v>44896</v>
      </c>
      <c r="B711" s="5">
        <v>19.84</v>
      </c>
    </row>
    <row r="712" spans="1:2" x14ac:dyDescent="0.3">
      <c r="A712" s="4">
        <v>44897</v>
      </c>
      <c r="B712" s="5">
        <v>19.059999999999999</v>
      </c>
    </row>
    <row r="713" spans="1:2" x14ac:dyDescent="0.3">
      <c r="A713" s="4">
        <v>44900</v>
      </c>
      <c r="B713" s="5">
        <v>20.75</v>
      </c>
    </row>
    <row r="714" spans="1:2" x14ac:dyDescent="0.3">
      <c r="A714" s="4">
        <v>44901</v>
      </c>
      <c r="B714" s="5">
        <v>22.17</v>
      </c>
    </row>
    <row r="715" spans="1:2" x14ac:dyDescent="0.3">
      <c r="A715" s="4">
        <v>44902</v>
      </c>
      <c r="B715" s="5">
        <v>22.68</v>
      </c>
    </row>
    <row r="716" spans="1:2" x14ac:dyDescent="0.3">
      <c r="A716" s="4">
        <v>44903</v>
      </c>
      <c r="B716" s="5">
        <v>22.29</v>
      </c>
    </row>
    <row r="717" spans="1:2" x14ac:dyDescent="0.3">
      <c r="A717" s="4">
        <v>44904</v>
      </c>
      <c r="B717" s="5">
        <v>22.83</v>
      </c>
    </row>
    <row r="718" spans="1:2" x14ac:dyDescent="0.3">
      <c r="A718" s="4">
        <v>44907</v>
      </c>
      <c r="B718" s="5">
        <v>25</v>
      </c>
    </row>
    <row r="719" spans="1:2" x14ac:dyDescent="0.3">
      <c r="A719" s="4">
        <v>44908</v>
      </c>
      <c r="B719" s="5">
        <v>22.55</v>
      </c>
    </row>
    <row r="720" spans="1:2" x14ac:dyDescent="0.3">
      <c r="A720" s="4">
        <v>44909</v>
      </c>
      <c r="B720" s="5">
        <v>21.14</v>
      </c>
    </row>
    <row r="721" spans="1:2" x14ac:dyDescent="0.3">
      <c r="A721" s="4">
        <v>44910</v>
      </c>
      <c r="B721" s="5">
        <v>22.83</v>
      </c>
    </row>
    <row r="722" spans="1:2" x14ac:dyDescent="0.3">
      <c r="A722" s="4">
        <v>44911</v>
      </c>
      <c r="B722" s="5">
        <v>22.62</v>
      </c>
    </row>
    <row r="723" spans="1:2" x14ac:dyDescent="0.3">
      <c r="A723" s="4">
        <v>44914</v>
      </c>
      <c r="B723" s="5">
        <v>22.42</v>
      </c>
    </row>
    <row r="724" spans="1:2" x14ac:dyDescent="0.3">
      <c r="A724" s="4">
        <v>44915</v>
      </c>
      <c r="B724" s="5">
        <v>21.48</v>
      </c>
    </row>
    <row r="725" spans="1:2" x14ac:dyDescent="0.3">
      <c r="A725" s="4">
        <v>44916</v>
      </c>
      <c r="B725" s="5">
        <v>20.07</v>
      </c>
    </row>
    <row r="726" spans="1:2" x14ac:dyDescent="0.3">
      <c r="A726" s="4">
        <v>44917</v>
      </c>
      <c r="B726" s="5">
        <v>21.97</v>
      </c>
    </row>
    <row r="727" spans="1:2" x14ac:dyDescent="0.3">
      <c r="A727" s="4">
        <v>44918</v>
      </c>
      <c r="B727" s="5">
        <v>20.87</v>
      </c>
    </row>
    <row r="728" spans="1:2" x14ac:dyDescent="0.3">
      <c r="A728" s="4">
        <v>44921</v>
      </c>
      <c r="B728" s="5">
        <v>20.87</v>
      </c>
    </row>
    <row r="729" spans="1:2" x14ac:dyDescent="0.3">
      <c r="A729" s="4">
        <v>44922</v>
      </c>
      <c r="B729" s="5">
        <v>21.65</v>
      </c>
    </row>
    <row r="730" spans="1:2" x14ac:dyDescent="0.3">
      <c r="A730" s="4">
        <v>44923</v>
      </c>
      <c r="B730" s="5">
        <v>22.14</v>
      </c>
    </row>
    <row r="731" spans="1:2" x14ac:dyDescent="0.3">
      <c r="A731" s="4">
        <v>44924</v>
      </c>
      <c r="B731" s="5">
        <v>21.44</v>
      </c>
    </row>
    <row r="732" spans="1:2" x14ac:dyDescent="0.3">
      <c r="A732" s="4">
        <v>44925</v>
      </c>
      <c r="B732" s="5">
        <v>21.67</v>
      </c>
    </row>
    <row r="733" spans="1:2" x14ac:dyDescent="0.3">
      <c r="A733" s="4">
        <v>44929</v>
      </c>
      <c r="B733" s="5">
        <v>22.9</v>
      </c>
    </row>
    <row r="734" spans="1:2" x14ac:dyDescent="0.3">
      <c r="A734" s="4">
        <v>44930</v>
      </c>
      <c r="B734" s="5">
        <v>22.01</v>
      </c>
    </row>
    <row r="735" spans="1:2" x14ac:dyDescent="0.3">
      <c r="A735" s="4">
        <v>44931</v>
      </c>
      <c r="B735" s="5">
        <v>22.46</v>
      </c>
    </row>
    <row r="736" spans="1:2" x14ac:dyDescent="0.3">
      <c r="A736" s="4">
        <v>44932</v>
      </c>
      <c r="B736" s="5">
        <v>21.13</v>
      </c>
    </row>
    <row r="737" spans="1:2" x14ac:dyDescent="0.3">
      <c r="A737" s="4">
        <v>44935</v>
      </c>
      <c r="B737" s="5">
        <v>21.97</v>
      </c>
    </row>
    <row r="738" spans="1:2" x14ac:dyDescent="0.3">
      <c r="A738" s="4">
        <v>44936</v>
      </c>
      <c r="B738" s="5">
        <v>20.58</v>
      </c>
    </row>
    <row r="739" spans="1:2" x14ac:dyDescent="0.3">
      <c r="A739" s="4">
        <v>44937</v>
      </c>
      <c r="B739" s="5">
        <v>21.09</v>
      </c>
    </row>
    <row r="740" spans="1:2" x14ac:dyDescent="0.3">
      <c r="A740" s="4">
        <v>44938</v>
      </c>
      <c r="B740" s="5">
        <v>18.829999999999998</v>
      </c>
    </row>
    <row r="741" spans="1:2" x14ac:dyDescent="0.3">
      <c r="A741" s="4">
        <v>44939</v>
      </c>
      <c r="B741" s="5">
        <v>18.350000000000001</v>
      </c>
    </row>
    <row r="742" spans="1:2" x14ac:dyDescent="0.3">
      <c r="A742" s="4">
        <v>44942</v>
      </c>
      <c r="B742" s="5">
        <v>19.489999999999998</v>
      </c>
    </row>
    <row r="743" spans="1:2" x14ac:dyDescent="0.3">
      <c r="A743" s="4">
        <v>44943</v>
      </c>
      <c r="B743" s="5">
        <v>19.36</v>
      </c>
    </row>
    <row r="744" spans="1:2" x14ac:dyDescent="0.3">
      <c r="A744" s="4">
        <v>44944</v>
      </c>
      <c r="B744" s="5">
        <v>20.34</v>
      </c>
    </row>
    <row r="745" spans="1:2" x14ac:dyDescent="0.3">
      <c r="A745" s="4">
        <v>44945</v>
      </c>
      <c r="B745" s="5">
        <v>20.52</v>
      </c>
    </row>
    <row r="746" spans="1:2" x14ac:dyDescent="0.3">
      <c r="A746" s="4">
        <v>44946</v>
      </c>
      <c r="B746" s="5">
        <v>19.850000000000001</v>
      </c>
    </row>
    <row r="747" spans="1:2" x14ac:dyDescent="0.3">
      <c r="A747" s="4">
        <v>44956</v>
      </c>
      <c r="B747" s="5">
        <v>19.940000000000001</v>
      </c>
    </row>
    <row r="748" spans="1:2" x14ac:dyDescent="0.3">
      <c r="A748" s="4">
        <v>44957</v>
      </c>
      <c r="B748" s="5">
        <v>19.399999999999999</v>
      </c>
    </row>
    <row r="749" spans="1:2" x14ac:dyDescent="0.3">
      <c r="A749" s="4">
        <v>44958</v>
      </c>
      <c r="B749" s="5">
        <v>17.87</v>
      </c>
    </row>
    <row r="750" spans="1:2" x14ac:dyDescent="0.3">
      <c r="A750" s="4">
        <v>44959</v>
      </c>
      <c r="B750" s="5">
        <v>18.73</v>
      </c>
    </row>
    <row r="751" spans="1:2" x14ac:dyDescent="0.3">
      <c r="A751" s="4">
        <v>44960</v>
      </c>
      <c r="B751" s="5">
        <v>18.329999999999998</v>
      </c>
    </row>
    <row r="752" spans="1:2" x14ac:dyDescent="0.3">
      <c r="A752" s="4">
        <v>44963</v>
      </c>
      <c r="B752" s="5">
        <v>19.43</v>
      </c>
    </row>
    <row r="753" spans="1:2" x14ac:dyDescent="0.3">
      <c r="A753" s="4">
        <v>44964</v>
      </c>
      <c r="B753" s="5">
        <v>18.66</v>
      </c>
    </row>
    <row r="754" spans="1:2" x14ac:dyDescent="0.3">
      <c r="A754" s="4">
        <v>44965</v>
      </c>
      <c r="B754" s="5">
        <v>19.63</v>
      </c>
    </row>
    <row r="755" spans="1:2" x14ac:dyDescent="0.3">
      <c r="A755" s="4">
        <v>44966</v>
      </c>
      <c r="B755" s="5">
        <v>20.71</v>
      </c>
    </row>
    <row r="756" spans="1:2" x14ac:dyDescent="0.3">
      <c r="A756" s="4">
        <v>44967</v>
      </c>
      <c r="B756" s="5">
        <v>20.53</v>
      </c>
    </row>
    <row r="757" spans="1:2" x14ac:dyDescent="0.3">
      <c r="A757" s="4">
        <v>44970</v>
      </c>
      <c r="B757" s="5">
        <v>20.34</v>
      </c>
    </row>
    <row r="758" spans="1:2" x14ac:dyDescent="0.3">
      <c r="A758" s="4">
        <v>44971</v>
      </c>
      <c r="B758" s="5">
        <v>18.91</v>
      </c>
    </row>
    <row r="759" spans="1:2" x14ac:dyDescent="0.3">
      <c r="A759" s="4">
        <v>44972</v>
      </c>
      <c r="B759" s="5">
        <v>18.23</v>
      </c>
    </row>
    <row r="760" spans="1:2" x14ac:dyDescent="0.3">
      <c r="A760" s="4">
        <v>44973</v>
      </c>
      <c r="B760" s="5">
        <v>20.170000000000002</v>
      </c>
    </row>
    <row r="761" spans="1:2" x14ac:dyDescent="0.3">
      <c r="A761" s="4">
        <v>44974</v>
      </c>
      <c r="B761" s="5">
        <v>20.02</v>
      </c>
    </row>
    <row r="762" spans="1:2" x14ac:dyDescent="0.3">
      <c r="A762" s="4">
        <v>44977</v>
      </c>
      <c r="B762" s="5">
        <v>21.23</v>
      </c>
    </row>
    <row r="763" spans="1:2" x14ac:dyDescent="0.3">
      <c r="A763" s="4">
        <v>44978</v>
      </c>
      <c r="B763" s="5">
        <v>22.87</v>
      </c>
    </row>
    <row r="764" spans="1:2" x14ac:dyDescent="0.3">
      <c r="A764" s="4">
        <v>44979</v>
      </c>
      <c r="B764" s="5">
        <v>22.29</v>
      </c>
    </row>
    <row r="765" spans="1:2" x14ac:dyDescent="0.3">
      <c r="A765" s="4">
        <v>44980</v>
      </c>
      <c r="B765" s="5">
        <v>21.14</v>
      </c>
    </row>
    <row r="766" spans="1:2" x14ac:dyDescent="0.3">
      <c r="A766" s="4">
        <v>44981</v>
      </c>
      <c r="B766" s="5">
        <v>21.67</v>
      </c>
    </row>
    <row r="767" spans="1:2" x14ac:dyDescent="0.3">
      <c r="A767" s="4">
        <v>44984</v>
      </c>
      <c r="B767" s="5">
        <v>20.95</v>
      </c>
    </row>
    <row r="768" spans="1:2" x14ac:dyDescent="0.3">
      <c r="A768" s="4">
        <v>44985</v>
      </c>
      <c r="B768" s="5">
        <v>20.7</v>
      </c>
    </row>
    <row r="769" spans="1:2" x14ac:dyDescent="0.3">
      <c r="A769" s="4">
        <v>44986</v>
      </c>
      <c r="B769" s="5">
        <v>20.58</v>
      </c>
    </row>
    <row r="770" spans="1:2" x14ac:dyDescent="0.3">
      <c r="A770" s="4">
        <v>44987</v>
      </c>
      <c r="B770" s="5">
        <v>19.59</v>
      </c>
    </row>
    <row r="771" spans="1:2" x14ac:dyDescent="0.3">
      <c r="A771" s="4">
        <v>44988</v>
      </c>
      <c r="B771" s="5">
        <v>18.489999999999998</v>
      </c>
    </row>
    <row r="772" spans="1:2" x14ac:dyDescent="0.3">
      <c r="A772" s="4">
        <v>44991</v>
      </c>
      <c r="B772" s="5">
        <v>18.61</v>
      </c>
    </row>
    <row r="773" spans="1:2" x14ac:dyDescent="0.3">
      <c r="A773" s="4">
        <v>44992</v>
      </c>
      <c r="B773" s="5">
        <v>19.59</v>
      </c>
    </row>
    <row r="774" spans="1:2" x14ac:dyDescent="0.3">
      <c r="A774" s="4">
        <v>44993</v>
      </c>
      <c r="B774" s="5">
        <v>19.11</v>
      </c>
    </row>
    <row r="775" spans="1:2" x14ac:dyDescent="0.3">
      <c r="A775" s="4">
        <v>44994</v>
      </c>
      <c r="B775" s="5">
        <v>22.61</v>
      </c>
    </row>
    <row r="776" spans="1:2" x14ac:dyDescent="0.3">
      <c r="A776" s="4">
        <v>44995</v>
      </c>
      <c r="B776" s="5">
        <v>24.8</v>
      </c>
    </row>
    <row r="777" spans="1:2" x14ac:dyDescent="0.3">
      <c r="A777" s="4">
        <v>44998</v>
      </c>
      <c r="B777" s="5">
        <v>26.52</v>
      </c>
    </row>
    <row r="778" spans="1:2" x14ac:dyDescent="0.3">
      <c r="A778" s="4">
        <v>44999</v>
      </c>
      <c r="B778" s="5">
        <v>23.73</v>
      </c>
    </row>
    <row r="779" spans="1:2" x14ac:dyDescent="0.3">
      <c r="A779" s="4">
        <v>45000</v>
      </c>
      <c r="B779" s="5">
        <v>26.14</v>
      </c>
    </row>
    <row r="780" spans="1:2" x14ac:dyDescent="0.3">
      <c r="A780" s="4">
        <v>45001</v>
      </c>
      <c r="B780" s="5">
        <v>22.99</v>
      </c>
    </row>
    <row r="781" spans="1:2" x14ac:dyDescent="0.3">
      <c r="A781" s="4">
        <v>45002</v>
      </c>
      <c r="B781" s="5">
        <v>25.51</v>
      </c>
    </row>
    <row r="782" spans="1:2" x14ac:dyDescent="0.3">
      <c r="A782" s="4">
        <v>45005</v>
      </c>
      <c r="B782" s="5">
        <v>24.15</v>
      </c>
    </row>
    <row r="783" spans="1:2" x14ac:dyDescent="0.3">
      <c r="A783" s="4">
        <v>45006</v>
      </c>
      <c r="B783" s="5">
        <v>21.38</v>
      </c>
    </row>
    <row r="784" spans="1:2" x14ac:dyDescent="0.3">
      <c r="A784" s="4">
        <v>45007</v>
      </c>
      <c r="B784" s="5">
        <v>22.26</v>
      </c>
    </row>
    <row r="785" spans="1:2" x14ac:dyDescent="0.3">
      <c r="A785" s="4">
        <v>45008</v>
      </c>
      <c r="B785" s="5">
        <v>22.61</v>
      </c>
    </row>
    <row r="786" spans="1:2" x14ac:dyDescent="0.3">
      <c r="A786" s="4">
        <v>45009</v>
      </c>
      <c r="B786" s="5">
        <v>21.74</v>
      </c>
    </row>
    <row r="787" spans="1:2" x14ac:dyDescent="0.3">
      <c r="A787" s="4">
        <v>45012</v>
      </c>
      <c r="B787" s="5">
        <v>20.6</v>
      </c>
    </row>
    <row r="788" spans="1:2" x14ac:dyDescent="0.3">
      <c r="A788" s="4">
        <v>45013</v>
      </c>
      <c r="B788" s="5">
        <v>19.97</v>
      </c>
    </row>
    <row r="789" spans="1:2" x14ac:dyDescent="0.3">
      <c r="A789" s="4">
        <v>45014</v>
      </c>
      <c r="B789" s="5">
        <v>19.12</v>
      </c>
    </row>
    <row r="790" spans="1:2" x14ac:dyDescent="0.3">
      <c r="A790" s="4">
        <v>45015</v>
      </c>
      <c r="B790" s="5">
        <v>19.02</v>
      </c>
    </row>
    <row r="791" spans="1:2" x14ac:dyDescent="0.3">
      <c r="A791" s="4">
        <v>45016</v>
      </c>
      <c r="B791" s="5">
        <v>18.7</v>
      </c>
    </row>
    <row r="792" spans="1:2" x14ac:dyDescent="0.3">
      <c r="A792" s="4">
        <v>45019</v>
      </c>
      <c r="B792" s="5">
        <v>18.55</v>
      </c>
    </row>
    <row r="793" spans="1:2" x14ac:dyDescent="0.3">
      <c r="A793" s="4">
        <v>45020</v>
      </c>
      <c r="B793" s="5">
        <v>19</v>
      </c>
    </row>
    <row r="794" spans="1:2" x14ac:dyDescent="0.3">
      <c r="A794" s="4">
        <v>45022</v>
      </c>
      <c r="B794" s="5">
        <v>18.399999999999999</v>
      </c>
    </row>
    <row r="795" spans="1:2" x14ac:dyDescent="0.3">
      <c r="A795" s="4">
        <v>45023</v>
      </c>
      <c r="B795" s="5">
        <v>18.399999999999999</v>
      </c>
    </row>
    <row r="796" spans="1:2" x14ac:dyDescent="0.3">
      <c r="A796" s="4">
        <v>45026</v>
      </c>
      <c r="B796" s="5">
        <v>18.97</v>
      </c>
    </row>
    <row r="797" spans="1:2" x14ac:dyDescent="0.3">
      <c r="A797" s="4">
        <v>45027</v>
      </c>
      <c r="B797" s="5">
        <v>19.100000000000001</v>
      </c>
    </row>
    <row r="798" spans="1:2" x14ac:dyDescent="0.3">
      <c r="A798" s="4">
        <v>45028</v>
      </c>
      <c r="B798" s="5">
        <v>19.09</v>
      </c>
    </row>
    <row r="799" spans="1:2" x14ac:dyDescent="0.3">
      <c r="A799" s="4">
        <v>45029</v>
      </c>
      <c r="B799" s="5">
        <v>17.8</v>
      </c>
    </row>
    <row r="800" spans="1:2" x14ac:dyDescent="0.3">
      <c r="A800" s="4">
        <v>45030</v>
      </c>
      <c r="B800" s="5">
        <v>17.07</v>
      </c>
    </row>
    <row r="801" spans="1:2" x14ac:dyDescent="0.3">
      <c r="A801" s="4">
        <v>45033</v>
      </c>
      <c r="B801" s="5">
        <v>16.95</v>
      </c>
    </row>
    <row r="802" spans="1:2" x14ac:dyDescent="0.3">
      <c r="A802" s="4">
        <v>45034</v>
      </c>
      <c r="B802" s="5">
        <v>16.829999999999998</v>
      </c>
    </row>
    <row r="803" spans="1:2" x14ac:dyDescent="0.3">
      <c r="A803" s="4">
        <v>45035</v>
      </c>
      <c r="B803" s="5">
        <v>16.46</v>
      </c>
    </row>
    <row r="804" spans="1:2" x14ac:dyDescent="0.3">
      <c r="A804" s="4">
        <v>45036</v>
      </c>
      <c r="B804" s="5">
        <v>17.170000000000002</v>
      </c>
    </row>
    <row r="805" spans="1:2" x14ac:dyDescent="0.3">
      <c r="A805" s="4">
        <v>45037</v>
      </c>
      <c r="B805" s="5">
        <v>16.77</v>
      </c>
    </row>
    <row r="806" spans="1:2" x14ac:dyDescent="0.3">
      <c r="A806" s="4">
        <v>45040</v>
      </c>
      <c r="B806" s="5">
        <v>16.89</v>
      </c>
    </row>
    <row r="807" spans="1:2" x14ac:dyDescent="0.3">
      <c r="A807" s="4">
        <v>45041</v>
      </c>
      <c r="B807" s="5">
        <v>18.760000000000002</v>
      </c>
    </row>
    <row r="808" spans="1:2" x14ac:dyDescent="0.3">
      <c r="A808" s="4">
        <v>45042</v>
      </c>
      <c r="B808" s="5">
        <v>18.84</v>
      </c>
    </row>
    <row r="809" spans="1:2" x14ac:dyDescent="0.3">
      <c r="A809" s="4">
        <v>45043</v>
      </c>
      <c r="B809" s="5">
        <v>17.03</v>
      </c>
    </row>
    <row r="810" spans="1:2" x14ac:dyDescent="0.3">
      <c r="A810" s="4">
        <v>45044</v>
      </c>
      <c r="B810" s="5">
        <v>15.78</v>
      </c>
    </row>
    <row r="811" spans="1:2" x14ac:dyDescent="0.3">
      <c r="A811" s="4">
        <v>45050</v>
      </c>
      <c r="B811" s="5">
        <v>20.09</v>
      </c>
    </row>
    <row r="812" spans="1:2" x14ac:dyDescent="0.3">
      <c r="A812" s="4">
        <v>45051</v>
      </c>
      <c r="B812" s="5">
        <v>17.190000000000001</v>
      </c>
    </row>
    <row r="813" spans="1:2" x14ac:dyDescent="0.3">
      <c r="A813" s="4">
        <v>45054</v>
      </c>
      <c r="B813" s="5">
        <v>16.98</v>
      </c>
    </row>
    <row r="814" spans="1:2" x14ac:dyDescent="0.3">
      <c r="A814" s="4">
        <v>45055</v>
      </c>
      <c r="B814" s="5">
        <v>17.71</v>
      </c>
    </row>
    <row r="815" spans="1:2" x14ac:dyDescent="0.3">
      <c r="A815" s="4">
        <v>45056</v>
      </c>
      <c r="B815" s="5">
        <v>16.940000000000001</v>
      </c>
    </row>
    <row r="816" spans="1:2" x14ac:dyDescent="0.3">
      <c r="A816" s="4">
        <v>45057</v>
      </c>
      <c r="B816" s="5">
        <v>16.93</v>
      </c>
    </row>
    <row r="817" spans="1:2" x14ac:dyDescent="0.3">
      <c r="A817" s="4">
        <v>45058</v>
      </c>
      <c r="B817" s="5">
        <v>17.03</v>
      </c>
    </row>
    <row r="818" spans="1:2" x14ac:dyDescent="0.3">
      <c r="A818" s="4">
        <v>45061</v>
      </c>
      <c r="B818" s="5">
        <v>17.12</v>
      </c>
    </row>
    <row r="819" spans="1:2" x14ac:dyDescent="0.3">
      <c r="A819" s="4">
        <v>45062</v>
      </c>
      <c r="B819" s="5">
        <v>17.989999999999998</v>
      </c>
    </row>
    <row r="820" spans="1:2" x14ac:dyDescent="0.3">
      <c r="A820" s="4">
        <v>45063</v>
      </c>
      <c r="B820" s="5">
        <v>16.87</v>
      </c>
    </row>
    <row r="821" spans="1:2" x14ac:dyDescent="0.3">
      <c r="A821" s="4">
        <v>45064</v>
      </c>
      <c r="B821" s="5">
        <v>16.05</v>
      </c>
    </row>
    <row r="822" spans="1:2" x14ac:dyDescent="0.3">
      <c r="A822" s="4">
        <v>45065</v>
      </c>
      <c r="B822" s="5">
        <v>16.809999999999999</v>
      </c>
    </row>
    <row r="823" spans="1:2" x14ac:dyDescent="0.3">
      <c r="A823" s="4">
        <v>45068</v>
      </c>
      <c r="B823" s="5">
        <v>17.21</v>
      </c>
    </row>
    <row r="824" spans="1:2" x14ac:dyDescent="0.3">
      <c r="A824" s="4">
        <v>45069</v>
      </c>
      <c r="B824" s="5">
        <v>18.53</v>
      </c>
    </row>
    <row r="825" spans="1:2" x14ac:dyDescent="0.3">
      <c r="A825" s="4">
        <v>45070</v>
      </c>
      <c r="B825" s="5">
        <v>20.03</v>
      </c>
    </row>
    <row r="826" spans="1:2" x14ac:dyDescent="0.3">
      <c r="A826" s="4">
        <v>45071</v>
      </c>
      <c r="B826" s="5">
        <v>19.14</v>
      </c>
    </row>
    <row r="827" spans="1:2" x14ac:dyDescent="0.3">
      <c r="A827" s="4">
        <v>45072</v>
      </c>
      <c r="B827" s="5">
        <v>17.95</v>
      </c>
    </row>
    <row r="828" spans="1:2" x14ac:dyDescent="0.3">
      <c r="A828" s="4">
        <v>45075</v>
      </c>
      <c r="B828" s="5">
        <v>17.46</v>
      </c>
    </row>
    <row r="829" spans="1:2" x14ac:dyDescent="0.3">
      <c r="A829" s="4">
        <v>45076</v>
      </c>
      <c r="B829" s="5">
        <v>17.46</v>
      </c>
    </row>
    <row r="830" spans="1:2" x14ac:dyDescent="0.3">
      <c r="A830" s="4">
        <v>45077</v>
      </c>
      <c r="B830" s="5">
        <v>17.940000000000001</v>
      </c>
    </row>
    <row r="831" spans="1:2" x14ac:dyDescent="0.3">
      <c r="A831" s="4">
        <v>45078</v>
      </c>
      <c r="B831" s="5">
        <v>15.65</v>
      </c>
    </row>
    <row r="832" spans="1:2" x14ac:dyDescent="0.3">
      <c r="A832" s="4">
        <v>45079</v>
      </c>
      <c r="B832" s="5">
        <v>14.6</v>
      </c>
    </row>
    <row r="833" spans="1:2" x14ac:dyDescent="0.3">
      <c r="A833" s="4">
        <v>45082</v>
      </c>
      <c r="B833" s="5">
        <v>14.73</v>
      </c>
    </row>
    <row r="834" spans="1:2" x14ac:dyDescent="0.3">
      <c r="A834" s="4">
        <v>45083</v>
      </c>
      <c r="B834" s="5">
        <v>13.96</v>
      </c>
    </row>
    <row r="835" spans="1:2" x14ac:dyDescent="0.3">
      <c r="A835" s="4">
        <v>45084</v>
      </c>
      <c r="B835" s="5">
        <v>13.94</v>
      </c>
    </row>
    <row r="836" spans="1:2" x14ac:dyDescent="0.3">
      <c r="A836" s="4">
        <v>45085</v>
      </c>
      <c r="B836" s="5">
        <v>13.65</v>
      </c>
    </row>
    <row r="837" spans="1:2" x14ac:dyDescent="0.3">
      <c r="A837" s="4">
        <v>45086</v>
      </c>
      <c r="B837" s="5">
        <v>13.83</v>
      </c>
    </row>
    <row r="838" spans="1:2" x14ac:dyDescent="0.3">
      <c r="A838" s="4">
        <v>45089</v>
      </c>
      <c r="B838" s="5">
        <v>15.01</v>
      </c>
    </row>
    <row r="839" spans="1:2" x14ac:dyDescent="0.3">
      <c r="A839" s="4">
        <v>45090</v>
      </c>
      <c r="B839" s="5">
        <v>14.61</v>
      </c>
    </row>
    <row r="840" spans="1:2" x14ac:dyDescent="0.3">
      <c r="A840" s="4">
        <v>45091</v>
      </c>
      <c r="B840" s="5">
        <v>13.88</v>
      </c>
    </row>
    <row r="841" spans="1:2" x14ac:dyDescent="0.3">
      <c r="A841" s="4">
        <v>45092</v>
      </c>
      <c r="B841" s="5">
        <v>14.5</v>
      </c>
    </row>
    <row r="842" spans="1:2" x14ac:dyDescent="0.3">
      <c r="A842" s="4">
        <v>45093</v>
      </c>
      <c r="B842" s="5">
        <v>13.54</v>
      </c>
    </row>
    <row r="843" spans="1:2" x14ac:dyDescent="0.3">
      <c r="A843" s="4">
        <v>45096</v>
      </c>
      <c r="B843" s="5">
        <v>13.54</v>
      </c>
    </row>
    <row r="844" spans="1:2" x14ac:dyDescent="0.3">
      <c r="A844" s="4">
        <v>45097</v>
      </c>
      <c r="B844" s="5">
        <v>13.88</v>
      </c>
    </row>
    <row r="845" spans="1:2" x14ac:dyDescent="0.3">
      <c r="A845" s="4">
        <v>45098</v>
      </c>
      <c r="B845" s="5">
        <v>13.2</v>
      </c>
    </row>
    <row r="846" spans="1:2" x14ac:dyDescent="0.3">
      <c r="A846" s="4">
        <v>45103</v>
      </c>
      <c r="B846" s="5">
        <v>14.25</v>
      </c>
    </row>
    <row r="847" spans="1:2" x14ac:dyDescent="0.3">
      <c r="A847" s="4">
        <v>45104</v>
      </c>
      <c r="B847" s="5">
        <v>13.74</v>
      </c>
    </row>
    <row r="848" spans="1:2" x14ac:dyDescent="0.3">
      <c r="A848" s="4">
        <v>45105</v>
      </c>
      <c r="B848" s="5">
        <v>13.43</v>
      </c>
    </row>
    <row r="849" spans="1:2" x14ac:dyDescent="0.3">
      <c r="A849" s="4">
        <v>45106</v>
      </c>
      <c r="B849" s="5">
        <v>13.54</v>
      </c>
    </row>
    <row r="850" spans="1:2" x14ac:dyDescent="0.3">
      <c r="A850" s="4">
        <v>45107</v>
      </c>
      <c r="B850" s="5">
        <v>13.59</v>
      </c>
    </row>
    <row r="851" spans="1:2" x14ac:dyDescent="0.3">
      <c r="A851" s="4">
        <v>45110</v>
      </c>
      <c r="B851" s="5">
        <v>13.57</v>
      </c>
    </row>
    <row r="852" spans="1:2" x14ac:dyDescent="0.3">
      <c r="A852" s="4">
        <v>45111</v>
      </c>
      <c r="B852" s="5">
        <v>13.7</v>
      </c>
    </row>
    <row r="853" spans="1:2" x14ac:dyDescent="0.3">
      <c r="A853" s="4">
        <v>45112</v>
      </c>
      <c r="B853" s="5">
        <v>14.18</v>
      </c>
    </row>
    <row r="854" spans="1:2" x14ac:dyDescent="0.3">
      <c r="A854" s="4">
        <v>45113</v>
      </c>
      <c r="B854" s="5">
        <v>15.44</v>
      </c>
    </row>
    <row r="855" spans="1:2" x14ac:dyDescent="0.3">
      <c r="A855" s="4">
        <v>45114</v>
      </c>
      <c r="B855" s="5">
        <v>14.83</v>
      </c>
    </row>
    <row r="856" spans="1:2" x14ac:dyDescent="0.3">
      <c r="A856" s="4">
        <v>45117</v>
      </c>
      <c r="B856" s="5">
        <v>15.07</v>
      </c>
    </row>
    <row r="857" spans="1:2" x14ac:dyDescent="0.3">
      <c r="A857" s="4">
        <v>45118</v>
      </c>
      <c r="B857" s="5">
        <v>14.84</v>
      </c>
    </row>
    <row r="858" spans="1:2" x14ac:dyDescent="0.3">
      <c r="A858" s="4">
        <v>45119</v>
      </c>
      <c r="B858" s="5">
        <v>13.54</v>
      </c>
    </row>
    <row r="859" spans="1:2" x14ac:dyDescent="0.3">
      <c r="A859" s="4">
        <v>45120</v>
      </c>
      <c r="B859" s="5">
        <v>13.61</v>
      </c>
    </row>
    <row r="860" spans="1:2" x14ac:dyDescent="0.3">
      <c r="A860" s="4">
        <v>45121</v>
      </c>
      <c r="B860" s="5">
        <v>13.34</v>
      </c>
    </row>
    <row r="861" spans="1:2" x14ac:dyDescent="0.3">
      <c r="A861" s="4">
        <v>45124</v>
      </c>
      <c r="B861" s="5">
        <v>13.48</v>
      </c>
    </row>
    <row r="862" spans="1:2" x14ac:dyDescent="0.3">
      <c r="A862" s="4">
        <v>45125</v>
      </c>
      <c r="B862" s="5">
        <v>13.3</v>
      </c>
    </row>
    <row r="863" spans="1:2" x14ac:dyDescent="0.3">
      <c r="A863" s="4">
        <v>45126</v>
      </c>
      <c r="B863" s="5">
        <v>13.76</v>
      </c>
    </row>
    <row r="864" spans="1:2" x14ac:dyDescent="0.3">
      <c r="A864" s="4">
        <v>45127</v>
      </c>
      <c r="B864" s="5">
        <v>13.99</v>
      </c>
    </row>
    <row r="865" spans="1:2" x14ac:dyDescent="0.3">
      <c r="A865" s="4">
        <v>45128</v>
      </c>
      <c r="B865" s="5">
        <v>13.6</v>
      </c>
    </row>
    <row r="866" spans="1:2" x14ac:dyDescent="0.3">
      <c r="A866" s="4">
        <v>45131</v>
      </c>
      <c r="B866" s="5">
        <v>13.91</v>
      </c>
    </row>
    <row r="867" spans="1:2" x14ac:dyDescent="0.3">
      <c r="A867" s="4">
        <v>45132</v>
      </c>
      <c r="B867" s="5">
        <v>13.86</v>
      </c>
    </row>
    <row r="868" spans="1:2" x14ac:dyDescent="0.3">
      <c r="A868" s="4">
        <v>45133</v>
      </c>
      <c r="B868" s="5">
        <v>13.19</v>
      </c>
    </row>
    <row r="869" spans="1:2" x14ac:dyDescent="0.3">
      <c r="A869" s="4">
        <v>45134</v>
      </c>
      <c r="B869" s="5">
        <v>14.41</v>
      </c>
    </row>
    <row r="870" spans="1:2" x14ac:dyDescent="0.3">
      <c r="A870" s="4">
        <v>45135</v>
      </c>
      <c r="B870" s="5">
        <v>13.33</v>
      </c>
    </row>
    <row r="871" spans="1:2" x14ac:dyDescent="0.3">
      <c r="A871" s="4">
        <v>45138</v>
      </c>
      <c r="B871" s="5">
        <v>13.63</v>
      </c>
    </row>
    <row r="872" spans="1:2" x14ac:dyDescent="0.3">
      <c r="A872" s="4">
        <v>45139</v>
      </c>
      <c r="B872" s="5">
        <v>13.93</v>
      </c>
    </row>
    <row r="873" spans="1:2" x14ac:dyDescent="0.3">
      <c r="A873" s="4">
        <v>45140</v>
      </c>
      <c r="B873" s="5">
        <v>16.09</v>
      </c>
    </row>
    <row r="874" spans="1:2" x14ac:dyDescent="0.3">
      <c r="A874" s="4">
        <v>45141</v>
      </c>
      <c r="B874" s="5">
        <v>15.92</v>
      </c>
    </row>
    <row r="875" spans="1:2" x14ac:dyDescent="0.3">
      <c r="A875" s="4">
        <v>45142</v>
      </c>
      <c r="B875" s="5">
        <v>17.100000000000001</v>
      </c>
    </row>
    <row r="876" spans="1:2" x14ac:dyDescent="0.3">
      <c r="A876" s="4">
        <v>45145</v>
      </c>
      <c r="B876" s="5">
        <v>15.77</v>
      </c>
    </row>
    <row r="877" spans="1:2" x14ac:dyDescent="0.3">
      <c r="A877" s="4">
        <v>45146</v>
      </c>
      <c r="B877" s="5">
        <v>15.99</v>
      </c>
    </row>
    <row r="878" spans="1:2" x14ac:dyDescent="0.3">
      <c r="A878" s="4">
        <v>45147</v>
      </c>
      <c r="B878" s="5">
        <v>15.96</v>
      </c>
    </row>
    <row r="879" spans="1:2" x14ac:dyDescent="0.3">
      <c r="A879" s="4">
        <v>45148</v>
      </c>
      <c r="B879" s="5">
        <v>15.85</v>
      </c>
    </row>
    <row r="880" spans="1:2" x14ac:dyDescent="0.3">
      <c r="A880" s="4">
        <v>45149</v>
      </c>
      <c r="B880" s="5">
        <v>14.84</v>
      </c>
    </row>
    <row r="881" spans="1:2" x14ac:dyDescent="0.3">
      <c r="A881" s="4">
        <v>45152</v>
      </c>
      <c r="B881" s="5">
        <v>14.82</v>
      </c>
    </row>
    <row r="882" spans="1:2" x14ac:dyDescent="0.3">
      <c r="A882" s="4">
        <v>45153</v>
      </c>
      <c r="B882" s="5">
        <v>16.46</v>
      </c>
    </row>
    <row r="883" spans="1:2" x14ac:dyDescent="0.3">
      <c r="A883" s="4">
        <v>45154</v>
      </c>
      <c r="B883" s="5">
        <v>16.78</v>
      </c>
    </row>
    <row r="884" spans="1:2" x14ac:dyDescent="0.3">
      <c r="A884" s="4">
        <v>45155</v>
      </c>
      <c r="B884" s="5">
        <v>17.89</v>
      </c>
    </row>
    <row r="885" spans="1:2" x14ac:dyDescent="0.3">
      <c r="A885" s="4">
        <v>45156</v>
      </c>
      <c r="B885" s="5">
        <v>17.3</v>
      </c>
    </row>
    <row r="886" spans="1:2" x14ac:dyDescent="0.3">
      <c r="A886" s="4">
        <v>45159</v>
      </c>
      <c r="B886" s="5">
        <v>17.13</v>
      </c>
    </row>
    <row r="887" spans="1:2" x14ac:dyDescent="0.3">
      <c r="A887" s="4">
        <v>45160</v>
      </c>
      <c r="B887" s="5">
        <v>16.97</v>
      </c>
    </row>
    <row r="888" spans="1:2" x14ac:dyDescent="0.3">
      <c r="A888" s="4">
        <v>45161</v>
      </c>
      <c r="B888" s="5">
        <v>15.98</v>
      </c>
    </row>
    <row r="889" spans="1:2" x14ac:dyDescent="0.3">
      <c r="A889" s="4">
        <v>45162</v>
      </c>
      <c r="B889" s="5">
        <v>17.2</v>
      </c>
    </row>
    <row r="890" spans="1:2" x14ac:dyDescent="0.3">
      <c r="A890" s="4">
        <v>45163</v>
      </c>
      <c r="B890" s="5">
        <v>15.68</v>
      </c>
    </row>
    <row r="891" spans="1:2" x14ac:dyDescent="0.3">
      <c r="A891" s="4">
        <v>45166</v>
      </c>
      <c r="B891" s="5">
        <v>15.08</v>
      </c>
    </row>
    <row r="892" spans="1:2" x14ac:dyDescent="0.3">
      <c r="A892" s="4">
        <v>45167</v>
      </c>
      <c r="B892" s="5">
        <v>14.45</v>
      </c>
    </row>
    <row r="893" spans="1:2" x14ac:dyDescent="0.3">
      <c r="A893" s="4">
        <v>45168</v>
      </c>
      <c r="B893" s="5">
        <v>13.88</v>
      </c>
    </row>
    <row r="894" spans="1:2" x14ac:dyDescent="0.3">
      <c r="A894" s="4">
        <v>45169</v>
      </c>
      <c r="B894" s="5">
        <v>13.57</v>
      </c>
    </row>
    <row r="895" spans="1:2" x14ac:dyDescent="0.3">
      <c r="A895" s="4">
        <v>45170</v>
      </c>
      <c r="B895" s="5">
        <v>13.09</v>
      </c>
    </row>
    <row r="896" spans="1:2" x14ac:dyDescent="0.3">
      <c r="A896" s="4">
        <v>45173</v>
      </c>
      <c r="B896" s="5">
        <v>13.09</v>
      </c>
    </row>
    <row r="897" spans="1:2" x14ac:dyDescent="0.3">
      <c r="A897" s="4">
        <v>45174</v>
      </c>
      <c r="B897" s="5">
        <v>14.01</v>
      </c>
    </row>
    <row r="898" spans="1:2" x14ac:dyDescent="0.3">
      <c r="A898" s="4">
        <v>45175</v>
      </c>
      <c r="B898" s="5">
        <v>14.45</v>
      </c>
    </row>
    <row r="899" spans="1:2" x14ac:dyDescent="0.3">
      <c r="A899" s="4">
        <v>45176</v>
      </c>
      <c r="B899" s="5">
        <v>14.4</v>
      </c>
    </row>
    <row r="900" spans="1:2" x14ac:dyDescent="0.3">
      <c r="A900" s="4">
        <v>45177</v>
      </c>
      <c r="B900" s="5">
        <v>13.84</v>
      </c>
    </row>
    <row r="901" spans="1:2" x14ac:dyDescent="0.3">
      <c r="A901" s="4">
        <v>45180</v>
      </c>
      <c r="B901" s="5">
        <v>13.8</v>
      </c>
    </row>
    <row r="902" spans="1:2" x14ac:dyDescent="0.3">
      <c r="A902" s="4">
        <v>45181</v>
      </c>
      <c r="B902" s="5">
        <v>14.23</v>
      </c>
    </row>
    <row r="903" spans="1:2" x14ac:dyDescent="0.3">
      <c r="A903" s="4">
        <v>45182</v>
      </c>
      <c r="B903" s="5">
        <v>13.48</v>
      </c>
    </row>
    <row r="904" spans="1:2" x14ac:dyDescent="0.3">
      <c r="A904" s="4">
        <v>45183</v>
      </c>
      <c r="B904" s="5">
        <v>12.82</v>
      </c>
    </row>
    <row r="905" spans="1:2" x14ac:dyDescent="0.3">
      <c r="A905" s="4">
        <v>45184</v>
      </c>
      <c r="B905" s="5">
        <v>13.79</v>
      </c>
    </row>
    <row r="906" spans="1:2" x14ac:dyDescent="0.3">
      <c r="A906" s="4">
        <v>45187</v>
      </c>
      <c r="B906" s="5">
        <v>14</v>
      </c>
    </row>
    <row r="907" spans="1:2" x14ac:dyDescent="0.3">
      <c r="A907" s="4">
        <v>45188</v>
      </c>
      <c r="B907" s="5">
        <v>14.11</v>
      </c>
    </row>
    <row r="908" spans="1:2" x14ac:dyDescent="0.3">
      <c r="A908" s="4">
        <v>45189</v>
      </c>
      <c r="B908" s="5">
        <v>15.14</v>
      </c>
    </row>
    <row r="909" spans="1:2" x14ac:dyDescent="0.3">
      <c r="A909" s="4">
        <v>45190</v>
      </c>
      <c r="B909" s="5">
        <v>17.54</v>
      </c>
    </row>
    <row r="910" spans="1:2" x14ac:dyDescent="0.3">
      <c r="A910" s="4">
        <v>45191</v>
      </c>
      <c r="B910" s="5">
        <v>17.2</v>
      </c>
    </row>
    <row r="911" spans="1:2" x14ac:dyDescent="0.3">
      <c r="A911" s="4">
        <v>45194</v>
      </c>
      <c r="B911" s="5">
        <v>16.899999999999999</v>
      </c>
    </row>
    <row r="912" spans="1:2" x14ac:dyDescent="0.3">
      <c r="A912" s="4">
        <v>45195</v>
      </c>
      <c r="B912" s="5">
        <v>18.940000000000001</v>
      </c>
    </row>
    <row r="913" spans="1:2" x14ac:dyDescent="0.3">
      <c r="A913" s="4">
        <v>45196</v>
      </c>
      <c r="B913" s="5">
        <v>18.22</v>
      </c>
    </row>
    <row r="914" spans="1:2" x14ac:dyDescent="0.3">
      <c r="A914" s="4">
        <v>45197</v>
      </c>
      <c r="B914" s="5">
        <v>17.34</v>
      </c>
    </row>
    <row r="915" spans="1:2" x14ac:dyDescent="0.3">
      <c r="A915" s="4">
        <v>45208</v>
      </c>
      <c r="B915" s="5">
        <v>17.7</v>
      </c>
    </row>
    <row r="916" spans="1:2" x14ac:dyDescent="0.3">
      <c r="A916" s="4">
        <v>45209</v>
      </c>
      <c r="B916" s="5">
        <v>17.03</v>
      </c>
    </row>
    <row r="917" spans="1:2" x14ac:dyDescent="0.3">
      <c r="A917" s="4">
        <v>45210</v>
      </c>
      <c r="B917" s="5">
        <v>16.09</v>
      </c>
    </row>
    <row r="918" spans="1:2" x14ac:dyDescent="0.3">
      <c r="A918" s="4">
        <v>45211</v>
      </c>
      <c r="B918" s="5">
        <v>16.690000000000001</v>
      </c>
    </row>
    <row r="919" spans="1:2" x14ac:dyDescent="0.3">
      <c r="A919" s="4">
        <v>45212</v>
      </c>
      <c r="B919" s="5">
        <v>19.32</v>
      </c>
    </row>
    <row r="920" spans="1:2" x14ac:dyDescent="0.3">
      <c r="A920" s="4">
        <v>45215</v>
      </c>
      <c r="B920" s="5">
        <v>17.21</v>
      </c>
    </row>
    <row r="921" spans="1:2" x14ac:dyDescent="0.3">
      <c r="A921" s="4">
        <v>45216</v>
      </c>
      <c r="B921" s="5">
        <v>17.88</v>
      </c>
    </row>
    <row r="922" spans="1:2" x14ac:dyDescent="0.3">
      <c r="A922" s="4">
        <v>45217</v>
      </c>
      <c r="B922" s="5">
        <v>19.22</v>
      </c>
    </row>
    <row r="923" spans="1:2" x14ac:dyDescent="0.3">
      <c r="A923" s="4">
        <v>45218</v>
      </c>
      <c r="B923" s="5">
        <v>21.4</v>
      </c>
    </row>
    <row r="924" spans="1:2" x14ac:dyDescent="0.3">
      <c r="A924" s="4">
        <v>45219</v>
      </c>
      <c r="B924" s="5">
        <v>21.71</v>
      </c>
    </row>
    <row r="925" spans="1:2" x14ac:dyDescent="0.3">
      <c r="A925" s="4">
        <v>45222</v>
      </c>
      <c r="B925" s="5">
        <v>20.37</v>
      </c>
    </row>
    <row r="926" spans="1:2" x14ac:dyDescent="0.3">
      <c r="A926" s="4">
        <v>45223</v>
      </c>
      <c r="B926" s="5">
        <v>18.97</v>
      </c>
    </row>
    <row r="927" spans="1:2" x14ac:dyDescent="0.3">
      <c r="A927" s="4">
        <v>45224</v>
      </c>
      <c r="B927" s="5">
        <v>20.190000000000001</v>
      </c>
    </row>
    <row r="928" spans="1:2" x14ac:dyDescent="0.3">
      <c r="A928" s="4">
        <v>45225</v>
      </c>
      <c r="B928" s="5">
        <v>20.68</v>
      </c>
    </row>
    <row r="929" spans="1:2" x14ac:dyDescent="0.3">
      <c r="A929" s="4">
        <v>45226</v>
      </c>
      <c r="B929" s="5">
        <v>21.27</v>
      </c>
    </row>
    <row r="930" spans="1:2" x14ac:dyDescent="0.3">
      <c r="A930" s="4">
        <v>45229</v>
      </c>
      <c r="B930" s="5">
        <v>19.75</v>
      </c>
    </row>
    <row r="931" spans="1:2" x14ac:dyDescent="0.3">
      <c r="A931" s="4">
        <v>45230</v>
      </c>
      <c r="B931" s="5">
        <v>18.14</v>
      </c>
    </row>
    <row r="932" spans="1:2" x14ac:dyDescent="0.3">
      <c r="A932" s="4">
        <v>45231</v>
      </c>
      <c r="B932" s="5">
        <v>16.87</v>
      </c>
    </row>
    <row r="933" spans="1:2" x14ac:dyDescent="0.3">
      <c r="A933" s="4">
        <v>45232</v>
      </c>
      <c r="B933" s="5">
        <v>15.66</v>
      </c>
    </row>
    <row r="934" spans="1:2" x14ac:dyDescent="0.3">
      <c r="A934" s="4">
        <v>45233</v>
      </c>
      <c r="B934" s="5">
        <v>14.91</v>
      </c>
    </row>
    <row r="935" spans="1:2" x14ac:dyDescent="0.3">
      <c r="A935" s="4">
        <v>45236</v>
      </c>
      <c r="B935" s="5">
        <v>14.89</v>
      </c>
    </row>
    <row r="936" spans="1:2" x14ac:dyDescent="0.3">
      <c r="A936" s="4">
        <v>45237</v>
      </c>
      <c r="B936" s="5">
        <v>14.81</v>
      </c>
    </row>
    <row r="937" spans="1:2" x14ac:dyDescent="0.3">
      <c r="A937" s="4">
        <v>45238</v>
      </c>
      <c r="B937" s="5">
        <v>14.45</v>
      </c>
    </row>
    <row r="938" spans="1:2" x14ac:dyDescent="0.3">
      <c r="A938" s="4">
        <v>45239</v>
      </c>
      <c r="B938" s="5">
        <v>15.29</v>
      </c>
    </row>
    <row r="939" spans="1:2" x14ac:dyDescent="0.3">
      <c r="A939" s="4">
        <v>45240</v>
      </c>
      <c r="B939" s="5">
        <v>14.17</v>
      </c>
    </row>
    <row r="940" spans="1:2" x14ac:dyDescent="0.3">
      <c r="A940" s="4">
        <v>45243</v>
      </c>
      <c r="B940" s="5">
        <v>14.76</v>
      </c>
    </row>
    <row r="941" spans="1:2" x14ac:dyDescent="0.3">
      <c r="A941" s="4">
        <v>45244</v>
      </c>
      <c r="B941" s="5">
        <v>14.16</v>
      </c>
    </row>
    <row r="942" spans="1:2" x14ac:dyDescent="0.3">
      <c r="A942" s="4">
        <v>45245</v>
      </c>
      <c r="B942" s="5">
        <v>14.18</v>
      </c>
    </row>
    <row r="943" spans="1:2" x14ac:dyDescent="0.3">
      <c r="A943" s="4">
        <v>45246</v>
      </c>
      <c r="B943" s="5">
        <v>14.32</v>
      </c>
    </row>
    <row r="944" spans="1:2" x14ac:dyDescent="0.3">
      <c r="A944" s="4">
        <v>45247</v>
      </c>
      <c r="B944" s="5">
        <v>13.8</v>
      </c>
    </row>
    <row r="945" spans="1:2" x14ac:dyDescent="0.3">
      <c r="A945" s="4">
        <v>45250</v>
      </c>
      <c r="B945" s="5">
        <v>13.41</v>
      </c>
    </row>
    <row r="946" spans="1:2" x14ac:dyDescent="0.3">
      <c r="A946" s="4">
        <v>45251</v>
      </c>
      <c r="B946" s="5">
        <v>13.35</v>
      </c>
    </row>
    <row r="947" spans="1:2" x14ac:dyDescent="0.3">
      <c r="A947" s="4">
        <v>45252</v>
      </c>
      <c r="B947" s="5">
        <v>12.85</v>
      </c>
    </row>
    <row r="948" spans="1:2" x14ac:dyDescent="0.3">
      <c r="A948" s="4">
        <v>45253</v>
      </c>
      <c r="B948" s="5">
        <v>12.8</v>
      </c>
    </row>
    <row r="949" spans="1:2" x14ac:dyDescent="0.3">
      <c r="A949" s="4">
        <v>45254</v>
      </c>
      <c r="B949" s="5">
        <v>12.46</v>
      </c>
    </row>
    <row r="950" spans="1:2" x14ac:dyDescent="0.3">
      <c r="A950" s="4">
        <v>45257</v>
      </c>
      <c r="B950" s="5">
        <v>12.69</v>
      </c>
    </row>
    <row r="951" spans="1:2" x14ac:dyDescent="0.3">
      <c r="A951" s="4">
        <v>45258</v>
      </c>
      <c r="B951" s="5">
        <v>12.69</v>
      </c>
    </row>
    <row r="952" spans="1:2" x14ac:dyDescent="0.3">
      <c r="A952" s="4">
        <v>45259</v>
      </c>
      <c r="B952" s="5">
        <v>12.98</v>
      </c>
    </row>
    <row r="953" spans="1:2" x14ac:dyDescent="0.3">
      <c r="A953" s="4">
        <v>45260</v>
      </c>
      <c r="B953" s="5">
        <v>12.92</v>
      </c>
    </row>
    <row r="954" spans="1:2" x14ac:dyDescent="0.3">
      <c r="A954" s="4">
        <v>45261</v>
      </c>
      <c r="B954" s="5">
        <v>12.63</v>
      </c>
    </row>
    <row r="955" spans="1:2" x14ac:dyDescent="0.3">
      <c r="A955" s="4">
        <v>45264</v>
      </c>
      <c r="B955" s="5">
        <v>13.08</v>
      </c>
    </row>
    <row r="956" spans="1:2" x14ac:dyDescent="0.3">
      <c r="A956" s="4">
        <v>45265</v>
      </c>
      <c r="B956" s="5">
        <v>12.85</v>
      </c>
    </row>
    <row r="957" spans="1:2" x14ac:dyDescent="0.3">
      <c r="A957" s="4">
        <v>45266</v>
      </c>
      <c r="B957" s="5">
        <v>12.97</v>
      </c>
    </row>
    <row r="958" spans="1:2" x14ac:dyDescent="0.3">
      <c r="A958" s="4">
        <v>45267</v>
      </c>
      <c r="B958" s="5">
        <v>13.06</v>
      </c>
    </row>
    <row r="959" spans="1:2" x14ac:dyDescent="0.3">
      <c r="A959" s="4">
        <v>45268</v>
      </c>
      <c r="B959" s="5">
        <v>12.35</v>
      </c>
    </row>
    <row r="960" spans="1:2" x14ac:dyDescent="0.3">
      <c r="A960" s="4">
        <v>45271</v>
      </c>
      <c r="B960" s="5">
        <v>12.63</v>
      </c>
    </row>
    <row r="961" spans="1:2" x14ac:dyDescent="0.3">
      <c r="A961" s="4">
        <v>45272</v>
      </c>
      <c r="B961" s="5">
        <v>12.07</v>
      </c>
    </row>
    <row r="962" spans="1:2" x14ac:dyDescent="0.3">
      <c r="A962" s="4">
        <v>45273</v>
      </c>
      <c r="B962" s="5">
        <v>12.19</v>
      </c>
    </row>
    <row r="963" spans="1:2" x14ac:dyDescent="0.3">
      <c r="A963" s="4">
        <v>45274</v>
      </c>
      <c r="B963" s="5">
        <v>12.48</v>
      </c>
    </row>
    <row r="964" spans="1:2" x14ac:dyDescent="0.3">
      <c r="A964" s="4">
        <v>45275</v>
      </c>
      <c r="B964" s="5">
        <v>12.28</v>
      </c>
    </row>
    <row r="965" spans="1:2" x14ac:dyDescent="0.3">
      <c r="A965" s="4">
        <v>45278</v>
      </c>
      <c r="B965" s="5">
        <v>12.56</v>
      </c>
    </row>
    <row r="966" spans="1:2" x14ac:dyDescent="0.3">
      <c r="A966" s="4">
        <v>45279</v>
      </c>
      <c r="B966" s="5">
        <v>12.53</v>
      </c>
    </row>
    <row r="967" spans="1:2" x14ac:dyDescent="0.3">
      <c r="A967" s="4">
        <v>45280</v>
      </c>
      <c r="B967" s="5">
        <v>13.67</v>
      </c>
    </row>
    <row r="968" spans="1:2" x14ac:dyDescent="0.3">
      <c r="A968" s="4">
        <v>45281</v>
      </c>
      <c r="B968" s="5">
        <v>13.65</v>
      </c>
    </row>
    <row r="969" spans="1:2" x14ac:dyDescent="0.3">
      <c r="A969" s="4">
        <v>45282</v>
      </c>
      <c r="B969" s="5">
        <v>13.03</v>
      </c>
    </row>
    <row r="970" spans="1:2" x14ac:dyDescent="0.3">
      <c r="A970" s="4">
        <v>45285</v>
      </c>
      <c r="B970" s="5">
        <v>13.03</v>
      </c>
    </row>
    <row r="971" spans="1:2" x14ac:dyDescent="0.3">
      <c r="A971" s="4">
        <v>45286</v>
      </c>
      <c r="B971" s="5">
        <v>12.99</v>
      </c>
    </row>
    <row r="972" spans="1:2" x14ac:dyDescent="0.3">
      <c r="A972" s="4">
        <v>45287</v>
      </c>
      <c r="B972" s="5">
        <v>12.43</v>
      </c>
    </row>
    <row r="973" spans="1:2" x14ac:dyDescent="0.3">
      <c r="A973" s="4">
        <v>45288</v>
      </c>
      <c r="B973" s="5">
        <v>12.47</v>
      </c>
    </row>
    <row r="974" spans="1:2" x14ac:dyDescent="0.3">
      <c r="A974" s="4">
        <v>45289</v>
      </c>
      <c r="B974" s="5">
        <v>12.45</v>
      </c>
    </row>
    <row r="975" spans="1:2" x14ac:dyDescent="0.3">
      <c r="A975" s="4">
        <v>45293</v>
      </c>
      <c r="B975" s="5">
        <v>13.2</v>
      </c>
    </row>
    <row r="976" spans="1:2" x14ac:dyDescent="0.3">
      <c r="A976" s="4">
        <v>45294</v>
      </c>
      <c r="B976" s="5">
        <v>14.04</v>
      </c>
    </row>
    <row r="977" spans="1:2" x14ac:dyDescent="0.3">
      <c r="A977" s="4">
        <v>45295</v>
      </c>
      <c r="B977" s="5">
        <v>14.13</v>
      </c>
    </row>
    <row r="978" spans="1:2" x14ac:dyDescent="0.3">
      <c r="A978" s="4">
        <v>45296</v>
      </c>
      <c r="B978" s="5">
        <v>13.35</v>
      </c>
    </row>
    <row r="979" spans="1:2" x14ac:dyDescent="0.3">
      <c r="A979" s="4">
        <v>45299</v>
      </c>
      <c r="B979" s="5">
        <v>13.08</v>
      </c>
    </row>
    <row r="980" spans="1:2" x14ac:dyDescent="0.3">
      <c r="A980" s="4">
        <v>45300</v>
      </c>
      <c r="B980" s="5">
        <v>12.76</v>
      </c>
    </row>
    <row r="981" spans="1:2" x14ac:dyDescent="0.3">
      <c r="A981" s="4">
        <v>45301</v>
      </c>
      <c r="B981" s="5">
        <v>12.69</v>
      </c>
    </row>
    <row r="982" spans="1:2" x14ac:dyDescent="0.3">
      <c r="A982" s="4">
        <v>45302</v>
      </c>
      <c r="B982" s="5">
        <v>12.44</v>
      </c>
    </row>
    <row r="983" spans="1:2" x14ac:dyDescent="0.3">
      <c r="A983" s="4">
        <v>45303</v>
      </c>
      <c r="B983" s="5">
        <v>12.7</v>
      </c>
    </row>
    <row r="984" spans="1:2" x14ac:dyDescent="0.3">
      <c r="A984" s="4">
        <v>45306</v>
      </c>
      <c r="B984" s="5">
        <v>12.7</v>
      </c>
    </row>
    <row r="985" spans="1:2" x14ac:dyDescent="0.3">
      <c r="A985" s="4">
        <v>45307</v>
      </c>
      <c r="B985" s="5">
        <v>13.84</v>
      </c>
    </row>
    <row r="986" spans="1:2" x14ac:dyDescent="0.3">
      <c r="A986" s="4">
        <v>45308</v>
      </c>
      <c r="B986" s="5">
        <v>14.79</v>
      </c>
    </row>
    <row r="987" spans="1:2" x14ac:dyDescent="0.3">
      <c r="A987" s="4">
        <v>45309</v>
      </c>
      <c r="B987" s="5">
        <v>14.13</v>
      </c>
    </row>
    <row r="988" spans="1:2" x14ac:dyDescent="0.3">
      <c r="A988" s="4">
        <v>45310</v>
      </c>
      <c r="B988" s="5">
        <v>13.3</v>
      </c>
    </row>
    <row r="989" spans="1:2" x14ac:dyDescent="0.3">
      <c r="A989" s="4">
        <v>45313</v>
      </c>
      <c r="B989" s="5">
        <v>13.19</v>
      </c>
    </row>
    <row r="990" spans="1:2" x14ac:dyDescent="0.3">
      <c r="A990" s="4">
        <v>45314</v>
      </c>
      <c r="B990" s="5">
        <v>12.55</v>
      </c>
    </row>
    <row r="991" spans="1:2" x14ac:dyDescent="0.3">
      <c r="A991" s="4">
        <v>45315</v>
      </c>
      <c r="B991" s="5">
        <v>13.14</v>
      </c>
    </row>
    <row r="992" spans="1:2" x14ac:dyDescent="0.3">
      <c r="A992" s="4">
        <v>45316</v>
      </c>
      <c r="B992" s="5">
        <v>13.45</v>
      </c>
    </row>
    <row r="993" spans="1:2" x14ac:dyDescent="0.3">
      <c r="A993" s="4">
        <v>45317</v>
      </c>
      <c r="B993" s="5">
        <v>13.26</v>
      </c>
    </row>
    <row r="994" spans="1:2" x14ac:dyDescent="0.3">
      <c r="A994" s="4">
        <v>45320</v>
      </c>
      <c r="B994" s="5">
        <v>13.6</v>
      </c>
    </row>
    <row r="995" spans="1:2" x14ac:dyDescent="0.3">
      <c r="A995" s="4">
        <v>45321</v>
      </c>
      <c r="B995" s="5">
        <v>13.31</v>
      </c>
    </row>
    <row r="996" spans="1:2" x14ac:dyDescent="0.3">
      <c r="A996" s="4">
        <v>45322</v>
      </c>
      <c r="B996" s="5">
        <v>14.35</v>
      </c>
    </row>
    <row r="997" spans="1:2" x14ac:dyDescent="0.3">
      <c r="A997" s="4">
        <v>45323</v>
      </c>
      <c r="B997" s="5">
        <v>13.88</v>
      </c>
    </row>
    <row r="998" spans="1:2" x14ac:dyDescent="0.3">
      <c r="A998" s="4">
        <v>45324</v>
      </c>
      <c r="B998" s="5">
        <v>13.85</v>
      </c>
    </row>
    <row r="999" spans="1:2" x14ac:dyDescent="0.3">
      <c r="A999" s="4">
        <v>45327</v>
      </c>
      <c r="B999" s="5">
        <v>13.67</v>
      </c>
    </row>
    <row r="1000" spans="1:2" x14ac:dyDescent="0.3">
      <c r="A1000" s="4">
        <v>45328</v>
      </c>
      <c r="B1000" s="5">
        <v>13.06</v>
      </c>
    </row>
    <row r="1001" spans="1:2" x14ac:dyDescent="0.3">
      <c r="A1001" s="4">
        <v>45329</v>
      </c>
      <c r="B1001" s="5">
        <v>12.83</v>
      </c>
    </row>
    <row r="1002" spans="1:2" x14ac:dyDescent="0.3">
      <c r="A1002" s="4">
        <v>45330</v>
      </c>
      <c r="B1002" s="5">
        <v>12.79</v>
      </c>
    </row>
    <row r="1003" spans="1:2" x14ac:dyDescent="0.3">
      <c r="A1003" s="4">
        <v>45341</v>
      </c>
      <c r="B1003" s="5">
        <v>14.71</v>
      </c>
    </row>
    <row r="1004" spans="1:2" x14ac:dyDescent="0.3">
      <c r="A1004" s="4">
        <v>45342</v>
      </c>
      <c r="B1004" s="5">
        <v>15.42</v>
      </c>
    </row>
    <row r="1005" spans="1:2" x14ac:dyDescent="0.3">
      <c r="A1005" s="4">
        <v>45343</v>
      </c>
      <c r="B1005" s="5">
        <v>15.34</v>
      </c>
    </row>
    <row r="1006" spans="1:2" x14ac:dyDescent="0.3">
      <c r="A1006" s="4">
        <v>45344</v>
      </c>
      <c r="B1006" s="5">
        <v>14.54</v>
      </c>
    </row>
    <row r="1007" spans="1:2" x14ac:dyDescent="0.3">
      <c r="A1007" s="4">
        <v>45345</v>
      </c>
      <c r="B1007" s="5">
        <v>13.75</v>
      </c>
    </row>
    <row r="1008" spans="1:2" x14ac:dyDescent="0.3">
      <c r="A1008" s="4">
        <v>45348</v>
      </c>
      <c r="B1008" s="5">
        <v>13.74</v>
      </c>
    </row>
    <row r="1009" spans="1:2" x14ac:dyDescent="0.3">
      <c r="A1009" s="4">
        <v>45349</v>
      </c>
      <c r="B1009" s="5">
        <v>13.43</v>
      </c>
    </row>
    <row r="1010" spans="1:2" x14ac:dyDescent="0.3">
      <c r="A1010" s="4">
        <v>45350</v>
      </c>
      <c r="B1010" s="5">
        <v>13.84</v>
      </c>
    </row>
    <row r="1011" spans="1:2" x14ac:dyDescent="0.3">
      <c r="A1011" s="4">
        <v>45351</v>
      </c>
      <c r="B1011" s="5">
        <v>13.4</v>
      </c>
    </row>
    <row r="1012" spans="1:2" x14ac:dyDescent="0.3">
      <c r="A1012" s="4">
        <v>45352</v>
      </c>
      <c r="B1012" s="5">
        <v>13.11</v>
      </c>
    </row>
    <row r="1013" spans="1:2" x14ac:dyDescent="0.3">
      <c r="A1013" s="4">
        <v>45355</v>
      </c>
      <c r="B1013" s="5">
        <v>13.49</v>
      </c>
    </row>
    <row r="1014" spans="1:2" x14ac:dyDescent="0.3">
      <c r="A1014" s="4">
        <v>45356</v>
      </c>
      <c r="B1014" s="5">
        <v>14.46</v>
      </c>
    </row>
    <row r="1015" spans="1:2" x14ac:dyDescent="0.3">
      <c r="A1015" s="4">
        <v>45357</v>
      </c>
      <c r="B1015" s="5">
        <v>14.5</v>
      </c>
    </row>
    <row r="1016" spans="1:2" x14ac:dyDescent="0.3">
      <c r="A1016" s="4">
        <v>45358</v>
      </c>
      <c r="B1016" s="5">
        <v>14.44</v>
      </c>
    </row>
    <row r="1017" spans="1:2" x14ac:dyDescent="0.3">
      <c r="A1017" s="4">
        <v>45359</v>
      </c>
      <c r="B1017" s="5">
        <v>14.74</v>
      </c>
    </row>
    <row r="1018" spans="1:2" x14ac:dyDescent="0.3">
      <c r="A1018" s="4">
        <v>45362</v>
      </c>
      <c r="B1018" s="5">
        <v>15.22</v>
      </c>
    </row>
    <row r="1019" spans="1:2" x14ac:dyDescent="0.3">
      <c r="A1019" s="4">
        <v>45363</v>
      </c>
      <c r="B1019" s="5">
        <v>13.84</v>
      </c>
    </row>
    <row r="1020" spans="1:2" x14ac:dyDescent="0.3">
      <c r="A1020" s="4">
        <v>45364</v>
      </c>
      <c r="B1020" s="5">
        <v>13.75</v>
      </c>
    </row>
    <row r="1021" spans="1:2" x14ac:dyDescent="0.3">
      <c r="A1021" s="4">
        <v>45365</v>
      </c>
      <c r="B1021" s="5">
        <v>14.4</v>
      </c>
    </row>
    <row r="1022" spans="1:2" x14ac:dyDescent="0.3">
      <c r="A1022" s="4">
        <v>45366</v>
      </c>
      <c r="B1022" s="5">
        <v>14.41</v>
      </c>
    </row>
    <row r="1023" spans="1:2" x14ac:dyDescent="0.3">
      <c r="A1023" s="4">
        <v>45369</v>
      </c>
      <c r="B1023" s="5">
        <v>14.33</v>
      </c>
    </row>
    <row r="1024" spans="1:2" x14ac:dyDescent="0.3">
      <c r="A1024" s="4">
        <v>45370</v>
      </c>
      <c r="B1024" s="5">
        <v>13.82</v>
      </c>
    </row>
    <row r="1025" spans="1:2" x14ac:dyDescent="0.3">
      <c r="A1025" s="4">
        <v>45371</v>
      </c>
      <c r="B1025" s="5">
        <v>13.04</v>
      </c>
    </row>
    <row r="1026" spans="1:2" x14ac:dyDescent="0.3">
      <c r="A1026" s="4">
        <v>45372</v>
      </c>
      <c r="B1026" s="5">
        <v>12.92</v>
      </c>
    </row>
    <row r="1027" spans="1:2" x14ac:dyDescent="0.3">
      <c r="A1027" s="4">
        <v>45373</v>
      </c>
      <c r="B1027" s="5">
        <v>13.06</v>
      </c>
    </row>
    <row r="1028" spans="1:2" x14ac:dyDescent="0.3">
      <c r="A1028" s="4">
        <v>45376</v>
      </c>
      <c r="B1028" s="5">
        <v>13.19</v>
      </c>
    </row>
    <row r="1029" spans="1:2" x14ac:dyDescent="0.3">
      <c r="A1029" s="4">
        <v>45377</v>
      </c>
      <c r="B1029" s="5">
        <v>13.24</v>
      </c>
    </row>
    <row r="1030" spans="1:2" x14ac:dyDescent="0.3">
      <c r="A1030" s="4">
        <v>45378</v>
      </c>
      <c r="B1030" s="5">
        <v>12.78</v>
      </c>
    </row>
    <row r="1031" spans="1:2" x14ac:dyDescent="0.3">
      <c r="A1031" s="4">
        <v>45379</v>
      </c>
      <c r="B1031" s="5">
        <v>13.01</v>
      </c>
    </row>
    <row r="1032" spans="1:2" x14ac:dyDescent="0.3">
      <c r="A1032" s="4">
        <v>45380</v>
      </c>
      <c r="B1032" s="5">
        <v>13.01</v>
      </c>
    </row>
    <row r="1033" spans="1:2" x14ac:dyDescent="0.3">
      <c r="A1033" s="4">
        <v>45383</v>
      </c>
      <c r="B1033" s="5">
        <v>13.65</v>
      </c>
    </row>
    <row r="1034" spans="1:2" x14ac:dyDescent="0.3">
      <c r="A1034" s="4">
        <v>45384</v>
      </c>
      <c r="B1034" s="5">
        <v>14.61</v>
      </c>
    </row>
    <row r="1035" spans="1:2" x14ac:dyDescent="0.3">
      <c r="A1035" s="4">
        <v>45385</v>
      </c>
      <c r="B1035" s="5">
        <v>14.33</v>
      </c>
    </row>
    <row r="1036" spans="1:2" x14ac:dyDescent="0.3">
      <c r="A1036" s="4">
        <v>45390</v>
      </c>
      <c r="B1036" s="5">
        <v>15.19</v>
      </c>
    </row>
    <row r="1037" spans="1:2" x14ac:dyDescent="0.3">
      <c r="A1037" s="4">
        <v>45391</v>
      </c>
      <c r="B1037" s="5">
        <v>14.98</v>
      </c>
    </row>
    <row r="1038" spans="1:2" x14ac:dyDescent="0.3">
      <c r="A1038" s="4">
        <v>45392</v>
      </c>
      <c r="B1038" s="5">
        <v>15.8</v>
      </c>
    </row>
    <row r="1039" spans="1:2" x14ac:dyDescent="0.3">
      <c r="A1039" s="4">
        <v>45393</v>
      </c>
      <c r="B1039" s="5">
        <v>14.91</v>
      </c>
    </row>
    <row r="1040" spans="1:2" x14ac:dyDescent="0.3">
      <c r="A1040" s="4">
        <v>45394</v>
      </c>
      <c r="B1040" s="5">
        <v>17.309999999999999</v>
      </c>
    </row>
    <row r="1041" spans="1:2" x14ac:dyDescent="0.3">
      <c r="A1041" s="4">
        <v>45397</v>
      </c>
      <c r="B1041" s="5">
        <v>19.23</v>
      </c>
    </row>
    <row r="1042" spans="1:2" x14ac:dyDescent="0.3">
      <c r="A1042" s="4">
        <v>45398</v>
      </c>
      <c r="B1042" s="5">
        <v>18.399999999999999</v>
      </c>
    </row>
    <row r="1043" spans="1:2" x14ac:dyDescent="0.3">
      <c r="A1043" s="4">
        <v>45399</v>
      </c>
      <c r="B1043" s="5">
        <v>18.21</v>
      </c>
    </row>
    <row r="1044" spans="1:2" x14ac:dyDescent="0.3">
      <c r="A1044" s="4">
        <v>45400</v>
      </c>
      <c r="B1044" s="5">
        <v>18</v>
      </c>
    </row>
    <row r="1045" spans="1:2" x14ac:dyDescent="0.3">
      <c r="A1045" s="4">
        <v>45401</v>
      </c>
      <c r="B1045" s="5">
        <v>18.71</v>
      </c>
    </row>
    <row r="1046" spans="1:2" x14ac:dyDescent="0.3">
      <c r="A1046" s="4">
        <v>45404</v>
      </c>
      <c r="B1046" s="5">
        <v>16.940000000000001</v>
      </c>
    </row>
    <row r="1047" spans="1:2" x14ac:dyDescent="0.3">
      <c r="A1047" s="4">
        <v>45405</v>
      </c>
      <c r="B1047" s="5">
        <v>15.69</v>
      </c>
    </row>
    <row r="1048" spans="1:2" x14ac:dyDescent="0.3">
      <c r="A1048" s="4">
        <v>45406</v>
      </c>
      <c r="B1048" s="5">
        <v>15.97</v>
      </c>
    </row>
    <row r="1049" spans="1:2" x14ac:dyDescent="0.3">
      <c r="A1049" s="4">
        <v>45407</v>
      </c>
      <c r="B1049" s="5">
        <v>15.37</v>
      </c>
    </row>
    <row r="1050" spans="1:2" x14ac:dyDescent="0.3">
      <c r="A1050" s="4">
        <v>45408</v>
      </c>
      <c r="B1050" s="5">
        <v>15.03</v>
      </c>
    </row>
    <row r="1051" spans="1:2" x14ac:dyDescent="0.3">
      <c r="A1051" s="4">
        <v>45411</v>
      </c>
      <c r="B1051" s="5">
        <v>14.67</v>
      </c>
    </row>
    <row r="1052" spans="1:2" x14ac:dyDescent="0.3">
      <c r="A1052" s="4">
        <v>45412</v>
      </c>
      <c r="B1052" s="5">
        <v>15.65</v>
      </c>
    </row>
    <row r="1053" spans="1:2" x14ac:dyDescent="0.3">
      <c r="A1053" s="4">
        <v>45418</v>
      </c>
      <c r="B1053" s="5">
        <v>13.49</v>
      </c>
    </row>
    <row r="1054" spans="1:2" x14ac:dyDescent="0.3">
      <c r="A1054" s="4">
        <v>45419</v>
      </c>
      <c r="B1054" s="5">
        <v>13.23</v>
      </c>
    </row>
    <row r="1055" spans="1:2" x14ac:dyDescent="0.3">
      <c r="A1055" s="4">
        <v>45420</v>
      </c>
      <c r="B1055" s="5">
        <v>13</v>
      </c>
    </row>
    <row r="1056" spans="1:2" x14ac:dyDescent="0.3">
      <c r="A1056" s="4">
        <v>45421</v>
      </c>
      <c r="B1056" s="5">
        <v>12.69</v>
      </c>
    </row>
    <row r="1057" spans="1:2" x14ac:dyDescent="0.3">
      <c r="A1057" s="4">
        <v>45422</v>
      </c>
      <c r="B1057" s="5">
        <v>12.55</v>
      </c>
    </row>
    <row r="1058" spans="1:2" x14ac:dyDescent="0.3">
      <c r="A1058" s="4">
        <v>45425</v>
      </c>
      <c r="B1058" s="5">
        <v>13.6</v>
      </c>
    </row>
    <row r="1059" spans="1:2" x14ac:dyDescent="0.3">
      <c r="A1059" s="4">
        <v>45426</v>
      </c>
      <c r="B1059" s="5">
        <v>13.42</v>
      </c>
    </row>
    <row r="1060" spans="1:2" x14ac:dyDescent="0.3">
      <c r="A1060" s="4">
        <v>45427</v>
      </c>
      <c r="B1060" s="5">
        <v>12.45</v>
      </c>
    </row>
    <row r="1061" spans="1:2" x14ac:dyDescent="0.3">
      <c r="A1061" s="4">
        <v>45428</v>
      </c>
      <c r="B1061" s="5">
        <v>12.42</v>
      </c>
    </row>
    <row r="1062" spans="1:2" x14ac:dyDescent="0.3">
      <c r="A1062" s="4">
        <v>45429</v>
      </c>
      <c r="B1062" s="5">
        <v>11.99</v>
      </c>
    </row>
    <row r="1063" spans="1:2" x14ac:dyDescent="0.3">
      <c r="A1063" s="4">
        <v>45432</v>
      </c>
      <c r="B1063" s="5">
        <v>12.15</v>
      </c>
    </row>
    <row r="1064" spans="1:2" x14ac:dyDescent="0.3">
      <c r="A1064" s="4">
        <v>45433</v>
      </c>
      <c r="B1064" s="5">
        <v>11.86</v>
      </c>
    </row>
    <row r="1065" spans="1:2" x14ac:dyDescent="0.3">
      <c r="A1065" s="4">
        <v>45434</v>
      </c>
      <c r="B1065" s="5">
        <v>12.29</v>
      </c>
    </row>
    <row r="1066" spans="1:2" x14ac:dyDescent="0.3">
      <c r="A1066" s="4">
        <v>45435</v>
      </c>
      <c r="B1066" s="5">
        <v>12.77</v>
      </c>
    </row>
    <row r="1067" spans="1:2" x14ac:dyDescent="0.3">
      <c r="A1067" s="4">
        <v>45436</v>
      </c>
      <c r="B1067" s="5">
        <v>11.93</v>
      </c>
    </row>
    <row r="1068" spans="1:2" x14ac:dyDescent="0.3">
      <c r="A1068" s="4">
        <v>45439</v>
      </c>
      <c r="B1068" s="5">
        <v>12.36</v>
      </c>
    </row>
    <row r="1069" spans="1:2" x14ac:dyDescent="0.3">
      <c r="A1069" s="4">
        <v>45440</v>
      </c>
      <c r="B1069" s="5">
        <v>12.92</v>
      </c>
    </row>
    <row r="1070" spans="1:2" x14ac:dyDescent="0.3">
      <c r="A1070" s="4">
        <v>45441</v>
      </c>
      <c r="B1070" s="5">
        <v>14.28</v>
      </c>
    </row>
    <row r="1071" spans="1:2" x14ac:dyDescent="0.3">
      <c r="A1071" s="4">
        <v>45442</v>
      </c>
      <c r="B1071" s="5">
        <v>14.47</v>
      </c>
    </row>
    <row r="1072" spans="1:2" x14ac:dyDescent="0.3">
      <c r="A1072" s="4">
        <v>45443</v>
      </c>
      <c r="B1072" s="5">
        <v>12.92</v>
      </c>
    </row>
    <row r="1073" spans="1:2" x14ac:dyDescent="0.3">
      <c r="A1073" s="4">
        <v>45446</v>
      </c>
      <c r="B1073" s="5">
        <v>13.11</v>
      </c>
    </row>
    <row r="1074" spans="1:2" x14ac:dyDescent="0.3">
      <c r="A1074" s="4">
        <v>45447</v>
      </c>
      <c r="B1074" s="5">
        <v>13.16</v>
      </c>
    </row>
    <row r="1075" spans="1:2" x14ac:dyDescent="0.3">
      <c r="A1075" s="4">
        <v>45448</v>
      </c>
      <c r="B1075" s="5">
        <v>12.63</v>
      </c>
    </row>
    <row r="1076" spans="1:2" x14ac:dyDescent="0.3">
      <c r="A1076" s="4">
        <v>45449</v>
      </c>
      <c r="B1076" s="5">
        <v>12.58</v>
      </c>
    </row>
    <row r="1077" spans="1:2" x14ac:dyDescent="0.3">
      <c r="A1077" s="4">
        <v>45450</v>
      </c>
      <c r="B1077" s="5">
        <v>12.22</v>
      </c>
    </row>
    <row r="1078" spans="1:2" x14ac:dyDescent="0.3">
      <c r="A1078" s="4">
        <v>45454</v>
      </c>
      <c r="B1078" s="5">
        <v>12.85</v>
      </c>
    </row>
    <row r="1079" spans="1:2" x14ac:dyDescent="0.3">
      <c r="A1079" s="4">
        <v>45455</v>
      </c>
      <c r="B1079" s="5">
        <v>12.04</v>
      </c>
    </row>
    <row r="1080" spans="1:2" x14ac:dyDescent="0.3">
      <c r="A1080" s="4">
        <v>45456</v>
      </c>
      <c r="B1080" s="5">
        <v>11.94</v>
      </c>
    </row>
    <row r="1081" spans="1:2" x14ac:dyDescent="0.3">
      <c r="A1081" s="4">
        <v>45457</v>
      </c>
      <c r="B1081" s="5">
        <v>12.66</v>
      </c>
    </row>
    <row r="1082" spans="1:2" x14ac:dyDescent="0.3">
      <c r="A1082" s="4">
        <v>45460</v>
      </c>
      <c r="B1082" s="5">
        <v>12.75</v>
      </c>
    </row>
    <row r="1083" spans="1:2" x14ac:dyDescent="0.3">
      <c r="A1083" s="4">
        <v>45461</v>
      </c>
      <c r="B1083" s="5">
        <v>12.3</v>
      </c>
    </row>
    <row r="1084" spans="1:2" x14ac:dyDescent="0.3">
      <c r="A1084" s="4">
        <v>45462</v>
      </c>
      <c r="B1084" s="5">
        <v>12.48</v>
      </c>
    </row>
    <row r="1085" spans="1:2" x14ac:dyDescent="0.3">
      <c r="A1085" s="4">
        <v>45463</v>
      </c>
      <c r="B1085" s="5">
        <v>13.28</v>
      </c>
    </row>
    <row r="1086" spans="1:2" x14ac:dyDescent="0.3">
      <c r="A1086" s="4">
        <v>45464</v>
      </c>
      <c r="B1086" s="5">
        <v>13.2</v>
      </c>
    </row>
    <row r="1087" spans="1:2" x14ac:dyDescent="0.3">
      <c r="A1087" s="4">
        <v>45467</v>
      </c>
      <c r="B1087" s="5">
        <v>13.33</v>
      </c>
    </row>
    <row r="1088" spans="1:2" x14ac:dyDescent="0.3">
      <c r="A1088" s="4">
        <v>45468</v>
      </c>
      <c r="B1088" s="5">
        <v>12.84</v>
      </c>
    </row>
    <row r="1089" spans="1:2" x14ac:dyDescent="0.3">
      <c r="A1089" s="4">
        <v>45469</v>
      </c>
      <c r="B1089" s="5">
        <v>12.55</v>
      </c>
    </row>
    <row r="1090" spans="1:2" x14ac:dyDescent="0.3">
      <c r="A1090" s="4">
        <v>45470</v>
      </c>
      <c r="B1090" s="5">
        <v>12.24</v>
      </c>
    </row>
    <row r="1091" spans="1:2" x14ac:dyDescent="0.3">
      <c r="A1091" s="4">
        <v>45471</v>
      </c>
      <c r="B1091" s="5">
        <v>12.44</v>
      </c>
    </row>
    <row r="1092" spans="1:2" x14ac:dyDescent="0.3">
      <c r="A1092" s="4">
        <v>45474</v>
      </c>
      <c r="B1092" s="5">
        <v>12.22</v>
      </c>
    </row>
    <row r="1093" spans="1:2" x14ac:dyDescent="0.3">
      <c r="A1093" s="4">
        <v>45475</v>
      </c>
      <c r="B1093" s="5">
        <v>12.03</v>
      </c>
    </row>
    <row r="1094" spans="1:2" x14ac:dyDescent="0.3">
      <c r="A1094" s="4">
        <v>45476</v>
      </c>
      <c r="B1094" s="5">
        <v>12.09</v>
      </c>
    </row>
    <row r="1095" spans="1:2" x14ac:dyDescent="0.3">
      <c r="A1095" s="4">
        <v>45477</v>
      </c>
      <c r="B1095" s="5">
        <v>12.26</v>
      </c>
    </row>
    <row r="1096" spans="1:2" x14ac:dyDescent="0.3">
      <c r="A1096" s="4">
        <v>45478</v>
      </c>
      <c r="B1096" s="5">
        <v>12.48</v>
      </c>
    </row>
    <row r="1097" spans="1:2" x14ac:dyDescent="0.3">
      <c r="A1097" s="4">
        <v>45481</v>
      </c>
      <c r="B1097" s="5">
        <v>12.37</v>
      </c>
    </row>
    <row r="1098" spans="1:2" x14ac:dyDescent="0.3">
      <c r="A1098" s="4">
        <v>45482</v>
      </c>
      <c r="B1098" s="5">
        <v>12.51</v>
      </c>
    </row>
    <row r="1099" spans="1:2" x14ac:dyDescent="0.3">
      <c r="A1099" s="4">
        <v>45483</v>
      </c>
      <c r="B1099" s="5">
        <v>12.85</v>
      </c>
    </row>
    <row r="1100" spans="1:2" x14ac:dyDescent="0.3">
      <c r="A1100" s="4">
        <v>45484</v>
      </c>
      <c r="B1100" s="5">
        <v>12.92</v>
      </c>
    </row>
    <row r="1101" spans="1:2" x14ac:dyDescent="0.3">
      <c r="A1101" s="4">
        <v>45485</v>
      </c>
      <c r="B1101" s="5">
        <v>12.46</v>
      </c>
    </row>
    <row r="1102" spans="1:2" x14ac:dyDescent="0.3">
      <c r="A1102" s="4">
        <v>45488</v>
      </c>
      <c r="B1102" s="5">
        <v>13.12</v>
      </c>
    </row>
    <row r="1103" spans="1:2" x14ac:dyDescent="0.3">
      <c r="A1103" s="4">
        <v>45489</v>
      </c>
      <c r="B1103" s="5">
        <v>13.19</v>
      </c>
    </row>
    <row r="1104" spans="1:2" x14ac:dyDescent="0.3">
      <c r="A1104" s="4">
        <v>45490</v>
      </c>
      <c r="B1104" s="5">
        <v>14.48</v>
      </c>
    </row>
    <row r="1105" spans="1:2" x14ac:dyDescent="0.3">
      <c r="A1105" s="4">
        <v>45491</v>
      </c>
      <c r="B1105" s="5">
        <v>15.93</v>
      </c>
    </row>
    <row r="1106" spans="1:2" x14ac:dyDescent="0.3">
      <c r="A1106" s="4">
        <v>45492</v>
      </c>
      <c r="B1106" s="5">
        <v>16.52</v>
      </c>
    </row>
    <row r="1107" spans="1:2" x14ac:dyDescent="0.3">
      <c r="A1107" s="4">
        <v>45495</v>
      </c>
      <c r="B1107" s="5">
        <v>14.91</v>
      </c>
    </row>
    <row r="1108" spans="1:2" x14ac:dyDescent="0.3">
      <c r="A1108" s="4">
        <v>45496</v>
      </c>
      <c r="B1108" s="5">
        <v>14.72</v>
      </c>
    </row>
    <row r="1109" spans="1:2" x14ac:dyDescent="0.3">
      <c r="A1109" s="4">
        <v>45497</v>
      </c>
      <c r="B1109" s="5">
        <v>18.04</v>
      </c>
    </row>
    <row r="1110" spans="1:2" x14ac:dyDescent="0.3">
      <c r="A1110" s="4">
        <v>45498</v>
      </c>
      <c r="B1110" s="5">
        <v>18.46</v>
      </c>
    </row>
    <row r="1111" spans="1:2" x14ac:dyDescent="0.3">
      <c r="A1111" s="4">
        <v>45499</v>
      </c>
      <c r="B1111" s="5">
        <v>16.39</v>
      </c>
    </row>
    <row r="1112" spans="1:2" x14ac:dyDescent="0.3">
      <c r="A1112" s="4">
        <v>45502</v>
      </c>
      <c r="B1112" s="5">
        <v>16.600000000000001</v>
      </c>
    </row>
    <row r="1113" spans="1:2" x14ac:dyDescent="0.3">
      <c r="A1113" s="4">
        <v>45503</v>
      </c>
      <c r="B1113" s="5">
        <v>17.690000000000001</v>
      </c>
    </row>
    <row r="1114" spans="1:2" x14ac:dyDescent="0.3">
      <c r="A1114" s="4">
        <v>45504</v>
      </c>
      <c r="B1114" s="5">
        <v>16.36</v>
      </c>
    </row>
    <row r="1115" spans="1:2" x14ac:dyDescent="0.3">
      <c r="A1115" s="4">
        <v>45505</v>
      </c>
      <c r="B1115" s="5">
        <v>18.59</v>
      </c>
    </row>
    <row r="1116" spans="1:2" x14ac:dyDescent="0.3">
      <c r="A1116" s="4">
        <v>45506</v>
      </c>
      <c r="B1116" s="5">
        <v>23.39</v>
      </c>
    </row>
    <row r="1117" spans="1:2" x14ac:dyDescent="0.3">
      <c r="A1117" s="4">
        <v>45509</v>
      </c>
      <c r="B1117" s="5">
        <v>38.57</v>
      </c>
    </row>
    <row r="1118" spans="1:2" x14ac:dyDescent="0.3">
      <c r="A1118" s="4">
        <v>45510</v>
      </c>
      <c r="B1118" s="5">
        <v>27.71</v>
      </c>
    </row>
    <row r="1119" spans="1:2" x14ac:dyDescent="0.3">
      <c r="A1119" s="4">
        <v>45511</v>
      </c>
      <c r="B1119" s="5">
        <v>27.85</v>
      </c>
    </row>
    <row r="1120" spans="1:2" x14ac:dyDescent="0.3">
      <c r="A1120" s="4">
        <v>45512</v>
      </c>
      <c r="B1120" s="5">
        <v>23.79</v>
      </c>
    </row>
    <row r="1121" spans="1:2" x14ac:dyDescent="0.3">
      <c r="A1121" s="4">
        <v>45513</v>
      </c>
      <c r="B1121" s="5">
        <v>20.37</v>
      </c>
    </row>
    <row r="1122" spans="1:2" x14ac:dyDescent="0.3">
      <c r="A1122" s="4">
        <v>45516</v>
      </c>
      <c r="B1122" s="5">
        <v>20.71</v>
      </c>
    </row>
    <row r="1123" spans="1:2" x14ac:dyDescent="0.3">
      <c r="A1123" s="4">
        <v>45517</v>
      </c>
      <c r="B1123" s="5">
        <v>18.12</v>
      </c>
    </row>
    <row r="1124" spans="1:2" x14ac:dyDescent="0.3">
      <c r="A1124" s="4">
        <v>45518</v>
      </c>
      <c r="B1124" s="5">
        <v>16.190000000000001</v>
      </c>
    </row>
    <row r="1125" spans="1:2" x14ac:dyDescent="0.3">
      <c r="A1125" s="4">
        <v>45519</v>
      </c>
      <c r="B1125" s="5">
        <v>15.23</v>
      </c>
    </row>
    <row r="1126" spans="1:2" x14ac:dyDescent="0.3">
      <c r="A1126" s="4">
        <v>45520</v>
      </c>
      <c r="B1126" s="5">
        <v>14.8</v>
      </c>
    </row>
    <row r="1127" spans="1:2" x14ac:dyDescent="0.3">
      <c r="A1127" s="4">
        <v>45523</v>
      </c>
      <c r="B1127" s="5">
        <v>14.65</v>
      </c>
    </row>
    <row r="1128" spans="1:2" x14ac:dyDescent="0.3">
      <c r="A1128" s="4">
        <v>45524</v>
      </c>
      <c r="B1128" s="5">
        <v>15.88</v>
      </c>
    </row>
    <row r="1129" spans="1:2" x14ac:dyDescent="0.3">
      <c r="A1129" s="4">
        <v>45525</v>
      </c>
      <c r="B1129" s="5">
        <v>16.27</v>
      </c>
    </row>
    <row r="1130" spans="1:2" x14ac:dyDescent="0.3">
      <c r="A1130" s="4">
        <v>45526</v>
      </c>
      <c r="B1130" s="5">
        <v>17.55</v>
      </c>
    </row>
    <row r="1131" spans="1:2" x14ac:dyDescent="0.3">
      <c r="A1131" s="4">
        <v>45527</v>
      </c>
      <c r="B1131" s="5">
        <v>15.86</v>
      </c>
    </row>
    <row r="1132" spans="1:2" x14ac:dyDescent="0.3">
      <c r="A1132" s="4">
        <v>45530</v>
      </c>
      <c r="B1132" s="5">
        <v>16.149999999999999</v>
      </c>
    </row>
    <row r="1133" spans="1:2" x14ac:dyDescent="0.3">
      <c r="A1133" s="4">
        <v>45531</v>
      </c>
      <c r="B1133" s="5">
        <v>15.43</v>
      </c>
    </row>
    <row r="1134" spans="1:2" x14ac:dyDescent="0.3">
      <c r="A1134" s="4">
        <v>45532</v>
      </c>
      <c r="B1134" s="5">
        <v>17.11</v>
      </c>
    </row>
    <row r="1135" spans="1:2" x14ac:dyDescent="0.3">
      <c r="A1135" s="4">
        <v>45533</v>
      </c>
      <c r="B1135" s="5">
        <v>15.65</v>
      </c>
    </row>
    <row r="1136" spans="1:2" x14ac:dyDescent="0.3">
      <c r="A1136" s="4">
        <v>45534</v>
      </c>
      <c r="B1136" s="5">
        <v>15</v>
      </c>
    </row>
    <row r="1137" spans="1:2" x14ac:dyDescent="0.3">
      <c r="A1137" s="4">
        <v>45537</v>
      </c>
      <c r="B1137" s="5">
        <v>15.55</v>
      </c>
    </row>
    <row r="1138" spans="1:2" x14ac:dyDescent="0.3">
      <c r="A1138" s="4">
        <v>45538</v>
      </c>
      <c r="B1138" s="5">
        <v>20.72</v>
      </c>
    </row>
    <row r="1139" spans="1:2" x14ac:dyDescent="0.3">
      <c r="A1139" s="4">
        <v>45539</v>
      </c>
      <c r="B1139" s="5">
        <v>21.32</v>
      </c>
    </row>
    <row r="1140" spans="1:2" x14ac:dyDescent="0.3">
      <c r="A1140" s="4">
        <v>45540</v>
      </c>
      <c r="B1140" s="5">
        <v>19.899999999999999</v>
      </c>
    </row>
    <row r="1141" spans="1:2" x14ac:dyDescent="0.3">
      <c r="A1141" s="4">
        <v>45541</v>
      </c>
      <c r="B1141" s="5">
        <v>22.38</v>
      </c>
    </row>
    <row r="1142" spans="1:2" x14ac:dyDescent="0.3">
      <c r="A1142" s="4">
        <v>45544</v>
      </c>
      <c r="B1142" s="5">
        <v>19.45</v>
      </c>
    </row>
    <row r="1143" spans="1:2" x14ac:dyDescent="0.3">
      <c r="A1143" s="4">
        <v>45545</v>
      </c>
      <c r="B1143" s="5">
        <v>19.079999999999998</v>
      </c>
    </row>
    <row r="1144" spans="1:2" x14ac:dyDescent="0.3">
      <c r="A1144" s="4">
        <v>45546</v>
      </c>
      <c r="B1144" s="5">
        <v>17.690000000000001</v>
      </c>
    </row>
    <row r="1145" spans="1:2" x14ac:dyDescent="0.3">
      <c r="A1145" s="4">
        <v>45547</v>
      </c>
      <c r="B1145" s="5">
        <v>17.07</v>
      </c>
    </row>
    <row r="1146" spans="1:2" x14ac:dyDescent="0.3">
      <c r="A1146" s="4">
        <v>45548</v>
      </c>
      <c r="B1146" s="5">
        <v>16.559999999999999</v>
      </c>
    </row>
    <row r="1147" spans="1:2" x14ac:dyDescent="0.3">
      <c r="A1147" s="4">
        <v>45553</v>
      </c>
      <c r="B1147" s="5">
        <v>18.23</v>
      </c>
    </row>
    <row r="1148" spans="1:2" x14ac:dyDescent="0.3">
      <c r="A1148" s="4">
        <v>45554</v>
      </c>
      <c r="B1148" s="5">
        <v>16.329999999999998</v>
      </c>
    </row>
    <row r="1149" spans="1:2" x14ac:dyDescent="0.3">
      <c r="A1149" s="4">
        <v>45555</v>
      </c>
      <c r="B1149" s="5">
        <v>16.149999999999999</v>
      </c>
    </row>
    <row r="1150" spans="1:2" x14ac:dyDescent="0.3">
      <c r="A1150" s="4">
        <v>45558</v>
      </c>
      <c r="B1150" s="5">
        <v>15.89</v>
      </c>
    </row>
    <row r="1151" spans="1:2" x14ac:dyDescent="0.3">
      <c r="A1151" s="4">
        <v>45559</v>
      </c>
      <c r="B1151" s="5">
        <v>15.39</v>
      </c>
    </row>
    <row r="1152" spans="1:2" x14ac:dyDescent="0.3">
      <c r="A1152" s="4">
        <v>45560</v>
      </c>
      <c r="B1152" s="5">
        <v>15.41</v>
      </c>
    </row>
    <row r="1153" spans="1:2" x14ac:dyDescent="0.3">
      <c r="A1153" s="4">
        <v>45561</v>
      </c>
      <c r="B1153" s="5">
        <v>15.37</v>
      </c>
    </row>
    <row r="1154" spans="1:2" x14ac:dyDescent="0.3">
      <c r="A1154" s="4">
        <v>45562</v>
      </c>
      <c r="B1154" s="5">
        <v>16.96</v>
      </c>
    </row>
    <row r="1155" spans="1:2" x14ac:dyDescent="0.3">
      <c r="A1155" s="4">
        <v>45565</v>
      </c>
      <c r="B1155" s="5">
        <v>16.73</v>
      </c>
    </row>
    <row r="1156" spans="1:2" x14ac:dyDescent="0.3">
      <c r="A1156" s="4">
        <v>45573</v>
      </c>
      <c r="B1156" s="5">
        <v>21.42</v>
      </c>
    </row>
    <row r="1157" spans="1:2" x14ac:dyDescent="0.3">
      <c r="A1157" s="4">
        <v>45574</v>
      </c>
      <c r="B1157" s="5">
        <v>20.86</v>
      </c>
    </row>
    <row r="1158" spans="1:2" x14ac:dyDescent="0.3">
      <c r="A1158" s="4">
        <v>45575</v>
      </c>
      <c r="B1158" s="5">
        <v>20.93</v>
      </c>
    </row>
    <row r="1159" spans="1:2" x14ac:dyDescent="0.3">
      <c r="A1159" s="4">
        <v>45576</v>
      </c>
      <c r="B1159" s="5">
        <v>20.46</v>
      </c>
    </row>
    <row r="1160" spans="1:2" x14ac:dyDescent="0.3">
      <c r="A1160" s="4">
        <v>45579</v>
      </c>
      <c r="B1160" s="5">
        <v>19.7</v>
      </c>
    </row>
    <row r="1161" spans="1:2" x14ac:dyDescent="0.3">
      <c r="A1161" s="4">
        <v>45580</v>
      </c>
      <c r="B1161" s="5">
        <v>20.64</v>
      </c>
    </row>
    <row r="1162" spans="1:2" x14ac:dyDescent="0.3">
      <c r="A1162" s="4">
        <v>45581</v>
      </c>
      <c r="B1162" s="5">
        <v>19.579999999999998</v>
      </c>
    </row>
    <row r="1163" spans="1:2" x14ac:dyDescent="0.3">
      <c r="A1163" s="4">
        <v>45582</v>
      </c>
      <c r="B1163" s="5">
        <v>19.11</v>
      </c>
    </row>
    <row r="1164" spans="1:2" x14ac:dyDescent="0.3">
      <c r="A1164" s="4">
        <v>45583</v>
      </c>
      <c r="B1164" s="5">
        <v>18.03</v>
      </c>
    </row>
    <row r="1165" spans="1:2" x14ac:dyDescent="0.3">
      <c r="A1165" s="4">
        <v>45586</v>
      </c>
      <c r="B1165" s="5">
        <v>18.37</v>
      </c>
    </row>
    <row r="1166" spans="1:2" x14ac:dyDescent="0.3">
      <c r="A1166" s="4">
        <v>45587</v>
      </c>
      <c r="B1166" s="5">
        <v>18.2</v>
      </c>
    </row>
    <row r="1167" spans="1:2" x14ac:dyDescent="0.3">
      <c r="A1167" s="4">
        <v>45588</v>
      </c>
      <c r="B1167" s="5">
        <v>19.239999999999998</v>
      </c>
    </row>
    <row r="1168" spans="1:2" x14ac:dyDescent="0.3">
      <c r="A1168" s="4">
        <v>45589</v>
      </c>
      <c r="B1168" s="5">
        <v>19.079999999999998</v>
      </c>
    </row>
    <row r="1169" spans="1:2" x14ac:dyDescent="0.3">
      <c r="A1169" s="4">
        <v>45590</v>
      </c>
      <c r="B1169" s="5">
        <v>20.329999999999998</v>
      </c>
    </row>
    <row r="1170" spans="1:2" x14ac:dyDescent="0.3">
      <c r="A1170" s="4">
        <v>45593</v>
      </c>
      <c r="B1170" s="5">
        <v>19.8</v>
      </c>
    </row>
    <row r="1171" spans="1:2" x14ac:dyDescent="0.3">
      <c r="A1171" s="4">
        <v>45594</v>
      </c>
      <c r="B1171" s="5">
        <v>19.34</v>
      </c>
    </row>
    <row r="1172" spans="1:2" x14ac:dyDescent="0.3">
      <c r="A1172" s="4">
        <v>45595</v>
      </c>
      <c r="B1172" s="5">
        <v>20.350000000000001</v>
      </c>
    </row>
    <row r="1173" spans="1:2" x14ac:dyDescent="0.3">
      <c r="A1173" s="4">
        <v>45596</v>
      </c>
      <c r="B1173" s="5">
        <v>23.16</v>
      </c>
    </row>
    <row r="1174" spans="1:2" x14ac:dyDescent="0.3">
      <c r="A1174" s="4">
        <v>45597</v>
      </c>
      <c r="B1174" s="5">
        <v>21.88</v>
      </c>
    </row>
    <row r="1175" spans="1:2" x14ac:dyDescent="0.3">
      <c r="A1175" s="4">
        <v>45600</v>
      </c>
      <c r="B1175" s="5">
        <v>21.98</v>
      </c>
    </row>
    <row r="1176" spans="1:2" x14ac:dyDescent="0.3">
      <c r="A1176" s="4">
        <v>45601</v>
      </c>
      <c r="B1176" s="5">
        <v>20.49</v>
      </c>
    </row>
    <row r="1177" spans="1:2" x14ac:dyDescent="0.3">
      <c r="A1177" s="4">
        <v>45602</v>
      </c>
      <c r="B1177" s="5">
        <v>16.27</v>
      </c>
    </row>
    <row r="1178" spans="1:2" x14ac:dyDescent="0.3">
      <c r="A1178" s="4">
        <v>45603</v>
      </c>
      <c r="B1178" s="5">
        <v>15.2</v>
      </c>
    </row>
    <row r="1179" spans="1:2" x14ac:dyDescent="0.3">
      <c r="A1179" s="4">
        <v>45604</v>
      </c>
      <c r="B1179" s="5">
        <v>14.94</v>
      </c>
    </row>
    <row r="1180" spans="1:2" x14ac:dyDescent="0.3">
      <c r="A1180" s="4">
        <v>45607</v>
      </c>
      <c r="B1180" s="5">
        <v>14.97</v>
      </c>
    </row>
    <row r="1181" spans="1:2" x14ac:dyDescent="0.3">
      <c r="A1181" s="4">
        <v>45608</v>
      </c>
      <c r="B1181" s="5">
        <v>14.71</v>
      </c>
    </row>
    <row r="1182" spans="1:2" x14ac:dyDescent="0.3">
      <c r="A1182" s="4">
        <v>45609</v>
      </c>
      <c r="B1182" s="5">
        <v>14.02</v>
      </c>
    </row>
    <row r="1183" spans="1:2" x14ac:dyDescent="0.3">
      <c r="A1183" s="4">
        <v>45610</v>
      </c>
      <c r="B1183" s="5">
        <v>14.31</v>
      </c>
    </row>
    <row r="1184" spans="1:2" x14ac:dyDescent="0.3">
      <c r="A1184" s="4">
        <v>45611</v>
      </c>
      <c r="B1184" s="5">
        <v>16.14</v>
      </c>
    </row>
    <row r="1185" spans="1:2" x14ac:dyDescent="0.3">
      <c r="A1185" s="4">
        <v>45614</v>
      </c>
      <c r="B1185" s="5">
        <v>15.58</v>
      </c>
    </row>
    <row r="1186" spans="1:2" x14ac:dyDescent="0.3">
      <c r="A1186" s="4">
        <v>45615</v>
      </c>
      <c r="B1186" s="5">
        <v>16.350000000000001</v>
      </c>
    </row>
    <row r="1187" spans="1:2" x14ac:dyDescent="0.3">
      <c r="A1187" s="4">
        <v>45616</v>
      </c>
      <c r="B1187" s="5">
        <v>17.16</v>
      </c>
    </row>
    <row r="1188" spans="1:2" x14ac:dyDescent="0.3">
      <c r="A1188" s="4">
        <v>45617</v>
      </c>
      <c r="B1188" s="5">
        <v>16.87</v>
      </c>
    </row>
    <row r="1189" spans="1:2" x14ac:dyDescent="0.3">
      <c r="A1189" s="4">
        <v>45618</v>
      </c>
      <c r="B1189" s="5">
        <v>15.24</v>
      </c>
    </row>
    <row r="1190" spans="1:2" x14ac:dyDescent="0.3">
      <c r="A1190" s="4">
        <v>45621</v>
      </c>
      <c r="B1190" s="5">
        <v>14.6</v>
      </c>
    </row>
    <row r="1191" spans="1:2" x14ac:dyDescent="0.3">
      <c r="A1191" s="4">
        <v>45622</v>
      </c>
      <c r="B1191" s="5">
        <v>14.1</v>
      </c>
    </row>
    <row r="1192" spans="1:2" x14ac:dyDescent="0.3">
      <c r="A1192" s="4">
        <v>45623</v>
      </c>
      <c r="B1192" s="5">
        <v>14.1</v>
      </c>
    </row>
    <row r="1193" spans="1:2" x14ac:dyDescent="0.3">
      <c r="A1193" s="4">
        <v>45624</v>
      </c>
      <c r="B1193" s="5">
        <v>13.9</v>
      </c>
    </row>
    <row r="1194" spans="1:2" x14ac:dyDescent="0.3">
      <c r="A1194" s="4">
        <v>45625</v>
      </c>
      <c r="B1194" s="5">
        <v>13.51</v>
      </c>
    </row>
    <row r="1195" spans="1:2" x14ac:dyDescent="0.3">
      <c r="A1195" s="4">
        <v>45628</v>
      </c>
      <c r="B1195" s="5">
        <v>13.34</v>
      </c>
    </row>
    <row r="1196" spans="1:2" x14ac:dyDescent="0.3">
      <c r="A1196" s="4">
        <v>45629</v>
      </c>
      <c r="B1196" s="5">
        <v>13.3</v>
      </c>
    </row>
    <row r="1197" spans="1:2" x14ac:dyDescent="0.3">
      <c r="A1197" s="4">
        <v>45630</v>
      </c>
      <c r="B1197" s="5">
        <v>13.45</v>
      </c>
    </row>
    <row r="1198" spans="1:2" x14ac:dyDescent="0.3">
      <c r="A1198" s="4">
        <v>45631</v>
      </c>
      <c r="B1198" s="5">
        <v>13.54</v>
      </c>
    </row>
    <row r="1199" spans="1:2" x14ac:dyDescent="0.3">
      <c r="A1199" s="4">
        <v>45632</v>
      </c>
      <c r="B1199" s="5">
        <v>12.77</v>
      </c>
    </row>
    <row r="1200" spans="1:2" x14ac:dyDescent="0.3">
      <c r="A1200" s="4">
        <v>45635</v>
      </c>
      <c r="B1200" s="5">
        <v>14.19</v>
      </c>
    </row>
    <row r="1201" spans="1:2" x14ac:dyDescent="0.3">
      <c r="A1201" s="4">
        <v>45636</v>
      </c>
      <c r="B1201" s="5">
        <v>14.18</v>
      </c>
    </row>
    <row r="1202" spans="1:2" x14ac:dyDescent="0.3">
      <c r="A1202" s="4">
        <v>45637</v>
      </c>
      <c r="B1202" s="5">
        <v>13.58</v>
      </c>
    </row>
    <row r="1203" spans="1:2" x14ac:dyDescent="0.3">
      <c r="A1203" s="4">
        <v>45638</v>
      </c>
      <c r="B1203" s="5">
        <v>13.92</v>
      </c>
    </row>
    <row r="1204" spans="1:2" x14ac:dyDescent="0.3">
      <c r="A1204" s="4">
        <v>45639</v>
      </c>
      <c r="B1204" s="5">
        <v>13.81</v>
      </c>
    </row>
    <row r="1205" spans="1:2" x14ac:dyDescent="0.3">
      <c r="A1205" s="4">
        <v>45642</v>
      </c>
      <c r="B1205" s="5">
        <v>14.69</v>
      </c>
    </row>
    <row r="1206" spans="1:2" x14ac:dyDescent="0.3">
      <c r="A1206" s="4">
        <v>45643</v>
      </c>
      <c r="B1206" s="5">
        <v>15.87</v>
      </c>
    </row>
    <row r="1207" spans="1:2" x14ac:dyDescent="0.3">
      <c r="A1207" s="4">
        <v>45644</v>
      </c>
      <c r="B1207" s="5">
        <v>27.62</v>
      </c>
    </row>
    <row r="1208" spans="1:2" x14ac:dyDescent="0.3">
      <c r="A1208" s="4">
        <v>45645</v>
      </c>
      <c r="B1208" s="5">
        <v>24.09</v>
      </c>
    </row>
    <row r="1209" spans="1:2" x14ac:dyDescent="0.3">
      <c r="A1209" s="4">
        <v>45646</v>
      </c>
      <c r="B1209" s="5">
        <v>18.36</v>
      </c>
    </row>
    <row r="1210" spans="1:2" x14ac:dyDescent="0.3">
      <c r="A1210" s="4">
        <v>45649</v>
      </c>
      <c r="B1210" s="5">
        <v>16.78</v>
      </c>
    </row>
    <row r="1211" spans="1:2" x14ac:dyDescent="0.3">
      <c r="A1211" s="4">
        <v>45650</v>
      </c>
      <c r="B1211" s="5">
        <v>14.27</v>
      </c>
    </row>
    <row r="1212" spans="1:2" x14ac:dyDescent="0.3">
      <c r="A1212" s="4">
        <v>45651</v>
      </c>
      <c r="B1212" s="5">
        <v>14.27</v>
      </c>
    </row>
    <row r="1213" spans="1:2" x14ac:dyDescent="0.3">
      <c r="A1213" s="4">
        <v>45652</v>
      </c>
      <c r="B1213" s="5">
        <v>14.73</v>
      </c>
    </row>
    <row r="1214" spans="1:2" x14ac:dyDescent="0.3">
      <c r="A1214" s="4">
        <v>45653</v>
      </c>
      <c r="B1214" s="5">
        <v>15.95</v>
      </c>
    </row>
    <row r="1215" spans="1:2" x14ac:dyDescent="0.3">
      <c r="A1215" s="4">
        <v>45656</v>
      </c>
      <c r="B1215" s="5">
        <v>17.399999999999999</v>
      </c>
    </row>
    <row r="1216" spans="1:2" x14ac:dyDescent="0.3">
      <c r="A1216" s="4">
        <v>45657</v>
      </c>
      <c r="B1216" s="5">
        <v>17.350000000000001</v>
      </c>
    </row>
    <row r="1217" spans="1:2" x14ac:dyDescent="0.3">
      <c r="A1217" s="4">
        <v>45659</v>
      </c>
      <c r="B1217" s="5">
        <v>17.93</v>
      </c>
    </row>
    <row r="1218" spans="1:2" x14ac:dyDescent="0.3">
      <c r="A1218" s="4">
        <v>45660</v>
      </c>
      <c r="B1218" s="5">
        <v>16.13</v>
      </c>
    </row>
    <row r="1219" spans="1:2" x14ac:dyDescent="0.3">
      <c r="A1219" s="4">
        <v>45663</v>
      </c>
      <c r="B1219" s="5">
        <v>16.04</v>
      </c>
    </row>
    <row r="1220" spans="1:2" x14ac:dyDescent="0.3">
      <c r="A1220" s="4">
        <v>45664</v>
      </c>
      <c r="B1220" s="5">
        <v>17.82</v>
      </c>
    </row>
    <row r="1221" spans="1:2" x14ac:dyDescent="0.3">
      <c r="A1221" s="4">
        <v>45665</v>
      </c>
      <c r="B1221" s="5">
        <v>17.7</v>
      </c>
    </row>
    <row r="1222" spans="1:2" x14ac:dyDescent="0.3">
      <c r="A1222" s="4">
        <v>45666</v>
      </c>
      <c r="B1222" s="5">
        <v>18.07</v>
      </c>
    </row>
    <row r="1223" spans="1:2" x14ac:dyDescent="0.3">
      <c r="A1223" s="4">
        <v>45667</v>
      </c>
      <c r="B1223" s="5">
        <v>19.54</v>
      </c>
    </row>
    <row r="1224" spans="1:2" x14ac:dyDescent="0.3">
      <c r="A1224" s="4">
        <v>45670</v>
      </c>
      <c r="B1224" s="5">
        <v>19.190000000000001</v>
      </c>
    </row>
    <row r="1225" spans="1:2" x14ac:dyDescent="0.3">
      <c r="A1225" s="4">
        <v>45671</v>
      </c>
      <c r="B1225" s="5">
        <v>18.71</v>
      </c>
    </row>
    <row r="1226" spans="1:2" x14ac:dyDescent="0.3">
      <c r="A1226" s="4">
        <v>45672</v>
      </c>
      <c r="B1226" s="5">
        <v>16.12</v>
      </c>
    </row>
    <row r="1227" spans="1:2" x14ac:dyDescent="0.3">
      <c r="A1227" s="4">
        <v>45673</v>
      </c>
      <c r="B1227" s="5">
        <v>16.600000000000001</v>
      </c>
    </row>
    <row r="1228" spans="1:2" x14ac:dyDescent="0.3">
      <c r="A1228" s="4">
        <v>45674</v>
      </c>
      <c r="B1228" s="5">
        <v>15.97</v>
      </c>
    </row>
    <row r="1229" spans="1:2" x14ac:dyDescent="0.3">
      <c r="A1229" s="4">
        <v>45677</v>
      </c>
      <c r="B1229" s="5">
        <v>15.81</v>
      </c>
    </row>
    <row r="1230" spans="1:2" x14ac:dyDescent="0.3">
      <c r="A1230" s="4">
        <v>45678</v>
      </c>
      <c r="B1230" s="5">
        <v>15.06</v>
      </c>
    </row>
    <row r="1231" spans="1:2" x14ac:dyDescent="0.3">
      <c r="A1231" s="4">
        <v>45679</v>
      </c>
      <c r="B1231" s="5">
        <v>15.1</v>
      </c>
    </row>
    <row r="1232" spans="1:2" x14ac:dyDescent="0.3">
      <c r="A1232" s="4">
        <v>45680</v>
      </c>
      <c r="B1232" s="5">
        <v>15.02</v>
      </c>
    </row>
    <row r="1233" spans="1:2" x14ac:dyDescent="0.3">
      <c r="A1233" s="4">
        <v>45681</v>
      </c>
      <c r="B1233" s="5">
        <v>14.85</v>
      </c>
    </row>
    <row r="1234" spans="1:2" x14ac:dyDescent="0.3">
      <c r="A1234" s="4">
        <v>45684</v>
      </c>
      <c r="B1234" s="5">
        <v>17.899999999999999</v>
      </c>
    </row>
    <row r="1235" spans="1:2" x14ac:dyDescent="0.3">
      <c r="A1235" s="4">
        <v>45693</v>
      </c>
      <c r="B1235" s="5">
        <v>15.77</v>
      </c>
    </row>
    <row r="1236" spans="1:2" x14ac:dyDescent="0.3">
      <c r="A1236" s="4">
        <v>45694</v>
      </c>
      <c r="B1236" s="5">
        <v>15.5</v>
      </c>
    </row>
    <row r="1237" spans="1:2" x14ac:dyDescent="0.3">
      <c r="A1237" s="4">
        <v>45695</v>
      </c>
      <c r="B1237" s="5">
        <v>16.54</v>
      </c>
    </row>
    <row r="1238" spans="1:2" x14ac:dyDescent="0.3">
      <c r="A1238" s="4">
        <v>45698</v>
      </c>
      <c r="B1238" s="5">
        <v>15.81</v>
      </c>
    </row>
    <row r="1239" spans="1:2" x14ac:dyDescent="0.3">
      <c r="A1239" s="4">
        <v>45699</v>
      </c>
      <c r="B1239" s="5">
        <v>16.02</v>
      </c>
    </row>
    <row r="1240" spans="1:2" x14ac:dyDescent="0.3">
      <c r="A1240" s="4">
        <v>45700</v>
      </c>
      <c r="B1240" s="5">
        <v>15.89</v>
      </c>
    </row>
    <row r="1241" spans="1:2" x14ac:dyDescent="0.3">
      <c r="A1241" s="4">
        <v>45701</v>
      </c>
      <c r="B1241" s="5">
        <v>15.1</v>
      </c>
    </row>
    <row r="1242" spans="1:2" x14ac:dyDescent="0.3">
      <c r="A1242" s="4">
        <v>45702</v>
      </c>
      <c r="B1242" s="5">
        <v>14.77</v>
      </c>
    </row>
    <row r="1243" spans="1:2" x14ac:dyDescent="0.3">
      <c r="A1243" s="4">
        <v>45705</v>
      </c>
      <c r="B1243" s="5">
        <v>15.37</v>
      </c>
    </row>
    <row r="1244" spans="1:2" x14ac:dyDescent="0.3">
      <c r="A1244" s="4">
        <v>45706</v>
      </c>
      <c r="B1244" s="5">
        <v>15.35</v>
      </c>
    </row>
    <row r="1245" spans="1:2" x14ac:dyDescent="0.3">
      <c r="A1245" s="4">
        <v>45707</v>
      </c>
      <c r="B1245" s="5">
        <v>15.27</v>
      </c>
    </row>
    <row r="1246" spans="1:2" x14ac:dyDescent="0.3">
      <c r="A1246" s="4">
        <v>45708</v>
      </c>
      <c r="B1246" s="5">
        <v>15.66</v>
      </c>
    </row>
    <row r="1247" spans="1:2" x14ac:dyDescent="0.3">
      <c r="A1247" s="4">
        <v>45709</v>
      </c>
      <c r="B1247" s="5">
        <v>18.21</v>
      </c>
    </row>
    <row r="1248" spans="1:2" x14ac:dyDescent="0.3">
      <c r="A1248" s="4">
        <v>45712</v>
      </c>
      <c r="B1248" s="5">
        <v>18.98</v>
      </c>
    </row>
    <row r="1249" spans="1:2" x14ac:dyDescent="0.3">
      <c r="A1249" s="4">
        <v>45713</v>
      </c>
      <c r="B1249" s="5">
        <v>19.43</v>
      </c>
    </row>
    <row r="1250" spans="1:2" x14ac:dyDescent="0.3">
      <c r="A1250" s="4">
        <v>45714</v>
      </c>
      <c r="B1250" s="5">
        <v>19.100000000000001</v>
      </c>
    </row>
    <row r="1251" spans="1:2" x14ac:dyDescent="0.3">
      <c r="A1251" s="4">
        <v>45715</v>
      </c>
      <c r="B1251" s="5">
        <v>21.13</v>
      </c>
    </row>
    <row r="1252" spans="1:2" x14ac:dyDescent="0.3">
      <c r="A1252" s="4">
        <v>45716</v>
      </c>
      <c r="B1252" s="5">
        <v>19.63</v>
      </c>
    </row>
    <row r="1253" spans="1:2" x14ac:dyDescent="0.3">
      <c r="A1253" s="4">
        <v>45719</v>
      </c>
      <c r="B1253" s="5">
        <v>22.78</v>
      </c>
    </row>
    <row r="1254" spans="1:2" x14ac:dyDescent="0.3">
      <c r="A1254" s="4">
        <v>45720</v>
      </c>
      <c r="B1254" s="5">
        <v>23.51</v>
      </c>
    </row>
    <row r="1255" spans="1:2" x14ac:dyDescent="0.3">
      <c r="A1255" s="4">
        <v>45721</v>
      </c>
      <c r="B1255" s="5">
        <v>21.93</v>
      </c>
    </row>
    <row r="1256" spans="1:2" x14ac:dyDescent="0.3">
      <c r="A1256" s="4">
        <v>45722</v>
      </c>
      <c r="B1256" s="5">
        <v>24.87</v>
      </c>
    </row>
    <row r="1257" spans="1:2" x14ac:dyDescent="0.3">
      <c r="A1257" s="4">
        <v>45723</v>
      </c>
      <c r="B1257" s="5">
        <v>23.37</v>
      </c>
    </row>
    <row r="1258" spans="1:2" x14ac:dyDescent="0.3">
      <c r="A1258" s="4">
        <v>45726</v>
      </c>
      <c r="B1258" s="5">
        <v>27.86</v>
      </c>
    </row>
    <row r="1259" spans="1:2" x14ac:dyDescent="0.3">
      <c r="A1259" s="4">
        <v>45727</v>
      </c>
      <c r="B1259" s="5">
        <v>26.92</v>
      </c>
    </row>
    <row r="1260" spans="1:2" x14ac:dyDescent="0.3">
      <c r="A1260" s="4">
        <v>45728</v>
      </c>
      <c r="B1260" s="5">
        <v>24.23</v>
      </c>
    </row>
    <row r="1261" spans="1:2" x14ac:dyDescent="0.3">
      <c r="A1261" s="4">
        <v>45729</v>
      </c>
      <c r="B1261" s="5">
        <v>24.66</v>
      </c>
    </row>
    <row r="1262" spans="1:2" x14ac:dyDescent="0.3">
      <c r="A1262" s="4">
        <v>45730</v>
      </c>
      <c r="B1262" s="5">
        <v>21.77</v>
      </c>
    </row>
    <row r="1263" spans="1:2" x14ac:dyDescent="0.3">
      <c r="A1263" s="4">
        <v>45733</v>
      </c>
      <c r="B1263" s="5">
        <v>20.51</v>
      </c>
    </row>
    <row r="1264" spans="1:2" x14ac:dyDescent="0.3">
      <c r="A1264" s="4">
        <v>45734</v>
      </c>
      <c r="B1264" s="5">
        <v>21.7</v>
      </c>
    </row>
    <row r="1265" spans="1:2" x14ac:dyDescent="0.3">
      <c r="A1265" s="4">
        <v>45735</v>
      </c>
      <c r="B1265" s="5">
        <v>19.899999999999999</v>
      </c>
    </row>
    <row r="1266" spans="1:2" x14ac:dyDescent="0.3">
      <c r="A1266" s="4">
        <v>45736</v>
      </c>
      <c r="B1266" s="5">
        <v>19.8</v>
      </c>
    </row>
    <row r="1267" spans="1:2" x14ac:dyDescent="0.3">
      <c r="A1267" s="4">
        <v>45737</v>
      </c>
      <c r="B1267" s="5">
        <v>19.28</v>
      </c>
    </row>
    <row r="1268" spans="1:2" x14ac:dyDescent="0.3">
      <c r="A1268" s="4">
        <v>45740</v>
      </c>
      <c r="B1268" s="5">
        <v>17.48</v>
      </c>
    </row>
    <row r="1269" spans="1:2" x14ac:dyDescent="0.3">
      <c r="A1269" s="4">
        <v>45741</v>
      </c>
      <c r="B1269" s="5">
        <v>17.149999999999999</v>
      </c>
    </row>
    <row r="1270" spans="1:2" x14ac:dyDescent="0.3">
      <c r="A1270" s="4">
        <v>45742</v>
      </c>
      <c r="B1270" s="5">
        <v>18.329999999999998</v>
      </c>
    </row>
    <row r="1271" spans="1:2" x14ac:dyDescent="0.3">
      <c r="A1271" s="4">
        <v>45743</v>
      </c>
      <c r="B1271" s="5">
        <v>18.690000000000001</v>
      </c>
    </row>
    <row r="1272" spans="1:2" x14ac:dyDescent="0.3">
      <c r="A1272" s="4">
        <v>45744</v>
      </c>
      <c r="B1272" s="5">
        <v>21.65</v>
      </c>
    </row>
    <row r="1273" spans="1:2" x14ac:dyDescent="0.3">
      <c r="A1273" s="4">
        <v>45747</v>
      </c>
      <c r="B1273" s="5">
        <v>22.28</v>
      </c>
    </row>
    <row r="1274" spans="1:2" x14ac:dyDescent="0.3">
      <c r="A1274" s="4">
        <v>45748</v>
      </c>
      <c r="B1274" s="5">
        <v>21.77</v>
      </c>
    </row>
    <row r="1275" spans="1:2" x14ac:dyDescent="0.3">
      <c r="A1275" s="4">
        <v>45749</v>
      </c>
      <c r="B1275" s="5">
        <v>21.51</v>
      </c>
    </row>
    <row r="1276" spans="1:2" x14ac:dyDescent="0.3">
      <c r="A1276" s="4">
        <v>45750</v>
      </c>
      <c r="B1276" s="5">
        <v>30.02</v>
      </c>
    </row>
    <row r="1277" spans="1:2" x14ac:dyDescent="0.3">
      <c r="A1277" s="4">
        <v>45754</v>
      </c>
      <c r="B1277" s="5">
        <v>46.98</v>
      </c>
    </row>
    <row r="1278" spans="1:2" x14ac:dyDescent="0.3">
      <c r="A1278" s="4">
        <v>45755</v>
      </c>
      <c r="B1278" s="5">
        <v>52.33</v>
      </c>
    </row>
    <row r="1279" spans="1:2" x14ac:dyDescent="0.3">
      <c r="A1279" s="4">
        <v>45756</v>
      </c>
      <c r="B1279" s="5">
        <v>33.619999999999997</v>
      </c>
    </row>
    <row r="1280" spans="1:2" x14ac:dyDescent="0.3">
      <c r="A1280" s="4">
        <v>45757</v>
      </c>
      <c r="B1280" s="5">
        <v>40.72</v>
      </c>
    </row>
    <row r="1281" spans="1:2" x14ac:dyDescent="0.3">
      <c r="A1281" s="4">
        <v>45758</v>
      </c>
      <c r="B1281" s="5">
        <v>37.56</v>
      </c>
    </row>
    <row r="1282" spans="1:2" x14ac:dyDescent="0.3">
      <c r="A1282" s="4">
        <v>45761</v>
      </c>
      <c r="B1282" s="5">
        <v>30.89</v>
      </c>
    </row>
    <row r="1283" spans="1:2" x14ac:dyDescent="0.3">
      <c r="A1283" s="4">
        <v>45762</v>
      </c>
      <c r="B1283" s="5">
        <v>30.12</v>
      </c>
    </row>
    <row r="1284" spans="1:2" x14ac:dyDescent="0.3">
      <c r="A1284" s="4">
        <v>45763</v>
      </c>
      <c r="B1284" s="5">
        <v>32.64</v>
      </c>
    </row>
    <row r="1285" spans="1:2" x14ac:dyDescent="0.3">
      <c r="A1285" s="4">
        <v>45764</v>
      </c>
      <c r="B1285" s="5">
        <v>29.65</v>
      </c>
    </row>
    <row r="1286" spans="1:2" x14ac:dyDescent="0.3">
      <c r="A1286" s="4">
        <v>45765</v>
      </c>
      <c r="B1286" s="5">
        <v>29.65</v>
      </c>
    </row>
    <row r="1287" spans="1:2" x14ac:dyDescent="0.3">
      <c r="A1287" s="4">
        <v>45768</v>
      </c>
      <c r="B1287" s="5">
        <v>33.82</v>
      </c>
    </row>
    <row r="1288" spans="1:2" x14ac:dyDescent="0.3">
      <c r="A1288" s="4">
        <v>45769</v>
      </c>
      <c r="B1288" s="5">
        <v>30.57</v>
      </c>
    </row>
    <row r="1289" spans="1:2" x14ac:dyDescent="0.3">
      <c r="A1289" s="4">
        <v>45770</v>
      </c>
      <c r="B1289" s="5">
        <v>28.45</v>
      </c>
    </row>
    <row r="1290" spans="1:2" x14ac:dyDescent="0.3">
      <c r="A1290" s="4">
        <v>45771</v>
      </c>
      <c r="B1290" s="5">
        <v>26.47</v>
      </c>
    </row>
    <row r="1291" spans="1:2" x14ac:dyDescent="0.3">
      <c r="A1291" s="4">
        <v>45772</v>
      </c>
      <c r="B1291" s="5">
        <v>24.84</v>
      </c>
    </row>
    <row r="1292" spans="1:2" x14ac:dyDescent="0.3">
      <c r="A1292" s="4">
        <v>45775</v>
      </c>
      <c r="B1292" s="5">
        <v>25.15</v>
      </c>
    </row>
    <row r="1293" spans="1:2" x14ac:dyDescent="0.3">
      <c r="A1293" s="4">
        <v>45776</v>
      </c>
      <c r="B1293" s="5">
        <v>24.17</v>
      </c>
    </row>
    <row r="1294" spans="1:2" x14ac:dyDescent="0.3">
      <c r="A1294" s="4">
        <v>45777</v>
      </c>
      <c r="B1294" s="5">
        <v>24.7</v>
      </c>
    </row>
    <row r="1295" spans="1:2" x14ac:dyDescent="0.3">
      <c r="A1295" s="4">
        <v>45783</v>
      </c>
      <c r="B1295" s="5">
        <v>24.76</v>
      </c>
    </row>
    <row r="1296" spans="1:2" x14ac:dyDescent="0.3">
      <c r="A1296" s="4">
        <v>45784</v>
      </c>
      <c r="B1296" s="5">
        <v>23.55</v>
      </c>
    </row>
    <row r="1297" spans="1:2" x14ac:dyDescent="0.3">
      <c r="A1297" s="4">
        <v>45785</v>
      </c>
      <c r="B1297" s="5">
        <v>22.48</v>
      </c>
    </row>
    <row r="1298" spans="1:2" x14ac:dyDescent="0.3">
      <c r="A1298" s="4">
        <v>45786</v>
      </c>
      <c r="B1298" s="5">
        <v>21.9</v>
      </c>
    </row>
    <row r="1299" spans="1:2" x14ac:dyDescent="0.3">
      <c r="A1299" s="4">
        <v>45789</v>
      </c>
      <c r="B1299" s="5">
        <v>18.39</v>
      </c>
    </row>
    <row r="1300" spans="1:2" x14ac:dyDescent="0.3">
      <c r="A1300" s="4">
        <v>45790</v>
      </c>
      <c r="B1300" s="5">
        <v>18.22</v>
      </c>
    </row>
    <row r="1301" spans="1:2" x14ac:dyDescent="0.3">
      <c r="A1301" s="4">
        <v>45791</v>
      </c>
      <c r="B1301" s="5">
        <v>18.62</v>
      </c>
    </row>
    <row r="1302" spans="1:2" x14ac:dyDescent="0.3">
      <c r="A1302" s="4">
        <v>45792</v>
      </c>
      <c r="B1302" s="5">
        <v>17.829999999999998</v>
      </c>
    </row>
    <row r="1303" spans="1:2" x14ac:dyDescent="0.3">
      <c r="A1303" s="4">
        <v>45793</v>
      </c>
      <c r="B1303" s="5">
        <v>17.239999999999998</v>
      </c>
    </row>
    <row r="1304" spans="1:2" x14ac:dyDescent="0.3">
      <c r="A1304" s="4">
        <v>45796</v>
      </c>
      <c r="B1304" s="5">
        <v>18.14</v>
      </c>
    </row>
    <row r="1305" spans="1:2" x14ac:dyDescent="0.3">
      <c r="A1305" s="4">
        <v>45797</v>
      </c>
      <c r="B1305" s="5">
        <v>18.09</v>
      </c>
    </row>
    <row r="1306" spans="1:2" x14ac:dyDescent="0.3">
      <c r="A1306" s="4">
        <v>45798</v>
      </c>
      <c r="B1306" s="5">
        <v>20.87</v>
      </c>
    </row>
    <row r="1307" spans="1:2" x14ac:dyDescent="0.3">
      <c r="A1307" s="4">
        <v>45799</v>
      </c>
      <c r="B1307" s="5">
        <v>20.28</v>
      </c>
    </row>
    <row r="1308" spans="1:2" x14ac:dyDescent="0.3">
      <c r="A1308" s="4">
        <v>45800</v>
      </c>
      <c r="B1308" s="5">
        <v>22.29</v>
      </c>
    </row>
    <row r="1309" spans="1:2" x14ac:dyDescent="0.3">
      <c r="A1309" s="4">
        <v>45803</v>
      </c>
      <c r="B1309" s="5">
        <v>20.57</v>
      </c>
    </row>
    <row r="1310" spans="1:2" x14ac:dyDescent="0.3">
      <c r="A1310" s="4">
        <v>45804</v>
      </c>
      <c r="B1310" s="5">
        <v>18.96</v>
      </c>
    </row>
    <row r="1311" spans="1:2" x14ac:dyDescent="0.3">
      <c r="A1311" s="4">
        <v>45805</v>
      </c>
      <c r="B1311" s="5">
        <v>19.309999999999999</v>
      </c>
    </row>
    <row r="1312" spans="1:2" x14ac:dyDescent="0.3">
      <c r="A1312" s="4">
        <v>45806</v>
      </c>
      <c r="B1312" s="5">
        <v>19.18</v>
      </c>
    </row>
    <row r="1313" spans="1:2" x14ac:dyDescent="0.3">
      <c r="A1313" s="4">
        <v>45807</v>
      </c>
      <c r="B1313" s="5">
        <v>18.57</v>
      </c>
    </row>
    <row r="1314" spans="1:2" x14ac:dyDescent="0.3">
      <c r="A1314" s="4">
        <v>45811</v>
      </c>
      <c r="B1314" s="5">
        <v>17.690000000000001</v>
      </c>
    </row>
    <row r="1315" spans="1:2" x14ac:dyDescent="0.3">
      <c r="A1315" s="4">
        <v>45812</v>
      </c>
      <c r="B1315" s="5">
        <v>17.61</v>
      </c>
    </row>
    <row r="1316" spans="1:2" x14ac:dyDescent="0.3">
      <c r="A1316" s="4">
        <v>45813</v>
      </c>
      <c r="B1316" s="5">
        <v>18.48</v>
      </c>
    </row>
    <row r="1317" spans="1:2" x14ac:dyDescent="0.3">
      <c r="A1317" s="4">
        <v>45814</v>
      </c>
      <c r="B1317" s="5">
        <v>16.77</v>
      </c>
    </row>
    <row r="1318" spans="1:2" x14ac:dyDescent="0.3">
      <c r="A1318" s="4">
        <v>45817</v>
      </c>
      <c r="B1318" s="5">
        <v>17.16</v>
      </c>
    </row>
    <row r="1319" spans="1:2" x14ac:dyDescent="0.3">
      <c r="A1319" s="4">
        <v>45818</v>
      </c>
      <c r="B1319" s="5">
        <v>16.95</v>
      </c>
    </row>
    <row r="1320" spans="1:2" x14ac:dyDescent="0.3">
      <c r="A1320" s="4">
        <v>45819</v>
      </c>
      <c r="B1320" s="5">
        <v>17.260000000000002</v>
      </c>
    </row>
    <row r="1321" spans="1:2" x14ac:dyDescent="0.3">
      <c r="A1321" s="4">
        <v>45820</v>
      </c>
      <c r="B1321" s="5">
        <v>18.02</v>
      </c>
    </row>
    <row r="1322" spans="1:2" x14ac:dyDescent="0.3">
      <c r="A1322" s="4">
        <v>45821</v>
      </c>
      <c r="B1322" s="5">
        <v>20.82</v>
      </c>
    </row>
    <row r="1323" spans="1:2" x14ac:dyDescent="0.3">
      <c r="A1323" s="4">
        <v>45824</v>
      </c>
      <c r="B1323" s="5">
        <v>19.11</v>
      </c>
    </row>
    <row r="1324" spans="1:2" x14ac:dyDescent="0.3">
      <c r="A1324" s="4">
        <v>45825</v>
      </c>
      <c r="B1324" s="5">
        <v>21.6</v>
      </c>
    </row>
    <row r="1325" spans="1:2" x14ac:dyDescent="0.3">
      <c r="A1325" s="4">
        <v>45826</v>
      </c>
      <c r="B1325" s="5">
        <v>20.14</v>
      </c>
    </row>
    <row r="1326" spans="1:2" x14ac:dyDescent="0.3">
      <c r="A1326" s="4">
        <v>45827</v>
      </c>
      <c r="B1326" s="5">
        <v>22.17</v>
      </c>
    </row>
    <row r="1327" spans="1:2" x14ac:dyDescent="0.3">
      <c r="A1327" s="4">
        <v>45828</v>
      </c>
      <c r="B1327" s="5">
        <v>20.62</v>
      </c>
    </row>
    <row r="1328" spans="1:2" x14ac:dyDescent="0.3">
      <c r="A1328" s="4">
        <v>45831</v>
      </c>
      <c r="B1328" s="5">
        <v>19.829999999999998</v>
      </c>
    </row>
    <row r="1329" spans="1:2" x14ac:dyDescent="0.3">
      <c r="A1329" s="4">
        <v>45832</v>
      </c>
      <c r="B1329" s="5">
        <v>17.48</v>
      </c>
    </row>
    <row r="1330" spans="1:2" x14ac:dyDescent="0.3">
      <c r="A1330" s="4">
        <v>45833</v>
      </c>
      <c r="B1330" s="5">
        <v>16.760000000000002</v>
      </c>
    </row>
    <row r="1331" spans="1:2" x14ac:dyDescent="0.3">
      <c r="A1331" s="4">
        <v>45834</v>
      </c>
      <c r="B1331" s="5">
        <v>16.59</v>
      </c>
    </row>
    <row r="1332" spans="1:2" x14ac:dyDescent="0.3">
      <c r="A1332" s="4">
        <v>45835</v>
      </c>
      <c r="B1332" s="5">
        <v>16.32</v>
      </c>
    </row>
    <row r="1333" spans="1:2" x14ac:dyDescent="0.3">
      <c r="A1333" s="4">
        <v>45838</v>
      </c>
      <c r="B1333" s="5">
        <v>16.73</v>
      </c>
    </row>
    <row r="1334" spans="1:2" x14ac:dyDescent="0.3">
      <c r="A1334" s="4">
        <v>45839</v>
      </c>
      <c r="B1334" s="5">
        <v>16.829999999999998</v>
      </c>
    </row>
    <row r="1335" spans="1:2" x14ac:dyDescent="0.3">
      <c r="A1335" s="4">
        <v>45840</v>
      </c>
      <c r="B1335" s="5">
        <v>16.64</v>
      </c>
    </row>
    <row r="1336" spans="1:2" x14ac:dyDescent="0.3">
      <c r="A1336" s="4">
        <v>45841</v>
      </c>
      <c r="B1336" s="5">
        <v>16.38</v>
      </c>
    </row>
    <row r="1337" spans="1:2" x14ac:dyDescent="0.3">
      <c r="A1337" s="4">
        <v>45842</v>
      </c>
      <c r="B1337" s="5">
        <v>16.38</v>
      </c>
    </row>
    <row r="1338" spans="1:2" x14ac:dyDescent="0.3">
      <c r="A1338" s="4">
        <v>45845</v>
      </c>
      <c r="B1338" s="5">
        <v>17.79</v>
      </c>
    </row>
    <row r="1339" spans="1:2" x14ac:dyDescent="0.3">
      <c r="A1339" s="4">
        <v>45846</v>
      </c>
      <c r="B1339" s="5">
        <v>16.809999999999999</v>
      </c>
    </row>
    <row r="1340" spans="1:2" x14ac:dyDescent="0.3">
      <c r="A1340" s="4">
        <v>45847</v>
      </c>
      <c r="B1340" s="5">
        <v>15.94</v>
      </c>
    </row>
    <row r="1341" spans="1:2" x14ac:dyDescent="0.3">
      <c r="A1341" s="4">
        <v>45848</v>
      </c>
      <c r="B1341" s="5">
        <v>15.78</v>
      </c>
    </row>
    <row r="1342" spans="1:2" x14ac:dyDescent="0.3">
      <c r="A1342" s="4">
        <v>45849</v>
      </c>
      <c r="B1342" s="5">
        <v>16.399999999999999</v>
      </c>
    </row>
    <row r="1343" spans="1:2" x14ac:dyDescent="0.3">
      <c r="A1343" s="4">
        <v>45852</v>
      </c>
      <c r="B1343" s="5">
        <v>17.2</v>
      </c>
    </row>
    <row r="1344" spans="1:2" x14ac:dyDescent="0.3">
      <c r="A1344" s="4">
        <v>45853</v>
      </c>
      <c r="B1344" s="5">
        <v>17.38</v>
      </c>
    </row>
    <row r="1345" spans="1:2" x14ac:dyDescent="0.3">
      <c r="A1345" s="4">
        <v>45854</v>
      </c>
      <c r="B1345" s="5">
        <v>17.16</v>
      </c>
    </row>
    <row r="1346" spans="1:2" x14ac:dyDescent="0.3">
      <c r="A1346" s="4">
        <v>45855</v>
      </c>
      <c r="B1346" s="5">
        <v>16.52</v>
      </c>
    </row>
    <row r="1347" spans="1:2" x14ac:dyDescent="0.3">
      <c r="A1347" s="4">
        <v>45856</v>
      </c>
      <c r="B1347" s="5">
        <v>16.41</v>
      </c>
    </row>
    <row r="1348" spans="1:2" x14ac:dyDescent="0.3">
      <c r="A1348" s="4">
        <v>45859</v>
      </c>
      <c r="B1348" s="5">
        <v>16.649999999999999</v>
      </c>
    </row>
    <row r="1349" spans="1:2" x14ac:dyDescent="0.3">
      <c r="A1349" s="4">
        <v>45860</v>
      </c>
      <c r="B1349" s="5">
        <v>16.5</v>
      </c>
    </row>
    <row r="1350" spans="1:2" x14ac:dyDescent="0.3">
      <c r="A1350" s="4">
        <v>45861</v>
      </c>
      <c r="B1350" s="5">
        <v>15.37</v>
      </c>
    </row>
    <row r="1351" spans="1:2" x14ac:dyDescent="0.3">
      <c r="A1351" s="4">
        <v>45862</v>
      </c>
      <c r="B1351" s="5">
        <v>15.39</v>
      </c>
    </row>
    <row r="1352" spans="1:2" x14ac:dyDescent="0.3">
      <c r="A1352" s="4">
        <v>45863</v>
      </c>
      <c r="B1352" s="5">
        <v>14.93</v>
      </c>
    </row>
    <row r="1353" spans="1:2" x14ac:dyDescent="0.3">
      <c r="A1353" s="4">
        <v>45866</v>
      </c>
      <c r="B1353" s="5">
        <v>15.03</v>
      </c>
    </row>
    <row r="1354" spans="1:2" x14ac:dyDescent="0.3">
      <c r="A1354" s="4">
        <v>45867</v>
      </c>
      <c r="B1354" s="5">
        <v>15.98</v>
      </c>
    </row>
    <row r="1355" spans="1:2" x14ac:dyDescent="0.3">
      <c r="A1355" s="4">
        <v>45868</v>
      </c>
      <c r="B1355" s="5">
        <v>15.48</v>
      </c>
    </row>
    <row r="1356" spans="1:2" x14ac:dyDescent="0.3">
      <c r="A1356" s="4">
        <v>45869</v>
      </c>
      <c r="B1356" s="5">
        <v>16.72</v>
      </c>
    </row>
    <row r="1357" spans="1:2" x14ac:dyDescent="0.3">
      <c r="A1357" s="4">
        <v>45870</v>
      </c>
      <c r="B1357" s="5">
        <v>20.38</v>
      </c>
    </row>
    <row r="1358" spans="1:2" x14ac:dyDescent="0.3">
      <c r="A1358" s="4">
        <v>45873</v>
      </c>
      <c r="B1358" s="5">
        <v>17.52</v>
      </c>
    </row>
    <row r="1359" spans="1:2" x14ac:dyDescent="0.3">
      <c r="A1359" s="4">
        <v>45874</v>
      </c>
      <c r="B1359" s="5">
        <v>17.850000000000001</v>
      </c>
    </row>
    <row r="1360" spans="1:2" x14ac:dyDescent="0.3">
      <c r="A1360" s="4">
        <v>45875</v>
      </c>
      <c r="B1360" s="5">
        <v>16.77</v>
      </c>
    </row>
    <row r="1361" spans="1:2" x14ac:dyDescent="0.3">
      <c r="A1361" s="4">
        <v>45876</v>
      </c>
      <c r="B1361" s="5">
        <v>16.57</v>
      </c>
    </row>
    <row r="1362" spans="1:2" x14ac:dyDescent="0.3">
      <c r="A1362" s="4">
        <v>45877</v>
      </c>
      <c r="B1362" s="5">
        <v>15.15</v>
      </c>
    </row>
    <row r="1363" spans="1:2" x14ac:dyDescent="0.3">
      <c r="A1363" s="4">
        <v>45880</v>
      </c>
      <c r="B1363" s="5">
        <v>16.25</v>
      </c>
    </row>
    <row r="1364" spans="1:2" x14ac:dyDescent="0.3">
      <c r="A1364" s="4">
        <v>45881</v>
      </c>
      <c r="B1364" s="5">
        <v>14.73</v>
      </c>
    </row>
    <row r="1365" spans="1:2" x14ac:dyDescent="0.3">
      <c r="A1365" s="4">
        <v>45882</v>
      </c>
      <c r="B1365" s="5">
        <v>14.49</v>
      </c>
    </row>
    <row r="1366" spans="1:2" x14ac:dyDescent="0.3">
      <c r="A1366" s="4">
        <v>45883</v>
      </c>
      <c r="B1366" s="5">
        <v>14.83</v>
      </c>
    </row>
    <row r="1367" spans="1:2" x14ac:dyDescent="0.3">
      <c r="A1367" s="4">
        <v>45884</v>
      </c>
      <c r="B1367" s="5">
        <v>15.09</v>
      </c>
    </row>
    <row r="1368" spans="1:2" x14ac:dyDescent="0.3">
      <c r="A1368" s="4">
        <v>45887</v>
      </c>
      <c r="B1368" s="5">
        <v>14.99</v>
      </c>
    </row>
    <row r="1369" spans="1:2" x14ac:dyDescent="0.3">
      <c r="A1369" s="4">
        <v>45888</v>
      </c>
      <c r="B1369" s="5">
        <v>15.57</v>
      </c>
    </row>
    <row r="1370" spans="1:2" x14ac:dyDescent="0.3">
      <c r="A1370" s="4">
        <v>45889</v>
      </c>
      <c r="B1370" s="5">
        <v>15.69</v>
      </c>
    </row>
    <row r="1371" spans="1:2" x14ac:dyDescent="0.3">
      <c r="A1371" s="4">
        <v>45890</v>
      </c>
      <c r="B1371" s="5">
        <v>16.600000000000001</v>
      </c>
    </row>
    <row r="1372" spans="1:2" x14ac:dyDescent="0.3">
      <c r="A1372" s="4">
        <v>45891</v>
      </c>
      <c r="B1372" s="5">
        <v>14.22</v>
      </c>
    </row>
    <row r="1373" spans="1:2" x14ac:dyDescent="0.3">
      <c r="A1373" s="4">
        <v>45894</v>
      </c>
      <c r="B1373" s="5">
        <v>14.79</v>
      </c>
    </row>
    <row r="1374" spans="1:2" x14ac:dyDescent="0.3">
      <c r="A1374" s="4">
        <v>45895</v>
      </c>
      <c r="B1374" s="5">
        <v>14.62</v>
      </c>
    </row>
    <row r="1375" spans="1:2" x14ac:dyDescent="0.3">
      <c r="A1375" s="4">
        <v>45896</v>
      </c>
      <c r="B1375" s="5">
        <v>14.85</v>
      </c>
    </row>
    <row r="1376" spans="1:2" x14ac:dyDescent="0.3">
      <c r="A1376" s="4">
        <v>45897</v>
      </c>
      <c r="B1376" s="5">
        <v>14.43</v>
      </c>
    </row>
    <row r="1377" spans="1:2" x14ac:dyDescent="0.3">
      <c r="A1377" s="4">
        <v>45898</v>
      </c>
      <c r="B1377" s="5">
        <v>15.36</v>
      </c>
    </row>
    <row r="1378" spans="1:2" x14ac:dyDescent="0.3">
      <c r="A1378" s="4">
        <v>45901</v>
      </c>
      <c r="B1378" s="5">
        <v>16.12</v>
      </c>
    </row>
    <row r="1379" spans="1:2" x14ac:dyDescent="0.3">
      <c r="A1379" s="4">
        <v>45902</v>
      </c>
      <c r="B1379" s="5">
        <v>17.170000000000002</v>
      </c>
    </row>
    <row r="1380" spans="1:2" x14ac:dyDescent="0.3">
      <c r="A1380" s="4">
        <v>45903</v>
      </c>
      <c r="B1380" s="5">
        <v>16.350000000000001</v>
      </c>
    </row>
    <row r="1381" spans="1:2" x14ac:dyDescent="0.3">
      <c r="A1381" s="4">
        <v>45904</v>
      </c>
      <c r="B1381" s="5">
        <v>15.3</v>
      </c>
    </row>
    <row r="1382" spans="1:2" x14ac:dyDescent="0.3">
      <c r="A1382" s="4">
        <v>45905</v>
      </c>
      <c r="B1382" s="5">
        <v>15.18</v>
      </c>
    </row>
    <row r="1383" spans="1:2" x14ac:dyDescent="0.3">
      <c r="A1383" s="4">
        <v>45908</v>
      </c>
      <c r="B1383" s="5">
        <v>15.11</v>
      </c>
    </row>
    <row r="1384" spans="1:2" x14ac:dyDescent="0.3">
      <c r="A1384" s="4">
        <v>45909</v>
      </c>
      <c r="B1384" s="5">
        <v>15.04</v>
      </c>
    </row>
    <row r="1385" spans="1:2" x14ac:dyDescent="0.3">
      <c r="A1385" s="4">
        <v>45910</v>
      </c>
      <c r="B1385" s="5">
        <v>15.35</v>
      </c>
    </row>
    <row r="1386" spans="1:2" x14ac:dyDescent="0.3">
      <c r="A1386" s="4">
        <v>45911</v>
      </c>
      <c r="B1386" s="5">
        <v>14.71</v>
      </c>
    </row>
    <row r="1387" spans="1:2" x14ac:dyDescent="0.3">
      <c r="A1387" s="4">
        <v>45912</v>
      </c>
      <c r="B1387" s="5">
        <v>14.76</v>
      </c>
    </row>
    <row r="1388" spans="1:2" x14ac:dyDescent="0.3">
      <c r="A1388" s="4">
        <v>45915</v>
      </c>
      <c r="B1388" s="5">
        <v>15.69</v>
      </c>
    </row>
    <row r="1389" spans="1:2" x14ac:dyDescent="0.3">
      <c r="A1389" s="4">
        <v>45916</v>
      </c>
      <c r="B1389" s="5">
        <v>16.36</v>
      </c>
    </row>
    <row r="1390" spans="1:2" x14ac:dyDescent="0.3">
      <c r="A1390" s="4">
        <v>45917</v>
      </c>
      <c r="B1390" s="5">
        <v>15.72</v>
      </c>
    </row>
    <row r="1391" spans="1:2" x14ac:dyDescent="0.3">
      <c r="A1391" s="4">
        <v>45918</v>
      </c>
      <c r="B1391" s="5">
        <v>15.7</v>
      </c>
    </row>
    <row r="1392" spans="1:2" x14ac:dyDescent="0.3">
      <c r="A1392" s="4">
        <v>45919</v>
      </c>
      <c r="B1392" s="5">
        <v>15.45</v>
      </c>
    </row>
    <row r="1393" spans="1:2" x14ac:dyDescent="0.3">
      <c r="A1393" s="4">
        <v>45922</v>
      </c>
      <c r="B1393" s="5">
        <v>16.100000000000001</v>
      </c>
    </row>
    <row r="1394" spans="1:2" x14ac:dyDescent="0.3">
      <c r="A1394" s="4">
        <v>45923</v>
      </c>
      <c r="B1394" s="5">
        <v>16.64</v>
      </c>
    </row>
    <row r="1395" spans="1:2" x14ac:dyDescent="0.3">
      <c r="A1395" s="4">
        <v>45924</v>
      </c>
      <c r="B1395" s="5">
        <v>16.18</v>
      </c>
    </row>
    <row r="1396" spans="1:2" x14ac:dyDescent="0.3">
      <c r="A1396" s="4">
        <v>45925</v>
      </c>
      <c r="B1396" s="5">
        <v>16.739999999999998</v>
      </c>
    </row>
    <row r="1397" spans="1:2" x14ac:dyDescent="0.3">
      <c r="A1397" s="4">
        <v>45926</v>
      </c>
      <c r="B1397" s="5">
        <v>15.29</v>
      </c>
    </row>
    <row r="1398" spans="1:2" x14ac:dyDescent="0.3">
      <c r="A1398" s="4">
        <v>45929</v>
      </c>
      <c r="B1398" s="5">
        <v>16.12</v>
      </c>
    </row>
    <row r="1399" spans="1:2" x14ac:dyDescent="0.3">
      <c r="A1399" s="4">
        <v>45930</v>
      </c>
      <c r="B1399" s="5">
        <v>16.28</v>
      </c>
    </row>
    <row r="1400" spans="1:2" x14ac:dyDescent="0.3">
      <c r="A1400" s="4">
        <v>45939</v>
      </c>
      <c r="B1400" s="5">
        <v>16.43</v>
      </c>
    </row>
    <row r="1401" spans="1:2" x14ac:dyDescent="0.3">
      <c r="A1401" s="4">
        <v>45940</v>
      </c>
      <c r="B1401" s="5">
        <v>21.66</v>
      </c>
    </row>
    <row r="1402" spans="1:2" x14ac:dyDescent="0.3">
      <c r="A1402" s="4">
        <v>45943</v>
      </c>
      <c r="B1402" s="5">
        <v>19.03</v>
      </c>
    </row>
    <row r="1403" spans="1:2" x14ac:dyDescent="0.3">
      <c r="A1403" s="4">
        <v>45944</v>
      </c>
      <c r="B1403" s="5">
        <v>20.81</v>
      </c>
    </row>
    <row r="1404" spans="1:2" x14ac:dyDescent="0.3">
      <c r="A1404" s="4">
        <v>45945</v>
      </c>
      <c r="B1404" s="5">
        <v>20.64</v>
      </c>
    </row>
    <row r="1405" spans="1:2" x14ac:dyDescent="0.3">
      <c r="A1405" s="4">
        <v>45946</v>
      </c>
      <c r="B1405" s="5">
        <v>25.31</v>
      </c>
    </row>
    <row r="1406" spans="1:2" x14ac:dyDescent="0.3">
      <c r="A1406" s="4">
        <v>45947</v>
      </c>
      <c r="B1406" s="5">
        <v>20.78</v>
      </c>
    </row>
    <row r="1407" spans="1:2" x14ac:dyDescent="0.3">
      <c r="A1407" s="4">
        <v>45950</v>
      </c>
      <c r="B1407" s="5">
        <v>18.23</v>
      </c>
    </row>
    <row r="1408" spans="1:2" x14ac:dyDescent="0.3">
      <c r="A1408" s="4">
        <v>45951</v>
      </c>
      <c r="B1408" s="5">
        <v>17.87</v>
      </c>
    </row>
    <row r="1409" spans="1:2" x14ac:dyDescent="0.3">
      <c r="A1409" s="4">
        <v>45952</v>
      </c>
      <c r="B1409" s="5">
        <v>18.600000000000001</v>
      </c>
    </row>
    <row r="1410" spans="1:2" x14ac:dyDescent="0.3">
      <c r="A1410" s="4">
        <v>45953</v>
      </c>
      <c r="B1410" s="5">
        <v>17.3</v>
      </c>
    </row>
    <row r="1411" spans="1:2" x14ac:dyDescent="0.3">
      <c r="A1411" s="4">
        <v>45954</v>
      </c>
      <c r="B1411" s="5">
        <v>16.37</v>
      </c>
    </row>
    <row r="1412" spans="1:2" x14ac:dyDescent="0.3">
      <c r="A1412" s="4">
        <v>45957</v>
      </c>
      <c r="B1412" s="5">
        <v>15.79</v>
      </c>
    </row>
    <row r="1413" spans="1:2" x14ac:dyDescent="0.3">
      <c r="A1413" s="4">
        <v>45958</v>
      </c>
      <c r="B1413" s="5">
        <v>16.420000000000002</v>
      </c>
    </row>
    <row r="1414" spans="1:2" x14ac:dyDescent="0.3">
      <c r="A1414" s="4">
        <v>45959</v>
      </c>
      <c r="B1414" s="5">
        <v>16.920000000000002</v>
      </c>
    </row>
    <row r="1415" spans="1:2" x14ac:dyDescent="0.3">
      <c r="A1415" s="4">
        <v>45960</v>
      </c>
      <c r="B1415" s="5">
        <v>16.91</v>
      </c>
    </row>
    <row r="1416" spans="1:2" x14ac:dyDescent="0.3">
      <c r="A1416" s="4">
        <v>45961</v>
      </c>
      <c r="B1416" s="5">
        <v>17.440000000000001</v>
      </c>
    </row>
    <row r="1417" spans="1:2" x14ac:dyDescent="0.3">
      <c r="A1417" s="4">
        <v>45964</v>
      </c>
      <c r="B1417" s="5">
        <v>17.170000000000002</v>
      </c>
    </row>
    <row r="1418" spans="1:2" x14ac:dyDescent="0.3">
      <c r="A1418" s="4">
        <v>45965</v>
      </c>
      <c r="B1418" s="5">
        <v>19</v>
      </c>
    </row>
    <row r="1419" spans="1:2" x14ac:dyDescent="0.3">
      <c r="A1419" s="4">
        <v>45966</v>
      </c>
      <c r="B1419" s="5">
        <v>18.010000000000002</v>
      </c>
    </row>
    <row r="1420" spans="1:2" x14ac:dyDescent="0.3">
      <c r="A1420" s="4">
        <v>45967</v>
      </c>
      <c r="B1420" s="5">
        <v>19.5</v>
      </c>
    </row>
    <row r="1421" spans="1:2" x14ac:dyDescent="0.3">
      <c r="A1421" s="4">
        <v>45968</v>
      </c>
      <c r="B1421" s="5">
        <v>19.079999999999998</v>
      </c>
    </row>
    <row r="1422" spans="1:2" x14ac:dyDescent="0.3">
      <c r="A1422" s="4">
        <v>45971</v>
      </c>
      <c r="B1422" s="5">
        <v>17.600000000000001</v>
      </c>
    </row>
    <row r="1423" spans="1:2" x14ac:dyDescent="0.3">
      <c r="A1423" s="4">
        <v>45972</v>
      </c>
      <c r="B1423" s="5">
        <v>17.28</v>
      </c>
    </row>
    <row r="1424" spans="1:2" x14ac:dyDescent="0.3">
      <c r="A1424" s="4">
        <v>45973</v>
      </c>
      <c r="B1424" s="5">
        <v>17.510000000000002</v>
      </c>
    </row>
    <row r="1425" spans="1:2" x14ac:dyDescent="0.3">
      <c r="A1425" s="4">
        <v>45974</v>
      </c>
      <c r="B1425" s="5">
        <v>20</v>
      </c>
    </row>
    <row r="1426" spans="1:2" x14ac:dyDescent="0.3">
      <c r="A1426" s="4">
        <v>45975</v>
      </c>
      <c r="B1426" s="5">
        <v>19.829999999999998</v>
      </c>
    </row>
    <row r="1427" spans="1:2" x14ac:dyDescent="0.3">
      <c r="A1427" s="4">
        <v>45978</v>
      </c>
      <c r="B1427" s="5">
        <v>22.38</v>
      </c>
    </row>
    <row r="1428" spans="1:2" x14ac:dyDescent="0.3">
      <c r="A1428" s="4">
        <v>45979</v>
      </c>
      <c r="B1428" s="5">
        <v>24.69</v>
      </c>
    </row>
    <row r="1429" spans="1:2" x14ac:dyDescent="0.3">
      <c r="A1429" s="4">
        <v>45980</v>
      </c>
      <c r="B1429" s="5">
        <v>23.66</v>
      </c>
    </row>
    <row r="1430" spans="1:2" x14ac:dyDescent="0.3">
      <c r="A1430" s="4">
        <v>45981</v>
      </c>
      <c r="B1430" s="5">
        <v>26.42</v>
      </c>
    </row>
    <row r="1431" spans="1:2" x14ac:dyDescent="0.3">
      <c r="A1431" s="4">
        <v>45982</v>
      </c>
      <c r="B1431" s="5">
        <v>23.43</v>
      </c>
    </row>
    <row r="1432" spans="1:2" x14ac:dyDescent="0.3">
      <c r="A1432" s="4">
        <v>45985</v>
      </c>
      <c r="B1432" s="5">
        <v>20.52</v>
      </c>
    </row>
    <row r="1433" spans="1:2" x14ac:dyDescent="0.3">
      <c r="A1433" s="4">
        <v>45986</v>
      </c>
      <c r="B1433" s="5">
        <v>18.559999999999999</v>
      </c>
    </row>
    <row r="1434" spans="1:2" x14ac:dyDescent="0.3">
      <c r="A1434" s="4">
        <v>45987</v>
      </c>
      <c r="B1434" s="5">
        <v>17.190000000000001</v>
      </c>
    </row>
    <row r="1435" spans="1:2" x14ac:dyDescent="0.3">
      <c r="A1435" s="4">
        <v>45988</v>
      </c>
      <c r="B1435" s="5">
        <v>17.21</v>
      </c>
    </row>
    <row r="1436" spans="1:2" x14ac:dyDescent="0.3">
      <c r="A1436" s="4">
        <v>45989</v>
      </c>
      <c r="B1436" s="5">
        <v>16.350000000000001</v>
      </c>
    </row>
    <row r="1437" spans="1:2" x14ac:dyDescent="0.3">
      <c r="A1437" s="4">
        <v>45992</v>
      </c>
      <c r="B1437" s="5">
        <v>17.239999999999998</v>
      </c>
    </row>
    <row r="1438" spans="1:2" x14ac:dyDescent="0.3">
      <c r="A1438" s="4">
        <v>45993</v>
      </c>
      <c r="B1438" s="5">
        <v>16.59</v>
      </c>
    </row>
    <row r="1439" spans="1:2" x14ac:dyDescent="0.3">
      <c r="A1439" s="4">
        <v>45994</v>
      </c>
      <c r="B1439" s="5">
        <v>16.079999999999998</v>
      </c>
    </row>
    <row r="1440" spans="1:2" x14ac:dyDescent="0.3">
      <c r="A1440" s="4">
        <v>45995</v>
      </c>
      <c r="B1440" s="5">
        <v>15.78</v>
      </c>
    </row>
    <row r="1441" spans="1:2" x14ac:dyDescent="0.3">
      <c r="A1441" s="4">
        <v>45996</v>
      </c>
      <c r="B1441" s="5">
        <v>15.41</v>
      </c>
    </row>
    <row r="1442" spans="1:2" x14ac:dyDescent="0.3">
      <c r="A1442" s="4">
        <v>45999</v>
      </c>
      <c r="B1442" s="5">
        <v>16.66</v>
      </c>
    </row>
    <row r="1443" spans="1:2" x14ac:dyDescent="0.3">
      <c r="A1443" s="4">
        <v>46000</v>
      </c>
      <c r="B1443" s="5">
        <v>16.93</v>
      </c>
    </row>
    <row r="1444" spans="1:2" x14ac:dyDescent="0.3">
      <c r="A1444" s="4">
        <v>46001</v>
      </c>
      <c r="B1444" s="5">
        <v>15.77</v>
      </c>
    </row>
    <row r="1445" spans="1:2" x14ac:dyDescent="0.3">
      <c r="A1445" s="4">
        <v>46002</v>
      </c>
      <c r="B1445" s="5">
        <v>14.85</v>
      </c>
    </row>
    <row r="1446" spans="1:2" x14ac:dyDescent="0.3">
      <c r="A1446" s="4">
        <v>46003</v>
      </c>
      <c r="B1446" s="5">
        <v>15.74</v>
      </c>
    </row>
    <row r="1447" spans="1:2" x14ac:dyDescent="0.3">
      <c r="A1447" s="4">
        <v>46006</v>
      </c>
      <c r="B1447" s="5">
        <v>16.5</v>
      </c>
    </row>
    <row r="1448" spans="1:2" x14ac:dyDescent="0.3">
      <c r="A1448" s="4">
        <v>46007</v>
      </c>
      <c r="B1448" s="5">
        <v>16.48</v>
      </c>
    </row>
    <row r="1449" spans="1:2" x14ac:dyDescent="0.3">
      <c r="A1449" s="4">
        <v>46008</v>
      </c>
      <c r="B1449" s="5">
        <v>17.62</v>
      </c>
    </row>
    <row r="1450" spans="1:2" x14ac:dyDescent="0.3">
      <c r="A1450" s="4">
        <v>46009</v>
      </c>
      <c r="B1450" s="5">
        <v>16.87</v>
      </c>
    </row>
    <row r="1451" spans="1:2" x14ac:dyDescent="0.3">
      <c r="A1451" s="4">
        <v>46010</v>
      </c>
      <c r="B1451" s="5">
        <v>14.91</v>
      </c>
    </row>
    <row r="1452" spans="1:2" x14ac:dyDescent="0.3">
      <c r="A1452" s="4">
        <v>46013</v>
      </c>
      <c r="B1452" s="5">
        <v>14.08</v>
      </c>
    </row>
    <row r="1453" spans="1:2" x14ac:dyDescent="0.3">
      <c r="A1453" s="4">
        <v>46014</v>
      </c>
      <c r="B1453" s="5">
        <v>14</v>
      </c>
    </row>
    <row r="1454" spans="1:2" x14ac:dyDescent="0.3">
      <c r="A1454" s="4">
        <v>46015</v>
      </c>
      <c r="B1454" s="5">
        <v>13.47</v>
      </c>
    </row>
    <row r="1455" spans="1:2" x14ac:dyDescent="0.3">
      <c r="A1455" s="4">
        <v>46016</v>
      </c>
      <c r="B1455" s="5">
        <v>13.47</v>
      </c>
    </row>
    <row r="1456" spans="1:2" x14ac:dyDescent="0.3">
      <c r="A1456" s="4">
        <v>46017</v>
      </c>
      <c r="B1456" s="5">
        <v>13.6</v>
      </c>
    </row>
    <row r="1457" spans="1:2" x14ac:dyDescent="0.3">
      <c r="A1457" s="4">
        <v>46020</v>
      </c>
      <c r="B1457" s="5">
        <v>14.2</v>
      </c>
    </row>
    <row r="1458" spans="1:2" x14ac:dyDescent="0.3">
      <c r="A1458" s="4">
        <v>46021</v>
      </c>
      <c r="B1458" s="5">
        <v>14.33</v>
      </c>
    </row>
    <row r="1459" spans="1:2" x14ac:dyDescent="0.3">
      <c r="A1459" s="4">
        <v>46022</v>
      </c>
      <c r="B1459" s="5">
        <v>14.95</v>
      </c>
    </row>
    <row r="1460" spans="1:2" x14ac:dyDescent="0.3">
      <c r="A1460" s="4">
        <v>46027</v>
      </c>
      <c r="B1460" s="5">
        <v>14.9</v>
      </c>
    </row>
    <row r="1461" spans="1:2" x14ac:dyDescent="0.3">
      <c r="A1461" s="4">
        <v>46028</v>
      </c>
      <c r="B1461" s="5">
        <v>14.75</v>
      </c>
    </row>
    <row r="1462" spans="1:2" x14ac:dyDescent="0.3">
      <c r="A1462" s="4">
        <v>46029</v>
      </c>
      <c r="B1462" s="5">
        <v>15.38</v>
      </c>
    </row>
    <row r="1463" spans="1:2" x14ac:dyDescent="0.3">
      <c r="A1463" s="4">
        <v>46030</v>
      </c>
      <c r="B1463" s="5">
        <v>15.45</v>
      </c>
    </row>
    <row r="1464" spans="1:2" x14ac:dyDescent="0.3">
      <c r="A1464" s="4">
        <v>46031</v>
      </c>
      <c r="B1464" s="5">
        <v>14.49</v>
      </c>
    </row>
    <row r="1465" spans="1:2" x14ac:dyDescent="0.3">
      <c r="A1465" s="4">
        <v>46034</v>
      </c>
      <c r="B1465" s="5">
        <v>15.12</v>
      </c>
    </row>
    <row r="1466" spans="1:2" x14ac:dyDescent="0.3">
      <c r="A1466" s="4">
        <v>46035</v>
      </c>
      <c r="B1466" s="5">
        <v>15.98</v>
      </c>
    </row>
    <row r="1467" spans="1:2" x14ac:dyDescent="0.3">
      <c r="A1467" s="4">
        <v>46036</v>
      </c>
      <c r="B1467" s="5">
        <v>16.75</v>
      </c>
    </row>
    <row r="1468" spans="1:2" x14ac:dyDescent="0.3">
      <c r="A1468" s="4">
        <v>46037</v>
      </c>
      <c r="B1468" s="5">
        <v>15.84</v>
      </c>
    </row>
    <row r="1469" spans="1:2" x14ac:dyDescent="0.3">
      <c r="A1469" s="4">
        <v>46038</v>
      </c>
      <c r="B1469" s="5">
        <v>15.86</v>
      </c>
    </row>
    <row r="1470" spans="1:2" x14ac:dyDescent="0.3">
      <c r="A1470" s="4">
        <v>46041</v>
      </c>
      <c r="B1470" s="5">
        <v>18.84</v>
      </c>
    </row>
    <row r="1471" spans="1:2" x14ac:dyDescent="0.3">
      <c r="A1471" s="4">
        <v>46042</v>
      </c>
      <c r="B1471" s="5">
        <v>20.09</v>
      </c>
    </row>
    <row r="1472" spans="1:2" x14ac:dyDescent="0.3">
      <c r="A1472" s="4">
        <v>46043</v>
      </c>
      <c r="B1472" s="5">
        <v>16.899999999999999</v>
      </c>
    </row>
    <row r="1473" spans="1:2" x14ac:dyDescent="0.3">
      <c r="A1473" s="4">
        <v>46044</v>
      </c>
      <c r="B1473" s="5">
        <v>15.64</v>
      </c>
    </row>
    <row r="1474" spans="1:2" x14ac:dyDescent="0.3">
      <c r="A1474" s="4">
        <v>46045</v>
      </c>
      <c r="B1474" s="5">
        <v>16.09</v>
      </c>
    </row>
    <row r="1475" spans="1:2" x14ac:dyDescent="0.3">
      <c r="A1475" s="4">
        <v>46048</v>
      </c>
      <c r="B1475" s="5">
        <v>16.149999999999999</v>
      </c>
    </row>
    <row r="1476" spans="1:2" x14ac:dyDescent="0.3">
      <c r="A1476" s="4">
        <v>46049</v>
      </c>
      <c r="B1476" s="5">
        <v>16.350000000000001</v>
      </c>
    </row>
    <row r="1477" spans="1:2" x14ac:dyDescent="0.3">
      <c r="A1477" s="4">
        <v>46050</v>
      </c>
      <c r="B1477" s="5">
        <v>16.350000000000001</v>
      </c>
    </row>
    <row r="1478" spans="1:2" x14ac:dyDescent="0.3">
      <c r="A1478" s="4">
        <v>46051</v>
      </c>
      <c r="B1478" s="5">
        <v>16.88</v>
      </c>
    </row>
    <row r="1479" spans="1:2" x14ac:dyDescent="0.3">
      <c r="A1479" s="4">
        <v>46052</v>
      </c>
      <c r="B1479" s="5">
        <v>17.440000000000001</v>
      </c>
    </row>
    <row r="1480" spans="1:2" x14ac:dyDescent="0.3">
      <c r="A1480" s="4">
        <v>46055</v>
      </c>
      <c r="B1480" s="5">
        <v>16.34</v>
      </c>
    </row>
    <row r="1481" spans="1:2" x14ac:dyDescent="0.3">
      <c r="A1481" s="4">
        <v>46056</v>
      </c>
      <c r="B1481" s="5">
        <v>18</v>
      </c>
    </row>
    <row r="1482" spans="1:2" x14ac:dyDescent="0.3">
      <c r="A1482" s="4">
        <v>46057</v>
      </c>
      <c r="B1482" s="5">
        <v>18.64</v>
      </c>
    </row>
    <row r="1483" spans="1:2" x14ac:dyDescent="0.3">
      <c r="A1483" s="4">
        <v>46058</v>
      </c>
      <c r="B1483" s="5">
        <v>21.77</v>
      </c>
    </row>
    <row r="1484" spans="1:2" x14ac:dyDescent="0.3">
      <c r="A1484" s="4">
        <v>46059</v>
      </c>
      <c r="B1484" s="5">
        <v>17.760000000000002</v>
      </c>
    </row>
    <row r="1485" spans="1:2" x14ac:dyDescent="0.3">
      <c r="A1485" s="4">
        <v>46062</v>
      </c>
      <c r="B1485" s="5">
        <v>17.36</v>
      </c>
    </row>
    <row r="1486" spans="1:2" x14ac:dyDescent="0.3">
      <c r="A1486" s="4">
        <v>46063</v>
      </c>
      <c r="B1486" s="5">
        <v>17.79</v>
      </c>
    </row>
    <row r="1487" spans="1:2" x14ac:dyDescent="0.3">
      <c r="A1487" s="4">
        <v>46064</v>
      </c>
      <c r="B1487" s="5">
        <v>17.649999999999999</v>
      </c>
    </row>
    <row r="1488" spans="1:2" x14ac:dyDescent="0.3">
      <c r="A1488" s="4">
        <v>46065</v>
      </c>
      <c r="B1488" s="5">
        <v>20.82</v>
      </c>
    </row>
    <row r="1489" spans="1:2" x14ac:dyDescent="0.3">
      <c r="A1489" s="4">
        <v>46066</v>
      </c>
      <c r="B1489" s="5">
        <v>20.6</v>
      </c>
    </row>
    <row r="1490" spans="1:2" x14ac:dyDescent="0.3">
      <c r="A1490" s="4">
        <v>46077</v>
      </c>
      <c r="B1490" s="5">
        <v>19.55</v>
      </c>
    </row>
    <row r="1491" spans="1:2" x14ac:dyDescent="0.3">
      <c r="A1491" s="4">
        <v>46078</v>
      </c>
      <c r="B1491" s="5">
        <v>17.93</v>
      </c>
    </row>
    <row r="1492" spans="1:2" x14ac:dyDescent="0.3">
      <c r="A1492" s="4">
        <v>46079</v>
      </c>
      <c r="B1492" s="5">
        <v>18.63</v>
      </c>
    </row>
    <row r="1493" spans="1:2" x14ac:dyDescent="0.3">
      <c r="A1493" s="4">
        <v>46080</v>
      </c>
      <c r="B1493" s="5">
        <v>19.86</v>
      </c>
    </row>
    <row r="1494" spans="1:2" x14ac:dyDescent="0.3">
      <c r="A1494" s="4">
        <v>46083</v>
      </c>
      <c r="B1494" s="5">
        <v>21.44</v>
      </c>
    </row>
    <row r="1495" spans="1:2" x14ac:dyDescent="0.3">
      <c r="A1495" s="4">
        <v>46084</v>
      </c>
      <c r="B1495" s="5">
        <v>23.57</v>
      </c>
    </row>
    <row r="1496" spans="1:2" x14ac:dyDescent="0.3">
      <c r="A1496" s="4">
        <v>46085</v>
      </c>
      <c r="B1496" s="5">
        <v>21.15</v>
      </c>
    </row>
    <row r="1497" spans="1:2" x14ac:dyDescent="0.3">
      <c r="A1497" s="4">
        <v>46086</v>
      </c>
      <c r="B1497" s="5">
        <v>23.75</v>
      </c>
    </row>
    <row r="1498" spans="1:2" x14ac:dyDescent="0.3">
      <c r="A1498" s="4">
        <v>46087</v>
      </c>
      <c r="B1498" s="5">
        <v>29.49</v>
      </c>
    </row>
    <row r="1499" spans="1:2" x14ac:dyDescent="0.3">
      <c r="A1499" s="4">
        <v>46090</v>
      </c>
      <c r="B1499" s="5">
        <v>25.5</v>
      </c>
    </row>
    <row r="1500" spans="1:2" x14ac:dyDescent="0.3">
      <c r="A1500" s="4">
        <v>46091</v>
      </c>
      <c r="B1500" s="5">
        <v>24.93</v>
      </c>
    </row>
    <row r="1501" spans="1:2" x14ac:dyDescent="0.3">
      <c r="A1501" s="4">
        <v>46092</v>
      </c>
      <c r="B1501" s="5">
        <v>24.23</v>
      </c>
    </row>
    <row r="1502" spans="1:2" x14ac:dyDescent="0.3">
      <c r="A1502" s="4">
        <v>46093</v>
      </c>
      <c r="B1502" s="5">
        <v>27.29</v>
      </c>
    </row>
    <row r="1503" spans="1:2" x14ac:dyDescent="0.3">
      <c r="A1503" s="4">
        <v>46094</v>
      </c>
      <c r="B1503" s="5">
        <v>27.19</v>
      </c>
    </row>
    <row r="1504" spans="1:2" x14ac:dyDescent="0.3">
      <c r="A1504" s="4">
        <v>46097</v>
      </c>
      <c r="B1504" s="5">
        <v>23.51</v>
      </c>
    </row>
    <row r="1505" spans="1:2" x14ac:dyDescent="0.3">
      <c r="A1505" s="4">
        <v>46098</v>
      </c>
      <c r="B1505" s="5">
        <v>22.37</v>
      </c>
    </row>
    <row r="1506" spans="1:2" x14ac:dyDescent="0.3">
      <c r="A1506" s="4">
        <v>46099</v>
      </c>
      <c r="B1506" s="5">
        <v>25.09</v>
      </c>
    </row>
    <row r="1507" spans="1:2" x14ac:dyDescent="0.3">
      <c r="A1507" s="4">
        <v>46100</v>
      </c>
      <c r="B1507" s="5">
        <v>24.06</v>
      </c>
    </row>
    <row r="1508" spans="1:2" x14ac:dyDescent="0.3">
      <c r="A1508" s="4">
        <v>46101</v>
      </c>
      <c r="B1508" s="5">
        <v>26.78</v>
      </c>
    </row>
    <row r="1509" spans="1:2" x14ac:dyDescent="0.3">
      <c r="A1509" s="4">
        <v>46104</v>
      </c>
      <c r="B1509" s="5">
        <v>26.15</v>
      </c>
    </row>
    <row r="1510" spans="1:2" x14ac:dyDescent="0.3">
      <c r="A1510" s="4">
        <v>46105</v>
      </c>
      <c r="B1510" s="5">
        <v>26.95</v>
      </c>
    </row>
    <row r="1511" spans="1:2" x14ac:dyDescent="0.3">
      <c r="A1511" s="4">
        <v>46106</v>
      </c>
      <c r="B1511" s="5">
        <v>25.33</v>
      </c>
    </row>
    <row r="1512" spans="1:2" x14ac:dyDescent="0.3">
      <c r="A1512" s="4">
        <v>46107</v>
      </c>
      <c r="B1512" s="5">
        <v>27.44</v>
      </c>
    </row>
    <row r="1513" spans="1:2" x14ac:dyDescent="0.3">
      <c r="A1513" s="4">
        <v>46108</v>
      </c>
      <c r="B1513" s="5">
        <v>31.05</v>
      </c>
    </row>
    <row r="1514" spans="1:2" x14ac:dyDescent="0.3">
      <c r="A1514" s="4">
        <v>46111</v>
      </c>
      <c r="B1514" s="5">
        <v>30.61</v>
      </c>
    </row>
    <row r="1515" spans="1:2" x14ac:dyDescent="0.3">
      <c r="A1515" s="4">
        <v>46112</v>
      </c>
      <c r="B1515" s="5">
        <v>25.25</v>
      </c>
    </row>
    <row r="1516" spans="1:2" x14ac:dyDescent="0.3">
      <c r="A1516" s="4">
        <v>46113</v>
      </c>
      <c r="B1516" s="5">
        <v>24.54</v>
      </c>
    </row>
    <row r="1517" spans="1:2" x14ac:dyDescent="0.3">
      <c r="A1517" s="4">
        <v>46114</v>
      </c>
      <c r="B1517" s="5">
        <v>23.87</v>
      </c>
    </row>
    <row r="1518" spans="1:2" x14ac:dyDescent="0.3">
      <c r="A1518" s="4">
        <v>46115</v>
      </c>
      <c r="B1518" s="5">
        <v>23.87</v>
      </c>
    </row>
    <row r="1519" spans="1:2" x14ac:dyDescent="0.3">
      <c r="A1519" s="4">
        <v>46119</v>
      </c>
      <c r="B1519" s="5">
        <v>25.78</v>
      </c>
    </row>
    <row r="1520" spans="1:2" x14ac:dyDescent="0.3">
      <c r="A1520" s="4">
        <v>46120</v>
      </c>
      <c r="B1520" s="5">
        <v>21.04</v>
      </c>
    </row>
    <row r="1521" spans="1:2" x14ac:dyDescent="0.3">
      <c r="A1521" s="4">
        <v>46121</v>
      </c>
      <c r="B1521" s="5">
        <v>19.489999999999998</v>
      </c>
    </row>
    <row r="1522" spans="1:2" x14ac:dyDescent="0.3">
      <c r="A1522" s="4">
        <v>46122</v>
      </c>
      <c r="B1522" s="5">
        <v>19.23</v>
      </c>
    </row>
    <row r="1523" spans="1:2" x14ac:dyDescent="0.3">
      <c r="A1523" s="4">
        <v>46125</v>
      </c>
      <c r="B1523" s="5">
        <v>19.12</v>
      </c>
    </row>
    <row r="1524" spans="1:2" x14ac:dyDescent="0.3">
      <c r="A1524" s="4">
        <v>46126</v>
      </c>
      <c r="B1524" s="5">
        <v>18.36</v>
      </c>
    </row>
    <row r="1525" spans="1:2" x14ac:dyDescent="0.3">
      <c r="A1525" s="4">
        <v>46127</v>
      </c>
      <c r="B1525" s="5">
        <v>18.170000000000002</v>
      </c>
    </row>
    <row r="1526" spans="1:2" x14ac:dyDescent="0.3">
      <c r="A1526" s="4">
        <v>46128</v>
      </c>
      <c r="B1526" s="5">
        <v>17.940000000000001</v>
      </c>
    </row>
    <row r="1527" spans="1:2" x14ac:dyDescent="0.3">
      <c r="A1527" s="4">
        <v>46129</v>
      </c>
      <c r="B1527" s="5">
        <v>17.48</v>
      </c>
    </row>
    <row r="1528" spans="1:2" x14ac:dyDescent="0.3">
      <c r="A1528" s="4">
        <v>46132</v>
      </c>
      <c r="B1528" s="5">
        <v>18.87</v>
      </c>
    </row>
    <row r="1529" spans="1:2" x14ac:dyDescent="0.3">
      <c r="A1529" s="4">
        <v>46133</v>
      </c>
      <c r="B1529" s="5">
        <v>19.5</v>
      </c>
    </row>
    <row r="1530" spans="1:2" x14ac:dyDescent="0.3">
      <c r="A1530" s="4">
        <v>46134</v>
      </c>
      <c r="B1530" s="5">
        <v>18.920000000000002</v>
      </c>
    </row>
    <row r="1531" spans="1:2" x14ac:dyDescent="0.3">
      <c r="A1531" s="4">
        <v>46135</v>
      </c>
      <c r="B1531" s="5">
        <v>19.309999999999999</v>
      </c>
    </row>
    <row r="1532" spans="1:2" x14ac:dyDescent="0.3">
      <c r="A1532" s="4">
        <v>46136</v>
      </c>
      <c r="B1532" s="5">
        <v>18.71</v>
      </c>
    </row>
    <row r="1533" spans="1:2" x14ac:dyDescent="0.3">
      <c r="A1533" s="4">
        <v>46139</v>
      </c>
      <c r="B1533" s="5">
        <v>18.02</v>
      </c>
    </row>
    <row r="1534" spans="1:2" x14ac:dyDescent="0.3">
      <c r="A1534" s="4">
        <v>46140</v>
      </c>
      <c r="B1534" s="5">
        <v>17.829999999999998</v>
      </c>
    </row>
    <row r="1535" spans="1:2" x14ac:dyDescent="0.3">
      <c r="A1535" s="4">
        <v>46141</v>
      </c>
      <c r="B1535" s="5">
        <v>18.809999999999999</v>
      </c>
    </row>
    <row r="1536" spans="1:2" x14ac:dyDescent="0.3">
      <c r="A1536" s="4">
        <v>46142</v>
      </c>
      <c r="B1536" s="5">
        <v>16.89</v>
      </c>
    </row>
    <row r="1537" spans="1:2" x14ac:dyDescent="0.3">
      <c r="A1537" s="4">
        <v>46148</v>
      </c>
      <c r="B1537" s="5">
        <v>17.39</v>
      </c>
    </row>
    <row r="1538" spans="1:2" x14ac:dyDescent="0.3">
      <c r="A1538" s="4">
        <v>46149</v>
      </c>
      <c r="B1538" s="5">
        <v>17.079999999999998</v>
      </c>
    </row>
    <row r="1539" spans="1:2" x14ac:dyDescent="0.3">
      <c r="A1539" s="4">
        <v>46150</v>
      </c>
      <c r="B1539" s="5">
        <v>17.190000000000001</v>
      </c>
    </row>
    <row r="1540" spans="1:2" x14ac:dyDescent="0.3">
      <c r="A1540" s="4">
        <v>46153</v>
      </c>
      <c r="B1540" s="5">
        <v>18.38</v>
      </c>
    </row>
    <row r="1541" spans="1:2" x14ac:dyDescent="0.3">
      <c r="A1541" s="4">
        <v>46154</v>
      </c>
      <c r="B1541" s="5">
        <v>17.989999999999998</v>
      </c>
    </row>
    <row r="1542" spans="1:2" x14ac:dyDescent="0.3">
      <c r="A1542" s="4">
        <v>46155</v>
      </c>
      <c r="B1542" s="5">
        <v>17.989999999999998</v>
      </c>
    </row>
  </sheetData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F72"/>
  <sheetViews>
    <sheetView workbookViewId="0">
      <selection activeCell="A7" sqref="A7:B10"/>
    </sheetView>
  </sheetViews>
  <sheetFormatPr defaultColWidth="9" defaultRowHeight="13.5" x14ac:dyDescent="0.3"/>
  <cols>
    <col min="1" max="1" width="11.1328125" bestFit="1" customWidth="1"/>
    <col min="2" max="2" width="22.59765625" customWidth="1"/>
    <col min="3" max="3" width="18.59765625" customWidth="1"/>
    <col min="4" max="4" width="20.59765625" customWidth="1"/>
    <col min="5" max="5" width="19.46484375" customWidth="1"/>
    <col min="6" max="6" width="18.59765625" customWidth="1"/>
  </cols>
  <sheetData>
    <row r="1" spans="1:6" x14ac:dyDescent="0.3">
      <c r="A1" t="s">
        <v>28</v>
      </c>
      <c r="B1" s="17" t="s">
        <v>95</v>
      </c>
    </row>
    <row r="2" spans="1:6" x14ac:dyDescent="0.3">
      <c r="A2" t="s">
        <v>0</v>
      </c>
      <c r="B2" s="41" t="s">
        <v>96</v>
      </c>
    </row>
    <row r="3" spans="1:6" x14ac:dyDescent="0.3">
      <c r="A3" t="s">
        <v>34</v>
      </c>
      <c r="B3" s="42"/>
    </row>
    <row r="4" spans="1:6" x14ac:dyDescent="0.3">
      <c r="A4" t="s">
        <v>35</v>
      </c>
      <c r="B4" s="18" t="s">
        <v>36</v>
      </c>
    </row>
    <row r="5" spans="1:6" x14ac:dyDescent="0.3">
      <c r="A5" t="s">
        <v>97</v>
      </c>
      <c r="B5" s="18" t="s">
        <v>98</v>
      </c>
    </row>
    <row r="6" spans="1:6" x14ac:dyDescent="0.3">
      <c r="A6" t="s">
        <v>99</v>
      </c>
      <c r="B6" s="18" t="s">
        <v>100</v>
      </c>
    </row>
    <row r="7" spans="1:6" x14ac:dyDescent="0.3">
      <c r="A7" t="s">
        <v>62</v>
      </c>
      <c r="B7" s="18" t="s">
        <v>101</v>
      </c>
      <c r="C7" s="17" t="s">
        <v>102</v>
      </c>
      <c r="D7" s="17" t="s">
        <v>103</v>
      </c>
      <c r="E7" s="17"/>
      <c r="F7" s="17"/>
    </row>
    <row r="8" spans="1:6" x14ac:dyDescent="0.3">
      <c r="A8" t="s">
        <v>66</v>
      </c>
      <c r="B8" s="18" t="s">
        <v>104</v>
      </c>
      <c r="C8" s="17" t="s">
        <v>105</v>
      </c>
      <c r="D8" s="17" t="s">
        <v>106</v>
      </c>
      <c r="E8" s="17"/>
      <c r="F8" s="17" t="s">
        <v>107</v>
      </c>
    </row>
    <row r="9" spans="1:6" x14ac:dyDescent="0.3">
      <c r="A9" s="4">
        <f>[1]!wset("marketcashflow","startdate="&amp;B2,"enddate="&amp;B3,"frequency="&amp;B4,"sector="&amp;B5,"securitytype="&amp;B6,"field=date,largeBillInflowMoney,middleBillInflowMoney,smallBillInflowMoney","cols=4;rows=53")</f>
        <v>46154</v>
      </c>
      <c r="B9" s="19">
        <v>-743066.44819999975</v>
      </c>
      <c r="C9" s="19">
        <v>478358.21590000048</v>
      </c>
      <c r="D9" s="19">
        <v>1465982.0674000003</v>
      </c>
      <c r="E9" s="17"/>
      <c r="F9" s="17">
        <f>SUM(B9:D9)/10000</f>
        <v>120.1273835100001</v>
      </c>
    </row>
    <row r="10" spans="1:6" x14ac:dyDescent="0.3">
      <c r="A10" s="4">
        <v>46153</v>
      </c>
      <c r="B10" s="19">
        <v>295502.79570000002</v>
      </c>
      <c r="C10" s="19">
        <v>-316139.8247</v>
      </c>
      <c r="D10" s="19">
        <v>171405.04859999975</v>
      </c>
      <c r="F10">
        <f t="shared" ref="F10:F72" si="0">SUM(B10:D10)/10000</f>
        <v>15.076801959999976</v>
      </c>
    </row>
    <row r="11" spans="1:6" x14ac:dyDescent="0.3">
      <c r="A11" s="4">
        <v>46150</v>
      </c>
      <c r="B11" s="19">
        <v>-276112.3955999997</v>
      </c>
      <c r="C11" s="19">
        <v>397770.20529999997</v>
      </c>
      <c r="D11" s="19">
        <v>423289.7703999998</v>
      </c>
      <c r="F11">
        <f t="shared" si="0"/>
        <v>54.494758010000012</v>
      </c>
    </row>
    <row r="12" spans="1:6" x14ac:dyDescent="0.3">
      <c r="A12" s="4">
        <v>46149</v>
      </c>
      <c r="B12" s="19">
        <v>-57926.571500000027</v>
      </c>
      <c r="C12" s="19">
        <v>-56198.238600000259</v>
      </c>
      <c r="D12" s="19">
        <v>332748.05330000049</v>
      </c>
      <c r="F12">
        <f t="shared" si="0"/>
        <v>21.86232432000002</v>
      </c>
    </row>
    <row r="13" spans="1:6" x14ac:dyDescent="0.3">
      <c r="A13" s="4">
        <v>46148</v>
      </c>
      <c r="B13" s="19">
        <v>-299925.04740000051</v>
      </c>
      <c r="C13" s="19">
        <v>56561.650199999895</v>
      </c>
      <c r="D13" s="19">
        <v>-194880.82009999995</v>
      </c>
      <c r="F13">
        <f t="shared" si="0"/>
        <v>-43.824421730000061</v>
      </c>
    </row>
    <row r="14" spans="1:6" x14ac:dyDescent="0.3">
      <c r="A14" s="4">
        <v>46142</v>
      </c>
      <c r="B14" s="19">
        <v>-621114.58830000029</v>
      </c>
      <c r="C14" s="19">
        <v>405531.94640000007</v>
      </c>
      <c r="D14" s="19">
        <v>841234.01749999914</v>
      </c>
      <c r="F14">
        <f t="shared" si="0"/>
        <v>62.565137559999897</v>
      </c>
    </row>
    <row r="15" spans="1:6" x14ac:dyDescent="0.3">
      <c r="A15" s="4">
        <v>46141</v>
      </c>
      <c r="B15" s="19">
        <v>-112896.50489999997</v>
      </c>
      <c r="C15" s="19">
        <v>-833538.54160000046</v>
      </c>
      <c r="D15" s="19">
        <v>-210880.88079999981</v>
      </c>
      <c r="F15">
        <f t="shared" si="0"/>
        <v>-115.73159273</v>
      </c>
    </row>
    <row r="16" spans="1:6" x14ac:dyDescent="0.3">
      <c r="A16" s="4">
        <v>46140</v>
      </c>
      <c r="B16" s="19">
        <v>-696326.20410000044</v>
      </c>
      <c r="C16" s="19">
        <v>747065.81029999966</v>
      </c>
      <c r="D16" s="19">
        <v>847871.64959999966</v>
      </c>
      <c r="F16">
        <f t="shared" si="0"/>
        <v>89.861125579999893</v>
      </c>
    </row>
    <row r="17" spans="1:6" x14ac:dyDescent="0.3">
      <c r="A17" s="4">
        <v>46139</v>
      </c>
      <c r="B17" s="19">
        <v>72355.218400000012</v>
      </c>
      <c r="C17" s="19">
        <v>243140.89610000019</v>
      </c>
      <c r="D17" s="19">
        <v>-243040.73530000009</v>
      </c>
      <c r="F17">
        <f t="shared" si="0"/>
        <v>7.245537920000011</v>
      </c>
    </row>
    <row r="18" spans="1:6" x14ac:dyDescent="0.3">
      <c r="A18" s="4">
        <v>46136</v>
      </c>
      <c r="B18" s="19">
        <v>-97157.406299999624</v>
      </c>
      <c r="C18" s="19">
        <v>548387.46819999977</v>
      </c>
      <c r="D18" s="19">
        <v>645564.37960000045</v>
      </c>
      <c r="F18">
        <f t="shared" si="0"/>
        <v>109.67944415000007</v>
      </c>
    </row>
    <row r="19" spans="1:6" x14ac:dyDescent="0.3">
      <c r="A19" s="4">
        <v>46135</v>
      </c>
      <c r="B19" s="19">
        <v>-351046.98569999973</v>
      </c>
      <c r="C19" s="19">
        <v>725954.19619999989</v>
      </c>
      <c r="D19" s="19">
        <v>1396909.2661000008</v>
      </c>
      <c r="F19">
        <f t="shared" si="0"/>
        <v>177.18164766000012</v>
      </c>
    </row>
    <row r="20" spans="1:6" x14ac:dyDescent="0.3">
      <c r="A20" s="4">
        <v>46134</v>
      </c>
      <c r="B20" s="19">
        <v>-122369.00939999995</v>
      </c>
      <c r="C20" s="19">
        <v>-252897.6798000001</v>
      </c>
      <c r="D20" s="19">
        <v>-48100.643099999921</v>
      </c>
      <c r="F20">
        <f t="shared" si="0"/>
        <v>-42.336733229999993</v>
      </c>
    </row>
    <row r="21" spans="1:6" x14ac:dyDescent="0.3">
      <c r="A21" s="4">
        <v>46133</v>
      </c>
      <c r="B21" s="19">
        <v>-262045.84300000011</v>
      </c>
      <c r="C21" s="19">
        <v>266443.09410000005</v>
      </c>
      <c r="D21" s="19">
        <v>601437.70940000005</v>
      </c>
      <c r="F21">
        <f t="shared" si="0"/>
        <v>60.583496050000008</v>
      </c>
    </row>
    <row r="22" spans="1:6" x14ac:dyDescent="0.3">
      <c r="A22" s="4">
        <v>46132</v>
      </c>
      <c r="B22" s="19">
        <v>-422820.02079999959</v>
      </c>
      <c r="C22" s="19">
        <v>206566.16680000006</v>
      </c>
      <c r="D22" s="19">
        <v>6198.8891000000949</v>
      </c>
      <c r="F22">
        <f t="shared" si="0"/>
        <v>-21.005496489999945</v>
      </c>
    </row>
    <row r="23" spans="1:6" x14ac:dyDescent="0.3">
      <c r="A23" s="4">
        <v>46129</v>
      </c>
      <c r="B23" s="19">
        <v>-457407.8858999993</v>
      </c>
      <c r="C23" s="19">
        <v>531581.53780000051</v>
      </c>
      <c r="D23" s="19">
        <v>784755.26670000039</v>
      </c>
      <c r="F23">
        <f t="shared" si="0"/>
        <v>85.892891860000162</v>
      </c>
    </row>
    <row r="24" spans="1:6" x14ac:dyDescent="0.3">
      <c r="A24" s="4">
        <v>46128</v>
      </c>
      <c r="B24" s="19">
        <v>217190.30959999975</v>
      </c>
      <c r="C24" s="19">
        <v>-660393.94820000022</v>
      </c>
      <c r="D24" s="19">
        <v>-215435.61519999994</v>
      </c>
      <c r="F24">
        <f t="shared" si="0"/>
        <v>-65.86392538000004</v>
      </c>
    </row>
    <row r="25" spans="1:6" x14ac:dyDescent="0.3">
      <c r="A25" s="4">
        <v>46127</v>
      </c>
      <c r="B25" s="19">
        <v>-604616.17379999976</v>
      </c>
      <c r="C25" s="19">
        <v>710194.09929999942</v>
      </c>
      <c r="D25" s="19">
        <v>1183626.0902000002</v>
      </c>
      <c r="F25">
        <f t="shared" si="0"/>
        <v>128.92040157</v>
      </c>
    </row>
    <row r="26" spans="1:6" x14ac:dyDescent="0.3">
      <c r="A26" s="4">
        <v>46126</v>
      </c>
      <c r="B26" s="19">
        <v>-174285.88519999996</v>
      </c>
      <c r="C26" s="19">
        <v>105816.30199999992</v>
      </c>
      <c r="D26" s="19">
        <v>10919.88589999999</v>
      </c>
      <c r="F26">
        <f t="shared" si="0"/>
        <v>-5.7549697300000044</v>
      </c>
    </row>
    <row r="27" spans="1:6" x14ac:dyDescent="0.3">
      <c r="A27" s="4">
        <v>46125</v>
      </c>
      <c r="B27" s="19">
        <v>-92617.694200000187</v>
      </c>
      <c r="C27" s="19">
        <v>26909.191999999901</v>
      </c>
      <c r="D27" s="19">
        <v>245177.39860000025</v>
      </c>
      <c r="F27">
        <f t="shared" si="0"/>
        <v>17.946889639999998</v>
      </c>
    </row>
    <row r="28" spans="1:6" x14ac:dyDescent="0.3">
      <c r="A28" s="4">
        <v>46122</v>
      </c>
      <c r="B28" s="19">
        <v>20363.38030000019</v>
      </c>
      <c r="C28" s="19">
        <v>-829956.73049999995</v>
      </c>
      <c r="D28" s="19">
        <v>-619782.36339999933</v>
      </c>
      <c r="F28">
        <f t="shared" si="0"/>
        <v>-142.93757135999991</v>
      </c>
    </row>
    <row r="29" spans="1:6" x14ac:dyDescent="0.3">
      <c r="A29" s="4">
        <v>46121</v>
      </c>
      <c r="B29" s="19">
        <v>-457616.01530000014</v>
      </c>
      <c r="C29" s="19">
        <v>368751.72380000004</v>
      </c>
      <c r="D29" s="19">
        <v>475816.70570000017</v>
      </c>
      <c r="F29">
        <f t="shared" si="0"/>
        <v>38.695241420000009</v>
      </c>
    </row>
    <row r="30" spans="1:6" x14ac:dyDescent="0.3">
      <c r="A30" s="4">
        <v>46120</v>
      </c>
      <c r="B30" s="19">
        <v>348806.02830000001</v>
      </c>
      <c r="C30" s="19">
        <v>-1199629.6384000001</v>
      </c>
      <c r="D30" s="19">
        <v>-940150.34480000124</v>
      </c>
      <c r="F30">
        <f t="shared" si="0"/>
        <v>-179.09739549000011</v>
      </c>
    </row>
    <row r="31" spans="1:6" x14ac:dyDescent="0.3">
      <c r="A31" s="4">
        <v>46119</v>
      </c>
      <c r="B31" s="19">
        <v>-239645.73340000008</v>
      </c>
      <c r="C31" s="19">
        <v>74479.123900000312</v>
      </c>
      <c r="D31" s="19">
        <v>520008.04779999959</v>
      </c>
      <c r="F31">
        <f t="shared" si="0"/>
        <v>35.484143829999979</v>
      </c>
    </row>
    <row r="32" spans="1:6" x14ac:dyDescent="0.3">
      <c r="A32" s="4">
        <v>46115</v>
      </c>
      <c r="B32" s="19">
        <v>-240760.68880000009</v>
      </c>
      <c r="C32" s="19">
        <v>-186561.75819999998</v>
      </c>
      <c r="D32" s="19">
        <v>562108.96559999976</v>
      </c>
      <c r="F32">
        <f t="shared" si="0"/>
        <v>13.478651859999973</v>
      </c>
    </row>
    <row r="33" spans="1:6" x14ac:dyDescent="0.3">
      <c r="A33" s="4">
        <v>46114</v>
      </c>
      <c r="B33" s="19">
        <v>-571485.19769999967</v>
      </c>
      <c r="C33" s="19">
        <v>694641.41649999982</v>
      </c>
      <c r="D33" s="19">
        <v>804408.6181000002</v>
      </c>
      <c r="F33">
        <f t="shared" si="0"/>
        <v>92.756483690000039</v>
      </c>
    </row>
    <row r="34" spans="1:6" x14ac:dyDescent="0.3">
      <c r="A34" s="4">
        <v>46113</v>
      </c>
      <c r="B34" s="19">
        <v>-7985.2968000001674</v>
      </c>
      <c r="C34" s="19">
        <v>-304485.41059999977</v>
      </c>
      <c r="D34" s="19">
        <v>-38196.117000000064</v>
      </c>
      <c r="F34">
        <f t="shared" si="0"/>
        <v>-35.066682440000001</v>
      </c>
    </row>
    <row r="35" spans="1:6" x14ac:dyDescent="0.3">
      <c r="A35" s="4">
        <v>46112</v>
      </c>
      <c r="B35" s="19">
        <v>-443219.58540000021</v>
      </c>
      <c r="C35" s="19">
        <v>646053.39469999983</v>
      </c>
      <c r="D35" s="19">
        <v>869332.62130000035</v>
      </c>
      <c r="F35">
        <f t="shared" si="0"/>
        <v>107.21664306000001</v>
      </c>
    </row>
    <row r="36" spans="1:6" x14ac:dyDescent="0.3">
      <c r="A36" s="4">
        <v>46111</v>
      </c>
      <c r="B36" s="19">
        <v>-546030.61150000012</v>
      </c>
      <c r="C36" s="19">
        <v>539348.9203</v>
      </c>
      <c r="D36" s="19">
        <v>873164.27409999969</v>
      </c>
      <c r="F36">
        <f t="shared" si="0"/>
        <v>86.648258289999958</v>
      </c>
    </row>
    <row r="37" spans="1:6" x14ac:dyDescent="0.3">
      <c r="A37" s="4">
        <v>46108</v>
      </c>
      <c r="B37" s="19">
        <v>-78935.747799999939</v>
      </c>
      <c r="C37" s="19">
        <v>13541.314899999932</v>
      </c>
      <c r="D37" s="19">
        <v>-114115.52400000008</v>
      </c>
      <c r="F37">
        <f t="shared" si="0"/>
        <v>-17.950995690000006</v>
      </c>
    </row>
    <row r="38" spans="1:6" x14ac:dyDescent="0.3">
      <c r="A38" s="4">
        <v>46107</v>
      </c>
      <c r="B38" s="19">
        <v>-689844.56949999975</v>
      </c>
      <c r="C38" s="19">
        <v>636261.67960000015</v>
      </c>
      <c r="D38" s="19">
        <v>1075683.3366000003</v>
      </c>
      <c r="F38">
        <f t="shared" si="0"/>
        <v>102.21004467000007</v>
      </c>
    </row>
    <row r="39" spans="1:6" x14ac:dyDescent="0.3">
      <c r="A39" s="4">
        <v>46106</v>
      </c>
      <c r="B39" s="19">
        <v>80515.953099999941</v>
      </c>
      <c r="C39" s="19">
        <v>-637818.54060000007</v>
      </c>
      <c r="D39" s="19">
        <v>-180163.48239999992</v>
      </c>
      <c r="F39">
        <f t="shared" si="0"/>
        <v>-73.746606990000004</v>
      </c>
    </row>
    <row r="40" spans="1:6" x14ac:dyDescent="0.3">
      <c r="A40" s="4">
        <v>46105</v>
      </c>
      <c r="B40" s="19">
        <v>-135964.31049999996</v>
      </c>
      <c r="C40" s="19">
        <v>-22313.394400000048</v>
      </c>
      <c r="D40" s="19">
        <v>221438.12070000017</v>
      </c>
      <c r="F40">
        <f t="shared" si="0"/>
        <v>6.3160415800000163</v>
      </c>
    </row>
    <row r="41" spans="1:6" x14ac:dyDescent="0.3">
      <c r="A41" s="4">
        <v>46104</v>
      </c>
      <c r="B41" s="19">
        <v>-941687.52200000139</v>
      </c>
      <c r="C41" s="19">
        <v>728063.53000000026</v>
      </c>
      <c r="D41" s="19">
        <v>1644407.5891999996</v>
      </c>
      <c r="F41">
        <f t="shared" si="0"/>
        <v>143.07835971999984</v>
      </c>
    </row>
    <row r="42" spans="1:6" x14ac:dyDescent="0.3">
      <c r="A42" s="4">
        <v>46101</v>
      </c>
      <c r="B42" s="19">
        <v>-487350.72209999996</v>
      </c>
      <c r="C42" s="19">
        <v>-610088.22130000009</v>
      </c>
      <c r="D42" s="19">
        <v>696910.47960000054</v>
      </c>
      <c r="F42">
        <f t="shared" si="0"/>
        <v>-40.052846379999941</v>
      </c>
    </row>
    <row r="43" spans="1:6" x14ac:dyDescent="0.3">
      <c r="A43" s="4">
        <v>46100</v>
      </c>
      <c r="B43" s="19">
        <v>-656551.03939999966</v>
      </c>
      <c r="C43" s="19">
        <v>417351.30320000037</v>
      </c>
      <c r="D43" s="19">
        <v>1259145.0965999998</v>
      </c>
      <c r="F43">
        <f t="shared" si="0"/>
        <v>101.99453604000006</v>
      </c>
    </row>
    <row r="44" spans="1:6" x14ac:dyDescent="0.3">
      <c r="A44" s="4">
        <v>46099</v>
      </c>
      <c r="B44" s="19">
        <v>-157656.98309999978</v>
      </c>
      <c r="C44" s="19">
        <v>-673788.80020000029</v>
      </c>
      <c r="D44" s="19">
        <v>298267.46309999982</v>
      </c>
      <c r="F44">
        <f t="shared" si="0"/>
        <v>-53.317832020000019</v>
      </c>
    </row>
    <row r="45" spans="1:6" x14ac:dyDescent="0.3">
      <c r="A45" s="4">
        <v>46098</v>
      </c>
      <c r="B45" s="19">
        <v>-215583.00870000012</v>
      </c>
      <c r="C45" s="19">
        <v>362700.40830000018</v>
      </c>
      <c r="D45" s="19">
        <v>1057953.7819000001</v>
      </c>
      <c r="F45">
        <f t="shared" si="0"/>
        <v>120.50711815000003</v>
      </c>
    </row>
    <row r="46" spans="1:6" x14ac:dyDescent="0.3">
      <c r="A46" s="4">
        <v>46097</v>
      </c>
      <c r="B46" s="19">
        <v>-202469.01020000016</v>
      </c>
      <c r="C46" s="19">
        <v>-510653.75990000006</v>
      </c>
      <c r="D46" s="19">
        <v>553271.51120000007</v>
      </c>
      <c r="F46">
        <f t="shared" si="0"/>
        <v>-15.985125890000013</v>
      </c>
    </row>
    <row r="47" spans="1:6" x14ac:dyDescent="0.3">
      <c r="A47" s="4">
        <v>46094</v>
      </c>
      <c r="B47" s="19">
        <v>-292006.62159999966</v>
      </c>
      <c r="C47" s="19">
        <v>-20182.504099999918</v>
      </c>
      <c r="D47" s="19">
        <v>569018.49759999965</v>
      </c>
      <c r="F47">
        <f t="shared" si="0"/>
        <v>25.682937190000008</v>
      </c>
    </row>
    <row r="48" spans="1:6" x14ac:dyDescent="0.3">
      <c r="A48" s="4">
        <v>46093</v>
      </c>
      <c r="B48" s="19">
        <v>-539440.52169999969</v>
      </c>
      <c r="C48" s="19">
        <v>223624.03669999994</v>
      </c>
      <c r="D48" s="19">
        <v>938325.47699999984</v>
      </c>
      <c r="F48">
        <f t="shared" si="0"/>
        <v>62.250899200000006</v>
      </c>
    </row>
    <row r="49" spans="1:6" x14ac:dyDescent="0.3">
      <c r="A49" s="4">
        <v>46092</v>
      </c>
      <c r="B49" s="19">
        <v>-17423.774299999968</v>
      </c>
      <c r="C49" s="19">
        <v>-392777.14070000022</v>
      </c>
      <c r="D49" s="19">
        <v>316242.43419999984</v>
      </c>
      <c r="F49">
        <f t="shared" si="0"/>
        <v>-9.3958480800000377</v>
      </c>
    </row>
    <row r="50" spans="1:6" x14ac:dyDescent="0.3">
      <c r="A50" s="4">
        <v>46091</v>
      </c>
      <c r="B50" s="19">
        <v>-165479.39039999986</v>
      </c>
      <c r="C50" s="19">
        <v>-348630.98119999981</v>
      </c>
      <c r="D50" s="19">
        <v>-168181.12799999997</v>
      </c>
      <c r="F50">
        <f t="shared" si="0"/>
        <v>-68.229149959999958</v>
      </c>
    </row>
    <row r="51" spans="1:6" x14ac:dyDescent="0.3">
      <c r="A51" s="4">
        <v>46090</v>
      </c>
      <c r="B51" s="19">
        <v>-807580.19850000064</v>
      </c>
      <c r="C51" s="19">
        <v>252366.20220000017</v>
      </c>
      <c r="D51" s="19">
        <v>914147.82520000078</v>
      </c>
      <c r="F51">
        <f t="shared" si="0"/>
        <v>35.893382890000034</v>
      </c>
    </row>
    <row r="52" spans="1:6" x14ac:dyDescent="0.3">
      <c r="A52" s="4">
        <v>46087</v>
      </c>
      <c r="B52" s="19">
        <v>-93965.380299999961</v>
      </c>
      <c r="C52" s="19">
        <v>-153887.50949999999</v>
      </c>
      <c r="D52" s="19">
        <v>219281.28510000004</v>
      </c>
      <c r="F52">
        <f t="shared" si="0"/>
        <v>-2.8571604699999908</v>
      </c>
    </row>
    <row r="53" spans="1:6" x14ac:dyDescent="0.3">
      <c r="A53" s="4">
        <v>46086</v>
      </c>
      <c r="B53" s="19">
        <v>2111.6748000001098</v>
      </c>
      <c r="C53" s="19">
        <v>-498495.64849999978</v>
      </c>
      <c r="D53" s="19">
        <v>65657.258800000098</v>
      </c>
      <c r="F53">
        <f t="shared" si="0"/>
        <v>-43.072671489999955</v>
      </c>
    </row>
    <row r="54" spans="1:6" x14ac:dyDescent="0.3">
      <c r="A54" s="4">
        <v>46085</v>
      </c>
      <c r="B54" s="19">
        <v>-309868.30799999938</v>
      </c>
      <c r="C54" s="19">
        <v>449399.56529999996</v>
      </c>
      <c r="D54" s="19">
        <v>967531.09700000065</v>
      </c>
      <c r="F54">
        <f t="shared" si="0"/>
        <v>110.70623543000012</v>
      </c>
    </row>
    <row r="55" spans="1:6" x14ac:dyDescent="0.3">
      <c r="A55" s="4">
        <v>46084</v>
      </c>
      <c r="B55" s="19">
        <v>-1038334.2413000003</v>
      </c>
      <c r="C55" s="19">
        <v>1006691.4492000004</v>
      </c>
      <c r="D55" s="19">
        <v>2146523.5853999997</v>
      </c>
      <c r="F55">
        <f t="shared" si="0"/>
        <v>211.48807933000001</v>
      </c>
    </row>
    <row r="56" spans="1:6" x14ac:dyDescent="0.3">
      <c r="A56" s="4">
        <v>46083</v>
      </c>
      <c r="B56" s="19">
        <v>-558745.52460000012</v>
      </c>
      <c r="C56" s="19">
        <v>148089.24029999957</v>
      </c>
      <c r="D56" s="19">
        <v>1475986.642699999</v>
      </c>
      <c r="F56">
        <f t="shared" si="0"/>
        <v>106.53303583999984</v>
      </c>
    </row>
    <row r="57" spans="1:6" x14ac:dyDescent="0.3">
      <c r="A57" s="4">
        <v>46080</v>
      </c>
      <c r="B57" s="19">
        <v>-616798.17319999938</v>
      </c>
      <c r="C57" s="19">
        <v>698187.3208999997</v>
      </c>
      <c r="D57" s="19">
        <v>1338387.3360000001</v>
      </c>
      <c r="F57">
        <f t="shared" si="0"/>
        <v>141.97764837000005</v>
      </c>
    </row>
    <row r="58" spans="1:6" x14ac:dyDescent="0.3">
      <c r="A58" s="4">
        <v>46079</v>
      </c>
      <c r="B58" s="19">
        <v>-526062.2108</v>
      </c>
      <c r="C58" s="19">
        <v>148515.13109999991</v>
      </c>
      <c r="D58" s="19">
        <v>962364.26310000045</v>
      </c>
      <c r="F58">
        <f t="shared" si="0"/>
        <v>58.481718340000036</v>
      </c>
    </row>
    <row r="59" spans="1:6" x14ac:dyDescent="0.3">
      <c r="A59" s="4">
        <v>46078</v>
      </c>
      <c r="B59" s="19">
        <v>-347503.06599999993</v>
      </c>
      <c r="C59" s="19">
        <v>-307615.94349999994</v>
      </c>
      <c r="D59" s="19">
        <v>530137.93000000017</v>
      </c>
      <c r="F59">
        <f t="shared" si="0"/>
        <v>-12.498107949999977</v>
      </c>
    </row>
    <row r="60" spans="1:6" x14ac:dyDescent="0.3">
      <c r="A60" s="4">
        <v>46077</v>
      </c>
      <c r="B60" s="19">
        <v>170444.07769999985</v>
      </c>
      <c r="C60" s="19">
        <v>-429353.23790000007</v>
      </c>
      <c r="D60" s="19">
        <v>-83711.493899999972</v>
      </c>
      <c r="F60">
        <f t="shared" si="0"/>
        <v>-34.262065410000019</v>
      </c>
    </row>
    <row r="61" spans="1:6" x14ac:dyDescent="0.3">
      <c r="A61" s="4">
        <v>46066</v>
      </c>
      <c r="B61" s="19">
        <v>-130530.29900000012</v>
      </c>
      <c r="C61" s="19">
        <v>38523.467900000054</v>
      </c>
      <c r="D61" s="19">
        <v>317353.13719999971</v>
      </c>
      <c r="F61">
        <f t="shared" si="0"/>
        <v>22.534630609999965</v>
      </c>
    </row>
    <row r="62" spans="1:6" x14ac:dyDescent="0.3">
      <c r="F62">
        <f t="shared" si="0"/>
        <v>0</v>
      </c>
    </row>
    <row r="63" spans="1:6" x14ac:dyDescent="0.3">
      <c r="F63">
        <f t="shared" si="0"/>
        <v>0</v>
      </c>
    </row>
    <row r="64" spans="1:6" x14ac:dyDescent="0.3">
      <c r="F64">
        <f t="shared" si="0"/>
        <v>0</v>
      </c>
    </row>
    <row r="65" spans="1:6" x14ac:dyDescent="0.3">
      <c r="F65">
        <f t="shared" si="0"/>
        <v>0</v>
      </c>
    </row>
    <row r="66" spans="1:6" x14ac:dyDescent="0.3">
      <c r="F66">
        <f t="shared" si="0"/>
        <v>0</v>
      </c>
    </row>
    <row r="67" spans="1:6" x14ac:dyDescent="0.3">
      <c r="F67">
        <f t="shared" si="0"/>
        <v>0</v>
      </c>
    </row>
    <row r="68" spans="1:6" x14ac:dyDescent="0.3">
      <c r="F68">
        <f t="shared" si="0"/>
        <v>0</v>
      </c>
    </row>
    <row r="69" spans="1:6" x14ac:dyDescent="0.3">
      <c r="F69">
        <f t="shared" si="0"/>
        <v>0</v>
      </c>
    </row>
    <row r="70" spans="1:6" x14ac:dyDescent="0.3">
      <c r="F70">
        <f t="shared" si="0"/>
        <v>0</v>
      </c>
    </row>
    <row r="71" spans="1:6" x14ac:dyDescent="0.3">
      <c r="F71">
        <f t="shared" si="0"/>
        <v>0</v>
      </c>
    </row>
    <row r="72" spans="1:6" x14ac:dyDescent="0.3">
      <c r="F72">
        <f t="shared" si="0"/>
        <v>0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1542"/>
  <sheetViews>
    <sheetView zoomScale="145" zoomScaleNormal="145" workbookViewId="0">
      <pane xSplit="1" ySplit="4" topLeftCell="B1534" activePane="bottomRight" state="frozen"/>
      <selection pane="topRight" activeCell="B1" sqref="B1"/>
      <selection pane="bottomLeft" activeCell="A5" sqref="A5"/>
      <selection pane="bottomRight" activeCell="C1540" sqref="C1540"/>
    </sheetView>
  </sheetViews>
  <sheetFormatPr defaultColWidth="9" defaultRowHeight="13.5" x14ac:dyDescent="0.3"/>
  <cols>
    <col min="1" max="1" width="11.6640625" customWidth="1"/>
    <col min="2" max="2" width="18.86328125" customWidth="1"/>
    <col min="3" max="3" width="28.86328125" customWidth="1"/>
  </cols>
  <sheetData>
    <row r="1" spans="1:3" ht="13.9" x14ac:dyDescent="0.35">
      <c r="B1" s="1" t="s">
        <v>10</v>
      </c>
    </row>
    <row r="2" spans="1:3" ht="13.9" x14ac:dyDescent="0.35">
      <c r="B2" s="1" t="s">
        <v>11</v>
      </c>
    </row>
    <row r="3" spans="1:3" ht="13.9" x14ac:dyDescent="0.35">
      <c r="A3" s="1" t="s">
        <v>12</v>
      </c>
      <c r="B3" s="1" t="str">
        <f>[1]!WSS(B4,"sec_name","ShowCodes=N","cols=1;rows=1")</f>
        <v>Fetching...</v>
      </c>
      <c r="C3" s="56" t="str">
        <f>[1]!WSS(C4,"sec_name","ShowCodes=N","cols=1;rows=1")</f>
        <v>中债-投资级中资美元债全价(总值)指数</v>
      </c>
    </row>
    <row r="4" spans="1:3" ht="13.9" x14ac:dyDescent="0.35">
      <c r="A4" s="1" t="s">
        <v>13</v>
      </c>
      <c r="B4" s="1" t="s">
        <v>14</v>
      </c>
      <c r="C4" s="1" t="s">
        <v>15</v>
      </c>
    </row>
    <row r="5" spans="1:3" ht="13.9" x14ac:dyDescent="0.35">
      <c r="A5" s="2">
        <v>43832</v>
      </c>
      <c r="B5" s="3">
        <f>[1]!WSD(B4:C4,B2,"2020-01-01","","TradingCalendar=SSE","rptType=1","ShowParams=Y","cols=2;rows=1538")</f>
        <v>120.3399</v>
      </c>
      <c r="C5" s="3">
        <v>102.67749999999999</v>
      </c>
    </row>
    <row r="6" spans="1:3" ht="13.9" x14ac:dyDescent="0.35">
      <c r="A6" s="2">
        <v>43833</v>
      </c>
      <c r="B6" s="3">
        <v>120.3506</v>
      </c>
      <c r="C6" s="3">
        <v>102.8552</v>
      </c>
    </row>
    <row r="7" spans="1:3" ht="13.9" x14ac:dyDescent="0.35">
      <c r="A7" s="2">
        <v>43836</v>
      </c>
      <c r="B7" s="3">
        <v>120.4014</v>
      </c>
      <c r="C7" s="3">
        <v>103.1264</v>
      </c>
    </row>
    <row r="8" spans="1:3" ht="13.9" x14ac:dyDescent="0.35">
      <c r="A8" s="2">
        <v>43837</v>
      </c>
      <c r="B8" s="3">
        <v>120.4226</v>
      </c>
      <c r="C8" s="3">
        <v>103.0737</v>
      </c>
    </row>
    <row r="9" spans="1:3" ht="13.9" x14ac:dyDescent="0.35">
      <c r="A9" s="2">
        <v>43838</v>
      </c>
      <c r="B9" s="3">
        <v>120.4609</v>
      </c>
      <c r="C9" s="3">
        <v>103.1768</v>
      </c>
    </row>
    <row r="10" spans="1:3" ht="13.9" x14ac:dyDescent="0.35">
      <c r="A10" s="2">
        <v>43839</v>
      </c>
      <c r="B10" s="3">
        <v>120.4884</v>
      </c>
      <c r="C10" s="3">
        <v>102.9144</v>
      </c>
    </row>
    <row r="11" spans="1:3" ht="13.9" x14ac:dyDescent="0.35">
      <c r="A11" s="2">
        <v>43840</v>
      </c>
      <c r="B11" s="3">
        <v>120.5788</v>
      </c>
      <c r="C11" s="3">
        <v>102.94119999999999</v>
      </c>
    </row>
    <row r="12" spans="1:3" ht="13.9" x14ac:dyDescent="0.35">
      <c r="A12" s="2">
        <v>43843</v>
      </c>
      <c r="B12" s="3">
        <v>120.5998</v>
      </c>
      <c r="C12" s="3">
        <v>103.06659999999999</v>
      </c>
    </row>
    <row r="13" spans="1:3" ht="13.9" x14ac:dyDescent="0.35">
      <c r="A13" s="2">
        <v>43844</v>
      </c>
      <c r="B13" s="3">
        <v>120.54940000000001</v>
      </c>
      <c r="C13" s="3">
        <v>103.033</v>
      </c>
    </row>
    <row r="14" spans="1:3" ht="13.9" x14ac:dyDescent="0.35">
      <c r="A14" s="2">
        <v>43845</v>
      </c>
      <c r="B14" s="3">
        <v>120.5321</v>
      </c>
      <c r="C14" s="3">
        <v>103.21559999999999</v>
      </c>
    </row>
    <row r="15" spans="1:3" ht="13.9" x14ac:dyDescent="0.35">
      <c r="A15" s="2">
        <v>43846</v>
      </c>
      <c r="B15" s="3">
        <v>120.53270000000001</v>
      </c>
      <c r="C15" s="3">
        <v>103.2521</v>
      </c>
    </row>
    <row r="16" spans="1:3" ht="13.9" x14ac:dyDescent="0.35">
      <c r="A16" s="2">
        <v>43847</v>
      </c>
      <c r="B16" s="3">
        <v>120.5651</v>
      </c>
      <c r="C16" s="3">
        <v>103.1725</v>
      </c>
    </row>
    <row r="17" spans="1:3" ht="13.9" x14ac:dyDescent="0.35">
      <c r="A17" s="2">
        <v>43850</v>
      </c>
      <c r="B17" s="3">
        <v>120.6337</v>
      </c>
      <c r="C17" s="3">
        <v>103.1921</v>
      </c>
    </row>
    <row r="18" spans="1:3" ht="13.9" x14ac:dyDescent="0.35">
      <c r="A18" s="2">
        <v>43851</v>
      </c>
      <c r="B18" s="3">
        <v>120.7276</v>
      </c>
      <c r="C18" s="3">
        <v>103.3098</v>
      </c>
    </row>
    <row r="19" spans="1:3" ht="13.9" x14ac:dyDescent="0.35">
      <c r="A19" s="2">
        <v>43852</v>
      </c>
      <c r="B19" s="3">
        <v>120.7557</v>
      </c>
      <c r="C19" s="3">
        <v>103.3338</v>
      </c>
    </row>
    <row r="20" spans="1:3" ht="13.9" x14ac:dyDescent="0.35">
      <c r="A20" s="2">
        <v>43853</v>
      </c>
      <c r="B20" s="3">
        <v>120.87560000000001</v>
      </c>
      <c r="C20" s="3">
        <v>103.4265</v>
      </c>
    </row>
    <row r="21" spans="1:3" ht="13.9" x14ac:dyDescent="0.35">
      <c r="A21" s="2">
        <v>43864</v>
      </c>
      <c r="B21" s="3">
        <v>121.5677</v>
      </c>
      <c r="C21" s="3">
        <v>103.9795</v>
      </c>
    </row>
    <row r="22" spans="1:3" ht="13.9" x14ac:dyDescent="0.35">
      <c r="A22" s="2">
        <v>43865</v>
      </c>
      <c r="B22" s="3">
        <v>121.5312</v>
      </c>
      <c r="C22" s="3">
        <v>103.82859999999999</v>
      </c>
    </row>
    <row r="23" spans="1:3" ht="13.9" x14ac:dyDescent="0.35">
      <c r="A23" s="2">
        <v>43866</v>
      </c>
      <c r="B23" s="3">
        <v>121.5262</v>
      </c>
      <c r="C23" s="3">
        <v>103.7677</v>
      </c>
    </row>
    <row r="24" spans="1:3" ht="13.9" x14ac:dyDescent="0.35">
      <c r="A24" s="2">
        <v>43867</v>
      </c>
      <c r="B24" s="3">
        <v>121.5485</v>
      </c>
      <c r="C24" s="3">
        <v>103.58029999999999</v>
      </c>
    </row>
    <row r="25" spans="1:3" ht="13.9" x14ac:dyDescent="0.35">
      <c r="A25" s="2">
        <v>43868</v>
      </c>
      <c r="B25" s="3">
        <v>121.6734</v>
      </c>
      <c r="C25" s="3">
        <v>103.6444</v>
      </c>
    </row>
    <row r="26" spans="1:3" ht="13.9" x14ac:dyDescent="0.35">
      <c r="A26" s="2">
        <v>43871</v>
      </c>
      <c r="B26" s="3">
        <v>121.76430000000001</v>
      </c>
      <c r="C26" s="3">
        <v>103.79730000000001</v>
      </c>
    </row>
    <row r="27" spans="1:3" ht="13.9" x14ac:dyDescent="0.35">
      <c r="A27" s="2">
        <v>43872</v>
      </c>
      <c r="B27" s="3">
        <v>121.71559999999999</v>
      </c>
      <c r="C27" s="3">
        <v>103.8292</v>
      </c>
    </row>
    <row r="28" spans="1:3" ht="13.9" x14ac:dyDescent="0.35">
      <c r="A28" s="2">
        <v>43873</v>
      </c>
      <c r="B28" s="3">
        <v>121.7243</v>
      </c>
      <c r="C28" s="3">
        <v>103.7304</v>
      </c>
    </row>
    <row r="29" spans="1:3" ht="13.9" x14ac:dyDescent="0.35">
      <c r="A29" s="2">
        <v>43874</v>
      </c>
      <c r="B29" s="3">
        <v>121.759</v>
      </c>
      <c r="C29" s="3">
        <v>103.8078</v>
      </c>
    </row>
    <row r="30" spans="1:3" ht="13.9" x14ac:dyDescent="0.35">
      <c r="A30" s="2">
        <v>43875</v>
      </c>
      <c r="B30" s="3">
        <v>121.7513</v>
      </c>
      <c r="C30" s="3">
        <v>103.77460000000001</v>
      </c>
    </row>
    <row r="31" spans="1:3" ht="13.9" x14ac:dyDescent="0.35">
      <c r="A31" s="2">
        <v>43878</v>
      </c>
      <c r="B31" s="3">
        <v>121.7011</v>
      </c>
      <c r="C31" s="3">
        <v>103.8391</v>
      </c>
    </row>
    <row r="32" spans="1:3" ht="13.9" x14ac:dyDescent="0.35">
      <c r="A32" s="2">
        <v>43879</v>
      </c>
      <c r="B32" s="3">
        <v>121.7299</v>
      </c>
      <c r="C32" s="3">
        <v>103.96980000000001</v>
      </c>
    </row>
    <row r="33" spans="1:3" ht="13.9" x14ac:dyDescent="0.35">
      <c r="A33" s="2">
        <v>43880</v>
      </c>
      <c r="B33" s="3">
        <v>121.74209999999999</v>
      </c>
      <c r="C33" s="3">
        <v>103.9302</v>
      </c>
    </row>
    <row r="34" spans="1:3" ht="13.9" x14ac:dyDescent="0.35">
      <c r="A34" s="2">
        <v>43881</v>
      </c>
      <c r="B34" s="3">
        <v>121.70780000000001</v>
      </c>
      <c r="C34" s="3">
        <v>103.90900000000001</v>
      </c>
    </row>
    <row r="35" spans="1:3" ht="13.9" x14ac:dyDescent="0.35">
      <c r="A35" s="2">
        <v>43882</v>
      </c>
      <c r="B35" s="3">
        <v>121.75830000000001</v>
      </c>
      <c r="C35" s="3">
        <v>104.13630000000001</v>
      </c>
    </row>
    <row r="36" spans="1:3" ht="13.9" x14ac:dyDescent="0.35">
      <c r="A36" s="2">
        <v>43885</v>
      </c>
      <c r="B36" s="3">
        <v>121.8112</v>
      </c>
      <c r="C36" s="3">
        <v>104.3467</v>
      </c>
    </row>
    <row r="37" spans="1:3" ht="13.9" x14ac:dyDescent="0.35">
      <c r="A37" s="2">
        <v>43886</v>
      </c>
      <c r="B37" s="3">
        <v>121.8147</v>
      </c>
      <c r="C37" s="3">
        <v>104.45829999999999</v>
      </c>
    </row>
    <row r="38" spans="1:3" ht="13.9" x14ac:dyDescent="0.35">
      <c r="A38" s="2">
        <v>43887</v>
      </c>
      <c r="B38" s="3">
        <v>121.83880000000001</v>
      </c>
      <c r="C38" s="3">
        <v>104.7877</v>
      </c>
    </row>
    <row r="39" spans="1:3" ht="13.9" x14ac:dyDescent="0.35">
      <c r="A39" s="2">
        <v>43888</v>
      </c>
      <c r="B39" s="3">
        <v>121.91</v>
      </c>
      <c r="C39" s="3">
        <v>104.88</v>
      </c>
    </row>
    <row r="40" spans="1:3" ht="13.9" x14ac:dyDescent="0.35">
      <c r="A40" s="2">
        <v>43889</v>
      </c>
      <c r="B40" s="3">
        <v>122.0137</v>
      </c>
      <c r="C40" s="3">
        <v>105.0993</v>
      </c>
    </row>
    <row r="41" spans="1:3" ht="13.9" x14ac:dyDescent="0.35">
      <c r="A41" s="2">
        <v>43892</v>
      </c>
      <c r="B41" s="3">
        <v>122.0159</v>
      </c>
      <c r="C41" s="3">
        <v>105.6113</v>
      </c>
    </row>
    <row r="42" spans="1:3" ht="13.9" x14ac:dyDescent="0.35">
      <c r="A42" s="2">
        <v>43893</v>
      </c>
      <c r="B42" s="3">
        <v>121.99460000000001</v>
      </c>
      <c r="C42" s="3">
        <v>105.5243</v>
      </c>
    </row>
    <row r="43" spans="1:3" ht="13.9" x14ac:dyDescent="0.35">
      <c r="A43" s="2">
        <v>43894</v>
      </c>
      <c r="B43" s="3">
        <v>122.1193</v>
      </c>
      <c r="C43" s="3">
        <v>106.2077</v>
      </c>
    </row>
    <row r="44" spans="1:3" ht="13.9" x14ac:dyDescent="0.35">
      <c r="A44" s="2">
        <v>43895</v>
      </c>
      <c r="B44" s="3">
        <v>122.1268</v>
      </c>
      <c r="C44" s="3">
        <v>106.0462</v>
      </c>
    </row>
    <row r="45" spans="1:3" ht="13.9" x14ac:dyDescent="0.35">
      <c r="A45" s="2">
        <v>43896</v>
      </c>
      <c r="B45" s="3">
        <v>122.2621</v>
      </c>
      <c r="C45" s="3">
        <v>106.48990000000001</v>
      </c>
    </row>
    <row r="46" spans="1:3" ht="13.9" x14ac:dyDescent="0.35">
      <c r="A46" s="2">
        <v>43899</v>
      </c>
      <c r="B46" s="3">
        <v>122.6606</v>
      </c>
      <c r="C46" s="3">
        <v>107.3505</v>
      </c>
    </row>
    <row r="47" spans="1:3" ht="13.9" x14ac:dyDescent="0.35">
      <c r="A47" s="2">
        <v>43900</v>
      </c>
      <c r="B47" s="3">
        <v>122.49299999999999</v>
      </c>
      <c r="C47" s="3">
        <v>106.6711</v>
      </c>
    </row>
    <row r="48" spans="1:3" ht="13.9" x14ac:dyDescent="0.35">
      <c r="A48" s="2">
        <v>43901</v>
      </c>
      <c r="B48" s="3">
        <v>122.47029999999999</v>
      </c>
      <c r="C48" s="3">
        <v>106.417</v>
      </c>
    </row>
    <row r="49" spans="1:3" ht="13.9" x14ac:dyDescent="0.35">
      <c r="A49" s="2">
        <v>43902</v>
      </c>
      <c r="B49" s="3">
        <v>122.43770000000001</v>
      </c>
      <c r="C49" s="3">
        <v>106.3336</v>
      </c>
    </row>
    <row r="50" spans="1:3" ht="13.9" x14ac:dyDescent="0.35">
      <c r="A50" s="2">
        <v>43903</v>
      </c>
      <c r="B50" s="3">
        <v>122.3034</v>
      </c>
      <c r="C50" s="3">
        <v>106.0992</v>
      </c>
    </row>
    <row r="51" spans="1:3" ht="13.9" x14ac:dyDescent="0.35">
      <c r="A51" s="2">
        <v>43906</v>
      </c>
      <c r="B51" s="3">
        <v>122.2885</v>
      </c>
      <c r="C51" s="3">
        <v>106.6974</v>
      </c>
    </row>
    <row r="52" spans="1:3" ht="13.9" x14ac:dyDescent="0.35">
      <c r="A52" s="2">
        <v>43907</v>
      </c>
      <c r="B52" s="3">
        <v>122.16379999999999</v>
      </c>
      <c r="C52" s="3">
        <v>106.3116</v>
      </c>
    </row>
    <row r="53" spans="1:3" ht="13.9" x14ac:dyDescent="0.35">
      <c r="A53" s="2">
        <v>43908</v>
      </c>
      <c r="B53" s="3">
        <v>122.15649999999999</v>
      </c>
      <c r="C53" s="3">
        <v>105.72329999999999</v>
      </c>
    </row>
    <row r="54" spans="1:3" ht="13.9" x14ac:dyDescent="0.35">
      <c r="A54" s="2">
        <v>43909</v>
      </c>
      <c r="B54" s="3">
        <v>122.11920000000001</v>
      </c>
      <c r="C54" s="3">
        <v>105.24639999999999</v>
      </c>
    </row>
    <row r="55" spans="1:3" ht="13.9" x14ac:dyDescent="0.35">
      <c r="A55" s="2">
        <v>43910</v>
      </c>
      <c r="B55" s="3">
        <v>122.1516</v>
      </c>
      <c r="C55" s="3">
        <v>105.3612</v>
      </c>
    </row>
    <row r="56" spans="1:3" ht="13.9" x14ac:dyDescent="0.35">
      <c r="A56" s="2">
        <v>43913</v>
      </c>
      <c r="B56" s="3">
        <v>122.23860000000001</v>
      </c>
      <c r="C56" s="3">
        <v>106.19929999999999</v>
      </c>
    </row>
    <row r="57" spans="1:3" ht="13.9" x14ac:dyDescent="0.35">
      <c r="A57" s="2">
        <v>43914</v>
      </c>
      <c r="B57" s="3">
        <v>122.3116</v>
      </c>
      <c r="C57" s="3">
        <v>106.026</v>
      </c>
    </row>
    <row r="58" spans="1:3" ht="13.9" x14ac:dyDescent="0.35">
      <c r="A58" s="2">
        <v>43915</v>
      </c>
      <c r="B58" s="3">
        <v>122.3489</v>
      </c>
      <c r="C58" s="3">
        <v>105.81100000000001</v>
      </c>
    </row>
    <row r="59" spans="1:3" ht="13.9" x14ac:dyDescent="0.35">
      <c r="A59" s="2">
        <v>43916</v>
      </c>
      <c r="B59" s="3">
        <v>122.47199999999999</v>
      </c>
      <c r="C59" s="3">
        <v>105.925</v>
      </c>
    </row>
    <row r="60" spans="1:3" ht="13.9" x14ac:dyDescent="0.35">
      <c r="A60" s="2">
        <v>43917</v>
      </c>
      <c r="B60" s="3">
        <v>122.4824</v>
      </c>
      <c r="C60" s="3">
        <v>106.01909999999999</v>
      </c>
    </row>
    <row r="61" spans="1:3" ht="13.9" x14ac:dyDescent="0.35">
      <c r="A61" s="2">
        <v>43920</v>
      </c>
      <c r="B61" s="3">
        <v>122.4872</v>
      </c>
      <c r="C61" s="3">
        <v>106.14239999999999</v>
      </c>
    </row>
    <row r="62" spans="1:3" ht="13.9" x14ac:dyDescent="0.35">
      <c r="A62" s="2">
        <v>43921</v>
      </c>
      <c r="B62" s="3">
        <v>122.5831</v>
      </c>
      <c r="C62" s="3">
        <v>106.3068</v>
      </c>
    </row>
    <row r="63" spans="1:3" ht="13.9" x14ac:dyDescent="0.35">
      <c r="A63" s="2">
        <v>43922</v>
      </c>
      <c r="B63" s="3">
        <v>122.7287</v>
      </c>
      <c r="C63" s="3">
        <v>106.44799999999999</v>
      </c>
    </row>
    <row r="64" spans="1:3" ht="13.9" x14ac:dyDescent="0.35">
      <c r="A64" s="2">
        <v>43923</v>
      </c>
      <c r="B64" s="3">
        <v>122.72790000000001</v>
      </c>
      <c r="C64" s="3">
        <v>106.4503</v>
      </c>
    </row>
    <row r="65" spans="1:3" ht="13.9" x14ac:dyDescent="0.35">
      <c r="A65" s="2">
        <v>43924</v>
      </c>
      <c r="B65" s="3">
        <v>122.72499999999999</v>
      </c>
      <c r="C65" s="3">
        <v>106.42100000000001</v>
      </c>
    </row>
    <row r="66" spans="1:3" ht="13.9" x14ac:dyDescent="0.35">
      <c r="A66" s="2">
        <v>43928</v>
      </c>
      <c r="B66" s="3">
        <v>123.27030000000001</v>
      </c>
      <c r="C66" s="3">
        <v>105.8699</v>
      </c>
    </row>
    <row r="67" spans="1:3" ht="13.9" x14ac:dyDescent="0.35">
      <c r="A67" s="2">
        <v>43929</v>
      </c>
      <c r="B67" s="3">
        <v>123.5301</v>
      </c>
      <c r="C67" s="3">
        <v>106.00660000000001</v>
      </c>
    </row>
    <row r="68" spans="1:3" ht="13.9" x14ac:dyDescent="0.35">
      <c r="A68" s="2">
        <v>43930</v>
      </c>
      <c r="B68" s="3">
        <v>123.5671</v>
      </c>
      <c r="C68" s="3">
        <v>105.9362</v>
      </c>
    </row>
    <row r="69" spans="1:3" ht="13.9" x14ac:dyDescent="0.35">
      <c r="A69" s="2">
        <v>43931</v>
      </c>
      <c r="B69" s="3">
        <v>123.4897</v>
      </c>
      <c r="C69" s="3">
        <v>105.9893</v>
      </c>
    </row>
    <row r="70" spans="1:3" ht="13.9" x14ac:dyDescent="0.35">
      <c r="A70" s="2">
        <v>43934</v>
      </c>
      <c r="B70" s="3">
        <v>123.414</v>
      </c>
      <c r="C70" s="3">
        <v>106.0468</v>
      </c>
    </row>
    <row r="71" spans="1:3" ht="13.9" x14ac:dyDescent="0.35">
      <c r="A71" s="2">
        <v>43935</v>
      </c>
      <c r="B71" s="3">
        <v>123.45659999999999</v>
      </c>
      <c r="C71" s="3">
        <v>105.6181</v>
      </c>
    </row>
    <row r="72" spans="1:3" ht="13.9" x14ac:dyDescent="0.35">
      <c r="A72" s="2">
        <v>43936</v>
      </c>
      <c r="B72" s="3">
        <v>123.5124</v>
      </c>
      <c r="C72" s="3">
        <v>105.5441</v>
      </c>
    </row>
    <row r="73" spans="1:3" ht="13.9" x14ac:dyDescent="0.35">
      <c r="A73" s="2">
        <v>43937</v>
      </c>
      <c r="B73" s="3">
        <v>123.58799999999999</v>
      </c>
      <c r="C73" s="3">
        <v>105.6331</v>
      </c>
    </row>
    <row r="74" spans="1:3" ht="13.9" x14ac:dyDescent="0.35">
      <c r="A74" s="2">
        <v>43938</v>
      </c>
      <c r="B74" s="3">
        <v>123.56019999999999</v>
      </c>
      <c r="C74" s="3">
        <v>105.5596</v>
      </c>
    </row>
    <row r="75" spans="1:3" ht="13.9" x14ac:dyDescent="0.35">
      <c r="A75" s="2">
        <v>43941</v>
      </c>
      <c r="B75" s="3">
        <v>123.4909</v>
      </c>
      <c r="C75" s="3">
        <v>105.55710000000001</v>
      </c>
    </row>
    <row r="76" spans="1:3" ht="13.9" x14ac:dyDescent="0.35">
      <c r="A76" s="2">
        <v>43942</v>
      </c>
      <c r="B76" s="3">
        <v>123.5399</v>
      </c>
      <c r="C76" s="3">
        <v>105.5676</v>
      </c>
    </row>
    <row r="77" spans="1:3" ht="13.9" x14ac:dyDescent="0.35">
      <c r="A77" s="2">
        <v>43943</v>
      </c>
      <c r="B77" s="3">
        <v>123.61660000000001</v>
      </c>
      <c r="C77" s="3">
        <v>105.6418</v>
      </c>
    </row>
    <row r="78" spans="1:3" ht="13.9" x14ac:dyDescent="0.35">
      <c r="A78" s="2">
        <v>43944</v>
      </c>
      <c r="B78" s="3">
        <v>123.74679999999999</v>
      </c>
      <c r="C78" s="3">
        <v>105.40089999999999</v>
      </c>
    </row>
    <row r="79" spans="1:3" ht="13.9" x14ac:dyDescent="0.35">
      <c r="A79" s="2">
        <v>43945</v>
      </c>
      <c r="B79" s="3">
        <v>123.79089999999999</v>
      </c>
      <c r="C79" s="3">
        <v>105.4615</v>
      </c>
    </row>
    <row r="80" spans="1:3" ht="13.9" x14ac:dyDescent="0.35">
      <c r="A80" s="2">
        <v>43948</v>
      </c>
      <c r="B80" s="3">
        <v>123.7423</v>
      </c>
      <c r="C80" s="3">
        <v>105.3807</v>
      </c>
    </row>
    <row r="81" spans="1:3" ht="13.9" x14ac:dyDescent="0.35">
      <c r="A81" s="2">
        <v>43949</v>
      </c>
      <c r="B81" s="3">
        <v>123.7603</v>
      </c>
      <c r="C81" s="3">
        <v>105.2756</v>
      </c>
    </row>
    <row r="82" spans="1:3" ht="13.9" x14ac:dyDescent="0.35">
      <c r="A82" s="2">
        <v>43950</v>
      </c>
      <c r="B82" s="3">
        <v>123.8494</v>
      </c>
      <c r="C82" s="3">
        <v>105.37139999999999</v>
      </c>
    </row>
    <row r="83" spans="1:3" ht="13.9" x14ac:dyDescent="0.35">
      <c r="A83" s="2">
        <v>43951</v>
      </c>
      <c r="B83" s="3">
        <v>123.79519999999999</v>
      </c>
      <c r="C83" s="3">
        <v>105.383</v>
      </c>
    </row>
    <row r="84" spans="1:3" ht="13.9" x14ac:dyDescent="0.35">
      <c r="A84" s="2">
        <v>43957</v>
      </c>
      <c r="B84" s="3">
        <v>123.7259</v>
      </c>
      <c r="C84" s="3">
        <v>104.96469999999999</v>
      </c>
    </row>
    <row r="85" spans="1:3" ht="13.9" x14ac:dyDescent="0.35">
      <c r="A85" s="2">
        <v>43958</v>
      </c>
      <c r="B85" s="3">
        <v>123.529</v>
      </c>
      <c r="C85" s="3">
        <v>104.8492</v>
      </c>
    </row>
    <row r="86" spans="1:3" ht="13.9" x14ac:dyDescent="0.35">
      <c r="A86" s="2">
        <v>43959</v>
      </c>
      <c r="B86" s="3">
        <v>123.4602</v>
      </c>
      <c r="C86" s="3">
        <v>105.10429999999999</v>
      </c>
    </row>
    <row r="87" spans="1:3" ht="13.9" x14ac:dyDescent="0.35">
      <c r="A87" s="2">
        <v>43962</v>
      </c>
      <c r="B87" s="3">
        <v>123.1579</v>
      </c>
      <c r="C87" s="3">
        <v>104.9188</v>
      </c>
    </row>
    <row r="88" spans="1:3" ht="13.9" x14ac:dyDescent="0.35">
      <c r="A88" s="2">
        <v>43963</v>
      </c>
      <c r="B88" s="3">
        <v>123.1357</v>
      </c>
      <c r="C88" s="3">
        <v>104.8417</v>
      </c>
    </row>
    <row r="89" spans="1:3" ht="13.9" x14ac:dyDescent="0.35">
      <c r="A89" s="2">
        <v>43964</v>
      </c>
      <c r="B89" s="3">
        <v>123.08759999999999</v>
      </c>
      <c r="C89" s="3">
        <v>104.9926</v>
      </c>
    </row>
    <row r="90" spans="1:3" ht="13.9" x14ac:dyDescent="0.35">
      <c r="A90" s="2">
        <v>43965</v>
      </c>
      <c r="B90" s="3">
        <v>123.0865</v>
      </c>
      <c r="C90" s="3">
        <v>105.1297</v>
      </c>
    </row>
    <row r="91" spans="1:3" ht="13.9" x14ac:dyDescent="0.35">
      <c r="A91" s="2">
        <v>43966</v>
      </c>
      <c r="B91" s="3">
        <v>123.1405</v>
      </c>
      <c r="C91" s="3">
        <v>105.1696</v>
      </c>
    </row>
    <row r="92" spans="1:3" ht="13.9" x14ac:dyDescent="0.35">
      <c r="A92" s="2">
        <v>43969</v>
      </c>
      <c r="B92" s="3">
        <v>122.9885</v>
      </c>
      <c r="C92" s="3">
        <v>104.97150000000001</v>
      </c>
    </row>
    <row r="93" spans="1:3" ht="13.9" x14ac:dyDescent="0.35">
      <c r="A93" s="2">
        <v>43970</v>
      </c>
      <c r="B93" s="3">
        <v>122.92319999999999</v>
      </c>
      <c r="C93" s="3">
        <v>104.69670000000001</v>
      </c>
    </row>
    <row r="94" spans="1:3" ht="13.9" x14ac:dyDescent="0.35">
      <c r="A94" s="2">
        <v>43971</v>
      </c>
      <c r="B94" s="3">
        <v>122.9</v>
      </c>
      <c r="C94" s="3">
        <v>104.79040000000001</v>
      </c>
    </row>
    <row r="95" spans="1:3" ht="13.9" x14ac:dyDescent="0.35">
      <c r="A95" s="2">
        <v>43972</v>
      </c>
      <c r="B95" s="3">
        <v>122.8775</v>
      </c>
      <c r="C95" s="3">
        <v>105.0012</v>
      </c>
    </row>
    <row r="96" spans="1:3" ht="13.9" x14ac:dyDescent="0.35">
      <c r="A96" s="2">
        <v>43973</v>
      </c>
      <c r="B96" s="3">
        <v>123.0292</v>
      </c>
      <c r="C96" s="3">
        <v>105.0701</v>
      </c>
    </row>
    <row r="97" spans="1:3" ht="13.9" x14ac:dyDescent="0.35">
      <c r="A97" s="10">
        <v>43976</v>
      </c>
      <c r="B97" s="11">
        <v>122.8267</v>
      </c>
      <c r="C97" s="11">
        <v>104.9598</v>
      </c>
    </row>
    <row r="98" spans="1:3" ht="13.9" x14ac:dyDescent="0.35">
      <c r="A98" s="10">
        <v>43977</v>
      </c>
      <c r="B98" s="11">
        <v>122.58799999999999</v>
      </c>
      <c r="C98" s="11">
        <v>104.80459999999999</v>
      </c>
    </row>
    <row r="99" spans="1:3" ht="13.9" x14ac:dyDescent="0.35">
      <c r="A99" s="10">
        <v>43978</v>
      </c>
      <c r="B99" s="11">
        <v>122.4123</v>
      </c>
      <c r="C99" s="11">
        <v>104.7045</v>
      </c>
    </row>
    <row r="100" spans="1:3" ht="13.9" x14ac:dyDescent="0.35">
      <c r="A100" s="10">
        <v>43979</v>
      </c>
      <c r="B100" s="11">
        <v>122.4425</v>
      </c>
      <c r="C100" s="11">
        <v>104.6061</v>
      </c>
    </row>
    <row r="101" spans="1:3" ht="13.9" x14ac:dyDescent="0.35">
      <c r="A101" s="10">
        <v>43980</v>
      </c>
      <c r="B101" s="11">
        <v>122.4602</v>
      </c>
      <c r="C101" s="11">
        <v>104.6996</v>
      </c>
    </row>
    <row r="102" spans="1:3" ht="13.9" x14ac:dyDescent="0.35">
      <c r="A102" s="12">
        <v>43983</v>
      </c>
      <c r="B102" s="13">
        <v>122.4021</v>
      </c>
      <c r="C102" s="13">
        <v>104.6538</v>
      </c>
    </row>
    <row r="103" spans="1:3" ht="13.9" x14ac:dyDescent="0.35">
      <c r="A103" s="12">
        <v>43984</v>
      </c>
      <c r="B103" s="13">
        <v>122.03230000000001</v>
      </c>
      <c r="C103" s="13">
        <v>104.6674</v>
      </c>
    </row>
    <row r="104" spans="1:3" ht="13.9" x14ac:dyDescent="0.35">
      <c r="A104" s="12">
        <v>43985</v>
      </c>
      <c r="B104" s="13">
        <v>121.7427</v>
      </c>
      <c r="C104" s="13">
        <v>104.4969</v>
      </c>
    </row>
    <row r="105" spans="1:3" ht="13.9" x14ac:dyDescent="0.35">
      <c r="A105" s="12">
        <v>43986</v>
      </c>
      <c r="B105" s="13">
        <v>121.54510000000001</v>
      </c>
      <c r="C105" s="13">
        <v>104.3322</v>
      </c>
    </row>
    <row r="106" spans="1:3" ht="13.9" x14ac:dyDescent="0.35">
      <c r="A106" s="12">
        <v>43987</v>
      </c>
      <c r="B106" s="13">
        <v>121.3562</v>
      </c>
      <c r="C106" s="13">
        <v>103.979</v>
      </c>
    </row>
    <row r="107" spans="1:3" ht="13.9" x14ac:dyDescent="0.35">
      <c r="A107" s="14">
        <v>43990</v>
      </c>
      <c r="B107" s="15">
        <v>121.35</v>
      </c>
      <c r="C107" s="15">
        <v>103.8656</v>
      </c>
    </row>
    <row r="108" spans="1:3" ht="13.9" x14ac:dyDescent="0.35">
      <c r="A108" s="14">
        <v>43991</v>
      </c>
      <c r="B108" s="15">
        <v>121.3759</v>
      </c>
      <c r="C108" s="15">
        <v>104.1324</v>
      </c>
    </row>
    <row r="109" spans="1:3" ht="13.9" x14ac:dyDescent="0.35">
      <c r="A109" s="14">
        <v>43992</v>
      </c>
      <c r="B109" s="15">
        <v>121.37860000000001</v>
      </c>
      <c r="C109" s="15">
        <v>104.2229</v>
      </c>
    </row>
    <row r="110" spans="1:3" ht="13.9" x14ac:dyDescent="0.35">
      <c r="A110" s="14">
        <v>43993</v>
      </c>
      <c r="B110" s="15">
        <v>121.4872</v>
      </c>
      <c r="C110" s="15">
        <v>104.6828</v>
      </c>
    </row>
    <row r="111" spans="1:3" ht="13.9" x14ac:dyDescent="0.35">
      <c r="A111" s="14">
        <v>43994</v>
      </c>
      <c r="B111" s="15">
        <v>121.5979</v>
      </c>
      <c r="C111" s="15">
        <v>104.7209</v>
      </c>
    </row>
    <row r="112" spans="1:3" ht="13.9" x14ac:dyDescent="0.35">
      <c r="A112" s="2">
        <v>43997</v>
      </c>
      <c r="B112" s="3">
        <v>121.5859</v>
      </c>
      <c r="C112" s="3">
        <v>104.8073</v>
      </c>
    </row>
    <row r="113" spans="1:3" ht="13.9" x14ac:dyDescent="0.35">
      <c r="A113" s="2">
        <v>43998</v>
      </c>
      <c r="B113" s="3">
        <v>121.3373</v>
      </c>
      <c r="C113" s="3">
        <v>104.539</v>
      </c>
    </row>
    <row r="114" spans="1:3" ht="13.9" x14ac:dyDescent="0.35">
      <c r="A114" s="2">
        <v>43999</v>
      </c>
      <c r="B114" s="3">
        <v>121.2131</v>
      </c>
      <c r="C114" s="3">
        <v>104.51090000000001</v>
      </c>
    </row>
    <row r="115" spans="1:3" ht="13.9" x14ac:dyDescent="0.35">
      <c r="A115" s="2">
        <v>44000</v>
      </c>
      <c r="B115" s="3">
        <v>121.2726</v>
      </c>
      <c r="C115" s="3">
        <v>104.4909</v>
      </c>
    </row>
    <row r="116" spans="1:3" ht="13.9" x14ac:dyDescent="0.35">
      <c r="A116" s="2">
        <v>44001</v>
      </c>
      <c r="B116" s="3">
        <v>121.1982</v>
      </c>
      <c r="C116" s="3">
        <v>104.57989999999999</v>
      </c>
    </row>
    <row r="117" spans="1:3" ht="13.9" x14ac:dyDescent="0.35">
      <c r="A117" s="2">
        <v>44004</v>
      </c>
      <c r="B117" s="3">
        <v>121.035</v>
      </c>
      <c r="C117" s="3">
        <v>104.6172</v>
      </c>
    </row>
    <row r="118" spans="1:3" ht="13.9" x14ac:dyDescent="0.35">
      <c r="A118" s="2">
        <v>44005</v>
      </c>
      <c r="B118" s="3">
        <v>120.9556</v>
      </c>
      <c r="C118" s="3">
        <v>104.5951</v>
      </c>
    </row>
    <row r="119" spans="1:3" ht="13.9" x14ac:dyDescent="0.35">
      <c r="A119" s="2">
        <v>44006</v>
      </c>
      <c r="B119" s="3">
        <v>121.1343</v>
      </c>
      <c r="C119" s="3">
        <v>104.5399</v>
      </c>
    </row>
    <row r="120" spans="1:3" ht="13.9" x14ac:dyDescent="0.35">
      <c r="A120" s="2">
        <v>44011</v>
      </c>
      <c r="B120" s="3">
        <v>121.2278</v>
      </c>
      <c r="C120" s="3">
        <v>104.8531</v>
      </c>
    </row>
    <row r="121" spans="1:3" ht="13.9" x14ac:dyDescent="0.35">
      <c r="A121" s="2">
        <v>44012</v>
      </c>
      <c r="B121" s="3">
        <v>121.31229999999999</v>
      </c>
      <c r="C121" s="3">
        <v>104.9742</v>
      </c>
    </row>
    <row r="122" spans="1:3" ht="13.9" x14ac:dyDescent="0.35">
      <c r="A122" s="2">
        <v>44013</v>
      </c>
      <c r="B122" s="3">
        <v>121.3231</v>
      </c>
      <c r="C122" s="3">
        <v>104.8456</v>
      </c>
    </row>
    <row r="123" spans="1:3" ht="13.9" x14ac:dyDescent="0.35">
      <c r="A123" s="2">
        <v>44014</v>
      </c>
      <c r="B123" s="3">
        <v>121.34699999999999</v>
      </c>
      <c r="C123" s="3">
        <v>104.87179999999999</v>
      </c>
    </row>
    <row r="124" spans="1:3" ht="13.9" x14ac:dyDescent="0.35">
      <c r="A124" s="2">
        <v>44015</v>
      </c>
      <c r="B124" s="3">
        <v>121.26609999999999</v>
      </c>
      <c r="C124" s="3">
        <v>104.8796</v>
      </c>
    </row>
    <row r="125" spans="1:3" ht="13.9" x14ac:dyDescent="0.35">
      <c r="A125" s="2">
        <v>44018</v>
      </c>
      <c r="B125" s="3">
        <v>120.79989999999999</v>
      </c>
      <c r="C125" s="3">
        <v>104.7801</v>
      </c>
    </row>
    <row r="126" spans="1:3" ht="13.9" x14ac:dyDescent="0.35">
      <c r="A126" s="2">
        <v>44019</v>
      </c>
      <c r="B126" s="3">
        <v>120.6397</v>
      </c>
      <c r="C126" s="3">
        <v>104.9293</v>
      </c>
    </row>
    <row r="127" spans="1:3" ht="13.9" x14ac:dyDescent="0.35">
      <c r="A127" s="2">
        <v>44020</v>
      </c>
      <c r="B127" s="3">
        <v>120.4735</v>
      </c>
      <c r="C127" s="3">
        <v>104.92740000000001</v>
      </c>
    </row>
    <row r="128" spans="1:3" ht="13.9" x14ac:dyDescent="0.35">
      <c r="A128" s="2">
        <v>44021</v>
      </c>
      <c r="B128" s="3">
        <v>120.2216</v>
      </c>
      <c r="C128" s="3">
        <v>104.8552</v>
      </c>
    </row>
    <row r="129" spans="1:3" ht="13.9" x14ac:dyDescent="0.35">
      <c r="A129" s="2">
        <v>44022</v>
      </c>
      <c r="B129" s="3">
        <v>120.2728</v>
      </c>
      <c r="C129" s="3">
        <v>105.1361</v>
      </c>
    </row>
    <row r="130" spans="1:3" ht="13.9" x14ac:dyDescent="0.35">
      <c r="A130" s="2">
        <v>44025</v>
      </c>
      <c r="B130" s="3">
        <v>120.0771</v>
      </c>
      <c r="C130" s="3">
        <v>105.0463</v>
      </c>
    </row>
    <row r="131" spans="1:3" ht="13.9" x14ac:dyDescent="0.35">
      <c r="A131" s="2">
        <v>44026</v>
      </c>
      <c r="B131" s="3">
        <v>120.1054</v>
      </c>
      <c r="C131" s="3">
        <v>105.10290000000001</v>
      </c>
    </row>
    <row r="132" spans="1:3" ht="13.9" x14ac:dyDescent="0.35">
      <c r="A132" s="2">
        <v>44027</v>
      </c>
      <c r="B132" s="3">
        <v>120.1846</v>
      </c>
      <c r="C132" s="3">
        <v>105.09350000000001</v>
      </c>
    </row>
    <row r="133" spans="1:3" ht="13.9" x14ac:dyDescent="0.35">
      <c r="A133" s="2">
        <v>44028</v>
      </c>
      <c r="B133" s="3">
        <v>120.28660000000001</v>
      </c>
      <c r="C133" s="3">
        <v>105.08710000000001</v>
      </c>
    </row>
    <row r="134" spans="1:3" ht="13.9" x14ac:dyDescent="0.35">
      <c r="A134" s="2">
        <v>44029</v>
      </c>
      <c r="B134" s="3">
        <v>120.3112</v>
      </c>
      <c r="C134" s="3">
        <v>105.1554</v>
      </c>
    </row>
    <row r="135" spans="1:3" ht="13.9" x14ac:dyDescent="0.35">
      <c r="A135" s="2">
        <v>44032</v>
      </c>
      <c r="B135" s="3">
        <v>120.3604</v>
      </c>
      <c r="C135" s="3">
        <v>105.0783</v>
      </c>
    </row>
    <row r="136" spans="1:3" ht="13.9" x14ac:dyDescent="0.35">
      <c r="A136" s="2">
        <v>44033</v>
      </c>
      <c r="B136" s="3">
        <v>120.5638</v>
      </c>
      <c r="C136" s="3">
        <v>105.129</v>
      </c>
    </row>
    <row r="137" spans="1:3" ht="13.9" x14ac:dyDescent="0.35">
      <c r="A137" s="2">
        <v>44034</v>
      </c>
      <c r="B137" s="3">
        <v>120.6609</v>
      </c>
      <c r="C137" s="3">
        <v>105.233</v>
      </c>
    </row>
    <row r="138" spans="1:3" ht="13.9" x14ac:dyDescent="0.35">
      <c r="A138" s="2">
        <v>44035</v>
      </c>
      <c r="B138" s="3">
        <v>120.65560000000001</v>
      </c>
      <c r="C138" s="3">
        <v>105.267</v>
      </c>
    </row>
    <row r="139" spans="1:3" ht="13.9" x14ac:dyDescent="0.35">
      <c r="A139" s="2">
        <v>44036</v>
      </c>
      <c r="B139" s="3">
        <v>120.80589999999999</v>
      </c>
      <c r="C139" s="3">
        <v>105.4162</v>
      </c>
    </row>
    <row r="140" spans="1:3" ht="13.9" x14ac:dyDescent="0.35">
      <c r="A140" s="2">
        <v>44039</v>
      </c>
      <c r="B140" s="3">
        <v>120.8</v>
      </c>
      <c r="C140" s="3">
        <v>105.4825</v>
      </c>
    </row>
    <row r="141" spans="1:3" ht="13.9" x14ac:dyDescent="0.35">
      <c r="A141" s="2">
        <v>44040</v>
      </c>
      <c r="B141" s="3">
        <v>120.6729</v>
      </c>
      <c r="C141" s="3">
        <v>105.33320000000001</v>
      </c>
    </row>
    <row r="142" spans="1:3" ht="13.9" x14ac:dyDescent="0.35">
      <c r="A142" s="2">
        <v>44041</v>
      </c>
      <c r="B142" s="3">
        <v>120.59610000000001</v>
      </c>
      <c r="C142" s="3">
        <v>105.48399999999999</v>
      </c>
    </row>
    <row r="143" spans="1:3" ht="13.9" x14ac:dyDescent="0.35">
      <c r="A143" s="2">
        <v>44042</v>
      </c>
      <c r="B143" s="3">
        <v>120.5805</v>
      </c>
      <c r="C143" s="3">
        <v>105.5474</v>
      </c>
    </row>
    <row r="144" spans="1:3" ht="13.9" x14ac:dyDescent="0.35">
      <c r="A144" s="2">
        <v>44043</v>
      </c>
      <c r="B144" s="3">
        <v>120.502</v>
      </c>
      <c r="C144" s="3">
        <v>105.66719999999999</v>
      </c>
    </row>
    <row r="145" spans="1:3" ht="13.9" x14ac:dyDescent="0.35">
      <c r="A145" s="2">
        <v>44046</v>
      </c>
      <c r="B145" s="3">
        <v>120.5063</v>
      </c>
      <c r="C145" s="3">
        <v>105.67789999999999</v>
      </c>
    </row>
    <row r="146" spans="1:3" ht="13.9" x14ac:dyDescent="0.35">
      <c r="A146" s="2">
        <v>44047</v>
      </c>
      <c r="B146" s="3">
        <v>120.49930000000001</v>
      </c>
      <c r="C146" s="3">
        <v>105.7342</v>
      </c>
    </row>
    <row r="147" spans="1:3" ht="13.9" x14ac:dyDescent="0.35">
      <c r="A147" s="2">
        <v>44048</v>
      </c>
      <c r="B147" s="3">
        <v>120.48269999999999</v>
      </c>
      <c r="C147" s="3">
        <v>105.98690000000001</v>
      </c>
    </row>
    <row r="148" spans="1:3" ht="13.9" x14ac:dyDescent="0.35">
      <c r="A148" s="2">
        <v>44049</v>
      </c>
      <c r="B148" s="3">
        <v>120.42570000000001</v>
      </c>
      <c r="C148" s="3">
        <v>105.8961</v>
      </c>
    </row>
    <row r="149" spans="1:3" ht="13.9" x14ac:dyDescent="0.35">
      <c r="A149" s="2">
        <v>44050</v>
      </c>
      <c r="B149" s="3">
        <v>120.37130000000001</v>
      </c>
      <c r="C149" s="3">
        <v>105.99420000000001</v>
      </c>
    </row>
    <row r="150" spans="1:3" ht="13.9" x14ac:dyDescent="0.35">
      <c r="A150" s="2">
        <v>44053</v>
      </c>
      <c r="B150" s="3">
        <v>120.4323</v>
      </c>
      <c r="C150" s="3">
        <v>105.8456</v>
      </c>
    </row>
    <row r="151" spans="1:3" ht="13.9" x14ac:dyDescent="0.35">
      <c r="A151" s="2">
        <v>44054</v>
      </c>
      <c r="B151" s="3">
        <v>120.4294</v>
      </c>
      <c r="C151" s="3">
        <v>105.8108</v>
      </c>
    </row>
    <row r="152" spans="1:3" ht="13.9" x14ac:dyDescent="0.35">
      <c r="A152" s="2">
        <v>44055</v>
      </c>
      <c r="B152" s="3">
        <v>120.3997</v>
      </c>
      <c r="C152" s="3">
        <v>105.4563</v>
      </c>
    </row>
    <row r="153" spans="1:3" ht="13.9" x14ac:dyDescent="0.35">
      <c r="A153" s="2">
        <v>44056</v>
      </c>
      <c r="B153" s="3">
        <v>120.4079</v>
      </c>
      <c r="C153" s="3">
        <v>105.5107</v>
      </c>
    </row>
    <row r="154" spans="1:3" ht="13.9" x14ac:dyDescent="0.35">
      <c r="A154" s="2">
        <v>44057</v>
      </c>
      <c r="B154" s="3">
        <v>120.4438</v>
      </c>
      <c r="C154" s="3">
        <v>105.3305</v>
      </c>
    </row>
    <row r="155" spans="1:3" ht="13.9" x14ac:dyDescent="0.35">
      <c r="A155" s="2">
        <v>44060</v>
      </c>
      <c r="B155" s="3">
        <v>120.47539999999999</v>
      </c>
      <c r="C155" s="3">
        <v>105.42019999999999</v>
      </c>
    </row>
    <row r="156" spans="1:3" ht="13.9" x14ac:dyDescent="0.35">
      <c r="A156" s="2">
        <v>44061</v>
      </c>
      <c r="B156" s="3">
        <v>120.4166</v>
      </c>
      <c r="C156" s="3">
        <v>105.51049999999999</v>
      </c>
    </row>
    <row r="157" spans="1:3" ht="13.9" x14ac:dyDescent="0.35">
      <c r="A157" s="2">
        <v>44062</v>
      </c>
      <c r="B157" s="3">
        <v>120.32689999999999</v>
      </c>
      <c r="C157" s="3">
        <v>105.58620000000001</v>
      </c>
    </row>
    <row r="158" spans="1:3" ht="13.9" x14ac:dyDescent="0.35">
      <c r="A158" s="2">
        <v>44063</v>
      </c>
      <c r="B158" s="3">
        <v>120.2328</v>
      </c>
      <c r="C158" s="3">
        <v>105.5753</v>
      </c>
    </row>
    <row r="159" spans="1:3" ht="13.9" x14ac:dyDescent="0.35">
      <c r="A159" s="2">
        <v>44064</v>
      </c>
      <c r="B159" s="3">
        <v>120.23180000000001</v>
      </c>
      <c r="C159" s="3">
        <v>105.5639</v>
      </c>
    </row>
    <row r="160" spans="1:3" ht="13.9" x14ac:dyDescent="0.35">
      <c r="A160" s="2">
        <v>44067</v>
      </c>
      <c r="B160" s="3">
        <v>120.1348</v>
      </c>
      <c r="C160" s="3">
        <v>105.7008</v>
      </c>
    </row>
    <row r="161" spans="1:3" ht="13.9" x14ac:dyDescent="0.35">
      <c r="A161" s="2">
        <v>44068</v>
      </c>
      <c r="B161" s="3">
        <v>119.9813</v>
      </c>
      <c r="C161" s="3">
        <v>105.5694</v>
      </c>
    </row>
    <row r="162" spans="1:3" ht="13.9" x14ac:dyDescent="0.35">
      <c r="A162" s="2">
        <v>44069</v>
      </c>
      <c r="B162" s="3">
        <v>119.9409</v>
      </c>
      <c r="C162" s="3">
        <v>105.3961</v>
      </c>
    </row>
    <row r="163" spans="1:3" ht="13.9" x14ac:dyDescent="0.35">
      <c r="A163" s="2">
        <v>44070</v>
      </c>
      <c r="B163" s="3">
        <v>119.8631</v>
      </c>
      <c r="C163" s="3">
        <v>105.49469999999999</v>
      </c>
    </row>
    <row r="164" spans="1:3" ht="13.9" x14ac:dyDescent="0.35">
      <c r="A164" s="2">
        <v>44071</v>
      </c>
      <c r="B164" s="3">
        <v>119.804</v>
      </c>
      <c r="C164" s="3">
        <v>105.19070000000001</v>
      </c>
    </row>
    <row r="165" spans="1:3" ht="13.9" x14ac:dyDescent="0.35">
      <c r="A165" s="2">
        <v>44074</v>
      </c>
      <c r="B165" s="3">
        <v>119.8824</v>
      </c>
      <c r="C165" s="3">
        <v>105.40479999999999</v>
      </c>
    </row>
    <row r="166" spans="1:3" ht="13.9" x14ac:dyDescent="0.35">
      <c r="A166" s="2">
        <v>44075</v>
      </c>
      <c r="B166" s="3">
        <v>119.8365</v>
      </c>
      <c r="C166" s="3">
        <v>105.4359</v>
      </c>
    </row>
    <row r="167" spans="1:3" ht="13.9" x14ac:dyDescent="0.35">
      <c r="A167" s="2">
        <v>44076</v>
      </c>
      <c r="B167" s="3">
        <v>119.7197</v>
      </c>
      <c r="C167" s="3">
        <v>105.5585</v>
      </c>
    </row>
    <row r="168" spans="1:3" ht="13.9" x14ac:dyDescent="0.35">
      <c r="A168" s="2">
        <v>44077</v>
      </c>
      <c r="B168" s="3">
        <v>119.673</v>
      </c>
      <c r="C168" s="3">
        <v>105.666</v>
      </c>
    </row>
    <row r="169" spans="1:3" ht="13.9" x14ac:dyDescent="0.35">
      <c r="A169" s="2">
        <v>44078</v>
      </c>
      <c r="B169" s="3">
        <v>119.6266</v>
      </c>
      <c r="C169" s="3">
        <v>105.7578</v>
      </c>
    </row>
    <row r="170" spans="1:3" ht="13.9" x14ac:dyDescent="0.35">
      <c r="A170" s="2">
        <v>44081</v>
      </c>
      <c r="B170" s="3">
        <v>119.545</v>
      </c>
      <c r="C170" s="3">
        <v>105.3434</v>
      </c>
    </row>
    <row r="171" spans="1:3" ht="13.9" x14ac:dyDescent="0.35">
      <c r="A171" s="2">
        <v>44082</v>
      </c>
      <c r="B171" s="3">
        <v>119.563</v>
      </c>
      <c r="C171" s="3">
        <v>105.4217</v>
      </c>
    </row>
    <row r="172" spans="1:3" ht="13.9" x14ac:dyDescent="0.35">
      <c r="A172" s="2">
        <v>44083</v>
      </c>
      <c r="B172" s="3">
        <v>119.6914</v>
      </c>
      <c r="C172" s="3">
        <v>105.5783</v>
      </c>
    </row>
    <row r="173" spans="1:3" ht="13.9" x14ac:dyDescent="0.35">
      <c r="A173" s="2">
        <v>44084</v>
      </c>
      <c r="B173" s="3">
        <v>119.71080000000001</v>
      </c>
      <c r="C173" s="3">
        <v>105.41589999999999</v>
      </c>
    </row>
    <row r="174" spans="1:3" ht="13.9" x14ac:dyDescent="0.35">
      <c r="A174" s="2">
        <v>44085</v>
      </c>
      <c r="B174" s="3">
        <v>119.61620000000001</v>
      </c>
      <c r="C174" s="3">
        <v>105.4271</v>
      </c>
    </row>
    <row r="175" spans="1:3" ht="13.9" x14ac:dyDescent="0.35">
      <c r="A175" s="2">
        <v>44088</v>
      </c>
      <c r="B175" s="3">
        <v>119.5672</v>
      </c>
      <c r="C175" s="3">
        <v>105.3882</v>
      </c>
    </row>
    <row r="176" spans="1:3" ht="13.9" x14ac:dyDescent="0.35">
      <c r="A176" s="2">
        <v>44089</v>
      </c>
      <c r="B176" s="3">
        <v>119.6095</v>
      </c>
      <c r="C176" s="3">
        <v>105.3677</v>
      </c>
    </row>
    <row r="177" spans="1:3" ht="13.9" x14ac:dyDescent="0.35">
      <c r="A177" s="2">
        <v>44090</v>
      </c>
      <c r="B177" s="3">
        <v>119.6262</v>
      </c>
      <c r="C177" s="3">
        <v>105.29510000000001</v>
      </c>
    </row>
    <row r="178" spans="1:3" ht="13.9" x14ac:dyDescent="0.35">
      <c r="A178" s="2">
        <v>44091</v>
      </c>
      <c r="B178" s="3">
        <v>119.6024</v>
      </c>
      <c r="C178" s="3">
        <v>105.312</v>
      </c>
    </row>
    <row r="179" spans="1:3" ht="13.9" x14ac:dyDescent="0.35">
      <c r="A179" s="2">
        <v>44092</v>
      </c>
      <c r="B179" s="3">
        <v>119.6014</v>
      </c>
      <c r="C179" s="3">
        <v>105.2492</v>
      </c>
    </row>
    <row r="180" spans="1:3" ht="13.9" x14ac:dyDescent="0.35">
      <c r="A180" s="2">
        <v>44095</v>
      </c>
      <c r="B180" s="3">
        <v>119.63590000000001</v>
      </c>
      <c r="C180" s="3">
        <v>105.19370000000001</v>
      </c>
    </row>
    <row r="181" spans="1:3" ht="13.9" x14ac:dyDescent="0.35">
      <c r="A181" s="2">
        <v>44096</v>
      </c>
      <c r="B181" s="3">
        <v>119.6827</v>
      </c>
      <c r="C181" s="3">
        <v>105.2522</v>
      </c>
    </row>
    <row r="182" spans="1:3" ht="13.9" x14ac:dyDescent="0.35">
      <c r="A182" s="2">
        <v>44097</v>
      </c>
      <c r="B182" s="3">
        <v>119.67230000000001</v>
      </c>
      <c r="C182" s="3">
        <v>105.2711</v>
      </c>
    </row>
    <row r="183" spans="1:3" ht="13.9" x14ac:dyDescent="0.35">
      <c r="A183" s="2">
        <v>44098</v>
      </c>
      <c r="B183" s="3">
        <v>119.6909</v>
      </c>
      <c r="C183" s="3">
        <v>105.29640000000001</v>
      </c>
    </row>
    <row r="184" spans="1:3" ht="13.9" x14ac:dyDescent="0.35">
      <c r="A184" s="2">
        <v>44099</v>
      </c>
      <c r="B184" s="3">
        <v>119.59439999999999</v>
      </c>
      <c r="C184" s="3">
        <v>105.23820000000001</v>
      </c>
    </row>
    <row r="185" spans="1:3" ht="13.9" x14ac:dyDescent="0.35">
      <c r="A185" s="2">
        <v>44102</v>
      </c>
      <c r="B185" s="3">
        <v>119.5929</v>
      </c>
      <c r="C185" s="3">
        <v>105.2289</v>
      </c>
    </row>
    <row r="186" spans="1:3" ht="13.9" x14ac:dyDescent="0.35">
      <c r="A186" s="2">
        <v>44103</v>
      </c>
      <c r="B186" s="3">
        <v>119.57129999999999</v>
      </c>
      <c r="C186" s="3">
        <v>105.23779999999999</v>
      </c>
    </row>
    <row r="187" spans="1:3" ht="13.9" x14ac:dyDescent="0.35">
      <c r="A187" s="2">
        <v>44104</v>
      </c>
      <c r="B187" s="3">
        <v>119.5184</v>
      </c>
      <c r="C187" s="3">
        <v>105.25230000000001</v>
      </c>
    </row>
    <row r="188" spans="1:3" ht="13.9" x14ac:dyDescent="0.35">
      <c r="A188" s="2">
        <v>44113</v>
      </c>
      <c r="B188" s="3">
        <v>119.4819</v>
      </c>
      <c r="C188" s="3">
        <v>104.8779</v>
      </c>
    </row>
    <row r="189" spans="1:3" ht="13.9" x14ac:dyDescent="0.35">
      <c r="A189" s="2">
        <v>44116</v>
      </c>
      <c r="B189" s="3">
        <v>119.47369999999999</v>
      </c>
      <c r="C189" s="3">
        <v>104.8075</v>
      </c>
    </row>
    <row r="190" spans="1:3" ht="13.9" x14ac:dyDescent="0.35">
      <c r="A190" s="2">
        <v>44117</v>
      </c>
      <c r="B190" s="3">
        <v>119.4674</v>
      </c>
      <c r="C190" s="3">
        <v>104.8916</v>
      </c>
    </row>
    <row r="191" spans="1:3" ht="13.9" x14ac:dyDescent="0.35">
      <c r="A191" s="2">
        <v>44118</v>
      </c>
      <c r="B191" s="3">
        <v>119.44589999999999</v>
      </c>
      <c r="C191" s="3">
        <v>105.0254</v>
      </c>
    </row>
    <row r="192" spans="1:3" ht="13.9" x14ac:dyDescent="0.35">
      <c r="A192" s="2">
        <v>44119</v>
      </c>
      <c r="B192" s="3">
        <v>119.4315</v>
      </c>
      <c r="C192" s="3">
        <v>105.0746</v>
      </c>
    </row>
    <row r="193" spans="1:3" ht="13.9" x14ac:dyDescent="0.35">
      <c r="A193" s="2">
        <v>44120</v>
      </c>
      <c r="B193" s="3">
        <v>119.42400000000001</v>
      </c>
      <c r="C193" s="3">
        <v>105.0347</v>
      </c>
    </row>
    <row r="194" spans="1:3" ht="13.9" x14ac:dyDescent="0.35">
      <c r="A194" s="2">
        <v>44123</v>
      </c>
      <c r="B194" s="3">
        <v>119.47669999999999</v>
      </c>
      <c r="C194" s="3">
        <v>104.82510000000001</v>
      </c>
    </row>
    <row r="195" spans="1:3" ht="13.9" x14ac:dyDescent="0.35">
      <c r="A195" s="2">
        <v>44124</v>
      </c>
      <c r="B195" s="3">
        <v>119.5104</v>
      </c>
      <c r="C195" s="3">
        <v>104.8729</v>
      </c>
    </row>
    <row r="196" spans="1:3" ht="13.9" x14ac:dyDescent="0.35">
      <c r="A196" s="2">
        <v>44125</v>
      </c>
      <c r="B196" s="3">
        <v>119.5812</v>
      </c>
      <c r="C196" s="3">
        <v>104.6934</v>
      </c>
    </row>
    <row r="197" spans="1:3" ht="13.9" x14ac:dyDescent="0.35">
      <c r="A197" s="2">
        <v>44126</v>
      </c>
      <c r="B197" s="3">
        <v>119.658</v>
      </c>
      <c r="C197" s="3">
        <v>104.7565</v>
      </c>
    </row>
    <row r="198" spans="1:3" ht="13.9" x14ac:dyDescent="0.35">
      <c r="A198" s="2">
        <v>44127</v>
      </c>
      <c r="B198" s="3">
        <v>119.6443</v>
      </c>
      <c r="C198" s="3">
        <v>104.6024</v>
      </c>
    </row>
    <row r="199" spans="1:3" ht="13.9" x14ac:dyDescent="0.35">
      <c r="A199" s="2">
        <v>44130</v>
      </c>
      <c r="B199" s="3">
        <v>119.631</v>
      </c>
      <c r="C199" s="3">
        <v>104.65479999999999</v>
      </c>
    </row>
    <row r="200" spans="1:3" ht="13.9" x14ac:dyDescent="0.35">
      <c r="A200" s="2">
        <v>44131</v>
      </c>
      <c r="B200" s="3">
        <v>119.681</v>
      </c>
      <c r="C200" s="3">
        <v>104.6996</v>
      </c>
    </row>
    <row r="201" spans="1:3" ht="13.9" x14ac:dyDescent="0.35">
      <c r="A201" s="2">
        <v>44132</v>
      </c>
      <c r="B201" s="3">
        <v>119.6653</v>
      </c>
      <c r="C201" s="3">
        <v>104.76909999999999</v>
      </c>
    </row>
    <row r="202" spans="1:3" ht="13.9" x14ac:dyDescent="0.35">
      <c r="A202" s="2">
        <v>44133</v>
      </c>
      <c r="B202" s="3">
        <v>119.68300000000001</v>
      </c>
      <c r="C202" s="3">
        <v>104.74630000000001</v>
      </c>
    </row>
    <row r="203" spans="1:3" ht="13.9" x14ac:dyDescent="0.35">
      <c r="A203" s="2">
        <v>44134</v>
      </c>
      <c r="B203" s="3">
        <v>119.6957</v>
      </c>
      <c r="C203" s="3">
        <v>104.6566</v>
      </c>
    </row>
    <row r="204" spans="1:3" ht="13.9" x14ac:dyDescent="0.35">
      <c r="A204" s="2">
        <v>44137</v>
      </c>
      <c r="B204" s="3">
        <v>119.74379999999999</v>
      </c>
      <c r="C204" s="3">
        <v>104.43210000000001</v>
      </c>
    </row>
    <row r="205" spans="1:3" ht="13.9" x14ac:dyDescent="0.35">
      <c r="A205" s="2">
        <v>44138</v>
      </c>
      <c r="B205" s="3">
        <v>119.7988</v>
      </c>
      <c r="C205" s="3">
        <v>104.4765</v>
      </c>
    </row>
    <row r="206" spans="1:3" ht="13.9" x14ac:dyDescent="0.35">
      <c r="A206" s="2">
        <v>44139</v>
      </c>
      <c r="B206" s="3">
        <v>119.83710000000001</v>
      </c>
      <c r="C206" s="3">
        <v>104.59529999999999</v>
      </c>
    </row>
    <row r="207" spans="1:3" ht="13.9" x14ac:dyDescent="0.35">
      <c r="A207" s="2">
        <v>44140</v>
      </c>
      <c r="B207" s="3">
        <v>119.8318</v>
      </c>
      <c r="C207" s="3">
        <v>104.84529999999999</v>
      </c>
    </row>
    <row r="208" spans="1:3" ht="13.9" x14ac:dyDescent="0.35">
      <c r="A208" s="2">
        <v>44141</v>
      </c>
      <c r="B208" s="3">
        <v>119.7991</v>
      </c>
      <c r="C208" s="3">
        <v>104.7911</v>
      </c>
    </row>
    <row r="209" spans="1:3" ht="13.9" x14ac:dyDescent="0.35">
      <c r="A209" s="2">
        <v>44144</v>
      </c>
      <c r="B209" s="3">
        <v>119.73260000000001</v>
      </c>
      <c r="C209" s="3">
        <v>104.5575</v>
      </c>
    </row>
    <row r="210" spans="1:3" ht="13.9" x14ac:dyDescent="0.35">
      <c r="A210" s="2">
        <v>44145</v>
      </c>
      <c r="B210" s="3">
        <v>119.7286</v>
      </c>
      <c r="C210" s="3">
        <v>104.2372</v>
      </c>
    </row>
    <row r="211" spans="1:3" ht="13.9" x14ac:dyDescent="0.35">
      <c r="A211" s="2">
        <v>44146</v>
      </c>
      <c r="B211" s="3">
        <v>119.7269</v>
      </c>
      <c r="C211" s="3">
        <v>104.1683</v>
      </c>
    </row>
    <row r="212" spans="1:3" ht="13.9" x14ac:dyDescent="0.35">
      <c r="A212" s="2">
        <v>44147</v>
      </c>
      <c r="B212" s="3">
        <v>119.65309999999999</v>
      </c>
      <c r="C212" s="3">
        <v>104.248</v>
      </c>
    </row>
    <row r="213" spans="1:3" ht="13.9" x14ac:dyDescent="0.35">
      <c r="A213" s="2">
        <v>44148</v>
      </c>
      <c r="B213" s="3">
        <v>119.5637</v>
      </c>
      <c r="C213" s="3">
        <v>104.47069999999999</v>
      </c>
    </row>
    <row r="214" spans="1:3" ht="13.9" x14ac:dyDescent="0.35">
      <c r="A214" s="2">
        <v>44151</v>
      </c>
      <c r="B214" s="3">
        <v>119.5611</v>
      </c>
      <c r="C214" s="3">
        <v>104.6553</v>
      </c>
    </row>
    <row r="215" spans="1:3" ht="13.9" x14ac:dyDescent="0.35">
      <c r="A215" s="2">
        <v>44152</v>
      </c>
      <c r="B215" s="3">
        <v>119.5146</v>
      </c>
      <c r="C215" s="3">
        <v>104.4652</v>
      </c>
    </row>
    <row r="216" spans="1:3" ht="13.9" x14ac:dyDescent="0.35">
      <c r="A216" s="2">
        <v>44153</v>
      </c>
      <c r="B216" s="3">
        <v>119.4316</v>
      </c>
      <c r="C216" s="3">
        <v>104.6777</v>
      </c>
    </row>
    <row r="217" spans="1:3" ht="13.9" x14ac:dyDescent="0.35">
      <c r="A217" s="2">
        <v>44154</v>
      </c>
      <c r="B217" s="3">
        <v>119.3437</v>
      </c>
      <c r="C217" s="3">
        <v>104.652</v>
      </c>
    </row>
    <row r="218" spans="1:3" ht="13.9" x14ac:dyDescent="0.35">
      <c r="A218" s="2">
        <v>44155</v>
      </c>
      <c r="B218" s="3">
        <v>119.3126</v>
      </c>
      <c r="C218" s="3">
        <v>104.7636</v>
      </c>
    </row>
    <row r="219" spans="1:3" ht="13.9" x14ac:dyDescent="0.35">
      <c r="A219" s="2">
        <v>44158</v>
      </c>
      <c r="B219" s="3">
        <v>119.372</v>
      </c>
      <c r="C219" s="3">
        <v>104.7073</v>
      </c>
    </row>
    <row r="220" spans="1:3" ht="13.9" x14ac:dyDescent="0.35">
      <c r="A220" s="2">
        <v>44159</v>
      </c>
      <c r="B220" s="3">
        <v>119.36709999999999</v>
      </c>
      <c r="C220" s="3">
        <v>104.5402</v>
      </c>
    </row>
    <row r="221" spans="1:3" ht="13.9" x14ac:dyDescent="0.35">
      <c r="A221" s="2">
        <v>44160</v>
      </c>
      <c r="B221" s="3">
        <v>119.42919999999999</v>
      </c>
      <c r="C221" s="3">
        <v>104.4799</v>
      </c>
    </row>
    <row r="222" spans="1:3" ht="13.9" x14ac:dyDescent="0.35">
      <c r="A222" s="2">
        <v>44161</v>
      </c>
      <c r="B222" s="3">
        <v>119.4336</v>
      </c>
      <c r="C222" s="3">
        <v>104.4845</v>
      </c>
    </row>
    <row r="223" spans="1:3" ht="13.9" x14ac:dyDescent="0.35">
      <c r="A223" s="2">
        <v>44162</v>
      </c>
      <c r="B223" s="3">
        <v>119.4148</v>
      </c>
      <c r="C223" s="3">
        <v>104.6007</v>
      </c>
    </row>
    <row r="224" spans="1:3" ht="13.9" x14ac:dyDescent="0.35">
      <c r="A224" s="2">
        <v>44165</v>
      </c>
      <c r="B224" s="3">
        <v>119.59059999999999</v>
      </c>
      <c r="C224" s="3">
        <v>104.61020000000001</v>
      </c>
    </row>
    <row r="225" spans="1:3" ht="13.9" x14ac:dyDescent="0.35">
      <c r="A225" s="2">
        <v>44166</v>
      </c>
      <c r="B225" s="3">
        <v>119.5859</v>
      </c>
      <c r="C225" s="3">
        <v>104.47750000000001</v>
      </c>
    </row>
    <row r="226" spans="1:3" ht="13.9" x14ac:dyDescent="0.35">
      <c r="A226" s="2">
        <v>44167</v>
      </c>
      <c r="B226" s="3">
        <v>119.5463</v>
      </c>
      <c r="C226" s="3">
        <v>104.1087</v>
      </c>
    </row>
    <row r="227" spans="1:3" ht="13.9" x14ac:dyDescent="0.35">
      <c r="A227" s="2">
        <v>44168</v>
      </c>
      <c r="B227" s="3">
        <v>119.54940000000001</v>
      </c>
      <c r="C227" s="3">
        <v>103.9859</v>
      </c>
    </row>
    <row r="228" spans="1:3" ht="13.9" x14ac:dyDescent="0.35">
      <c r="A228" s="2">
        <v>44169</v>
      </c>
      <c r="B228" s="3">
        <v>119.59099999999999</v>
      </c>
      <c r="C228" s="3">
        <v>104.1091</v>
      </c>
    </row>
    <row r="229" spans="1:3" ht="13.9" x14ac:dyDescent="0.35">
      <c r="A229" s="2">
        <v>44172</v>
      </c>
      <c r="B229" s="3">
        <v>119.59050000000001</v>
      </c>
      <c r="C229" s="3">
        <v>103.9272</v>
      </c>
    </row>
    <row r="230" spans="1:3" ht="13.9" x14ac:dyDescent="0.35">
      <c r="A230" s="2">
        <v>44173</v>
      </c>
      <c r="B230" s="3">
        <v>119.6497</v>
      </c>
      <c r="C230" s="3">
        <v>104.1016</v>
      </c>
    </row>
    <row r="231" spans="1:3" ht="13.9" x14ac:dyDescent="0.35">
      <c r="A231" s="2">
        <v>44174</v>
      </c>
      <c r="B231" s="3">
        <v>119.6583</v>
      </c>
      <c r="C231" s="3">
        <v>104.0615</v>
      </c>
    </row>
    <row r="232" spans="1:3" ht="13.9" x14ac:dyDescent="0.35">
      <c r="A232" s="2">
        <v>44175</v>
      </c>
      <c r="B232" s="3">
        <v>119.70099999999999</v>
      </c>
      <c r="C232" s="3">
        <v>104.1203</v>
      </c>
    </row>
    <row r="233" spans="1:3" ht="13.9" x14ac:dyDescent="0.35">
      <c r="A233" s="2">
        <v>44176</v>
      </c>
      <c r="B233" s="3">
        <v>119.63379999999999</v>
      </c>
      <c r="C233" s="3">
        <v>104.2294</v>
      </c>
    </row>
    <row r="234" spans="1:3" ht="13.9" x14ac:dyDescent="0.35">
      <c r="A234" s="2">
        <v>44179</v>
      </c>
      <c r="B234" s="3">
        <v>119.65430000000001</v>
      </c>
      <c r="C234" s="3">
        <v>104.2295</v>
      </c>
    </row>
    <row r="235" spans="1:3" ht="13.9" x14ac:dyDescent="0.35">
      <c r="A235" s="2">
        <v>44180</v>
      </c>
      <c r="B235" s="3">
        <v>119.7106</v>
      </c>
      <c r="C235" s="3">
        <v>104.3248</v>
      </c>
    </row>
    <row r="236" spans="1:3" ht="13.9" x14ac:dyDescent="0.35">
      <c r="A236" s="2">
        <v>44181</v>
      </c>
      <c r="B236" s="3">
        <v>119.7615</v>
      </c>
      <c r="C236" s="3">
        <v>104.2457</v>
      </c>
    </row>
    <row r="237" spans="1:3" ht="13.9" x14ac:dyDescent="0.35">
      <c r="A237" s="2">
        <v>44182</v>
      </c>
      <c r="B237" s="3">
        <v>119.7668</v>
      </c>
      <c r="C237" s="3">
        <v>104.25230000000001</v>
      </c>
    </row>
    <row r="238" spans="1:3" ht="13.9" x14ac:dyDescent="0.35">
      <c r="A238" s="2">
        <v>44183</v>
      </c>
      <c r="B238" s="3">
        <v>119.78530000000001</v>
      </c>
      <c r="C238" s="3">
        <v>104.2734</v>
      </c>
    </row>
    <row r="239" spans="1:3" ht="13.9" x14ac:dyDescent="0.35">
      <c r="A239" s="2">
        <v>44186</v>
      </c>
      <c r="B239" s="3">
        <v>119.871</v>
      </c>
      <c r="C239" s="3">
        <v>104.2959</v>
      </c>
    </row>
    <row r="240" spans="1:3" ht="13.9" x14ac:dyDescent="0.35">
      <c r="A240" s="2">
        <v>44187</v>
      </c>
      <c r="B240" s="3">
        <v>119.9975</v>
      </c>
      <c r="C240" s="3">
        <v>104.3085</v>
      </c>
    </row>
    <row r="241" spans="1:3" ht="13.9" x14ac:dyDescent="0.35">
      <c r="A241" s="2">
        <v>44188</v>
      </c>
      <c r="B241" s="3">
        <v>120.0343</v>
      </c>
      <c r="C241" s="3">
        <v>104.42310000000001</v>
      </c>
    </row>
    <row r="242" spans="1:3" ht="13.9" x14ac:dyDescent="0.35">
      <c r="A242" s="2">
        <v>44189</v>
      </c>
      <c r="B242" s="3">
        <v>119.99209999999999</v>
      </c>
      <c r="C242" s="3">
        <v>104.521</v>
      </c>
    </row>
    <row r="243" spans="1:3" ht="13.9" x14ac:dyDescent="0.35">
      <c r="A243" s="2">
        <v>44190</v>
      </c>
      <c r="B243" s="3">
        <v>120.0637</v>
      </c>
      <c r="C243" s="3">
        <v>104.4332</v>
      </c>
    </row>
    <row r="244" spans="1:3" ht="13.9" x14ac:dyDescent="0.35">
      <c r="A244" s="2">
        <v>44193</v>
      </c>
      <c r="B244" s="3">
        <v>120.1288</v>
      </c>
      <c r="C244" s="3">
        <v>104.37779999999999</v>
      </c>
    </row>
    <row r="245" spans="1:3" ht="13.9" x14ac:dyDescent="0.35">
      <c r="A245" s="2">
        <v>44194</v>
      </c>
      <c r="B245" s="3">
        <v>120.1648</v>
      </c>
      <c r="C245" s="3">
        <v>104.4258</v>
      </c>
    </row>
    <row r="246" spans="1:3" ht="13.9" x14ac:dyDescent="0.35">
      <c r="A246" s="2">
        <v>44195</v>
      </c>
      <c r="B246" s="3">
        <v>120.2598</v>
      </c>
      <c r="C246" s="3">
        <v>104.5373</v>
      </c>
    </row>
    <row r="247" spans="1:3" ht="13.9" x14ac:dyDescent="0.35">
      <c r="A247" s="2">
        <v>44196</v>
      </c>
      <c r="B247" s="3">
        <v>120.2792</v>
      </c>
      <c r="C247" s="3">
        <v>104.4235</v>
      </c>
    </row>
    <row r="248" spans="1:3" ht="13.9" x14ac:dyDescent="0.35">
      <c r="A248" s="2">
        <v>44200</v>
      </c>
      <c r="B248" s="3">
        <v>120.24160000000001</v>
      </c>
      <c r="C248" s="3">
        <v>104.44589999999999</v>
      </c>
    </row>
    <row r="249" spans="1:3" ht="13.9" x14ac:dyDescent="0.35">
      <c r="A249" s="2">
        <v>44201</v>
      </c>
      <c r="B249" s="3">
        <v>120.3246</v>
      </c>
      <c r="C249" s="3">
        <v>104.46420000000001</v>
      </c>
    </row>
    <row r="250" spans="1:3" ht="13.9" x14ac:dyDescent="0.35">
      <c r="A250" s="2">
        <v>44202</v>
      </c>
      <c r="B250" s="3">
        <v>120.38200000000001</v>
      </c>
      <c r="C250" s="3">
        <v>104.1264</v>
      </c>
    </row>
    <row r="251" spans="1:3" ht="13.9" x14ac:dyDescent="0.35">
      <c r="A251" s="2">
        <v>44203</v>
      </c>
      <c r="B251" s="3">
        <v>120.4636</v>
      </c>
      <c r="C251" s="3">
        <v>103.88800000000001</v>
      </c>
    </row>
    <row r="252" spans="1:3" ht="13.9" x14ac:dyDescent="0.35">
      <c r="A252" s="2">
        <v>44204</v>
      </c>
      <c r="B252" s="3">
        <v>120.4734</v>
      </c>
      <c r="C252" s="3">
        <v>103.699</v>
      </c>
    </row>
    <row r="253" spans="1:3" ht="13.9" x14ac:dyDescent="0.35">
      <c r="A253" s="2">
        <v>44207</v>
      </c>
      <c r="B253" s="3">
        <v>120.4669</v>
      </c>
      <c r="C253" s="3">
        <v>103.63079999999999</v>
      </c>
    </row>
    <row r="254" spans="1:3" ht="13.9" x14ac:dyDescent="0.35">
      <c r="A254" s="2">
        <v>44208</v>
      </c>
      <c r="B254" s="3">
        <v>120.5198</v>
      </c>
      <c r="C254" s="3">
        <v>103.5462</v>
      </c>
    </row>
    <row r="255" spans="1:3" ht="13.9" x14ac:dyDescent="0.35">
      <c r="A255" s="2">
        <v>44209</v>
      </c>
      <c r="B255" s="3">
        <v>120.62220000000001</v>
      </c>
      <c r="C255" s="3">
        <v>103.5913</v>
      </c>
    </row>
    <row r="256" spans="1:3" ht="13.9" x14ac:dyDescent="0.35">
      <c r="A256" s="2">
        <v>44210</v>
      </c>
      <c r="B256" s="3">
        <v>120.6793</v>
      </c>
      <c r="C256" s="3">
        <v>103.7158</v>
      </c>
    </row>
    <row r="257" spans="1:3" ht="13.9" x14ac:dyDescent="0.35">
      <c r="A257" s="2">
        <v>44211</v>
      </c>
      <c r="B257" s="3">
        <v>120.5864</v>
      </c>
      <c r="C257" s="3">
        <v>103.79989999999999</v>
      </c>
    </row>
    <row r="258" spans="1:3" ht="13.9" x14ac:dyDescent="0.35">
      <c r="A258" s="2">
        <v>44214</v>
      </c>
      <c r="B258" s="3">
        <v>120.4782</v>
      </c>
      <c r="C258" s="3">
        <v>103.8364</v>
      </c>
    </row>
    <row r="259" spans="1:3" ht="13.9" x14ac:dyDescent="0.35">
      <c r="A259" s="2">
        <v>44215</v>
      </c>
      <c r="B259" s="3">
        <v>120.4791</v>
      </c>
      <c r="C259" s="3">
        <v>103.74769999999999</v>
      </c>
    </row>
    <row r="260" spans="1:3" ht="13.9" x14ac:dyDescent="0.35">
      <c r="A260" s="2">
        <v>44216</v>
      </c>
      <c r="B260" s="3">
        <v>120.50190000000001</v>
      </c>
      <c r="C260" s="3">
        <v>103.8788</v>
      </c>
    </row>
    <row r="261" spans="1:3" ht="13.9" x14ac:dyDescent="0.35">
      <c r="A261" s="2">
        <v>44217</v>
      </c>
      <c r="B261" s="3">
        <v>120.58110000000001</v>
      </c>
      <c r="C261" s="3">
        <v>104.01349999999999</v>
      </c>
    </row>
    <row r="262" spans="1:3" ht="13.9" x14ac:dyDescent="0.35">
      <c r="A262" s="2">
        <v>44218</v>
      </c>
      <c r="B262" s="3">
        <v>120.5984</v>
      </c>
      <c r="C262" s="3">
        <v>103.9198</v>
      </c>
    </row>
    <row r="263" spans="1:3" ht="13.9" x14ac:dyDescent="0.35">
      <c r="A263" s="2">
        <v>44221</v>
      </c>
      <c r="B263" s="3">
        <v>120.5782</v>
      </c>
      <c r="C263" s="3">
        <v>104.06310000000001</v>
      </c>
    </row>
    <row r="264" spans="1:3" ht="13.9" x14ac:dyDescent="0.35">
      <c r="A264" s="2">
        <v>44222</v>
      </c>
      <c r="B264" s="3">
        <v>120.4585</v>
      </c>
      <c r="C264" s="3">
        <v>104.3528</v>
      </c>
    </row>
    <row r="265" spans="1:3" ht="13.9" x14ac:dyDescent="0.35">
      <c r="A265" s="2">
        <v>44223</v>
      </c>
      <c r="B265" s="3">
        <v>120.4393</v>
      </c>
      <c r="C265" s="3">
        <v>104.2851</v>
      </c>
    </row>
    <row r="266" spans="1:3" ht="13.9" x14ac:dyDescent="0.35">
      <c r="A266" s="2">
        <v>44224</v>
      </c>
      <c r="B266" s="3">
        <v>120.3163</v>
      </c>
      <c r="C266" s="3">
        <v>104.37990000000001</v>
      </c>
    </row>
    <row r="267" spans="1:3" ht="13.9" x14ac:dyDescent="0.35">
      <c r="A267" s="2">
        <v>44225</v>
      </c>
      <c r="B267" s="3">
        <v>120.2872</v>
      </c>
      <c r="C267" s="3">
        <v>104.27079999999999</v>
      </c>
    </row>
    <row r="268" spans="1:3" ht="13.9" x14ac:dyDescent="0.35">
      <c r="A268" s="2">
        <v>44228</v>
      </c>
      <c r="B268" s="3">
        <v>120.34229999999999</v>
      </c>
      <c r="C268" s="3">
        <v>104.1734</v>
      </c>
    </row>
    <row r="269" spans="1:3" ht="13.9" x14ac:dyDescent="0.35">
      <c r="A269" s="2">
        <v>44229</v>
      </c>
      <c r="B269" s="3">
        <v>120.36669999999999</v>
      </c>
      <c r="C269" s="3">
        <v>104.1983</v>
      </c>
    </row>
    <row r="270" spans="1:3" ht="13.9" x14ac:dyDescent="0.35">
      <c r="A270" s="2">
        <v>44230</v>
      </c>
      <c r="B270" s="3">
        <v>120.27509999999999</v>
      </c>
      <c r="C270" s="3">
        <v>104.21210000000001</v>
      </c>
    </row>
    <row r="271" spans="1:3" ht="13.9" x14ac:dyDescent="0.35">
      <c r="A271" s="2">
        <v>44231</v>
      </c>
      <c r="B271" s="3">
        <v>120.21810000000001</v>
      </c>
      <c r="C271" s="3">
        <v>104.1823</v>
      </c>
    </row>
    <row r="272" spans="1:3" ht="13.9" x14ac:dyDescent="0.35">
      <c r="A272" s="2">
        <v>44232</v>
      </c>
      <c r="B272" s="3">
        <v>120.2081</v>
      </c>
      <c r="C272" s="3">
        <v>104.3053</v>
      </c>
    </row>
    <row r="273" spans="1:3" ht="13.9" x14ac:dyDescent="0.35">
      <c r="A273" s="2">
        <v>44235</v>
      </c>
      <c r="B273" s="3">
        <v>120.1917</v>
      </c>
      <c r="C273" s="3">
        <v>104.0676</v>
      </c>
    </row>
    <row r="274" spans="1:3" ht="13.9" x14ac:dyDescent="0.35">
      <c r="A274" s="2">
        <v>44236</v>
      </c>
      <c r="B274" s="3">
        <v>120.22199999999999</v>
      </c>
      <c r="C274" s="3">
        <v>104.17740000000001</v>
      </c>
    </row>
    <row r="275" spans="1:3" ht="13.9" x14ac:dyDescent="0.35">
      <c r="A275" s="2">
        <v>44237</v>
      </c>
      <c r="B275" s="3">
        <v>120.19759999999999</v>
      </c>
      <c r="C275" s="3">
        <v>104.1069</v>
      </c>
    </row>
    <row r="276" spans="1:3" ht="13.9" x14ac:dyDescent="0.35">
      <c r="A276" s="2">
        <v>44245</v>
      </c>
      <c r="B276" s="3">
        <v>120.0926</v>
      </c>
      <c r="C276" s="3">
        <v>104.0437</v>
      </c>
    </row>
    <row r="277" spans="1:3" ht="13.9" x14ac:dyDescent="0.35">
      <c r="A277" s="2">
        <v>44246</v>
      </c>
      <c r="B277" s="3">
        <v>120.1648</v>
      </c>
      <c r="C277" s="3">
        <v>104.0427</v>
      </c>
    </row>
    <row r="278" spans="1:3" ht="13.9" x14ac:dyDescent="0.35">
      <c r="A278" s="2">
        <v>44249</v>
      </c>
      <c r="B278" s="3">
        <v>120.1601</v>
      </c>
      <c r="C278" s="3">
        <v>103.76049999999999</v>
      </c>
    </row>
    <row r="279" spans="1:3" ht="13.9" x14ac:dyDescent="0.35">
      <c r="A279" s="2">
        <v>44250</v>
      </c>
      <c r="B279" s="3">
        <v>120.18340000000001</v>
      </c>
      <c r="C279" s="3">
        <v>104.1525</v>
      </c>
    </row>
    <row r="280" spans="1:3" ht="13.9" x14ac:dyDescent="0.35">
      <c r="A280" s="2">
        <v>44251</v>
      </c>
      <c r="B280" s="3">
        <v>120.2206</v>
      </c>
      <c r="C280" s="3">
        <v>104.0063</v>
      </c>
    </row>
    <row r="281" spans="1:3" ht="13.9" x14ac:dyDescent="0.35">
      <c r="A281" s="2">
        <v>44252</v>
      </c>
      <c r="B281" s="3">
        <v>120.1974</v>
      </c>
      <c r="C281" s="3">
        <v>103.7192</v>
      </c>
    </row>
    <row r="282" spans="1:3" ht="13.9" x14ac:dyDescent="0.35">
      <c r="A282" s="2">
        <v>44253</v>
      </c>
      <c r="B282" s="3">
        <v>120.1545</v>
      </c>
      <c r="C282" s="3">
        <v>103.3413</v>
      </c>
    </row>
    <row r="283" spans="1:3" ht="13.9" x14ac:dyDescent="0.35">
      <c r="A283" s="2">
        <v>44256</v>
      </c>
      <c r="B283" s="3">
        <v>120.2158</v>
      </c>
      <c r="C283" s="3">
        <v>103.7568</v>
      </c>
    </row>
    <row r="284" spans="1:3" ht="13.9" x14ac:dyDescent="0.35">
      <c r="A284" s="2">
        <v>44257</v>
      </c>
      <c r="B284" s="3">
        <v>120.227</v>
      </c>
      <c r="C284" s="3">
        <v>103.664</v>
      </c>
    </row>
    <row r="285" spans="1:3" ht="13.9" x14ac:dyDescent="0.35">
      <c r="A285" s="2">
        <v>44258</v>
      </c>
      <c r="B285" s="3">
        <v>120.2205</v>
      </c>
      <c r="C285" s="3">
        <v>103.6384</v>
      </c>
    </row>
    <row r="286" spans="1:3" ht="13.9" x14ac:dyDescent="0.35">
      <c r="A286" s="2">
        <v>44259</v>
      </c>
      <c r="B286" s="3">
        <v>120.2114</v>
      </c>
      <c r="C286" s="3">
        <v>103.42059999999999</v>
      </c>
    </row>
    <row r="287" spans="1:3" ht="13.9" x14ac:dyDescent="0.35">
      <c r="A287" s="2">
        <v>44260</v>
      </c>
      <c r="B287" s="3">
        <v>120.2563</v>
      </c>
      <c r="C287" s="3">
        <v>103.07680000000001</v>
      </c>
    </row>
    <row r="288" spans="1:3" ht="13.9" x14ac:dyDescent="0.35">
      <c r="A288" s="2">
        <v>44263</v>
      </c>
      <c r="B288" s="3">
        <v>120.2805</v>
      </c>
      <c r="C288" s="3">
        <v>102.91849999999999</v>
      </c>
    </row>
    <row r="289" spans="1:3" ht="13.9" x14ac:dyDescent="0.35">
      <c r="A289" s="2">
        <v>44264</v>
      </c>
      <c r="B289" s="3">
        <v>120.2796</v>
      </c>
      <c r="C289" s="3">
        <v>102.9431</v>
      </c>
    </row>
    <row r="290" spans="1:3" ht="13.9" x14ac:dyDescent="0.35">
      <c r="A290" s="2">
        <v>44265</v>
      </c>
      <c r="B290" s="3">
        <v>120.3095</v>
      </c>
      <c r="C290" s="3">
        <v>103.0992</v>
      </c>
    </row>
    <row r="291" spans="1:3" ht="13.9" x14ac:dyDescent="0.35">
      <c r="A291" s="2">
        <v>44266</v>
      </c>
      <c r="B291" s="3">
        <v>120.3188</v>
      </c>
      <c r="C291" s="3">
        <v>103.0488</v>
      </c>
    </row>
    <row r="292" spans="1:3" ht="13.9" x14ac:dyDescent="0.35">
      <c r="A292" s="2">
        <v>44267</v>
      </c>
      <c r="B292" s="3">
        <v>120.3036</v>
      </c>
      <c r="C292" s="3">
        <v>102.9241</v>
      </c>
    </row>
    <row r="293" spans="1:3" ht="13.9" x14ac:dyDescent="0.35">
      <c r="A293" s="2">
        <v>44270</v>
      </c>
      <c r="B293" s="3">
        <v>120.28</v>
      </c>
      <c r="C293" s="3">
        <v>102.6096</v>
      </c>
    </row>
    <row r="294" spans="1:3" ht="13.9" x14ac:dyDescent="0.35">
      <c r="A294" s="2">
        <v>44271</v>
      </c>
      <c r="B294" s="3">
        <v>120.2834</v>
      </c>
      <c r="C294" s="3">
        <v>102.8365</v>
      </c>
    </row>
    <row r="295" spans="1:3" ht="13.9" x14ac:dyDescent="0.35">
      <c r="A295" s="2">
        <v>44272</v>
      </c>
      <c r="B295" s="3">
        <v>120.3164</v>
      </c>
      <c r="C295" s="3">
        <v>102.7824</v>
      </c>
    </row>
    <row r="296" spans="1:3" ht="13.9" x14ac:dyDescent="0.35">
      <c r="A296" s="2">
        <v>44273</v>
      </c>
      <c r="B296" s="3">
        <v>120.31529999999999</v>
      </c>
      <c r="C296" s="3">
        <v>102.76309999999999</v>
      </c>
    </row>
    <row r="297" spans="1:3" ht="13.9" x14ac:dyDescent="0.35">
      <c r="A297" s="2">
        <v>44274</v>
      </c>
      <c r="B297" s="3">
        <v>120.3573</v>
      </c>
      <c r="C297" s="3">
        <v>102.6795</v>
      </c>
    </row>
    <row r="298" spans="1:3" ht="13.9" x14ac:dyDescent="0.35">
      <c r="A298" s="2">
        <v>44277</v>
      </c>
      <c r="B298" s="3">
        <v>120.3886</v>
      </c>
      <c r="C298" s="3">
        <v>102.8103</v>
      </c>
    </row>
    <row r="299" spans="1:3" ht="13.9" x14ac:dyDescent="0.35">
      <c r="A299" s="2">
        <v>44278</v>
      </c>
      <c r="B299" s="3">
        <v>120.4025</v>
      </c>
      <c r="C299" s="3">
        <v>102.85339999999999</v>
      </c>
    </row>
    <row r="300" spans="1:3" ht="13.9" x14ac:dyDescent="0.35">
      <c r="A300" s="2">
        <v>44279</v>
      </c>
      <c r="B300" s="3">
        <v>120.4832</v>
      </c>
      <c r="C300" s="3">
        <v>103.1049</v>
      </c>
    </row>
    <row r="301" spans="1:3" ht="13.9" x14ac:dyDescent="0.35">
      <c r="A301" s="2">
        <v>44280</v>
      </c>
      <c r="B301" s="3">
        <v>120.4937</v>
      </c>
      <c r="C301" s="3">
        <v>103.0232</v>
      </c>
    </row>
    <row r="302" spans="1:3" ht="13.9" x14ac:dyDescent="0.35">
      <c r="A302" s="2">
        <v>44281</v>
      </c>
      <c r="B302" s="3">
        <v>120.4772</v>
      </c>
      <c r="C302" s="3">
        <v>103.00839999999999</v>
      </c>
    </row>
    <row r="303" spans="1:3" ht="13.9" x14ac:dyDescent="0.35">
      <c r="A303" s="2">
        <v>44284</v>
      </c>
      <c r="B303" s="3">
        <v>120.4837</v>
      </c>
      <c r="C303" s="3">
        <v>102.9148</v>
      </c>
    </row>
    <row r="304" spans="1:3" ht="13.9" x14ac:dyDescent="0.35">
      <c r="A304" s="2">
        <v>44285</v>
      </c>
      <c r="B304" s="3">
        <v>120.4836</v>
      </c>
      <c r="C304" s="3">
        <v>102.5579</v>
      </c>
    </row>
    <row r="305" spans="1:3" ht="13.9" x14ac:dyDescent="0.35">
      <c r="A305" s="2">
        <v>44286</v>
      </c>
      <c r="B305" s="3">
        <v>120.5219</v>
      </c>
      <c r="C305" s="3">
        <v>102.6853</v>
      </c>
    </row>
    <row r="306" spans="1:3" ht="13.9" x14ac:dyDescent="0.35">
      <c r="A306" s="2">
        <v>44287</v>
      </c>
      <c r="B306" s="3">
        <v>120.52160000000001</v>
      </c>
      <c r="C306" s="3">
        <v>102.64449999999999</v>
      </c>
    </row>
    <row r="307" spans="1:3" ht="13.9" x14ac:dyDescent="0.35">
      <c r="A307" s="2">
        <v>44288</v>
      </c>
      <c r="B307" s="3">
        <v>120.547</v>
      </c>
      <c r="C307" s="3">
        <v>102.7619</v>
      </c>
    </row>
    <row r="308" spans="1:3" ht="13.9" x14ac:dyDescent="0.35">
      <c r="A308" s="2">
        <v>44292</v>
      </c>
      <c r="B308" s="3">
        <v>120.5488</v>
      </c>
      <c r="C308" s="3">
        <v>102.7538</v>
      </c>
    </row>
    <row r="309" spans="1:3" ht="13.9" x14ac:dyDescent="0.35">
      <c r="A309" s="2">
        <v>44293</v>
      </c>
      <c r="B309" s="3">
        <v>120.5299</v>
      </c>
      <c r="C309" s="3">
        <v>102.67319999999999</v>
      </c>
    </row>
    <row r="310" spans="1:3" ht="13.9" x14ac:dyDescent="0.35">
      <c r="A310" s="2">
        <v>44294</v>
      </c>
      <c r="B310" s="3">
        <v>120.5258</v>
      </c>
      <c r="C310" s="3">
        <v>102.4221</v>
      </c>
    </row>
    <row r="311" spans="1:3" ht="13.9" x14ac:dyDescent="0.35">
      <c r="A311" s="2">
        <v>44295</v>
      </c>
      <c r="B311" s="3">
        <v>120.5408</v>
      </c>
      <c r="C311" s="3">
        <v>102.4098</v>
      </c>
    </row>
    <row r="312" spans="1:3" ht="13.9" x14ac:dyDescent="0.35">
      <c r="A312" s="2">
        <v>44298</v>
      </c>
      <c r="B312" s="3">
        <v>120.5628</v>
      </c>
      <c r="C312" s="3">
        <v>102.3449</v>
      </c>
    </row>
    <row r="313" spans="1:3" ht="13.9" x14ac:dyDescent="0.35">
      <c r="A313" s="2">
        <v>44299</v>
      </c>
      <c r="B313" s="3">
        <v>120.6615</v>
      </c>
      <c r="C313" s="3">
        <v>101.91330000000001</v>
      </c>
    </row>
    <row r="314" spans="1:3" ht="13.9" x14ac:dyDescent="0.35">
      <c r="A314" s="2">
        <v>44300</v>
      </c>
      <c r="B314" s="3">
        <v>120.6901</v>
      </c>
      <c r="C314" s="3">
        <v>101.8205</v>
      </c>
    </row>
    <row r="315" spans="1:3" ht="13.9" x14ac:dyDescent="0.35">
      <c r="A315" s="2">
        <v>44301</v>
      </c>
      <c r="B315" s="3">
        <v>120.7269</v>
      </c>
      <c r="C315" s="3">
        <v>101.239</v>
      </c>
    </row>
    <row r="316" spans="1:3" ht="13.9" x14ac:dyDescent="0.35">
      <c r="A316" s="2">
        <v>44302</v>
      </c>
      <c r="B316" s="3">
        <v>120.74550000000001</v>
      </c>
      <c r="C316" s="3">
        <v>101.7201</v>
      </c>
    </row>
    <row r="317" spans="1:3" ht="13.9" x14ac:dyDescent="0.35">
      <c r="A317" s="2">
        <v>44305</v>
      </c>
      <c r="B317" s="3">
        <v>120.7666</v>
      </c>
      <c r="C317" s="3">
        <v>102.07040000000001</v>
      </c>
    </row>
    <row r="318" spans="1:3" ht="13.9" x14ac:dyDescent="0.35">
      <c r="A318" s="2">
        <v>44306</v>
      </c>
      <c r="B318" s="3">
        <v>120.8098</v>
      </c>
      <c r="C318" s="3">
        <v>102.01090000000001</v>
      </c>
    </row>
    <row r="319" spans="1:3" ht="13.9" x14ac:dyDescent="0.35">
      <c r="A319" s="2">
        <v>44307</v>
      </c>
      <c r="B319" s="3">
        <v>120.84820000000001</v>
      </c>
      <c r="C319" s="3">
        <v>102.09699999999999</v>
      </c>
    </row>
    <row r="320" spans="1:3" ht="13.9" x14ac:dyDescent="0.35">
      <c r="A320" s="2">
        <v>44308</v>
      </c>
      <c r="B320" s="3">
        <v>120.82899999999999</v>
      </c>
      <c r="C320" s="3">
        <v>102.2281</v>
      </c>
    </row>
    <row r="321" spans="1:3" ht="13.9" x14ac:dyDescent="0.35">
      <c r="A321" s="2">
        <v>44309</v>
      </c>
      <c r="B321" s="3">
        <v>120.79900000000001</v>
      </c>
      <c r="C321" s="3">
        <v>102.0772</v>
      </c>
    </row>
    <row r="322" spans="1:3" ht="13.9" x14ac:dyDescent="0.35">
      <c r="A322" s="2">
        <v>44312</v>
      </c>
      <c r="B322" s="3">
        <v>120.70399999999999</v>
      </c>
      <c r="C322" s="3">
        <v>101.961</v>
      </c>
    </row>
    <row r="323" spans="1:3" ht="13.9" x14ac:dyDescent="0.35">
      <c r="A323" s="2">
        <v>44313</v>
      </c>
      <c r="B323" s="3">
        <v>120.67359999999999</v>
      </c>
      <c r="C323" s="3">
        <v>101.8682</v>
      </c>
    </row>
    <row r="324" spans="1:3" ht="13.9" x14ac:dyDescent="0.35">
      <c r="A324" s="2">
        <v>44314</v>
      </c>
      <c r="B324" s="3">
        <v>120.6639</v>
      </c>
      <c r="C324" s="3">
        <v>101.7196</v>
      </c>
    </row>
    <row r="325" spans="1:3" ht="13.9" x14ac:dyDescent="0.35">
      <c r="A325" s="2">
        <v>44315</v>
      </c>
      <c r="B325" s="3">
        <v>120.6861</v>
      </c>
      <c r="C325" s="3">
        <v>101.80159999999999</v>
      </c>
    </row>
    <row r="326" spans="1:3" ht="13.9" x14ac:dyDescent="0.35">
      <c r="A326" s="2">
        <v>44316</v>
      </c>
      <c r="B326" s="3">
        <v>120.7244</v>
      </c>
      <c r="C326" s="3">
        <v>101.74469999999999</v>
      </c>
    </row>
    <row r="327" spans="1:3" ht="13.9" x14ac:dyDescent="0.35">
      <c r="A327" s="2">
        <v>44322</v>
      </c>
      <c r="B327" s="3">
        <v>120.8065</v>
      </c>
      <c r="C327" s="3">
        <v>101.91759999999999</v>
      </c>
    </row>
    <row r="328" spans="1:3" ht="13.9" x14ac:dyDescent="0.35">
      <c r="A328" s="2">
        <v>44323</v>
      </c>
      <c r="B328" s="3">
        <v>120.85639999999999</v>
      </c>
      <c r="C328" s="3">
        <v>101.8574</v>
      </c>
    </row>
    <row r="329" spans="1:3" ht="13.9" x14ac:dyDescent="0.35">
      <c r="A329" s="2">
        <v>44326</v>
      </c>
      <c r="B329" s="3">
        <v>120.8792</v>
      </c>
      <c r="C329" s="3">
        <v>101.9199</v>
      </c>
    </row>
    <row r="330" spans="1:3" ht="13.9" x14ac:dyDescent="0.35">
      <c r="A330" s="2">
        <v>44327</v>
      </c>
      <c r="B330" s="3">
        <v>120.92610000000001</v>
      </c>
      <c r="C330" s="3">
        <v>101.8464</v>
      </c>
    </row>
    <row r="331" spans="1:3" ht="13.9" x14ac:dyDescent="0.35">
      <c r="A331" s="2">
        <v>44328</v>
      </c>
      <c r="B331" s="3">
        <v>120.96720000000001</v>
      </c>
      <c r="C331" s="3">
        <v>101.6845</v>
      </c>
    </row>
    <row r="332" spans="1:3" ht="13.9" x14ac:dyDescent="0.35">
      <c r="A332" s="2">
        <v>44329</v>
      </c>
      <c r="B332" s="3">
        <v>120.9469</v>
      </c>
      <c r="C332" s="3">
        <v>101.361</v>
      </c>
    </row>
    <row r="333" spans="1:3" ht="13.9" x14ac:dyDescent="0.35">
      <c r="A333" s="2">
        <v>44330</v>
      </c>
      <c r="B333" s="3">
        <v>120.9584</v>
      </c>
      <c r="C333" s="3">
        <v>101.53319999999999</v>
      </c>
    </row>
    <row r="334" spans="1:3" ht="13.9" x14ac:dyDescent="0.35">
      <c r="A334" s="2">
        <v>44333</v>
      </c>
      <c r="B334" s="3">
        <v>120.93989999999999</v>
      </c>
      <c r="C334" s="3">
        <v>101.52160000000001</v>
      </c>
    </row>
    <row r="335" spans="1:3" ht="13.9" x14ac:dyDescent="0.35">
      <c r="A335" s="2">
        <v>44334</v>
      </c>
      <c r="B335" s="3">
        <v>120.9522</v>
      </c>
      <c r="C335" s="3">
        <v>101.4481</v>
      </c>
    </row>
    <row r="336" spans="1:3" ht="13.9" x14ac:dyDescent="0.35">
      <c r="A336" s="2">
        <v>44335</v>
      </c>
      <c r="B336" s="3">
        <v>121.0043</v>
      </c>
      <c r="C336" s="3">
        <v>101.337</v>
      </c>
    </row>
    <row r="337" spans="1:3" ht="13.9" x14ac:dyDescent="0.35">
      <c r="A337" s="2">
        <v>44336</v>
      </c>
      <c r="B337" s="3">
        <v>121.0767</v>
      </c>
      <c r="C337" s="3">
        <v>101.16249999999999</v>
      </c>
    </row>
    <row r="338" spans="1:3" ht="13.9" x14ac:dyDescent="0.35">
      <c r="A338" s="2">
        <v>44337</v>
      </c>
      <c r="B338" s="3">
        <v>121.13630000000001</v>
      </c>
      <c r="C338" s="3">
        <v>101.3524</v>
      </c>
    </row>
    <row r="339" spans="1:3" ht="13.9" x14ac:dyDescent="0.35">
      <c r="A339" s="2">
        <v>44340</v>
      </c>
      <c r="B339" s="3">
        <v>121.1283</v>
      </c>
      <c r="C339" s="3">
        <v>101.34399999999999</v>
      </c>
    </row>
    <row r="340" spans="1:3" ht="13.9" x14ac:dyDescent="0.35">
      <c r="A340" s="2">
        <v>44341</v>
      </c>
      <c r="B340" s="3">
        <v>121.1172</v>
      </c>
      <c r="C340" s="3">
        <v>101.49420000000001</v>
      </c>
    </row>
    <row r="341" spans="1:3" ht="13.9" x14ac:dyDescent="0.35">
      <c r="A341" s="2">
        <v>44342</v>
      </c>
      <c r="B341" s="3">
        <v>121.1554</v>
      </c>
      <c r="C341" s="3">
        <v>101.611</v>
      </c>
    </row>
    <row r="342" spans="1:3" ht="13.9" x14ac:dyDescent="0.35">
      <c r="A342" s="2">
        <v>44343</v>
      </c>
      <c r="B342" s="3">
        <v>121.128</v>
      </c>
      <c r="C342" s="3">
        <v>101.6516</v>
      </c>
    </row>
    <row r="343" spans="1:3" ht="13.9" x14ac:dyDescent="0.35">
      <c r="A343" s="2">
        <v>44344</v>
      </c>
      <c r="B343" s="3">
        <v>121.09569999999999</v>
      </c>
      <c r="C343" s="3">
        <v>101.5193</v>
      </c>
    </row>
    <row r="344" spans="1:3" ht="13.9" x14ac:dyDescent="0.35">
      <c r="A344" s="2">
        <v>44347</v>
      </c>
      <c r="B344" s="3">
        <v>121.1159</v>
      </c>
      <c r="C344" s="3">
        <v>101.60939999999999</v>
      </c>
    </row>
    <row r="345" spans="1:3" ht="13.9" x14ac:dyDescent="0.35">
      <c r="A345" s="2">
        <v>44348</v>
      </c>
      <c r="B345" s="3">
        <v>121.13939999999999</v>
      </c>
      <c r="C345" s="3">
        <v>101.50960000000001</v>
      </c>
    </row>
    <row r="346" spans="1:3" ht="13.9" x14ac:dyDescent="0.35">
      <c r="A346" s="2">
        <v>44349</v>
      </c>
      <c r="B346" s="3">
        <v>121.11409999999999</v>
      </c>
      <c r="C346" s="3">
        <v>101.5317</v>
      </c>
    </row>
    <row r="347" spans="1:3" ht="13.9" x14ac:dyDescent="0.35">
      <c r="A347" s="2">
        <v>44350</v>
      </c>
      <c r="B347" s="3">
        <v>121.14</v>
      </c>
      <c r="C347" s="3">
        <v>101.5341</v>
      </c>
    </row>
    <row r="348" spans="1:3" ht="13.9" x14ac:dyDescent="0.35">
      <c r="A348" s="2">
        <v>44351</v>
      </c>
      <c r="B348" s="3">
        <v>121.0599</v>
      </c>
      <c r="C348" s="3">
        <v>101.47709999999999</v>
      </c>
    </row>
    <row r="349" spans="1:3" x14ac:dyDescent="0.3">
      <c r="A349" s="4">
        <v>44354</v>
      </c>
      <c r="B349" s="5">
        <v>120.95569999999999</v>
      </c>
      <c r="C349" s="5">
        <v>101.834</v>
      </c>
    </row>
    <row r="350" spans="1:3" x14ac:dyDescent="0.3">
      <c r="A350" s="4">
        <v>44355</v>
      </c>
      <c r="B350" s="5">
        <v>120.9632</v>
      </c>
      <c r="C350" s="5">
        <v>101.9235</v>
      </c>
    </row>
    <row r="351" spans="1:3" x14ac:dyDescent="0.3">
      <c r="A351" s="4">
        <v>44356</v>
      </c>
      <c r="B351" s="5">
        <v>120.95610000000001</v>
      </c>
      <c r="C351" s="5">
        <v>102.01</v>
      </c>
    </row>
    <row r="352" spans="1:3" x14ac:dyDescent="0.3">
      <c r="A352" s="4">
        <v>44357</v>
      </c>
      <c r="B352" s="5">
        <v>120.9819</v>
      </c>
      <c r="C352" s="5">
        <v>102.11450000000001</v>
      </c>
    </row>
    <row r="353" spans="1:3" x14ac:dyDescent="0.3">
      <c r="A353" s="4">
        <v>44358</v>
      </c>
      <c r="B353" s="5">
        <v>120.9374</v>
      </c>
      <c r="C353" s="5">
        <v>102.2205</v>
      </c>
    </row>
    <row r="354" spans="1:3" x14ac:dyDescent="0.3">
      <c r="A354" s="4">
        <v>44362</v>
      </c>
      <c r="B354" s="5">
        <v>120.9293</v>
      </c>
      <c r="C354" s="5">
        <v>102.06959999999999</v>
      </c>
    </row>
    <row r="355" spans="1:3" x14ac:dyDescent="0.3">
      <c r="A355" s="4">
        <v>44363</v>
      </c>
      <c r="B355" s="5">
        <v>120.9025</v>
      </c>
      <c r="C355" s="5">
        <v>102.003</v>
      </c>
    </row>
    <row r="356" spans="1:3" x14ac:dyDescent="0.3">
      <c r="A356" s="4">
        <v>44364</v>
      </c>
      <c r="B356" s="5">
        <v>120.8351</v>
      </c>
      <c r="C356" s="5">
        <v>101.7525</v>
      </c>
    </row>
    <row r="357" spans="1:3" x14ac:dyDescent="0.3">
      <c r="A357" s="4">
        <v>44365</v>
      </c>
      <c r="B357" s="5">
        <v>120.8263</v>
      </c>
      <c r="C357" s="5">
        <v>102.05029999999999</v>
      </c>
    </row>
    <row r="358" spans="1:3" x14ac:dyDescent="0.3">
      <c r="A358" s="4">
        <v>44368</v>
      </c>
      <c r="B358" s="5">
        <v>120.87649999999999</v>
      </c>
      <c r="C358" s="5">
        <v>102.1902</v>
      </c>
    </row>
    <row r="359" spans="1:3" x14ac:dyDescent="0.3">
      <c r="A359" s="4">
        <v>44369</v>
      </c>
      <c r="B359" s="5">
        <v>120.87609999999999</v>
      </c>
      <c r="C359" s="5">
        <v>102.009</v>
      </c>
    </row>
    <row r="360" spans="1:3" x14ac:dyDescent="0.3">
      <c r="A360" s="4">
        <v>44370</v>
      </c>
      <c r="B360" s="5">
        <v>120.913</v>
      </c>
      <c r="C360" s="5">
        <v>102.1425</v>
      </c>
    </row>
    <row r="361" spans="1:3" x14ac:dyDescent="0.3">
      <c r="A361" s="4">
        <v>44371</v>
      </c>
      <c r="B361" s="5">
        <v>120.9409</v>
      </c>
      <c r="C361" s="5">
        <v>102.0491</v>
      </c>
    </row>
    <row r="362" spans="1:3" x14ac:dyDescent="0.3">
      <c r="A362" s="4">
        <v>44372</v>
      </c>
      <c r="B362" s="5">
        <v>120.9657</v>
      </c>
      <c r="C362" s="5">
        <v>102.0483</v>
      </c>
    </row>
    <row r="363" spans="1:3" x14ac:dyDescent="0.3">
      <c r="A363" s="4">
        <v>44375</v>
      </c>
      <c r="B363" s="5">
        <v>120.99979999999999</v>
      </c>
      <c r="C363" s="5">
        <v>101.9627</v>
      </c>
    </row>
    <row r="364" spans="1:3" x14ac:dyDescent="0.3">
      <c r="A364" s="4">
        <v>44376</v>
      </c>
      <c r="B364" s="5">
        <v>121.02800000000001</v>
      </c>
      <c r="C364" s="5">
        <v>102.1401</v>
      </c>
    </row>
    <row r="365" spans="1:3" x14ac:dyDescent="0.3">
      <c r="A365" s="4">
        <v>44377</v>
      </c>
      <c r="B365" s="5">
        <v>121.0638</v>
      </c>
      <c r="C365" s="5">
        <v>102.11320000000001</v>
      </c>
    </row>
    <row r="366" spans="1:3" x14ac:dyDescent="0.3">
      <c r="A366" s="4">
        <v>44378</v>
      </c>
      <c r="B366" s="5">
        <v>121.07510000000001</v>
      </c>
      <c r="C366" s="5">
        <v>102.1313</v>
      </c>
    </row>
    <row r="367" spans="1:3" x14ac:dyDescent="0.3">
      <c r="A367" s="4">
        <v>44379</v>
      </c>
      <c r="B367" s="5">
        <v>121.0851</v>
      </c>
      <c r="C367" s="5">
        <v>102.1771</v>
      </c>
    </row>
    <row r="368" spans="1:3" x14ac:dyDescent="0.3">
      <c r="A368" s="4">
        <v>44382</v>
      </c>
      <c r="B368" s="5">
        <v>121.145</v>
      </c>
      <c r="C368" s="5">
        <v>102.18989999999999</v>
      </c>
    </row>
    <row r="369" spans="1:3" x14ac:dyDescent="0.3">
      <c r="A369" s="4">
        <v>44383</v>
      </c>
      <c r="B369" s="5">
        <v>121.1434</v>
      </c>
      <c r="C369" s="5">
        <v>102.244</v>
      </c>
    </row>
    <row r="370" spans="1:3" x14ac:dyDescent="0.3">
      <c r="A370" s="4">
        <v>44384</v>
      </c>
      <c r="B370" s="5">
        <v>121.2298</v>
      </c>
      <c r="C370" s="5">
        <v>102.4742</v>
      </c>
    </row>
    <row r="371" spans="1:3" x14ac:dyDescent="0.3">
      <c r="A371" s="4">
        <v>44385</v>
      </c>
      <c r="B371" s="5">
        <v>121.51649999999999</v>
      </c>
      <c r="C371" s="5">
        <v>102.6426</v>
      </c>
    </row>
    <row r="372" spans="1:3" x14ac:dyDescent="0.3">
      <c r="A372" s="4">
        <v>44386</v>
      </c>
      <c r="B372" s="5">
        <v>121.497</v>
      </c>
      <c r="C372" s="5">
        <v>102.5005</v>
      </c>
    </row>
    <row r="373" spans="1:3" x14ac:dyDescent="0.3">
      <c r="A373" s="4">
        <v>44389</v>
      </c>
      <c r="B373" s="5">
        <v>121.6549</v>
      </c>
      <c r="C373" s="5">
        <v>102.3814</v>
      </c>
    </row>
    <row r="374" spans="1:3" x14ac:dyDescent="0.3">
      <c r="A374" s="4">
        <v>44390</v>
      </c>
      <c r="B374" s="5">
        <v>121.7333</v>
      </c>
      <c r="C374" s="5">
        <v>102.29689999999999</v>
      </c>
    </row>
    <row r="375" spans="1:3" x14ac:dyDescent="0.3">
      <c r="A375" s="4">
        <v>44391</v>
      </c>
      <c r="B375" s="5">
        <v>121.7817</v>
      </c>
      <c r="C375" s="5">
        <v>102.1703</v>
      </c>
    </row>
    <row r="376" spans="1:3" x14ac:dyDescent="0.3">
      <c r="A376" s="4">
        <v>44392</v>
      </c>
      <c r="B376" s="5">
        <v>121.7317</v>
      </c>
      <c r="C376" s="5">
        <v>102.4457</v>
      </c>
    </row>
    <row r="377" spans="1:3" x14ac:dyDescent="0.3">
      <c r="A377" s="4">
        <v>44393</v>
      </c>
      <c r="B377" s="5">
        <v>121.7564</v>
      </c>
      <c r="C377" s="5">
        <v>102.5514</v>
      </c>
    </row>
    <row r="378" spans="1:3" x14ac:dyDescent="0.3">
      <c r="A378" s="4">
        <v>44396</v>
      </c>
      <c r="B378" s="5">
        <v>121.7653</v>
      </c>
      <c r="C378" s="5">
        <v>102.76220000000001</v>
      </c>
    </row>
    <row r="379" spans="1:3" x14ac:dyDescent="0.3">
      <c r="A379" s="4">
        <v>44397</v>
      </c>
      <c r="B379" s="5">
        <v>121.8421</v>
      </c>
      <c r="C379" s="5">
        <v>103.0159</v>
      </c>
    </row>
    <row r="380" spans="1:3" x14ac:dyDescent="0.3">
      <c r="A380" s="4">
        <v>44398</v>
      </c>
      <c r="B380" s="5">
        <v>121.9157</v>
      </c>
      <c r="C380" s="5">
        <v>103.0861</v>
      </c>
    </row>
    <row r="381" spans="1:3" x14ac:dyDescent="0.3">
      <c r="A381" s="4">
        <v>44399</v>
      </c>
      <c r="B381" s="5">
        <v>121.9379</v>
      </c>
      <c r="C381" s="5">
        <v>102.8145</v>
      </c>
    </row>
    <row r="382" spans="1:3" x14ac:dyDescent="0.3">
      <c r="A382" s="4">
        <v>44400</v>
      </c>
      <c r="B382" s="5">
        <v>122.0095</v>
      </c>
      <c r="C382" s="5">
        <v>102.845</v>
      </c>
    </row>
    <row r="383" spans="1:3" x14ac:dyDescent="0.3">
      <c r="A383" s="4">
        <v>44403</v>
      </c>
      <c r="B383" s="5">
        <v>122.13339999999999</v>
      </c>
      <c r="C383" s="5">
        <v>102.9012</v>
      </c>
    </row>
    <row r="384" spans="1:3" x14ac:dyDescent="0.3">
      <c r="A384" s="4">
        <v>44404</v>
      </c>
      <c r="B384" s="5">
        <v>122.09220000000001</v>
      </c>
      <c r="C384" s="5">
        <v>102.7102</v>
      </c>
    </row>
    <row r="385" spans="1:3" x14ac:dyDescent="0.3">
      <c r="A385" s="4">
        <v>44405</v>
      </c>
      <c r="B385" s="5">
        <v>122.03870000000001</v>
      </c>
      <c r="C385" s="5">
        <v>102.8094</v>
      </c>
    </row>
    <row r="386" spans="1:3" x14ac:dyDescent="0.3">
      <c r="A386" s="4">
        <v>44406</v>
      </c>
      <c r="B386" s="5">
        <v>122.1138</v>
      </c>
      <c r="C386" s="5">
        <v>102.80289999999999</v>
      </c>
    </row>
    <row r="387" spans="1:3" x14ac:dyDescent="0.3">
      <c r="A387" s="4">
        <v>44407</v>
      </c>
      <c r="B387" s="5">
        <v>122.27500000000001</v>
      </c>
      <c r="C387" s="5">
        <v>102.7332</v>
      </c>
    </row>
    <row r="388" spans="1:3" x14ac:dyDescent="0.3">
      <c r="A388" s="4">
        <v>44410</v>
      </c>
      <c r="B388" s="5">
        <v>122.43259999999999</v>
      </c>
      <c r="C388" s="5">
        <v>102.76049999999999</v>
      </c>
    </row>
    <row r="389" spans="1:3" x14ac:dyDescent="0.3">
      <c r="A389" s="4">
        <v>44411</v>
      </c>
      <c r="B389" s="5">
        <v>122.4003</v>
      </c>
      <c r="C389" s="5">
        <v>102.9575</v>
      </c>
    </row>
    <row r="390" spans="1:3" x14ac:dyDescent="0.3">
      <c r="A390" s="4">
        <v>44412</v>
      </c>
      <c r="B390" s="5">
        <v>122.3698</v>
      </c>
      <c r="C390" s="5">
        <v>102.9841</v>
      </c>
    </row>
    <row r="391" spans="1:3" x14ac:dyDescent="0.3">
      <c r="A391" s="4">
        <v>44413</v>
      </c>
      <c r="B391" s="5">
        <v>122.4575</v>
      </c>
      <c r="C391" s="5">
        <v>102.9576</v>
      </c>
    </row>
    <row r="392" spans="1:3" x14ac:dyDescent="0.3">
      <c r="A392" s="4">
        <v>44414</v>
      </c>
      <c r="B392" s="5">
        <v>122.4483</v>
      </c>
      <c r="C392" s="5">
        <v>102.7813</v>
      </c>
    </row>
    <row r="393" spans="1:3" x14ac:dyDescent="0.3">
      <c r="A393" s="4">
        <v>44417</v>
      </c>
      <c r="B393" s="5">
        <v>122.29040000000001</v>
      </c>
      <c r="C393" s="5">
        <v>102.5946</v>
      </c>
    </row>
    <row r="394" spans="1:3" x14ac:dyDescent="0.3">
      <c r="A394" s="4">
        <v>44418</v>
      </c>
      <c r="B394" s="5">
        <v>122.2449</v>
      </c>
      <c r="C394" s="5">
        <v>102.5382</v>
      </c>
    </row>
    <row r="395" spans="1:3" x14ac:dyDescent="0.3">
      <c r="A395" s="4">
        <v>44419</v>
      </c>
      <c r="B395" s="5">
        <v>122.2212</v>
      </c>
      <c r="C395" s="5">
        <v>102.408</v>
      </c>
    </row>
    <row r="396" spans="1:3" x14ac:dyDescent="0.3">
      <c r="A396" s="4">
        <v>44420</v>
      </c>
      <c r="B396" s="5">
        <v>122.2796</v>
      </c>
      <c r="C396" s="5">
        <v>102.5757</v>
      </c>
    </row>
    <row r="397" spans="1:3" x14ac:dyDescent="0.3">
      <c r="A397" s="4">
        <v>44421</v>
      </c>
      <c r="B397" s="5">
        <v>122.23390000000001</v>
      </c>
      <c r="C397" s="5">
        <v>102.5476</v>
      </c>
    </row>
    <row r="398" spans="1:3" x14ac:dyDescent="0.3">
      <c r="A398" s="4">
        <v>44424</v>
      </c>
      <c r="B398" s="5">
        <v>122.20699999999999</v>
      </c>
      <c r="C398" s="5">
        <v>102.9928</v>
      </c>
    </row>
    <row r="399" spans="1:3" x14ac:dyDescent="0.3">
      <c r="A399" s="4">
        <v>44425</v>
      </c>
      <c r="B399" s="5">
        <v>122.2179</v>
      </c>
      <c r="C399" s="5">
        <v>103.08580000000001</v>
      </c>
    </row>
    <row r="400" spans="1:3" x14ac:dyDescent="0.3">
      <c r="A400" s="4">
        <v>44426</v>
      </c>
      <c r="B400" s="5">
        <v>122.3104</v>
      </c>
      <c r="C400" s="5">
        <v>103.11620000000001</v>
      </c>
    </row>
    <row r="401" spans="1:3" x14ac:dyDescent="0.3">
      <c r="A401" s="4">
        <v>44427</v>
      </c>
      <c r="B401" s="5">
        <v>122.36839999999999</v>
      </c>
      <c r="C401" s="5">
        <v>103.447</v>
      </c>
    </row>
    <row r="402" spans="1:3" x14ac:dyDescent="0.3">
      <c r="A402" s="4">
        <v>44428</v>
      </c>
      <c r="B402" s="5">
        <v>122.36539999999999</v>
      </c>
      <c r="C402" s="5">
        <v>103.41630000000001</v>
      </c>
    </row>
    <row r="403" spans="1:3" x14ac:dyDescent="0.3">
      <c r="A403" s="4">
        <v>44431</v>
      </c>
      <c r="B403" s="5">
        <v>122.2996</v>
      </c>
      <c r="C403" s="5">
        <v>103.3858</v>
      </c>
    </row>
    <row r="404" spans="1:3" x14ac:dyDescent="0.3">
      <c r="A404" s="4">
        <v>44432</v>
      </c>
      <c r="B404" s="5">
        <v>122.30200000000001</v>
      </c>
      <c r="C404" s="5">
        <v>103.3917</v>
      </c>
    </row>
    <row r="405" spans="1:3" x14ac:dyDescent="0.3">
      <c r="A405" s="4">
        <v>44433</v>
      </c>
      <c r="B405" s="5">
        <v>122.3165</v>
      </c>
      <c r="C405" s="5">
        <v>103.3535</v>
      </c>
    </row>
    <row r="406" spans="1:3" x14ac:dyDescent="0.3">
      <c r="A406" s="4">
        <v>44434</v>
      </c>
      <c r="B406" s="5">
        <v>122.22410000000001</v>
      </c>
      <c r="C406" s="5">
        <v>103.3458</v>
      </c>
    </row>
    <row r="407" spans="1:3" x14ac:dyDescent="0.3">
      <c r="A407" s="4">
        <v>44435</v>
      </c>
      <c r="B407" s="5">
        <v>122.233</v>
      </c>
      <c r="C407" s="5">
        <v>103.2011</v>
      </c>
    </row>
    <row r="408" spans="1:3" x14ac:dyDescent="0.3">
      <c r="A408" s="4">
        <v>44438</v>
      </c>
      <c r="B408" s="5">
        <v>122.2667</v>
      </c>
      <c r="C408" s="5">
        <v>103.20529999999999</v>
      </c>
    </row>
    <row r="409" spans="1:3" x14ac:dyDescent="0.3">
      <c r="A409" s="4">
        <v>44439</v>
      </c>
      <c r="B409" s="5">
        <v>122.29559999999999</v>
      </c>
      <c r="C409" s="5">
        <v>103.5882</v>
      </c>
    </row>
    <row r="410" spans="1:3" x14ac:dyDescent="0.3">
      <c r="A410" s="4">
        <v>44440</v>
      </c>
      <c r="B410" s="5">
        <v>122.3484</v>
      </c>
      <c r="C410" s="5">
        <v>103.4502</v>
      </c>
    </row>
    <row r="411" spans="1:3" x14ac:dyDescent="0.3">
      <c r="A411" s="4">
        <v>44441</v>
      </c>
      <c r="B411" s="5">
        <v>122.348</v>
      </c>
      <c r="C411" s="5">
        <v>103.5772</v>
      </c>
    </row>
    <row r="412" spans="1:3" x14ac:dyDescent="0.3">
      <c r="A412" s="4">
        <v>44442</v>
      </c>
      <c r="B412" s="5">
        <v>122.33799999999999</v>
      </c>
      <c r="C412" s="5">
        <v>103.6314</v>
      </c>
    </row>
    <row r="413" spans="1:3" x14ac:dyDescent="0.3">
      <c r="A413" s="4">
        <v>44445</v>
      </c>
      <c r="B413" s="5">
        <v>122.33799999999999</v>
      </c>
      <c r="C413" s="5">
        <v>103.5489</v>
      </c>
    </row>
    <row r="414" spans="1:3" x14ac:dyDescent="0.3">
      <c r="A414" s="4">
        <v>44446</v>
      </c>
      <c r="B414" s="5">
        <v>122.30459999999999</v>
      </c>
      <c r="C414" s="5">
        <v>103.51439999999999</v>
      </c>
    </row>
    <row r="415" spans="1:3" x14ac:dyDescent="0.3">
      <c r="A415" s="4">
        <v>44447</v>
      </c>
      <c r="B415" s="5">
        <v>122.2677</v>
      </c>
      <c r="C415" s="5">
        <v>103.4492</v>
      </c>
    </row>
    <row r="416" spans="1:3" x14ac:dyDescent="0.3">
      <c r="A416" s="4">
        <v>44448</v>
      </c>
      <c r="B416" s="5">
        <v>122.2423</v>
      </c>
      <c r="C416" s="5">
        <v>103.55029999999999</v>
      </c>
    </row>
    <row r="417" spans="1:3" x14ac:dyDescent="0.3">
      <c r="A417" s="4">
        <v>44449</v>
      </c>
      <c r="B417" s="5">
        <v>122.2158</v>
      </c>
      <c r="C417" s="5">
        <v>103.6285</v>
      </c>
    </row>
    <row r="418" spans="1:3" x14ac:dyDescent="0.3">
      <c r="A418" s="4">
        <v>44452</v>
      </c>
      <c r="B418" s="5">
        <v>122.1957</v>
      </c>
      <c r="C418" s="5">
        <v>103.5029</v>
      </c>
    </row>
    <row r="419" spans="1:3" x14ac:dyDescent="0.3">
      <c r="A419" s="4">
        <v>44453</v>
      </c>
      <c r="B419" s="5">
        <v>122.137</v>
      </c>
      <c r="C419" s="5">
        <v>103.52679999999999</v>
      </c>
    </row>
    <row r="420" spans="1:3" x14ac:dyDescent="0.3">
      <c r="A420" s="4">
        <v>44454</v>
      </c>
      <c r="B420" s="5">
        <v>122.1294</v>
      </c>
      <c r="C420" s="5">
        <v>103.66249999999999</v>
      </c>
    </row>
    <row r="421" spans="1:3" x14ac:dyDescent="0.3">
      <c r="A421" s="4">
        <v>44455</v>
      </c>
      <c r="B421" s="5">
        <v>122.09780000000001</v>
      </c>
      <c r="C421" s="5">
        <v>103.58799999999999</v>
      </c>
    </row>
    <row r="422" spans="1:3" x14ac:dyDescent="0.3">
      <c r="A422" s="4">
        <v>44456</v>
      </c>
      <c r="B422" s="5">
        <v>122.1263</v>
      </c>
      <c r="C422" s="5">
        <v>103.44289999999999</v>
      </c>
    </row>
    <row r="423" spans="1:3" x14ac:dyDescent="0.3">
      <c r="A423" s="4">
        <v>44461</v>
      </c>
      <c r="B423" s="5">
        <v>122.1284</v>
      </c>
      <c r="C423" s="5">
        <v>103.3712</v>
      </c>
    </row>
    <row r="424" spans="1:3" x14ac:dyDescent="0.3">
      <c r="A424" s="4">
        <v>44462</v>
      </c>
      <c r="B424" s="5">
        <v>122.1285</v>
      </c>
      <c r="C424" s="5">
        <v>103.3925</v>
      </c>
    </row>
    <row r="425" spans="1:3" x14ac:dyDescent="0.3">
      <c r="A425" s="4">
        <v>44463</v>
      </c>
      <c r="B425" s="5">
        <v>122.10299999999999</v>
      </c>
      <c r="C425" s="5">
        <v>102.97880000000001</v>
      </c>
    </row>
    <row r="426" spans="1:3" x14ac:dyDescent="0.3">
      <c r="A426" s="4">
        <v>44466</v>
      </c>
      <c r="B426" s="5">
        <v>122.071</v>
      </c>
      <c r="C426" s="5">
        <v>102.89190000000001</v>
      </c>
    </row>
    <row r="427" spans="1:3" x14ac:dyDescent="0.3">
      <c r="A427" s="4">
        <v>44467</v>
      </c>
      <c r="B427" s="5">
        <v>122.0218</v>
      </c>
      <c r="C427" s="5">
        <v>102.627</v>
      </c>
    </row>
    <row r="428" spans="1:3" x14ac:dyDescent="0.3">
      <c r="A428" s="4">
        <v>44468</v>
      </c>
      <c r="B428" s="5">
        <v>122.0446</v>
      </c>
      <c r="C428" s="5">
        <v>102.56740000000001</v>
      </c>
    </row>
    <row r="429" spans="1:3" x14ac:dyDescent="0.3">
      <c r="A429" s="4">
        <v>44469</v>
      </c>
      <c r="B429" s="5">
        <v>122.06959999999999</v>
      </c>
      <c r="C429" s="5">
        <v>102.6079</v>
      </c>
    </row>
    <row r="430" spans="1:3" x14ac:dyDescent="0.3">
      <c r="A430" s="4">
        <v>44477</v>
      </c>
      <c r="B430" s="5">
        <v>122.0692</v>
      </c>
      <c r="C430" s="5">
        <v>102.3138</v>
      </c>
    </row>
    <row r="431" spans="1:3" x14ac:dyDescent="0.3">
      <c r="A431" s="4">
        <v>44480</v>
      </c>
      <c r="B431" s="5">
        <v>121.93470000000001</v>
      </c>
      <c r="C431" s="5">
        <v>102.1746</v>
      </c>
    </row>
    <row r="432" spans="1:3" x14ac:dyDescent="0.3">
      <c r="A432" s="4">
        <v>44481</v>
      </c>
      <c r="B432" s="5">
        <v>121.88849999999999</v>
      </c>
      <c r="C432" s="5">
        <v>102.1067</v>
      </c>
    </row>
    <row r="433" spans="1:3" x14ac:dyDescent="0.3">
      <c r="A433" s="4">
        <v>44482</v>
      </c>
      <c r="B433" s="5">
        <v>121.8652</v>
      </c>
      <c r="C433" s="5">
        <v>102.1909</v>
      </c>
    </row>
    <row r="434" spans="1:3" x14ac:dyDescent="0.3">
      <c r="A434" s="4">
        <v>44483</v>
      </c>
      <c r="B434" s="5">
        <v>121.8669</v>
      </c>
      <c r="C434" s="5">
        <v>102.274</v>
      </c>
    </row>
    <row r="435" spans="1:3" x14ac:dyDescent="0.3">
      <c r="A435" s="4">
        <v>44484</v>
      </c>
      <c r="B435" s="5">
        <v>121.8194</v>
      </c>
      <c r="C435" s="5">
        <v>102.3683</v>
      </c>
    </row>
    <row r="436" spans="1:3" x14ac:dyDescent="0.3">
      <c r="A436" s="4">
        <v>44487</v>
      </c>
      <c r="B436" s="5">
        <v>121.5688</v>
      </c>
      <c r="C436" s="5">
        <v>102.0224</v>
      </c>
    </row>
    <row r="437" spans="1:3" x14ac:dyDescent="0.3">
      <c r="A437" s="4">
        <v>44488</v>
      </c>
      <c r="B437" s="5">
        <v>121.5889</v>
      </c>
      <c r="C437" s="5">
        <v>102.1722</v>
      </c>
    </row>
    <row r="438" spans="1:3" x14ac:dyDescent="0.3">
      <c r="A438" s="4">
        <v>44489</v>
      </c>
      <c r="B438" s="5">
        <v>121.6281</v>
      </c>
      <c r="C438" s="5">
        <v>101.9883</v>
      </c>
    </row>
    <row r="439" spans="1:3" x14ac:dyDescent="0.3">
      <c r="A439" s="4">
        <v>44490</v>
      </c>
      <c r="B439" s="5">
        <v>121.6857</v>
      </c>
      <c r="C439" s="5">
        <v>101.94370000000001</v>
      </c>
    </row>
    <row r="440" spans="1:3" x14ac:dyDescent="0.3">
      <c r="A440" s="4">
        <v>44491</v>
      </c>
      <c r="B440" s="5">
        <v>121.67100000000001</v>
      </c>
      <c r="C440" s="5">
        <v>101.8039</v>
      </c>
    </row>
    <row r="441" spans="1:3" x14ac:dyDescent="0.3">
      <c r="A441" s="4">
        <v>44494</v>
      </c>
      <c r="B441" s="5">
        <v>121.66070000000001</v>
      </c>
      <c r="C441" s="5">
        <v>101.87479999999999</v>
      </c>
    </row>
    <row r="442" spans="1:3" x14ac:dyDescent="0.3">
      <c r="A442" s="4">
        <v>44495</v>
      </c>
      <c r="B442" s="5">
        <v>121.6865</v>
      </c>
      <c r="C442" s="5">
        <v>101.91840000000001</v>
      </c>
    </row>
    <row r="443" spans="1:3" x14ac:dyDescent="0.3">
      <c r="A443" s="4">
        <v>44496</v>
      </c>
      <c r="B443" s="5">
        <v>121.70399999999999</v>
      </c>
      <c r="C443" s="5">
        <v>101.95269999999999</v>
      </c>
    </row>
    <row r="444" spans="1:3" x14ac:dyDescent="0.3">
      <c r="A444" s="4">
        <v>44497</v>
      </c>
      <c r="B444" s="5">
        <v>121.7405</v>
      </c>
      <c r="C444" s="5">
        <v>102.16849999999999</v>
      </c>
    </row>
    <row r="445" spans="1:3" x14ac:dyDescent="0.3">
      <c r="A445" s="4">
        <v>44498</v>
      </c>
      <c r="B445" s="5">
        <v>121.76730000000001</v>
      </c>
      <c r="C445" s="5">
        <v>101.9979</v>
      </c>
    </row>
    <row r="446" spans="1:3" x14ac:dyDescent="0.3">
      <c r="A446" s="4">
        <v>44501</v>
      </c>
      <c r="B446" s="5">
        <v>121.84439999999999</v>
      </c>
      <c r="C446" s="5">
        <v>102.0954</v>
      </c>
    </row>
    <row r="447" spans="1:3" x14ac:dyDescent="0.3">
      <c r="A447" s="4">
        <v>44502</v>
      </c>
      <c r="B447" s="5">
        <v>121.9421</v>
      </c>
      <c r="C447" s="5">
        <v>102.1033</v>
      </c>
    </row>
    <row r="448" spans="1:3" x14ac:dyDescent="0.3">
      <c r="A448" s="4">
        <v>44503</v>
      </c>
      <c r="B448" s="5">
        <v>121.9757</v>
      </c>
      <c r="C448" s="5">
        <v>102.1151</v>
      </c>
    </row>
    <row r="449" spans="1:3" x14ac:dyDescent="0.3">
      <c r="A449" s="4">
        <v>44504</v>
      </c>
      <c r="B449" s="5">
        <v>121.9997</v>
      </c>
      <c r="C449" s="5">
        <v>101.88030000000001</v>
      </c>
    </row>
    <row r="450" spans="1:3" x14ac:dyDescent="0.3">
      <c r="A450" s="4">
        <v>44505</v>
      </c>
      <c r="B450" s="5">
        <v>122.13460000000001</v>
      </c>
      <c r="C450" s="5">
        <v>102.0896</v>
      </c>
    </row>
    <row r="451" spans="1:3" x14ac:dyDescent="0.3">
      <c r="A451" s="4">
        <v>44508</v>
      </c>
      <c r="B451" s="5">
        <v>122.1433</v>
      </c>
      <c r="C451" s="5">
        <v>102.2303</v>
      </c>
    </row>
    <row r="452" spans="1:3" x14ac:dyDescent="0.3">
      <c r="A452" s="4">
        <v>44509</v>
      </c>
      <c r="B452" s="5">
        <v>122.108</v>
      </c>
      <c r="C452" s="5">
        <v>102.0188</v>
      </c>
    </row>
    <row r="453" spans="1:3" x14ac:dyDescent="0.3">
      <c r="A453" s="4">
        <v>44510</v>
      </c>
      <c r="B453" s="5">
        <v>122.11360000000001</v>
      </c>
      <c r="C453" s="5">
        <v>102.086</v>
      </c>
    </row>
    <row r="454" spans="1:3" x14ac:dyDescent="0.3">
      <c r="A454" s="4">
        <v>44511</v>
      </c>
      <c r="B454" s="5">
        <v>122.0642</v>
      </c>
      <c r="C454" s="5">
        <v>101.66459999999999</v>
      </c>
    </row>
    <row r="455" spans="1:3" x14ac:dyDescent="0.3">
      <c r="A455" s="4">
        <v>44512</v>
      </c>
      <c r="B455" s="5">
        <v>122.0676</v>
      </c>
      <c r="C455" s="5">
        <v>101.7054</v>
      </c>
    </row>
    <row r="456" spans="1:3" x14ac:dyDescent="0.3">
      <c r="A456" s="4">
        <v>44515</v>
      </c>
      <c r="B456" s="5">
        <v>122.1161</v>
      </c>
      <c r="C456" s="5">
        <v>101.6773</v>
      </c>
    </row>
    <row r="457" spans="1:3" x14ac:dyDescent="0.3">
      <c r="A457" s="4">
        <v>44516</v>
      </c>
      <c r="B457" s="5">
        <v>122.12430000000001</v>
      </c>
      <c r="C457" s="5">
        <v>101.47709999999999</v>
      </c>
    </row>
    <row r="458" spans="1:3" x14ac:dyDescent="0.3">
      <c r="A458" s="4">
        <v>44517</v>
      </c>
      <c r="B458" s="5">
        <v>122.12220000000001</v>
      </c>
      <c r="C458" s="5">
        <v>101.3969</v>
      </c>
    </row>
    <row r="459" spans="1:3" x14ac:dyDescent="0.3">
      <c r="A459" s="4">
        <v>44518</v>
      </c>
      <c r="B459" s="5">
        <v>122.1454</v>
      </c>
      <c r="C459" s="5">
        <v>101.6674</v>
      </c>
    </row>
    <row r="460" spans="1:3" x14ac:dyDescent="0.3">
      <c r="A460" s="4">
        <v>44519</v>
      </c>
      <c r="B460" s="5">
        <v>122.1314</v>
      </c>
      <c r="C460" s="5">
        <v>101.6163</v>
      </c>
    </row>
    <row r="461" spans="1:3" x14ac:dyDescent="0.3">
      <c r="A461" s="4">
        <v>44522</v>
      </c>
      <c r="B461" s="5">
        <v>122.14870000000001</v>
      </c>
      <c r="C461" s="5">
        <v>101.7462</v>
      </c>
    </row>
    <row r="462" spans="1:3" x14ac:dyDescent="0.3">
      <c r="A462" s="4">
        <v>44523</v>
      </c>
      <c r="B462" s="5">
        <v>122.1524</v>
      </c>
      <c r="C462" s="5">
        <v>101.4228</v>
      </c>
    </row>
    <row r="463" spans="1:3" x14ac:dyDescent="0.3">
      <c r="A463" s="4">
        <v>44524</v>
      </c>
      <c r="B463" s="5">
        <v>122.224</v>
      </c>
      <c r="C463" s="5">
        <v>101.49</v>
      </c>
    </row>
    <row r="464" spans="1:3" x14ac:dyDescent="0.3">
      <c r="A464" s="4">
        <v>44525</v>
      </c>
      <c r="B464" s="5">
        <v>122.25749999999999</v>
      </c>
      <c r="C464" s="5">
        <v>101.3956</v>
      </c>
    </row>
    <row r="465" spans="1:3" x14ac:dyDescent="0.3">
      <c r="A465" s="4">
        <v>44526</v>
      </c>
      <c r="B465" s="5">
        <v>122.32859999999999</v>
      </c>
      <c r="C465" s="5">
        <v>101.764</v>
      </c>
    </row>
    <row r="466" spans="1:3" x14ac:dyDescent="0.3">
      <c r="A466" s="4">
        <v>44529</v>
      </c>
      <c r="B466" s="5">
        <v>122.3284</v>
      </c>
      <c r="C466" s="5">
        <v>101.83320000000001</v>
      </c>
    </row>
    <row r="467" spans="1:3" x14ac:dyDescent="0.3">
      <c r="A467" s="4">
        <v>44530</v>
      </c>
      <c r="B467" s="5">
        <v>122.3212</v>
      </c>
      <c r="C467" s="5">
        <v>102.1474</v>
      </c>
    </row>
    <row r="468" spans="1:3" x14ac:dyDescent="0.3">
      <c r="A468" s="4">
        <v>44531</v>
      </c>
      <c r="B468" s="5">
        <v>122.31019999999999</v>
      </c>
      <c r="C468" s="5">
        <v>101.89790000000001</v>
      </c>
    </row>
    <row r="469" spans="1:3" x14ac:dyDescent="0.3">
      <c r="A469" s="4">
        <v>44532</v>
      </c>
      <c r="B469" s="5">
        <v>122.2877</v>
      </c>
      <c r="C469" s="5">
        <v>102.10120000000001</v>
      </c>
    </row>
    <row r="470" spans="1:3" x14ac:dyDescent="0.3">
      <c r="A470" s="4">
        <v>44533</v>
      </c>
      <c r="B470" s="5">
        <v>122.25700000000001</v>
      </c>
      <c r="C470" s="5">
        <v>102.0086</v>
      </c>
    </row>
    <row r="471" spans="1:3" x14ac:dyDescent="0.3">
      <c r="A471" s="4">
        <v>44536</v>
      </c>
      <c r="B471" s="5">
        <v>122.43810000000001</v>
      </c>
      <c r="C471" s="5">
        <v>102.18470000000001</v>
      </c>
    </row>
    <row r="472" spans="1:3" x14ac:dyDescent="0.3">
      <c r="A472" s="4">
        <v>44537</v>
      </c>
      <c r="B472" s="5">
        <v>122.4147</v>
      </c>
      <c r="C472" s="5">
        <v>101.9552</v>
      </c>
    </row>
    <row r="473" spans="1:3" x14ac:dyDescent="0.3">
      <c r="A473" s="4">
        <v>44538</v>
      </c>
      <c r="B473" s="5">
        <v>122.3772</v>
      </c>
      <c r="C473" s="5">
        <v>101.92440000000001</v>
      </c>
    </row>
    <row r="474" spans="1:3" x14ac:dyDescent="0.3">
      <c r="A474" s="4">
        <v>44539</v>
      </c>
      <c r="B474" s="5">
        <v>122.3566</v>
      </c>
      <c r="C474" s="5">
        <v>101.7921</v>
      </c>
    </row>
    <row r="475" spans="1:3" x14ac:dyDescent="0.3">
      <c r="A475" s="4">
        <v>44540</v>
      </c>
      <c r="B475" s="5">
        <v>122.3796</v>
      </c>
      <c r="C475" s="5">
        <v>101.7869</v>
      </c>
    </row>
    <row r="476" spans="1:3" x14ac:dyDescent="0.3">
      <c r="A476" s="4">
        <v>44543</v>
      </c>
      <c r="B476" s="5">
        <v>122.3772</v>
      </c>
      <c r="C476" s="5">
        <v>101.8442</v>
      </c>
    </row>
    <row r="477" spans="1:3" x14ac:dyDescent="0.3">
      <c r="A477" s="4">
        <v>44544</v>
      </c>
      <c r="B477" s="5">
        <v>122.41719999999999</v>
      </c>
      <c r="C477" s="5">
        <v>102.1101</v>
      </c>
    </row>
    <row r="478" spans="1:3" x14ac:dyDescent="0.3">
      <c r="A478" s="4">
        <v>44545</v>
      </c>
      <c r="B478" s="5">
        <v>122.4346</v>
      </c>
      <c r="C478" s="5">
        <v>102.0204</v>
      </c>
    </row>
    <row r="479" spans="1:3" x14ac:dyDescent="0.3">
      <c r="A479" s="4">
        <v>44546</v>
      </c>
      <c r="B479" s="5">
        <v>122.4387</v>
      </c>
      <c r="C479" s="5">
        <v>101.9761</v>
      </c>
    </row>
    <row r="480" spans="1:3" x14ac:dyDescent="0.3">
      <c r="A480" s="4">
        <v>44547</v>
      </c>
      <c r="B480" s="5">
        <v>122.4543</v>
      </c>
      <c r="C480" s="5">
        <v>102.1262</v>
      </c>
    </row>
    <row r="481" spans="1:3" x14ac:dyDescent="0.3">
      <c r="A481" s="4">
        <v>44550</v>
      </c>
      <c r="B481" s="5">
        <v>122.44289999999999</v>
      </c>
      <c r="C481" s="5">
        <v>102.30249999999999</v>
      </c>
    </row>
    <row r="482" spans="1:3" x14ac:dyDescent="0.3">
      <c r="A482" s="4">
        <v>44551</v>
      </c>
      <c r="B482" s="5">
        <v>122.41540000000001</v>
      </c>
      <c r="C482" s="5">
        <v>102.0021</v>
      </c>
    </row>
    <row r="483" spans="1:3" x14ac:dyDescent="0.3">
      <c r="A483" s="4">
        <v>44552</v>
      </c>
      <c r="B483" s="5">
        <v>122.4389</v>
      </c>
      <c r="C483" s="5">
        <v>101.97539999999999</v>
      </c>
    </row>
    <row r="484" spans="1:3" x14ac:dyDescent="0.3">
      <c r="A484" s="4">
        <v>44553</v>
      </c>
      <c r="B484" s="5">
        <v>122.5027</v>
      </c>
      <c r="C484" s="5">
        <v>102.0013</v>
      </c>
    </row>
    <row r="485" spans="1:3" x14ac:dyDescent="0.3">
      <c r="A485" s="4">
        <v>44554</v>
      </c>
      <c r="B485" s="5">
        <v>122.52330000000001</v>
      </c>
      <c r="C485" s="5">
        <v>101.8361</v>
      </c>
    </row>
    <row r="486" spans="1:3" x14ac:dyDescent="0.3">
      <c r="A486" s="4">
        <v>44557</v>
      </c>
      <c r="B486" s="5">
        <v>122.5814</v>
      </c>
      <c r="C486" s="5">
        <v>101.9224</v>
      </c>
    </row>
    <row r="487" spans="1:3" x14ac:dyDescent="0.3">
      <c r="A487" s="4">
        <v>44558</v>
      </c>
      <c r="B487" s="5">
        <v>122.6139</v>
      </c>
      <c r="C487" s="5">
        <v>101.9448</v>
      </c>
    </row>
    <row r="488" spans="1:3" x14ac:dyDescent="0.3">
      <c r="A488" s="4">
        <v>44559</v>
      </c>
      <c r="B488" s="5">
        <v>122.6786</v>
      </c>
      <c r="C488" s="5">
        <v>101.9316</v>
      </c>
    </row>
    <row r="489" spans="1:3" x14ac:dyDescent="0.3">
      <c r="A489" s="4">
        <v>44560</v>
      </c>
      <c r="B489" s="5">
        <v>122.77679999999999</v>
      </c>
      <c r="C489" s="5">
        <v>101.7294</v>
      </c>
    </row>
    <row r="490" spans="1:3" x14ac:dyDescent="0.3">
      <c r="A490" s="4">
        <v>44561</v>
      </c>
      <c r="B490" s="5">
        <v>122.8066</v>
      </c>
      <c r="C490" s="5">
        <v>101.8878</v>
      </c>
    </row>
    <row r="491" spans="1:3" x14ac:dyDescent="0.3">
      <c r="A491" s="4">
        <v>44565</v>
      </c>
      <c r="B491" s="5">
        <v>122.85299999999999</v>
      </c>
      <c r="C491" s="5">
        <v>101.539</v>
      </c>
    </row>
    <row r="492" spans="1:3" x14ac:dyDescent="0.3">
      <c r="A492" s="4">
        <v>44566</v>
      </c>
      <c r="B492" s="5">
        <v>122.8856</v>
      </c>
      <c r="C492" s="5">
        <v>101.6143</v>
      </c>
    </row>
    <row r="493" spans="1:3" x14ac:dyDescent="0.3">
      <c r="A493" s="4">
        <v>44567</v>
      </c>
      <c r="B493" s="5">
        <v>122.83240000000001</v>
      </c>
      <c r="C493" s="5">
        <v>101.1651</v>
      </c>
    </row>
    <row r="494" spans="1:3" x14ac:dyDescent="0.3">
      <c r="A494" s="4">
        <v>44568</v>
      </c>
      <c r="B494" s="5">
        <v>122.8334</v>
      </c>
      <c r="C494" s="5">
        <v>101.2056</v>
      </c>
    </row>
    <row r="495" spans="1:3" x14ac:dyDescent="0.3">
      <c r="A495" s="4">
        <v>44571</v>
      </c>
      <c r="B495" s="5">
        <v>122.8699</v>
      </c>
      <c r="C495" s="5">
        <v>101.111</v>
      </c>
    </row>
    <row r="496" spans="1:3" x14ac:dyDescent="0.3">
      <c r="A496" s="4">
        <v>44572</v>
      </c>
      <c r="B496" s="5">
        <v>122.9203</v>
      </c>
      <c r="C496" s="5">
        <v>101.05710000000001</v>
      </c>
    </row>
    <row r="497" spans="1:3" x14ac:dyDescent="0.3">
      <c r="A497" s="4">
        <v>44573</v>
      </c>
      <c r="B497" s="5">
        <v>122.982</v>
      </c>
      <c r="C497" s="5">
        <v>101.1083</v>
      </c>
    </row>
    <row r="498" spans="1:3" x14ac:dyDescent="0.3">
      <c r="A498" s="4">
        <v>44574</v>
      </c>
      <c r="B498" s="5">
        <v>123.0099</v>
      </c>
      <c r="C498" s="5">
        <v>101.01349999999999</v>
      </c>
    </row>
    <row r="499" spans="1:3" x14ac:dyDescent="0.3">
      <c r="A499" s="4">
        <v>44575</v>
      </c>
      <c r="B499" s="5">
        <v>123.0411</v>
      </c>
      <c r="C499" s="5">
        <v>100.97629999999999</v>
      </c>
    </row>
    <row r="500" spans="1:3" x14ac:dyDescent="0.3">
      <c r="A500" s="4">
        <v>44578</v>
      </c>
      <c r="B500" s="5">
        <v>123.113</v>
      </c>
      <c r="C500" s="5">
        <v>100.6211</v>
      </c>
    </row>
    <row r="501" spans="1:3" x14ac:dyDescent="0.3">
      <c r="A501" s="4">
        <v>44579</v>
      </c>
      <c r="B501" s="5">
        <v>123.27030000000001</v>
      </c>
      <c r="C501" s="5">
        <v>100.3882</v>
      </c>
    </row>
    <row r="502" spans="1:3" x14ac:dyDescent="0.3">
      <c r="A502" s="4">
        <v>44580</v>
      </c>
      <c r="B502" s="5">
        <v>123.45569999999999</v>
      </c>
      <c r="C502" s="5">
        <v>100.2192</v>
      </c>
    </row>
    <row r="503" spans="1:3" x14ac:dyDescent="0.3">
      <c r="A503" s="4">
        <v>44581</v>
      </c>
      <c r="B503" s="5">
        <v>123.4802</v>
      </c>
      <c r="C503" s="5">
        <v>100.38939999999999</v>
      </c>
    </row>
    <row r="504" spans="1:3" x14ac:dyDescent="0.3">
      <c r="A504" s="4">
        <v>44582</v>
      </c>
      <c r="B504" s="5">
        <v>123.57129999999999</v>
      </c>
      <c r="C504" s="5">
        <v>100.649</v>
      </c>
    </row>
    <row r="505" spans="1:3" x14ac:dyDescent="0.3">
      <c r="A505" s="4">
        <v>44585</v>
      </c>
      <c r="B505" s="5">
        <v>123.71559999999999</v>
      </c>
      <c r="C505" s="5">
        <v>100.5534</v>
      </c>
    </row>
    <row r="506" spans="1:3" x14ac:dyDescent="0.3">
      <c r="A506" s="4">
        <v>44586</v>
      </c>
      <c r="B506" s="5">
        <v>123.6931</v>
      </c>
      <c r="C506" s="5">
        <v>100.6884</v>
      </c>
    </row>
    <row r="507" spans="1:3" x14ac:dyDescent="0.3">
      <c r="A507" s="4">
        <v>44587</v>
      </c>
      <c r="B507" s="5">
        <v>123.60039999999999</v>
      </c>
      <c r="C507" s="5">
        <v>100.5573</v>
      </c>
    </row>
    <row r="508" spans="1:3" x14ac:dyDescent="0.3">
      <c r="A508" s="4">
        <v>44588</v>
      </c>
      <c r="B508" s="5">
        <v>123.5565</v>
      </c>
      <c r="C508" s="5">
        <v>100.134</v>
      </c>
    </row>
    <row r="509" spans="1:3" x14ac:dyDescent="0.3">
      <c r="A509" s="4">
        <v>44589</v>
      </c>
      <c r="B509" s="5">
        <v>123.61660000000001</v>
      </c>
      <c r="C509" s="5">
        <v>100.2092</v>
      </c>
    </row>
    <row r="510" spans="1:3" x14ac:dyDescent="0.3">
      <c r="A510" s="4">
        <v>44599</v>
      </c>
      <c r="B510" s="5">
        <v>123.6649</v>
      </c>
      <c r="C510" s="5">
        <v>99.679699999999997</v>
      </c>
    </row>
    <row r="511" spans="1:3" x14ac:dyDescent="0.3">
      <c r="A511" s="4">
        <v>44600</v>
      </c>
      <c r="B511" s="5">
        <v>123.6777</v>
      </c>
      <c r="C511" s="5">
        <v>99.567999999999998</v>
      </c>
    </row>
    <row r="512" spans="1:3" x14ac:dyDescent="0.3">
      <c r="A512" s="4">
        <v>44601</v>
      </c>
      <c r="B512" s="5">
        <v>123.6405</v>
      </c>
      <c r="C512" s="5">
        <v>99.509500000000003</v>
      </c>
    </row>
    <row r="513" spans="1:3" x14ac:dyDescent="0.3">
      <c r="A513" s="4">
        <v>44602</v>
      </c>
      <c r="B513" s="5">
        <v>123.6491</v>
      </c>
      <c r="C513" s="5">
        <v>99.514799999999994</v>
      </c>
    </row>
    <row r="514" spans="1:3" x14ac:dyDescent="0.3">
      <c r="A514" s="4">
        <v>44603</v>
      </c>
      <c r="B514" s="5">
        <v>123.36709999999999</v>
      </c>
      <c r="C514" s="5">
        <v>98.798000000000002</v>
      </c>
    </row>
    <row r="515" spans="1:3" x14ac:dyDescent="0.3">
      <c r="A515" s="4">
        <v>44606</v>
      </c>
      <c r="B515" s="5">
        <v>123.3372</v>
      </c>
      <c r="C515" s="5">
        <v>99.266599999999997</v>
      </c>
    </row>
    <row r="516" spans="1:3" x14ac:dyDescent="0.3">
      <c r="A516" s="4">
        <v>44607</v>
      </c>
      <c r="B516" s="5">
        <v>123.3368</v>
      </c>
      <c r="C516" s="5">
        <v>99.01</v>
      </c>
    </row>
    <row r="517" spans="1:3" x14ac:dyDescent="0.3">
      <c r="A517" s="4">
        <v>44608</v>
      </c>
      <c r="B517" s="5">
        <v>123.3326</v>
      </c>
      <c r="C517" s="5">
        <v>98.838099999999997</v>
      </c>
    </row>
    <row r="518" spans="1:3" x14ac:dyDescent="0.3">
      <c r="A518" s="4">
        <v>44609</v>
      </c>
      <c r="B518" s="5">
        <v>123.37860000000001</v>
      </c>
      <c r="C518" s="5">
        <v>99.120699999999999</v>
      </c>
    </row>
    <row r="519" spans="1:3" x14ac:dyDescent="0.3">
      <c r="A519" s="4">
        <v>44610</v>
      </c>
      <c r="B519" s="5">
        <v>123.36199999999999</v>
      </c>
      <c r="C519" s="5">
        <v>99.005099999999999</v>
      </c>
    </row>
    <row r="520" spans="1:3" x14ac:dyDescent="0.3">
      <c r="A520" s="4">
        <v>44613</v>
      </c>
      <c r="B520" s="5">
        <v>123.23050000000001</v>
      </c>
      <c r="C520" s="5">
        <v>99.298900000000003</v>
      </c>
    </row>
    <row r="521" spans="1:3" x14ac:dyDescent="0.3">
      <c r="A521" s="4">
        <v>44614</v>
      </c>
      <c r="B521" s="5">
        <v>123.1301</v>
      </c>
      <c r="C521" s="5">
        <v>99.350899999999996</v>
      </c>
    </row>
    <row r="522" spans="1:3" x14ac:dyDescent="0.3">
      <c r="A522" s="4">
        <v>44615</v>
      </c>
      <c r="B522" s="5">
        <v>123.1461</v>
      </c>
      <c r="C522" s="5">
        <v>98.973200000000006</v>
      </c>
    </row>
    <row r="523" spans="1:3" x14ac:dyDescent="0.3">
      <c r="A523" s="4">
        <v>44616</v>
      </c>
      <c r="B523" s="5">
        <v>123.1614</v>
      </c>
      <c r="C523" s="5">
        <v>99.234999999999999</v>
      </c>
    </row>
    <row r="524" spans="1:3" x14ac:dyDescent="0.3">
      <c r="A524" s="4">
        <v>44617</v>
      </c>
      <c r="B524" s="5">
        <v>123.1597</v>
      </c>
      <c r="C524" s="5">
        <v>98.885599999999997</v>
      </c>
    </row>
    <row r="525" spans="1:3" x14ac:dyDescent="0.3">
      <c r="A525" s="4">
        <v>44620</v>
      </c>
      <c r="B525" s="5">
        <v>123.16849999999999</v>
      </c>
      <c r="C525" s="5">
        <v>99.076800000000006</v>
      </c>
    </row>
    <row r="526" spans="1:3" x14ac:dyDescent="0.3">
      <c r="A526" s="4">
        <v>44621</v>
      </c>
      <c r="B526" s="5">
        <v>123.1058</v>
      </c>
      <c r="C526" s="5">
        <v>99.176400000000001</v>
      </c>
    </row>
    <row r="527" spans="1:3" x14ac:dyDescent="0.3">
      <c r="A527" s="4">
        <v>44622</v>
      </c>
      <c r="B527" s="5">
        <v>123.0277</v>
      </c>
      <c r="C527" s="5">
        <v>99.745000000000005</v>
      </c>
    </row>
    <row r="528" spans="1:3" x14ac:dyDescent="0.3">
      <c r="A528" s="4">
        <v>44623</v>
      </c>
      <c r="B528" s="5">
        <v>122.9015</v>
      </c>
      <c r="C528" s="5">
        <v>99.043099999999995</v>
      </c>
    </row>
    <row r="529" spans="1:3" x14ac:dyDescent="0.3">
      <c r="A529" s="4">
        <v>44624</v>
      </c>
      <c r="B529" s="5">
        <v>122.8899</v>
      </c>
      <c r="C529" s="5">
        <v>99.180199999999999</v>
      </c>
    </row>
    <row r="530" spans="1:3" x14ac:dyDescent="0.3">
      <c r="A530" s="4">
        <v>44627</v>
      </c>
      <c r="B530" s="5">
        <v>122.91249999999999</v>
      </c>
      <c r="C530" s="5">
        <v>99.302199999999999</v>
      </c>
    </row>
    <row r="531" spans="1:3" x14ac:dyDescent="0.3">
      <c r="A531" s="4">
        <v>44628</v>
      </c>
      <c r="B531" s="5">
        <v>122.9297</v>
      </c>
      <c r="C531" s="5">
        <v>98.791499999999999</v>
      </c>
    </row>
    <row r="532" spans="1:3" x14ac:dyDescent="0.3">
      <c r="A532" s="4">
        <v>44629</v>
      </c>
      <c r="B532" s="5">
        <v>122.85380000000001</v>
      </c>
      <c r="C532" s="5">
        <v>98.412700000000001</v>
      </c>
    </row>
    <row r="533" spans="1:3" x14ac:dyDescent="0.3">
      <c r="A533" s="4">
        <v>44630</v>
      </c>
      <c r="B533" s="5">
        <v>122.8117</v>
      </c>
      <c r="C533" s="5">
        <v>98.058400000000006</v>
      </c>
    </row>
    <row r="534" spans="1:3" x14ac:dyDescent="0.3">
      <c r="A534" s="4">
        <v>44631</v>
      </c>
      <c r="B534" s="5">
        <v>122.8884</v>
      </c>
      <c r="C534" s="5">
        <v>97.768500000000003</v>
      </c>
    </row>
    <row r="535" spans="1:3" x14ac:dyDescent="0.3">
      <c r="A535" s="4">
        <v>44634</v>
      </c>
      <c r="B535" s="5">
        <v>123.0577</v>
      </c>
      <c r="C535" s="5">
        <v>97.323999999999998</v>
      </c>
    </row>
    <row r="536" spans="1:3" x14ac:dyDescent="0.3">
      <c r="A536" s="4">
        <v>44635</v>
      </c>
      <c r="B536" s="5">
        <v>122.893</v>
      </c>
      <c r="C536" s="5">
        <v>96.801500000000004</v>
      </c>
    </row>
    <row r="537" spans="1:3" x14ac:dyDescent="0.3">
      <c r="A537" s="4">
        <v>44636</v>
      </c>
      <c r="B537" s="5">
        <v>122.83499999999999</v>
      </c>
      <c r="C537" s="5">
        <v>96.581400000000002</v>
      </c>
    </row>
    <row r="538" spans="1:3" x14ac:dyDescent="0.3">
      <c r="A538" s="4">
        <v>44637</v>
      </c>
      <c r="B538" s="5">
        <v>122.82550000000001</v>
      </c>
      <c r="C538" s="5">
        <v>96.682199999999995</v>
      </c>
    </row>
    <row r="539" spans="1:3" x14ac:dyDescent="0.3">
      <c r="A539" s="4">
        <v>44638</v>
      </c>
      <c r="B539" s="5">
        <v>122.8623</v>
      </c>
      <c r="C539" s="5">
        <v>96.718800000000002</v>
      </c>
    </row>
    <row r="540" spans="1:3" x14ac:dyDescent="0.3">
      <c r="A540" s="4">
        <v>44641</v>
      </c>
      <c r="B540" s="5">
        <v>122.8475</v>
      </c>
      <c r="C540" s="5">
        <v>96.835300000000004</v>
      </c>
    </row>
    <row r="541" spans="1:3" x14ac:dyDescent="0.3">
      <c r="A541" s="4">
        <v>44642</v>
      </c>
      <c r="B541" s="5">
        <v>122.7748</v>
      </c>
      <c r="C541" s="5">
        <v>96.101500000000001</v>
      </c>
    </row>
    <row r="542" spans="1:3" x14ac:dyDescent="0.3">
      <c r="A542" s="4">
        <v>44643</v>
      </c>
      <c r="B542" s="5">
        <v>122.76779999999999</v>
      </c>
      <c r="C542" s="5">
        <v>96.0565</v>
      </c>
    </row>
    <row r="543" spans="1:3" x14ac:dyDescent="0.3">
      <c r="A543" s="4">
        <v>44644</v>
      </c>
      <c r="B543" s="5">
        <v>122.77930000000001</v>
      </c>
      <c r="C543" s="5">
        <v>96.332800000000006</v>
      </c>
    </row>
    <row r="544" spans="1:3" x14ac:dyDescent="0.3">
      <c r="A544" s="4">
        <v>44645</v>
      </c>
      <c r="B544" s="5">
        <v>122.8068</v>
      </c>
      <c r="C544" s="5">
        <v>96.206699999999998</v>
      </c>
    </row>
    <row r="545" spans="1:3" x14ac:dyDescent="0.3">
      <c r="A545" s="4">
        <v>44648</v>
      </c>
      <c r="B545" s="5">
        <v>122.8368</v>
      </c>
      <c r="C545" s="5">
        <v>95.525000000000006</v>
      </c>
    </row>
    <row r="546" spans="1:3" x14ac:dyDescent="0.3">
      <c r="A546" s="4">
        <v>44649</v>
      </c>
      <c r="B546" s="5">
        <v>122.8336</v>
      </c>
      <c r="C546" s="5">
        <v>95.865200000000002</v>
      </c>
    </row>
    <row r="547" spans="1:3" x14ac:dyDescent="0.3">
      <c r="A547" s="4">
        <v>44650</v>
      </c>
      <c r="B547" s="5">
        <v>122.8982</v>
      </c>
      <c r="C547" s="5">
        <v>96.298299999999998</v>
      </c>
    </row>
    <row r="548" spans="1:3" x14ac:dyDescent="0.3">
      <c r="A548" s="4">
        <v>44651</v>
      </c>
      <c r="B548" s="5">
        <v>122.9165</v>
      </c>
      <c r="C548" s="5">
        <v>96.352699999999999</v>
      </c>
    </row>
    <row r="549" spans="1:3" x14ac:dyDescent="0.3">
      <c r="A549" s="4">
        <v>44652</v>
      </c>
      <c r="B549" s="5">
        <v>122.9756</v>
      </c>
      <c r="C549" s="5">
        <v>96.108599999999996</v>
      </c>
    </row>
    <row r="550" spans="1:3" x14ac:dyDescent="0.3">
      <c r="A550" s="4">
        <v>44657</v>
      </c>
      <c r="B550" s="5">
        <v>123.09990000000001</v>
      </c>
      <c r="C550" s="5">
        <v>95.367900000000006</v>
      </c>
    </row>
    <row r="551" spans="1:3" x14ac:dyDescent="0.3">
      <c r="A551" s="4">
        <v>44658</v>
      </c>
      <c r="B551" s="5">
        <v>123.1896</v>
      </c>
      <c r="C551" s="5">
        <v>95.798699999999997</v>
      </c>
    </row>
    <row r="552" spans="1:3" x14ac:dyDescent="0.3">
      <c r="A552" s="4">
        <v>44659</v>
      </c>
      <c r="B552" s="5">
        <v>123.21040000000001</v>
      </c>
      <c r="C552" s="5">
        <v>95.429599999999994</v>
      </c>
    </row>
    <row r="553" spans="1:3" x14ac:dyDescent="0.3">
      <c r="A553" s="4">
        <v>44662</v>
      </c>
      <c r="B553" s="5">
        <v>123.16160000000001</v>
      </c>
      <c r="C553" s="5">
        <v>95.152500000000003</v>
      </c>
    </row>
    <row r="554" spans="1:3" x14ac:dyDescent="0.3">
      <c r="A554" s="4">
        <v>44663</v>
      </c>
      <c r="B554" s="5">
        <v>123.1559</v>
      </c>
      <c r="C554" s="5">
        <v>94.970500000000001</v>
      </c>
    </row>
    <row r="555" spans="1:3" x14ac:dyDescent="0.3">
      <c r="A555" s="4">
        <v>44664</v>
      </c>
      <c r="B555" s="5">
        <v>123.1797</v>
      </c>
      <c r="C555" s="5">
        <v>95.308999999999997</v>
      </c>
    </row>
    <row r="556" spans="1:3" x14ac:dyDescent="0.3">
      <c r="A556" s="4">
        <v>44665</v>
      </c>
      <c r="B556" s="5">
        <v>123.2467</v>
      </c>
      <c r="C556" s="5">
        <v>95.508099999999999</v>
      </c>
    </row>
    <row r="557" spans="1:3" x14ac:dyDescent="0.3">
      <c r="A557" s="4">
        <v>44666</v>
      </c>
      <c r="B557" s="5">
        <v>123.2692</v>
      </c>
      <c r="C557" s="5">
        <v>95.038200000000003</v>
      </c>
    </row>
    <row r="558" spans="1:3" x14ac:dyDescent="0.3">
      <c r="A558" s="4">
        <v>44669</v>
      </c>
      <c r="B558" s="5">
        <v>123.1683</v>
      </c>
      <c r="C558" s="5">
        <v>94.907399999999996</v>
      </c>
    </row>
    <row r="559" spans="1:3" x14ac:dyDescent="0.3">
      <c r="A559" s="4">
        <v>44670</v>
      </c>
      <c r="B559" s="5">
        <v>123.15900000000001</v>
      </c>
      <c r="C559" s="5">
        <v>94.883799999999994</v>
      </c>
    </row>
    <row r="560" spans="1:3" x14ac:dyDescent="0.3">
      <c r="A560" s="4">
        <v>44671</v>
      </c>
      <c r="B560" s="5">
        <v>123.1293</v>
      </c>
      <c r="C560" s="5">
        <v>94.475800000000007</v>
      </c>
    </row>
    <row r="561" spans="1:3" x14ac:dyDescent="0.3">
      <c r="A561" s="4">
        <v>44672</v>
      </c>
      <c r="B561" s="5">
        <v>123.14790000000001</v>
      </c>
      <c r="C561" s="5">
        <v>94.703400000000002</v>
      </c>
    </row>
    <row r="562" spans="1:3" x14ac:dyDescent="0.3">
      <c r="A562" s="4">
        <v>44673</v>
      </c>
      <c r="B562" s="5">
        <v>123.12860000000001</v>
      </c>
      <c r="C562" s="5">
        <v>94.433899999999994</v>
      </c>
    </row>
    <row r="563" spans="1:3" x14ac:dyDescent="0.3">
      <c r="A563" s="4">
        <v>44676</v>
      </c>
      <c r="B563" s="5">
        <v>123.1758</v>
      </c>
      <c r="C563" s="5">
        <v>94.599100000000007</v>
      </c>
    </row>
    <row r="564" spans="1:3" x14ac:dyDescent="0.3">
      <c r="A564" s="4">
        <v>44677</v>
      </c>
      <c r="B564" s="5">
        <v>123.1866</v>
      </c>
      <c r="C564" s="5">
        <v>94.531000000000006</v>
      </c>
    </row>
    <row r="565" spans="1:3" x14ac:dyDescent="0.3">
      <c r="A565" s="4">
        <v>44678</v>
      </c>
      <c r="B565" s="5">
        <v>123.16759999999999</v>
      </c>
      <c r="C565" s="5">
        <v>94.8566</v>
      </c>
    </row>
    <row r="566" spans="1:3" x14ac:dyDescent="0.3">
      <c r="A566" s="4">
        <v>44679</v>
      </c>
      <c r="B566" s="5">
        <v>123.1203</v>
      </c>
      <c r="C566" s="5">
        <v>94.641400000000004</v>
      </c>
    </row>
    <row r="567" spans="1:3" x14ac:dyDescent="0.3">
      <c r="A567" s="4">
        <v>44680</v>
      </c>
      <c r="B567" s="5">
        <v>123.154</v>
      </c>
      <c r="C567" s="5">
        <v>94.469800000000006</v>
      </c>
    </row>
    <row r="568" spans="1:3" x14ac:dyDescent="0.3">
      <c r="A568" s="4">
        <v>44686</v>
      </c>
      <c r="B568" s="5">
        <v>123.2206</v>
      </c>
      <c r="C568" s="5">
        <v>93.962800000000001</v>
      </c>
    </row>
    <row r="569" spans="1:3" x14ac:dyDescent="0.3">
      <c r="A569" s="4">
        <v>44687</v>
      </c>
      <c r="B569" s="5">
        <v>123.23180000000001</v>
      </c>
      <c r="C569" s="5">
        <v>93.596599999999995</v>
      </c>
    </row>
    <row r="570" spans="1:3" x14ac:dyDescent="0.3">
      <c r="A570" s="4">
        <v>44690</v>
      </c>
      <c r="B570" s="5">
        <v>123.2911</v>
      </c>
      <c r="C570" s="5">
        <v>93.396600000000007</v>
      </c>
    </row>
    <row r="571" spans="1:3" x14ac:dyDescent="0.3">
      <c r="A571" s="4">
        <v>44691</v>
      </c>
      <c r="B571" s="5">
        <v>123.35599999999999</v>
      </c>
      <c r="C571" s="5">
        <v>93.567999999999998</v>
      </c>
    </row>
    <row r="572" spans="1:3" x14ac:dyDescent="0.3">
      <c r="A572" s="4">
        <v>44692</v>
      </c>
      <c r="B572" s="5">
        <v>123.35420000000001</v>
      </c>
      <c r="C572" s="5">
        <v>93.784000000000006</v>
      </c>
    </row>
    <row r="573" spans="1:3" x14ac:dyDescent="0.3">
      <c r="A573" s="4">
        <v>44693</v>
      </c>
      <c r="B573" s="5">
        <v>123.3918</v>
      </c>
      <c r="C573" s="5">
        <v>94.008899999999997</v>
      </c>
    </row>
    <row r="574" spans="1:3" x14ac:dyDescent="0.3">
      <c r="A574" s="4">
        <v>44694</v>
      </c>
      <c r="B574" s="5">
        <v>123.4111</v>
      </c>
      <c r="C574" s="5">
        <v>93.811700000000002</v>
      </c>
    </row>
    <row r="575" spans="1:3" x14ac:dyDescent="0.3">
      <c r="A575" s="4">
        <v>44697</v>
      </c>
      <c r="B575" s="5">
        <v>123.4196</v>
      </c>
      <c r="C575" s="5">
        <v>93.81</v>
      </c>
    </row>
    <row r="576" spans="1:3" x14ac:dyDescent="0.3">
      <c r="A576" s="4">
        <v>44698</v>
      </c>
      <c r="B576" s="5">
        <v>123.46559999999999</v>
      </c>
      <c r="C576" s="5">
        <v>93.657600000000002</v>
      </c>
    </row>
    <row r="577" spans="1:3" x14ac:dyDescent="0.3">
      <c r="A577" s="4">
        <v>44699</v>
      </c>
      <c r="B577" s="5">
        <v>123.5154</v>
      </c>
      <c r="C577" s="5">
        <v>93.424099999999996</v>
      </c>
    </row>
    <row r="578" spans="1:3" x14ac:dyDescent="0.3">
      <c r="A578" s="4">
        <v>44700</v>
      </c>
      <c r="B578" s="5">
        <v>123.5339</v>
      </c>
      <c r="C578" s="5">
        <v>93.639200000000002</v>
      </c>
    </row>
    <row r="579" spans="1:3" x14ac:dyDescent="0.3">
      <c r="A579" s="4">
        <v>44701</v>
      </c>
      <c r="B579" s="5">
        <v>123.5111</v>
      </c>
      <c r="C579" s="5">
        <v>93.812299999999993</v>
      </c>
    </row>
    <row r="580" spans="1:3" x14ac:dyDescent="0.3">
      <c r="A580" s="4">
        <v>44704</v>
      </c>
      <c r="B580" s="5">
        <v>123.54640000000001</v>
      </c>
      <c r="C580" s="5">
        <v>93.829499999999996</v>
      </c>
    </row>
    <row r="581" spans="1:3" x14ac:dyDescent="0.3">
      <c r="A581" s="4">
        <v>44705</v>
      </c>
      <c r="B581" s="5">
        <v>123.5582</v>
      </c>
      <c r="C581" s="5">
        <v>93.856099999999998</v>
      </c>
    </row>
    <row r="582" spans="1:3" x14ac:dyDescent="0.3">
      <c r="A582" s="4">
        <v>44706</v>
      </c>
      <c r="B582" s="5">
        <v>123.57559999999999</v>
      </c>
      <c r="C582" s="5">
        <v>94.247500000000002</v>
      </c>
    </row>
    <row r="583" spans="1:3" x14ac:dyDescent="0.3">
      <c r="A583" s="4">
        <v>44707</v>
      </c>
      <c r="B583" s="5">
        <v>123.7025</v>
      </c>
      <c r="C583" s="5">
        <v>94.386799999999994</v>
      </c>
    </row>
    <row r="584" spans="1:3" x14ac:dyDescent="0.3">
      <c r="A584" s="4">
        <v>44708</v>
      </c>
      <c r="B584" s="5">
        <v>123.718</v>
      </c>
      <c r="C584" s="5">
        <v>94.400800000000004</v>
      </c>
    </row>
    <row r="585" spans="1:3" x14ac:dyDescent="0.3">
      <c r="A585" s="4">
        <v>44711</v>
      </c>
      <c r="B585" s="5">
        <v>123.6741</v>
      </c>
      <c r="C585" s="5">
        <v>94.426199999999994</v>
      </c>
    </row>
    <row r="586" spans="1:3" x14ac:dyDescent="0.3">
      <c r="A586" s="4">
        <v>44712</v>
      </c>
      <c r="B586" s="5">
        <v>123.5702</v>
      </c>
      <c r="C586" s="5">
        <v>94.319599999999994</v>
      </c>
    </row>
    <row r="587" spans="1:3" x14ac:dyDescent="0.3">
      <c r="A587" s="4">
        <v>44713</v>
      </c>
      <c r="B587" s="5">
        <v>123.5304</v>
      </c>
      <c r="C587" s="5">
        <v>94.127300000000005</v>
      </c>
    </row>
    <row r="588" spans="1:3" x14ac:dyDescent="0.3">
      <c r="A588" s="4">
        <v>44714</v>
      </c>
      <c r="B588" s="5">
        <v>123.49809999999999</v>
      </c>
      <c r="C588" s="5">
        <v>93.878</v>
      </c>
    </row>
    <row r="589" spans="1:3" x14ac:dyDescent="0.3">
      <c r="A589" s="4">
        <v>44718</v>
      </c>
      <c r="B589" s="5">
        <v>123.4136</v>
      </c>
      <c r="C589" s="5">
        <v>93.894400000000005</v>
      </c>
    </row>
    <row r="590" spans="1:3" x14ac:dyDescent="0.3">
      <c r="A590" s="4">
        <v>44719</v>
      </c>
      <c r="B590" s="5">
        <v>123.37390000000001</v>
      </c>
      <c r="C590" s="5">
        <v>93.509900000000002</v>
      </c>
    </row>
    <row r="591" spans="1:3" x14ac:dyDescent="0.3">
      <c r="A591" s="4">
        <v>44720</v>
      </c>
      <c r="B591" s="5">
        <v>123.38509999999999</v>
      </c>
      <c r="C591" s="5">
        <v>93.776600000000002</v>
      </c>
    </row>
    <row r="592" spans="1:3" x14ac:dyDescent="0.3">
      <c r="A592" s="4">
        <v>44721</v>
      </c>
      <c r="B592" s="5">
        <v>123.41459999999999</v>
      </c>
      <c r="C592" s="5">
        <v>93.635499999999993</v>
      </c>
    </row>
    <row r="593" spans="1:3" x14ac:dyDescent="0.3">
      <c r="A593" s="4">
        <v>44722</v>
      </c>
      <c r="B593" s="5">
        <v>123.4289</v>
      </c>
      <c r="C593" s="5">
        <v>93.554400000000001</v>
      </c>
    </row>
    <row r="594" spans="1:3" x14ac:dyDescent="0.3">
      <c r="A594" s="4">
        <v>44725</v>
      </c>
      <c r="B594" s="5">
        <v>123.42010000000001</v>
      </c>
      <c r="C594" s="5">
        <v>92.615099999999998</v>
      </c>
    </row>
    <row r="595" spans="1:3" x14ac:dyDescent="0.3">
      <c r="A595" s="4">
        <v>44726</v>
      </c>
      <c r="B595" s="5">
        <v>123.4136</v>
      </c>
      <c r="C595" s="5">
        <v>92.127600000000001</v>
      </c>
    </row>
    <row r="596" spans="1:3" x14ac:dyDescent="0.3">
      <c r="A596" s="4">
        <v>44727</v>
      </c>
      <c r="B596" s="5">
        <v>123.39870000000001</v>
      </c>
      <c r="C596" s="5">
        <v>91.893799999999999</v>
      </c>
    </row>
    <row r="597" spans="1:3" x14ac:dyDescent="0.3">
      <c r="A597" s="4">
        <v>44728</v>
      </c>
      <c r="B597" s="5">
        <v>123.4067</v>
      </c>
      <c r="C597" s="5">
        <v>92.363200000000006</v>
      </c>
    </row>
    <row r="598" spans="1:3" x14ac:dyDescent="0.3">
      <c r="A598" s="4">
        <v>44729</v>
      </c>
      <c r="B598" s="5">
        <v>123.42440000000001</v>
      </c>
      <c r="C598" s="5">
        <v>92.515100000000004</v>
      </c>
    </row>
    <row r="599" spans="1:3" x14ac:dyDescent="0.3">
      <c r="A599" s="4">
        <v>44732</v>
      </c>
      <c r="B599" s="5">
        <v>123.3586</v>
      </c>
      <c r="C599" s="5">
        <v>92.581400000000002</v>
      </c>
    </row>
    <row r="600" spans="1:3" x14ac:dyDescent="0.3">
      <c r="A600" s="4">
        <v>44733</v>
      </c>
      <c r="B600" s="5">
        <v>123.3519</v>
      </c>
      <c r="C600" s="5">
        <v>92.413399999999996</v>
      </c>
    </row>
    <row r="601" spans="1:3" x14ac:dyDescent="0.3">
      <c r="A601" s="4">
        <v>44734</v>
      </c>
      <c r="B601" s="5">
        <v>123.3552</v>
      </c>
      <c r="C601" s="5">
        <v>92.674800000000005</v>
      </c>
    </row>
    <row r="602" spans="1:3" x14ac:dyDescent="0.3">
      <c r="A602" s="4">
        <v>44735</v>
      </c>
      <c r="B602" s="5">
        <v>123.3736</v>
      </c>
      <c r="C602" s="5">
        <v>92.865899999999996</v>
      </c>
    </row>
    <row r="603" spans="1:3" x14ac:dyDescent="0.3">
      <c r="A603" s="4">
        <v>44736</v>
      </c>
      <c r="B603" s="5">
        <v>123.33669999999999</v>
      </c>
      <c r="C603" s="5">
        <v>93.152600000000007</v>
      </c>
    </row>
    <row r="604" spans="1:3" x14ac:dyDescent="0.3">
      <c r="A604" s="4">
        <v>44739</v>
      </c>
      <c r="B604" s="5">
        <v>123.264</v>
      </c>
      <c r="C604" s="5">
        <v>92.797399999999996</v>
      </c>
    </row>
    <row r="605" spans="1:3" x14ac:dyDescent="0.3">
      <c r="A605" s="4">
        <v>44740</v>
      </c>
      <c r="B605" s="5">
        <v>123.2255</v>
      </c>
      <c r="C605" s="5">
        <v>92.832400000000007</v>
      </c>
    </row>
    <row r="606" spans="1:3" x14ac:dyDescent="0.3">
      <c r="A606" s="4">
        <v>44741</v>
      </c>
      <c r="B606" s="5">
        <v>123.2375</v>
      </c>
      <c r="C606" s="5">
        <v>92.949600000000004</v>
      </c>
    </row>
    <row r="607" spans="1:3" x14ac:dyDescent="0.3">
      <c r="A607" s="4">
        <v>44742</v>
      </c>
      <c r="B607" s="5">
        <v>123.2779</v>
      </c>
      <c r="C607" s="5">
        <v>92.988200000000006</v>
      </c>
    </row>
    <row r="608" spans="1:3" x14ac:dyDescent="0.3">
      <c r="A608" s="4">
        <v>44743</v>
      </c>
      <c r="B608" s="5">
        <v>123.3092</v>
      </c>
      <c r="C608" s="5">
        <v>93.465199999999996</v>
      </c>
    </row>
    <row r="609" spans="1:3" x14ac:dyDescent="0.3">
      <c r="A609" s="4">
        <v>44746</v>
      </c>
      <c r="B609" s="5">
        <v>123.26009999999999</v>
      </c>
      <c r="C609" s="5">
        <v>93.599299999999999</v>
      </c>
    </row>
    <row r="610" spans="1:3" x14ac:dyDescent="0.3">
      <c r="A610" s="4">
        <v>44747</v>
      </c>
      <c r="B610" s="5">
        <v>123.232</v>
      </c>
      <c r="C610" s="5">
        <v>93.275300000000001</v>
      </c>
    </row>
    <row r="611" spans="1:3" x14ac:dyDescent="0.3">
      <c r="A611" s="4">
        <v>44748</v>
      </c>
      <c r="B611" s="5">
        <v>123.25020000000001</v>
      </c>
      <c r="C611" s="5">
        <v>93.827600000000004</v>
      </c>
    </row>
    <row r="612" spans="1:3" x14ac:dyDescent="0.3">
      <c r="A612" s="4">
        <v>44749</v>
      </c>
      <c r="B612" s="5">
        <v>123.2589</v>
      </c>
      <c r="C612" s="5">
        <v>93.001900000000006</v>
      </c>
    </row>
    <row r="613" spans="1:3" x14ac:dyDescent="0.3">
      <c r="A613" s="4">
        <v>44750</v>
      </c>
      <c r="B613" s="5">
        <v>123.2612</v>
      </c>
      <c r="C613" s="5">
        <v>93.124600000000001</v>
      </c>
    </row>
    <row r="614" spans="1:3" x14ac:dyDescent="0.3">
      <c r="A614" s="4">
        <v>44753</v>
      </c>
      <c r="B614" s="5">
        <v>123.3126</v>
      </c>
      <c r="C614" s="5">
        <v>92.601200000000006</v>
      </c>
    </row>
    <row r="615" spans="1:3" x14ac:dyDescent="0.3">
      <c r="A615" s="4">
        <v>44754</v>
      </c>
      <c r="B615" s="5">
        <v>123.3659</v>
      </c>
      <c r="C615" s="5">
        <v>93.132300000000001</v>
      </c>
    </row>
    <row r="616" spans="1:3" x14ac:dyDescent="0.3">
      <c r="A616" s="4">
        <v>44755</v>
      </c>
      <c r="B616" s="5">
        <v>123.413</v>
      </c>
      <c r="C616" s="5">
        <v>92.693299999999994</v>
      </c>
    </row>
    <row r="617" spans="1:3" x14ac:dyDescent="0.3">
      <c r="A617" s="4">
        <v>44756</v>
      </c>
      <c r="B617" s="5">
        <v>123.4676</v>
      </c>
      <c r="C617" s="5">
        <v>92.842100000000002</v>
      </c>
    </row>
    <row r="618" spans="1:3" x14ac:dyDescent="0.3">
      <c r="A618" s="4">
        <v>44757</v>
      </c>
      <c r="B618" s="5">
        <v>123.5185</v>
      </c>
      <c r="C618" s="5">
        <v>92.788399999999996</v>
      </c>
    </row>
    <row r="619" spans="1:3" x14ac:dyDescent="0.3">
      <c r="A619" s="4">
        <v>44760</v>
      </c>
      <c r="B619" s="5">
        <v>123.55670000000001</v>
      </c>
      <c r="C619" s="5">
        <v>92.716800000000006</v>
      </c>
    </row>
    <row r="620" spans="1:3" x14ac:dyDescent="0.3">
      <c r="A620" s="4">
        <v>44761</v>
      </c>
      <c r="B620" s="5">
        <v>123.56699999999999</v>
      </c>
      <c r="C620" s="5">
        <v>92.568299999999994</v>
      </c>
    </row>
    <row r="621" spans="1:3" x14ac:dyDescent="0.3">
      <c r="A621" s="4">
        <v>44762</v>
      </c>
      <c r="B621" s="5">
        <v>123.6143</v>
      </c>
      <c r="C621" s="5">
        <v>92.192899999999995</v>
      </c>
    </row>
    <row r="622" spans="1:3" x14ac:dyDescent="0.3">
      <c r="A622" s="4">
        <v>44763</v>
      </c>
      <c r="B622" s="5">
        <v>123.67400000000001</v>
      </c>
      <c r="C622" s="5">
        <v>92.178700000000006</v>
      </c>
    </row>
    <row r="623" spans="1:3" x14ac:dyDescent="0.3">
      <c r="A623" s="4">
        <v>44764</v>
      </c>
      <c r="B623" s="5">
        <v>123.66589999999999</v>
      </c>
      <c r="C623" s="5">
        <v>92.724100000000007</v>
      </c>
    </row>
    <row r="624" spans="1:3" x14ac:dyDescent="0.3">
      <c r="A624" s="4">
        <v>44767</v>
      </c>
      <c r="B624" s="5">
        <v>123.69410000000001</v>
      </c>
      <c r="C624" s="5">
        <v>93.134500000000003</v>
      </c>
    </row>
    <row r="625" spans="1:3" x14ac:dyDescent="0.3">
      <c r="A625" s="4">
        <v>44768</v>
      </c>
      <c r="B625" s="5">
        <v>123.74769999999999</v>
      </c>
      <c r="C625" s="5">
        <v>93.053299999999993</v>
      </c>
    </row>
    <row r="626" spans="1:3" x14ac:dyDescent="0.3">
      <c r="A626" s="4">
        <v>44769</v>
      </c>
      <c r="B626" s="5">
        <v>123.7826</v>
      </c>
      <c r="C626" s="5">
        <v>93.010099999999994</v>
      </c>
    </row>
    <row r="627" spans="1:3" x14ac:dyDescent="0.3">
      <c r="A627" s="4">
        <v>44770</v>
      </c>
      <c r="B627" s="5">
        <v>123.76009999999999</v>
      </c>
      <c r="C627" s="5">
        <v>93.129099999999994</v>
      </c>
    </row>
    <row r="628" spans="1:3" x14ac:dyDescent="0.3">
      <c r="A628" s="4">
        <v>44771</v>
      </c>
      <c r="B628" s="5">
        <v>123.8588</v>
      </c>
      <c r="C628" s="5">
        <v>93.620999999999995</v>
      </c>
    </row>
    <row r="629" spans="1:3" x14ac:dyDescent="0.3">
      <c r="A629" s="4">
        <v>44774</v>
      </c>
      <c r="B629" s="5">
        <v>123.98650000000001</v>
      </c>
      <c r="C629" s="5">
        <v>93.3459</v>
      </c>
    </row>
    <row r="630" spans="1:3" x14ac:dyDescent="0.3">
      <c r="A630" s="4">
        <v>44775</v>
      </c>
      <c r="B630" s="5">
        <v>124.062</v>
      </c>
      <c r="C630" s="5">
        <v>93.822900000000004</v>
      </c>
    </row>
    <row r="631" spans="1:3" x14ac:dyDescent="0.3">
      <c r="A631" s="4">
        <v>44776</v>
      </c>
      <c r="B631" s="5">
        <v>124.11279999999999</v>
      </c>
      <c r="C631" s="5">
        <v>92.918800000000005</v>
      </c>
    </row>
    <row r="632" spans="1:3" x14ac:dyDescent="0.3">
      <c r="A632" s="4">
        <v>44777</v>
      </c>
      <c r="B632" s="5">
        <v>124.19450000000001</v>
      </c>
      <c r="C632" s="5">
        <v>93.157200000000003</v>
      </c>
    </row>
    <row r="633" spans="1:3" x14ac:dyDescent="0.3">
      <c r="A633" s="4">
        <v>44778</v>
      </c>
      <c r="B633" s="5">
        <v>124.1592</v>
      </c>
      <c r="C633" s="5">
        <v>93.047799999999995</v>
      </c>
    </row>
    <row r="634" spans="1:3" x14ac:dyDescent="0.3">
      <c r="A634" s="4">
        <v>44781</v>
      </c>
      <c r="B634" s="5">
        <v>124.1439</v>
      </c>
      <c r="C634" s="5">
        <v>92.613399999999999</v>
      </c>
    </row>
    <row r="635" spans="1:3" x14ac:dyDescent="0.3">
      <c r="A635" s="4">
        <v>44782</v>
      </c>
      <c r="B635" s="5">
        <v>124.09399999999999</v>
      </c>
      <c r="C635" s="5">
        <v>92.879499999999993</v>
      </c>
    </row>
    <row r="636" spans="1:3" x14ac:dyDescent="0.3">
      <c r="A636" s="4">
        <v>44783</v>
      </c>
      <c r="B636" s="5">
        <v>124.09529999999999</v>
      </c>
      <c r="C636" s="5">
        <v>92.555300000000003</v>
      </c>
    </row>
    <row r="637" spans="1:3" x14ac:dyDescent="0.3">
      <c r="A637" s="4">
        <v>44784</v>
      </c>
      <c r="B637" s="5">
        <v>124.0812</v>
      </c>
      <c r="C637" s="5">
        <v>92.857799999999997</v>
      </c>
    </row>
    <row r="638" spans="1:3" x14ac:dyDescent="0.3">
      <c r="A638" s="4">
        <v>44785</v>
      </c>
      <c r="B638" s="5">
        <v>124.07129999999999</v>
      </c>
      <c r="C638" s="5">
        <v>92.454400000000007</v>
      </c>
    </row>
    <row r="639" spans="1:3" x14ac:dyDescent="0.3">
      <c r="A639" s="4">
        <v>44788</v>
      </c>
      <c r="B639" s="5">
        <v>124.3302</v>
      </c>
      <c r="C639" s="5">
        <v>92.705399999999997</v>
      </c>
    </row>
    <row r="640" spans="1:3" x14ac:dyDescent="0.3">
      <c r="A640" s="4">
        <v>44789</v>
      </c>
      <c r="B640" s="5">
        <v>124.4678</v>
      </c>
      <c r="C640" s="5">
        <v>92.973600000000005</v>
      </c>
    </row>
    <row r="641" spans="1:3" x14ac:dyDescent="0.3">
      <c r="A641" s="4">
        <v>44790</v>
      </c>
      <c r="B641" s="5">
        <v>124.4708</v>
      </c>
      <c r="C641" s="5">
        <v>92.776499999999999</v>
      </c>
    </row>
    <row r="642" spans="1:3" x14ac:dyDescent="0.3">
      <c r="A642" s="4">
        <v>44791</v>
      </c>
      <c r="B642" s="5">
        <v>124.5611</v>
      </c>
      <c r="C642" s="5">
        <v>92.650999999999996</v>
      </c>
    </row>
    <row r="643" spans="1:3" x14ac:dyDescent="0.3">
      <c r="A643" s="4">
        <v>44792</v>
      </c>
      <c r="B643" s="5">
        <v>124.61</v>
      </c>
      <c r="C643" s="5">
        <v>92.681899999999999</v>
      </c>
    </row>
    <row r="644" spans="1:3" x14ac:dyDescent="0.3">
      <c r="A644" s="4">
        <v>44795</v>
      </c>
      <c r="B644" s="5">
        <v>124.6053</v>
      </c>
      <c r="C644" s="5">
        <v>92.431899999999999</v>
      </c>
    </row>
    <row r="645" spans="1:3" x14ac:dyDescent="0.3">
      <c r="A645" s="4">
        <v>44796</v>
      </c>
      <c r="B645" s="5">
        <v>124.55</v>
      </c>
      <c r="C645" s="5">
        <v>92.331800000000001</v>
      </c>
    </row>
    <row r="646" spans="1:3" x14ac:dyDescent="0.3">
      <c r="A646" s="4">
        <v>44797</v>
      </c>
      <c r="B646" s="5">
        <v>124.5273</v>
      </c>
      <c r="C646" s="5">
        <v>92.373400000000004</v>
      </c>
    </row>
    <row r="647" spans="1:3" x14ac:dyDescent="0.3">
      <c r="A647" s="4">
        <v>44798</v>
      </c>
      <c r="B647" s="5">
        <v>124.4114</v>
      </c>
      <c r="C647" s="5">
        <v>92.161900000000003</v>
      </c>
    </row>
    <row r="648" spans="1:3" x14ac:dyDescent="0.3">
      <c r="A648" s="4">
        <v>44799</v>
      </c>
      <c r="B648" s="5">
        <v>124.37439999999999</v>
      </c>
      <c r="C648" s="5">
        <v>92.44</v>
      </c>
    </row>
    <row r="649" spans="1:3" x14ac:dyDescent="0.3">
      <c r="A649" s="4">
        <v>44802</v>
      </c>
      <c r="B649" s="5">
        <v>124.4228</v>
      </c>
      <c r="C649" s="5">
        <v>92.265799999999999</v>
      </c>
    </row>
    <row r="650" spans="1:3" x14ac:dyDescent="0.3">
      <c r="A650" s="4">
        <v>44803</v>
      </c>
      <c r="B650" s="5">
        <v>124.4757</v>
      </c>
      <c r="C650" s="5">
        <v>92.437899999999999</v>
      </c>
    </row>
    <row r="651" spans="1:3" x14ac:dyDescent="0.3">
      <c r="A651" s="4">
        <v>44804</v>
      </c>
      <c r="B651" s="5">
        <v>124.4829</v>
      </c>
      <c r="C651" s="5">
        <v>92.3095</v>
      </c>
    </row>
    <row r="652" spans="1:3" x14ac:dyDescent="0.3">
      <c r="A652" s="4">
        <v>44805</v>
      </c>
      <c r="B652" s="5">
        <v>124.5334</v>
      </c>
      <c r="C652" s="5">
        <v>92.128900000000002</v>
      </c>
    </row>
    <row r="653" spans="1:3" x14ac:dyDescent="0.3">
      <c r="A653" s="4">
        <v>44806</v>
      </c>
      <c r="B653" s="5">
        <v>124.5401</v>
      </c>
      <c r="C653" s="5">
        <v>91.938299999999998</v>
      </c>
    </row>
    <row r="654" spans="1:3" x14ac:dyDescent="0.3">
      <c r="A654" s="4">
        <v>44809</v>
      </c>
      <c r="B654" s="5">
        <v>124.6016</v>
      </c>
      <c r="C654" s="5">
        <v>92.2072</v>
      </c>
    </row>
    <row r="655" spans="1:3" x14ac:dyDescent="0.3">
      <c r="A655" s="4">
        <v>44810</v>
      </c>
      <c r="B655" s="5">
        <v>124.6461</v>
      </c>
      <c r="C655" s="5">
        <v>91.884900000000002</v>
      </c>
    </row>
    <row r="656" spans="1:3" x14ac:dyDescent="0.3">
      <c r="A656" s="4">
        <v>44811</v>
      </c>
      <c r="B656" s="5">
        <v>124.6464</v>
      </c>
      <c r="C656" s="5">
        <v>91.779600000000002</v>
      </c>
    </row>
    <row r="657" spans="1:3" x14ac:dyDescent="0.3">
      <c r="A657" s="4">
        <v>44812</v>
      </c>
      <c r="B657" s="5">
        <v>124.631</v>
      </c>
      <c r="C657" s="5">
        <v>92.147900000000007</v>
      </c>
    </row>
    <row r="658" spans="1:3" x14ac:dyDescent="0.3">
      <c r="A658" s="4">
        <v>44813</v>
      </c>
      <c r="B658" s="5">
        <v>124.6138</v>
      </c>
      <c r="C658" s="5">
        <v>91.864999999999995</v>
      </c>
    </row>
    <row r="659" spans="1:3" x14ac:dyDescent="0.3">
      <c r="A659" s="4">
        <v>44817</v>
      </c>
      <c r="B659" s="5">
        <v>124.5802</v>
      </c>
      <c r="C659" s="5">
        <v>91.769300000000001</v>
      </c>
    </row>
    <row r="660" spans="1:3" x14ac:dyDescent="0.3">
      <c r="A660" s="4">
        <v>44818</v>
      </c>
      <c r="B660" s="5">
        <v>124.5335</v>
      </c>
      <c r="C660" s="5">
        <v>91.184700000000007</v>
      </c>
    </row>
    <row r="661" spans="1:3" x14ac:dyDescent="0.3">
      <c r="A661" s="4">
        <v>44819</v>
      </c>
      <c r="B661" s="5">
        <v>124.5445</v>
      </c>
      <c r="C661" s="5">
        <v>91.365399999999994</v>
      </c>
    </row>
    <row r="662" spans="1:3" x14ac:dyDescent="0.3">
      <c r="A662" s="4">
        <v>44820</v>
      </c>
      <c r="B662" s="5">
        <v>124.49339999999999</v>
      </c>
      <c r="C662" s="5">
        <v>91.035700000000006</v>
      </c>
    </row>
    <row r="663" spans="1:3" x14ac:dyDescent="0.3">
      <c r="A663" s="4">
        <v>44823</v>
      </c>
      <c r="B663" s="5">
        <v>124.48350000000001</v>
      </c>
      <c r="C663" s="5">
        <v>91.251800000000003</v>
      </c>
    </row>
    <row r="664" spans="1:3" x14ac:dyDescent="0.3">
      <c r="A664" s="4">
        <v>44824</v>
      </c>
      <c r="B664" s="5">
        <v>124.5021</v>
      </c>
      <c r="C664" s="5">
        <v>90.990099999999998</v>
      </c>
    </row>
    <row r="665" spans="1:3" x14ac:dyDescent="0.3">
      <c r="A665" s="4">
        <v>44825</v>
      </c>
      <c r="B665" s="5">
        <v>124.5346</v>
      </c>
      <c r="C665" s="5">
        <v>90.991200000000006</v>
      </c>
    </row>
    <row r="666" spans="1:3" x14ac:dyDescent="0.3">
      <c r="A666" s="4">
        <v>44826</v>
      </c>
      <c r="B666" s="5">
        <v>124.5381</v>
      </c>
      <c r="C666" s="5">
        <v>90.662199999999999</v>
      </c>
    </row>
    <row r="667" spans="1:3" x14ac:dyDescent="0.3">
      <c r="A667" s="4">
        <v>44827</v>
      </c>
      <c r="B667" s="5">
        <v>124.50579999999999</v>
      </c>
      <c r="C667" s="5">
        <v>90.319100000000006</v>
      </c>
    </row>
    <row r="668" spans="1:3" x14ac:dyDescent="0.3">
      <c r="A668" s="4">
        <v>44830</v>
      </c>
      <c r="B668" s="5">
        <v>124.3961</v>
      </c>
      <c r="C668" s="5">
        <v>89.941599999999994</v>
      </c>
    </row>
    <row r="669" spans="1:3" x14ac:dyDescent="0.3">
      <c r="A669" s="4">
        <v>44831</v>
      </c>
      <c r="B669" s="5">
        <v>124.3734</v>
      </c>
      <c r="C669" s="5">
        <v>89.816599999999994</v>
      </c>
    </row>
    <row r="670" spans="1:3" x14ac:dyDescent="0.3">
      <c r="A670" s="4">
        <v>44832</v>
      </c>
      <c r="B670" s="5">
        <v>124.3022</v>
      </c>
      <c r="C670" s="5">
        <v>89.394999999999996</v>
      </c>
    </row>
    <row r="671" spans="1:3" x14ac:dyDescent="0.3">
      <c r="A671" s="4">
        <v>44833</v>
      </c>
      <c r="B671" s="5">
        <v>124.2475</v>
      </c>
      <c r="C671" s="5">
        <v>89.856899999999996</v>
      </c>
    </row>
    <row r="672" spans="1:3" x14ac:dyDescent="0.3">
      <c r="A672" s="4">
        <v>44834</v>
      </c>
      <c r="B672" s="5">
        <v>124.17700000000001</v>
      </c>
      <c r="C672" s="5">
        <v>89.820999999999998</v>
      </c>
    </row>
    <row r="673" spans="1:3" x14ac:dyDescent="0.3">
      <c r="A673" s="4">
        <v>44844</v>
      </c>
      <c r="B673" s="5">
        <v>124.3309</v>
      </c>
      <c r="C673" s="5">
        <v>89.501499999999993</v>
      </c>
    </row>
    <row r="674" spans="1:3" x14ac:dyDescent="0.3">
      <c r="A674" s="4">
        <v>44845</v>
      </c>
      <c r="B674" s="5">
        <v>124.3759</v>
      </c>
      <c r="C674" s="5">
        <v>89.1858</v>
      </c>
    </row>
    <row r="675" spans="1:3" x14ac:dyDescent="0.3">
      <c r="A675" s="4">
        <v>44846</v>
      </c>
      <c r="B675" s="5">
        <v>124.3767</v>
      </c>
      <c r="C675" s="5">
        <v>89.214299999999994</v>
      </c>
    </row>
    <row r="676" spans="1:3" x14ac:dyDescent="0.3">
      <c r="A676" s="4">
        <v>44847</v>
      </c>
      <c r="B676" s="5">
        <v>124.422</v>
      </c>
      <c r="C676" s="5">
        <v>89.062200000000004</v>
      </c>
    </row>
    <row r="677" spans="1:3" x14ac:dyDescent="0.3">
      <c r="A677" s="4">
        <v>44848</v>
      </c>
      <c r="B677" s="5">
        <v>124.498</v>
      </c>
      <c r="C677" s="5">
        <v>88.807000000000002</v>
      </c>
    </row>
    <row r="678" spans="1:3" x14ac:dyDescent="0.3">
      <c r="A678" s="4">
        <v>44851</v>
      </c>
      <c r="B678" s="5">
        <v>124.52209999999999</v>
      </c>
      <c r="C678" s="5">
        <v>88.582599999999999</v>
      </c>
    </row>
    <row r="679" spans="1:3" x14ac:dyDescent="0.3">
      <c r="A679" s="4">
        <v>44852</v>
      </c>
      <c r="B679" s="5">
        <v>124.5294</v>
      </c>
      <c r="C679" s="5">
        <v>88.580100000000002</v>
      </c>
    </row>
    <row r="680" spans="1:3" x14ac:dyDescent="0.3">
      <c r="A680" s="4">
        <v>44853</v>
      </c>
      <c r="B680" s="5">
        <v>124.5453</v>
      </c>
      <c r="C680" s="5">
        <v>88.369399999999999</v>
      </c>
    </row>
    <row r="681" spans="1:3" x14ac:dyDescent="0.3">
      <c r="A681" s="4">
        <v>44854</v>
      </c>
      <c r="B681" s="5">
        <v>124.505</v>
      </c>
      <c r="C681" s="5">
        <v>87.865600000000001</v>
      </c>
    </row>
    <row r="682" spans="1:3" x14ac:dyDescent="0.3">
      <c r="A682" s="4">
        <v>44855</v>
      </c>
      <c r="B682" s="5">
        <v>124.4888</v>
      </c>
      <c r="C682" s="5">
        <v>87.480900000000005</v>
      </c>
    </row>
    <row r="683" spans="1:3" x14ac:dyDescent="0.3">
      <c r="A683" s="4">
        <v>44858</v>
      </c>
      <c r="B683" s="5">
        <v>124.4971</v>
      </c>
      <c r="C683" s="5">
        <v>87.829400000000007</v>
      </c>
    </row>
    <row r="684" spans="1:3" x14ac:dyDescent="0.3">
      <c r="A684" s="4">
        <v>44859</v>
      </c>
      <c r="B684" s="5">
        <v>124.4654</v>
      </c>
      <c r="C684" s="5">
        <v>87.221699999999998</v>
      </c>
    </row>
    <row r="685" spans="1:3" x14ac:dyDescent="0.3">
      <c r="A685" s="4">
        <v>44860</v>
      </c>
      <c r="B685" s="5">
        <v>124.4744</v>
      </c>
      <c r="C685" s="5">
        <v>87.664500000000004</v>
      </c>
    </row>
    <row r="686" spans="1:3" x14ac:dyDescent="0.3">
      <c r="A686" s="4">
        <v>44861</v>
      </c>
      <c r="B686" s="5">
        <v>124.5219</v>
      </c>
      <c r="C686" s="5">
        <v>87.667100000000005</v>
      </c>
    </row>
    <row r="687" spans="1:3" x14ac:dyDescent="0.3">
      <c r="A687" s="4">
        <v>44862</v>
      </c>
      <c r="B687" s="5">
        <v>124.5604</v>
      </c>
      <c r="C687" s="5">
        <v>87.938299999999998</v>
      </c>
    </row>
    <row r="688" spans="1:3" x14ac:dyDescent="0.3">
      <c r="A688" s="4">
        <v>44865</v>
      </c>
      <c r="B688" s="5">
        <v>124.63630000000001</v>
      </c>
      <c r="C688" s="5">
        <v>87.2239</v>
      </c>
    </row>
    <row r="689" spans="1:3" x14ac:dyDescent="0.3">
      <c r="A689" s="4">
        <v>44866</v>
      </c>
      <c r="B689" s="5">
        <v>124.57089999999999</v>
      </c>
      <c r="C689" s="5">
        <v>87.313100000000006</v>
      </c>
    </row>
    <row r="690" spans="1:3" x14ac:dyDescent="0.3">
      <c r="A690" s="4">
        <v>44867</v>
      </c>
      <c r="B690" s="5">
        <v>124.51819999999999</v>
      </c>
      <c r="C690" s="5">
        <v>86.985299999999995</v>
      </c>
    </row>
    <row r="691" spans="1:3" x14ac:dyDescent="0.3">
      <c r="A691" s="4">
        <v>44868</v>
      </c>
      <c r="B691" s="5">
        <v>124.5277</v>
      </c>
      <c r="C691" s="5">
        <v>86.897599999999997</v>
      </c>
    </row>
    <row r="692" spans="1:3" x14ac:dyDescent="0.3">
      <c r="A692" s="4">
        <v>44869</v>
      </c>
      <c r="B692" s="5">
        <v>124.4597</v>
      </c>
      <c r="C692" s="5">
        <v>86.608099999999993</v>
      </c>
    </row>
    <row r="693" spans="1:3" x14ac:dyDescent="0.3">
      <c r="A693" s="4">
        <v>44872</v>
      </c>
      <c r="B693" s="5">
        <v>124.44240000000001</v>
      </c>
      <c r="C693" s="5">
        <v>86.716099999999997</v>
      </c>
    </row>
    <row r="694" spans="1:3" x14ac:dyDescent="0.3">
      <c r="A694" s="4">
        <v>44873</v>
      </c>
      <c r="B694" s="5">
        <v>124.408</v>
      </c>
      <c r="C694" s="5">
        <v>86.456999999999994</v>
      </c>
    </row>
    <row r="695" spans="1:3" x14ac:dyDescent="0.3">
      <c r="A695" s="4">
        <v>44874</v>
      </c>
      <c r="B695" s="5">
        <v>124.3904</v>
      </c>
      <c r="C695" s="5">
        <v>86.974100000000007</v>
      </c>
    </row>
    <row r="696" spans="1:3" x14ac:dyDescent="0.3">
      <c r="A696" s="4">
        <v>44875</v>
      </c>
      <c r="B696" s="5">
        <v>124.3575</v>
      </c>
      <c r="C696" s="5">
        <v>87.124200000000002</v>
      </c>
    </row>
    <row r="697" spans="1:3" x14ac:dyDescent="0.3">
      <c r="A697" s="4">
        <v>44876</v>
      </c>
      <c r="B697" s="5">
        <v>124.2244</v>
      </c>
      <c r="C697" s="5">
        <v>88.320499999999996</v>
      </c>
    </row>
    <row r="698" spans="1:3" x14ac:dyDescent="0.3">
      <c r="A698" s="4">
        <v>44879</v>
      </c>
      <c r="B698" s="5">
        <v>123.68559999999999</v>
      </c>
      <c r="C698" s="5">
        <v>88.071600000000004</v>
      </c>
    </row>
    <row r="699" spans="1:3" x14ac:dyDescent="0.3">
      <c r="A699" s="4">
        <v>44880</v>
      </c>
      <c r="B699" s="5">
        <v>123.63420000000001</v>
      </c>
      <c r="C699" s="5">
        <v>88.693600000000004</v>
      </c>
    </row>
    <row r="700" spans="1:3" x14ac:dyDescent="0.3">
      <c r="A700" s="4">
        <v>44881</v>
      </c>
      <c r="B700" s="5">
        <v>123.4988</v>
      </c>
      <c r="C700" s="5">
        <v>88.76</v>
      </c>
    </row>
    <row r="701" spans="1:3" x14ac:dyDescent="0.3">
      <c r="A701" s="4">
        <v>44882</v>
      </c>
      <c r="B701" s="5">
        <v>123.51819999999999</v>
      </c>
      <c r="C701" s="5">
        <v>89.119500000000002</v>
      </c>
    </row>
    <row r="702" spans="1:3" x14ac:dyDescent="0.3">
      <c r="A702" s="4">
        <v>44883</v>
      </c>
      <c r="B702" s="5">
        <v>123.5341</v>
      </c>
      <c r="C702" s="5">
        <v>88.694599999999994</v>
      </c>
    </row>
    <row r="703" spans="1:3" x14ac:dyDescent="0.3">
      <c r="A703" s="4">
        <v>44886</v>
      </c>
      <c r="B703" s="5">
        <v>123.5904</v>
      </c>
      <c r="C703" s="5">
        <v>88.759399999999999</v>
      </c>
    </row>
    <row r="704" spans="1:3" x14ac:dyDescent="0.3">
      <c r="A704" s="4">
        <v>44887</v>
      </c>
      <c r="B704" s="5">
        <v>123.5806</v>
      </c>
      <c r="C704" s="5">
        <v>88.537400000000005</v>
      </c>
    </row>
    <row r="705" spans="1:3" x14ac:dyDescent="0.3">
      <c r="A705" s="4">
        <v>44888</v>
      </c>
      <c r="B705" s="5">
        <v>123.6618</v>
      </c>
      <c r="C705" s="5">
        <v>88.750799999999998</v>
      </c>
    </row>
    <row r="706" spans="1:3" x14ac:dyDescent="0.3">
      <c r="A706" s="4">
        <v>44889</v>
      </c>
      <c r="B706" s="5">
        <v>123.78579999999999</v>
      </c>
      <c r="C706" s="5">
        <v>89.078500000000005</v>
      </c>
    </row>
    <row r="707" spans="1:3" x14ac:dyDescent="0.3">
      <c r="A707" s="4">
        <v>44890</v>
      </c>
      <c r="B707" s="5">
        <v>123.6931</v>
      </c>
      <c r="C707" s="5">
        <v>89.275400000000005</v>
      </c>
    </row>
    <row r="708" spans="1:3" x14ac:dyDescent="0.3">
      <c r="A708" s="4">
        <v>44893</v>
      </c>
      <c r="B708" s="5">
        <v>123.6041</v>
      </c>
      <c r="C708" s="5">
        <v>89.464600000000004</v>
      </c>
    </row>
    <row r="709" spans="1:3" x14ac:dyDescent="0.3">
      <c r="A709" s="4">
        <v>44894</v>
      </c>
      <c r="B709" s="5">
        <v>123.39530000000001</v>
      </c>
      <c r="C709" s="5">
        <v>89.415999999999997</v>
      </c>
    </row>
    <row r="710" spans="1:3" x14ac:dyDescent="0.3">
      <c r="A710" s="4">
        <v>44895</v>
      </c>
      <c r="B710" s="5">
        <v>123.34699999999999</v>
      </c>
      <c r="C710" s="5">
        <v>89.381900000000002</v>
      </c>
    </row>
    <row r="711" spans="1:3" x14ac:dyDescent="0.3">
      <c r="A711" s="4">
        <v>44896</v>
      </c>
      <c r="B711" s="5">
        <v>123.3506</v>
      </c>
      <c r="C711" s="5">
        <v>90.070999999999998</v>
      </c>
    </row>
    <row r="712" spans="1:3" x14ac:dyDescent="0.3">
      <c r="A712" s="4">
        <v>44897</v>
      </c>
      <c r="B712" s="5">
        <v>123.3755</v>
      </c>
      <c r="C712" s="5">
        <v>90.345299999999995</v>
      </c>
    </row>
    <row r="713" spans="1:3" x14ac:dyDescent="0.3">
      <c r="A713" s="4">
        <v>44900</v>
      </c>
      <c r="B713" s="5">
        <v>123.3305</v>
      </c>
      <c r="C713" s="5">
        <v>90.474400000000003</v>
      </c>
    </row>
    <row r="714" spans="1:3" x14ac:dyDescent="0.3">
      <c r="A714" s="4">
        <v>44901</v>
      </c>
      <c r="B714" s="5">
        <v>123.22750000000001</v>
      </c>
      <c r="C714" s="5">
        <v>90.300399999999996</v>
      </c>
    </row>
    <row r="715" spans="1:3" x14ac:dyDescent="0.3">
      <c r="A715" s="4">
        <v>44902</v>
      </c>
      <c r="B715" s="5">
        <v>123.17740000000001</v>
      </c>
      <c r="C715" s="5">
        <v>90.564099999999996</v>
      </c>
    </row>
    <row r="716" spans="1:3" x14ac:dyDescent="0.3">
      <c r="A716" s="4">
        <v>44903</v>
      </c>
      <c r="B716" s="5">
        <v>123.20269999999999</v>
      </c>
      <c r="C716" s="5">
        <v>90.864000000000004</v>
      </c>
    </row>
    <row r="717" spans="1:3" x14ac:dyDescent="0.3">
      <c r="A717" s="4">
        <v>44904</v>
      </c>
      <c r="B717" s="5">
        <v>123.1426</v>
      </c>
      <c r="C717" s="5">
        <v>90.957499999999996</v>
      </c>
    </row>
    <row r="718" spans="1:3" x14ac:dyDescent="0.3">
      <c r="A718" s="4">
        <v>44907</v>
      </c>
      <c r="B718" s="5">
        <v>123.1117</v>
      </c>
      <c r="C718" s="5">
        <v>90.570999999999998</v>
      </c>
    </row>
    <row r="719" spans="1:3" x14ac:dyDescent="0.3">
      <c r="A719" s="4">
        <v>44908</v>
      </c>
      <c r="B719" s="5">
        <v>122.9764</v>
      </c>
      <c r="C719" s="5">
        <v>90.454700000000003</v>
      </c>
    </row>
    <row r="720" spans="1:3" x14ac:dyDescent="0.3">
      <c r="A720" s="4">
        <v>44909</v>
      </c>
      <c r="B720" s="5">
        <v>123.0607</v>
      </c>
      <c r="C720" s="5">
        <v>91.125</v>
      </c>
    </row>
    <row r="721" spans="1:3" x14ac:dyDescent="0.3">
      <c r="A721" s="4">
        <v>44910</v>
      </c>
      <c r="B721" s="5">
        <v>123.0639</v>
      </c>
      <c r="C721" s="5">
        <v>90.940100000000001</v>
      </c>
    </row>
    <row r="722" spans="1:3" x14ac:dyDescent="0.3">
      <c r="A722" s="4">
        <v>44911</v>
      </c>
      <c r="B722" s="5">
        <v>123.04259999999999</v>
      </c>
      <c r="C722" s="5">
        <v>91.002499999999998</v>
      </c>
    </row>
    <row r="723" spans="1:3" x14ac:dyDescent="0.3">
      <c r="A723" s="4">
        <v>44914</v>
      </c>
      <c r="B723" s="5">
        <v>123.14100000000001</v>
      </c>
      <c r="C723" s="5">
        <v>90.957800000000006</v>
      </c>
    </row>
    <row r="724" spans="1:3" x14ac:dyDescent="0.3">
      <c r="A724" s="4">
        <v>44915</v>
      </c>
      <c r="B724" s="5">
        <v>123.1491</v>
      </c>
      <c r="C724" s="5">
        <v>90.470600000000005</v>
      </c>
    </row>
    <row r="725" spans="1:3" x14ac:dyDescent="0.3">
      <c r="A725" s="4">
        <v>44916</v>
      </c>
      <c r="B725" s="5">
        <v>123.1339</v>
      </c>
      <c r="C725" s="5">
        <v>90.497900000000001</v>
      </c>
    </row>
    <row r="726" spans="1:3" x14ac:dyDescent="0.3">
      <c r="A726" s="4">
        <v>44917</v>
      </c>
      <c r="B726" s="5">
        <v>123.1964</v>
      </c>
      <c r="C726" s="5">
        <v>90.623800000000003</v>
      </c>
    </row>
    <row r="727" spans="1:3" x14ac:dyDescent="0.3">
      <c r="A727" s="4">
        <v>44918</v>
      </c>
      <c r="B727" s="5">
        <v>123.2881</v>
      </c>
      <c r="C727" s="5">
        <v>90.425899999999999</v>
      </c>
    </row>
    <row r="728" spans="1:3" x14ac:dyDescent="0.3">
      <c r="A728" s="4">
        <v>44921</v>
      </c>
      <c r="B728" s="5">
        <v>123.2971</v>
      </c>
      <c r="C728" s="5">
        <v>90.343000000000004</v>
      </c>
    </row>
    <row r="729" spans="1:3" x14ac:dyDescent="0.3">
      <c r="A729" s="4">
        <v>44922</v>
      </c>
      <c r="B729" s="5">
        <v>123.2649</v>
      </c>
      <c r="C729" s="5">
        <v>90.301100000000005</v>
      </c>
    </row>
    <row r="730" spans="1:3" x14ac:dyDescent="0.3">
      <c r="A730" s="4">
        <v>44923</v>
      </c>
      <c r="B730" s="5">
        <v>123.2664</v>
      </c>
      <c r="C730" s="5">
        <v>89.976799999999997</v>
      </c>
    </row>
    <row r="731" spans="1:3" x14ac:dyDescent="0.3">
      <c r="A731" s="4">
        <v>44924</v>
      </c>
      <c r="B731" s="5">
        <v>123.36360000000001</v>
      </c>
      <c r="C731" s="5">
        <v>89.988100000000003</v>
      </c>
    </row>
    <row r="732" spans="1:3" x14ac:dyDescent="0.3">
      <c r="A732" s="4">
        <v>44925</v>
      </c>
      <c r="B732" s="5">
        <v>123.41719999999999</v>
      </c>
      <c r="C732" s="5">
        <v>90.030699999999996</v>
      </c>
    </row>
    <row r="733" spans="1:3" x14ac:dyDescent="0.3">
      <c r="A733" s="4">
        <v>44929</v>
      </c>
      <c r="B733" s="5">
        <v>123.5305</v>
      </c>
      <c r="C733" s="5">
        <v>90.065799999999996</v>
      </c>
    </row>
    <row r="734" spans="1:3" x14ac:dyDescent="0.3">
      <c r="A734" s="4">
        <v>44930</v>
      </c>
      <c r="B734" s="5">
        <v>123.6435</v>
      </c>
      <c r="C734" s="5">
        <v>90.495099999999994</v>
      </c>
    </row>
    <row r="735" spans="1:3" x14ac:dyDescent="0.3">
      <c r="A735" s="4">
        <v>44931</v>
      </c>
      <c r="B735" s="5">
        <v>123.7017</v>
      </c>
      <c r="C735" s="5">
        <v>90.548299999999998</v>
      </c>
    </row>
    <row r="736" spans="1:3" x14ac:dyDescent="0.3">
      <c r="A736" s="4">
        <v>44932</v>
      </c>
      <c r="B736" s="5">
        <v>123.6538</v>
      </c>
      <c r="C736" s="5">
        <v>90.5822</v>
      </c>
    </row>
    <row r="737" spans="1:3" x14ac:dyDescent="0.3">
      <c r="A737" s="4">
        <v>44935</v>
      </c>
      <c r="B737" s="5">
        <v>123.6433</v>
      </c>
      <c r="C737" s="5">
        <v>91.338200000000001</v>
      </c>
    </row>
    <row r="738" spans="1:3" x14ac:dyDescent="0.3">
      <c r="A738" s="4">
        <v>44936</v>
      </c>
      <c r="B738" s="5">
        <v>123.5421</v>
      </c>
      <c r="C738" s="5">
        <v>91.481300000000005</v>
      </c>
    </row>
    <row r="739" spans="1:3" x14ac:dyDescent="0.3">
      <c r="A739" s="4">
        <v>44937</v>
      </c>
      <c r="B739" s="5">
        <v>123.514</v>
      </c>
      <c r="C739" s="5">
        <v>91.248900000000006</v>
      </c>
    </row>
    <row r="740" spans="1:3" x14ac:dyDescent="0.3">
      <c r="A740" s="4">
        <v>44938</v>
      </c>
      <c r="B740" s="5">
        <v>123.53360000000001</v>
      </c>
      <c r="C740" s="5">
        <v>91.555800000000005</v>
      </c>
    </row>
    <row r="741" spans="1:3" x14ac:dyDescent="0.3">
      <c r="A741" s="4">
        <v>44939</v>
      </c>
      <c r="B741" s="5">
        <v>123.4926</v>
      </c>
      <c r="C741" s="5">
        <v>91.790300000000002</v>
      </c>
    </row>
    <row r="742" spans="1:3" x14ac:dyDescent="0.3">
      <c r="A742" s="4">
        <v>44942</v>
      </c>
      <c r="B742" s="5">
        <v>123.3913</v>
      </c>
      <c r="C742" s="5">
        <v>91.611000000000004</v>
      </c>
    </row>
    <row r="743" spans="1:3" x14ac:dyDescent="0.3">
      <c r="A743" s="4">
        <v>44943</v>
      </c>
      <c r="B743" s="5">
        <v>123.37130000000001</v>
      </c>
      <c r="C743" s="5">
        <v>91.573899999999995</v>
      </c>
    </row>
    <row r="744" spans="1:3" x14ac:dyDescent="0.3">
      <c r="A744" s="4">
        <v>44944</v>
      </c>
      <c r="B744" s="5">
        <v>123.3296</v>
      </c>
      <c r="C744" s="5">
        <v>91.768199999999993</v>
      </c>
    </row>
    <row r="745" spans="1:3" x14ac:dyDescent="0.3">
      <c r="A745" s="4">
        <v>44945</v>
      </c>
      <c r="B745" s="5">
        <v>123.3416</v>
      </c>
      <c r="C745" s="5">
        <v>92.430800000000005</v>
      </c>
    </row>
    <row r="746" spans="1:3" x14ac:dyDescent="0.3">
      <c r="A746" s="4">
        <v>44946</v>
      </c>
      <c r="B746" s="5">
        <v>123.29640000000001</v>
      </c>
      <c r="C746" s="5">
        <v>91.8155</v>
      </c>
    </row>
    <row r="747" spans="1:3" x14ac:dyDescent="0.3">
      <c r="A747" s="4">
        <v>44956</v>
      </c>
      <c r="B747" s="5">
        <v>123.3412</v>
      </c>
      <c r="C747" s="5">
        <v>91.7453</v>
      </c>
    </row>
    <row r="748" spans="1:3" x14ac:dyDescent="0.3">
      <c r="A748" s="4">
        <v>44957</v>
      </c>
      <c r="B748" s="5">
        <v>123.379</v>
      </c>
      <c r="C748" s="5">
        <v>91.643199999999993</v>
      </c>
    </row>
    <row r="749" spans="1:3" x14ac:dyDescent="0.3">
      <c r="A749" s="4">
        <v>44958</v>
      </c>
      <c r="B749" s="5">
        <v>123.3573</v>
      </c>
      <c r="C749" s="5">
        <v>91.843000000000004</v>
      </c>
    </row>
    <row r="750" spans="1:3" x14ac:dyDescent="0.3">
      <c r="A750" s="4">
        <v>44959</v>
      </c>
      <c r="B750" s="5">
        <v>123.355</v>
      </c>
      <c r="C750" s="5">
        <v>92.2667</v>
      </c>
    </row>
    <row r="751" spans="1:3" x14ac:dyDescent="0.3">
      <c r="A751" s="4">
        <v>44960</v>
      </c>
      <c r="B751" s="5">
        <v>123.4015</v>
      </c>
      <c r="C751" s="5">
        <v>92.3917</v>
      </c>
    </row>
    <row r="752" spans="1:3" x14ac:dyDescent="0.3">
      <c r="A752" s="4">
        <v>44963</v>
      </c>
      <c r="B752" s="5">
        <v>123.41</v>
      </c>
      <c r="C752" s="5">
        <v>91.6691</v>
      </c>
    </row>
    <row r="753" spans="1:3" x14ac:dyDescent="0.3">
      <c r="A753" s="4">
        <v>44964</v>
      </c>
      <c r="B753" s="5">
        <v>123.42270000000001</v>
      </c>
      <c r="C753" s="5">
        <v>91.555099999999996</v>
      </c>
    </row>
    <row r="754" spans="1:3" x14ac:dyDescent="0.3">
      <c r="A754" s="4">
        <v>44965</v>
      </c>
      <c r="B754" s="5">
        <v>123.43940000000001</v>
      </c>
      <c r="C754" s="5">
        <v>91.600499999999997</v>
      </c>
    </row>
    <row r="755" spans="1:3" x14ac:dyDescent="0.3">
      <c r="A755" s="4">
        <v>44966</v>
      </c>
      <c r="B755" s="5">
        <v>123.4466</v>
      </c>
      <c r="C755" s="5">
        <v>91.559700000000007</v>
      </c>
    </row>
    <row r="756" spans="1:3" x14ac:dyDescent="0.3">
      <c r="A756" s="4">
        <v>44967</v>
      </c>
      <c r="B756" s="5">
        <v>123.4704</v>
      </c>
      <c r="C756" s="5">
        <v>91.408000000000001</v>
      </c>
    </row>
    <row r="757" spans="1:3" x14ac:dyDescent="0.3">
      <c r="A757" s="4">
        <v>44970</v>
      </c>
      <c r="B757" s="5">
        <v>123.4986</v>
      </c>
      <c r="C757" s="5">
        <v>91.249899999999997</v>
      </c>
    </row>
    <row r="758" spans="1:3" x14ac:dyDescent="0.3">
      <c r="A758" s="4">
        <v>44971</v>
      </c>
      <c r="B758" s="5">
        <v>123.5181</v>
      </c>
      <c r="C758" s="5">
        <v>91.400700000000001</v>
      </c>
    </row>
    <row r="759" spans="1:3" x14ac:dyDescent="0.3">
      <c r="A759" s="4">
        <v>44972</v>
      </c>
      <c r="B759" s="5">
        <v>123.53019999999999</v>
      </c>
      <c r="C759" s="5">
        <v>91.096000000000004</v>
      </c>
    </row>
    <row r="760" spans="1:3" x14ac:dyDescent="0.3">
      <c r="A760" s="4">
        <v>44973</v>
      </c>
      <c r="B760" s="5">
        <v>123.55710000000001</v>
      </c>
      <c r="C760" s="5">
        <v>91.054000000000002</v>
      </c>
    </row>
    <row r="761" spans="1:3" x14ac:dyDescent="0.3">
      <c r="A761" s="4">
        <v>44974</v>
      </c>
      <c r="B761" s="5">
        <v>123.56480000000001</v>
      </c>
      <c r="C761" s="5">
        <v>90.6434</v>
      </c>
    </row>
    <row r="762" spans="1:3" x14ac:dyDescent="0.3">
      <c r="A762" s="4">
        <v>44977</v>
      </c>
      <c r="B762" s="5">
        <v>123.535</v>
      </c>
      <c r="C762" s="5">
        <v>90.9846</v>
      </c>
    </row>
    <row r="763" spans="1:3" x14ac:dyDescent="0.3">
      <c r="A763" s="4">
        <v>44978</v>
      </c>
      <c r="B763" s="5">
        <v>123.4928</v>
      </c>
      <c r="C763" s="5">
        <v>90.650999999999996</v>
      </c>
    </row>
    <row r="764" spans="1:3" x14ac:dyDescent="0.3">
      <c r="A764" s="4">
        <v>44979</v>
      </c>
      <c r="B764" s="5">
        <v>123.4941</v>
      </c>
      <c r="C764" s="5">
        <v>90.485900000000001</v>
      </c>
    </row>
    <row r="765" spans="1:3" x14ac:dyDescent="0.3">
      <c r="A765" s="4">
        <v>44980</v>
      </c>
      <c r="B765" s="5">
        <v>123.47490000000001</v>
      </c>
      <c r="C765" s="5">
        <v>90.553899999999999</v>
      </c>
    </row>
    <row r="766" spans="1:3" x14ac:dyDescent="0.3">
      <c r="A766" s="4">
        <v>44981</v>
      </c>
      <c r="B766" s="5">
        <v>123.46</v>
      </c>
      <c r="C766" s="5">
        <v>90.708100000000002</v>
      </c>
    </row>
    <row r="767" spans="1:3" x14ac:dyDescent="0.3">
      <c r="A767" s="4">
        <v>44984</v>
      </c>
      <c r="B767" s="5">
        <v>123.4432</v>
      </c>
      <c r="C767" s="5">
        <v>90.284400000000005</v>
      </c>
    </row>
    <row r="768" spans="1:3" x14ac:dyDescent="0.3">
      <c r="A768" s="4">
        <v>44985</v>
      </c>
      <c r="B768" s="5">
        <v>123.4355</v>
      </c>
      <c r="C768" s="5">
        <v>90.547600000000003</v>
      </c>
    </row>
    <row r="769" spans="1:3" x14ac:dyDescent="0.3">
      <c r="A769" s="4">
        <v>44986</v>
      </c>
      <c r="B769" s="5">
        <v>123.4259</v>
      </c>
      <c r="C769" s="5">
        <v>90.444800000000001</v>
      </c>
    </row>
    <row r="770" spans="1:3" x14ac:dyDescent="0.3">
      <c r="A770" s="4">
        <v>44987</v>
      </c>
      <c r="B770" s="5">
        <v>123.4203</v>
      </c>
      <c r="C770" s="5">
        <v>90.231899999999996</v>
      </c>
    </row>
    <row r="771" spans="1:3" x14ac:dyDescent="0.3">
      <c r="A771" s="4">
        <v>44988</v>
      </c>
      <c r="B771" s="5">
        <v>123.398</v>
      </c>
      <c r="C771" s="5">
        <v>90.284899999999993</v>
      </c>
    </row>
    <row r="772" spans="1:3" x14ac:dyDescent="0.3">
      <c r="A772" s="4">
        <v>44991</v>
      </c>
      <c r="B772" s="5">
        <v>123.5093</v>
      </c>
      <c r="C772" s="5">
        <v>90.537300000000002</v>
      </c>
    </row>
    <row r="773" spans="1:3" x14ac:dyDescent="0.3">
      <c r="A773" s="4">
        <v>44992</v>
      </c>
      <c r="B773" s="5">
        <v>123.5333</v>
      </c>
      <c r="C773" s="5">
        <v>90.511700000000005</v>
      </c>
    </row>
    <row r="774" spans="1:3" x14ac:dyDescent="0.3">
      <c r="A774" s="4">
        <v>44993</v>
      </c>
      <c r="B774" s="5">
        <v>123.55670000000001</v>
      </c>
      <c r="C774" s="5">
        <v>90.120599999999996</v>
      </c>
    </row>
    <row r="775" spans="1:3" x14ac:dyDescent="0.3">
      <c r="A775" s="4">
        <v>44994</v>
      </c>
      <c r="B775" s="5">
        <v>123.5802</v>
      </c>
      <c r="C775" s="5">
        <v>90.287599999999998</v>
      </c>
    </row>
    <row r="776" spans="1:3" x14ac:dyDescent="0.3">
      <c r="A776" s="4">
        <v>44995</v>
      </c>
      <c r="B776" s="5">
        <v>123.6048</v>
      </c>
      <c r="C776" s="5">
        <v>90.908299999999997</v>
      </c>
    </row>
    <row r="777" spans="1:3" x14ac:dyDescent="0.3">
      <c r="A777" s="4">
        <v>44998</v>
      </c>
      <c r="B777" s="5">
        <v>123.6031</v>
      </c>
      <c r="C777" s="5">
        <v>91.319599999999994</v>
      </c>
    </row>
    <row r="778" spans="1:3" x14ac:dyDescent="0.3">
      <c r="A778" s="4">
        <v>44999</v>
      </c>
      <c r="B778" s="5">
        <v>123.61450000000001</v>
      </c>
      <c r="C778" s="5">
        <v>92.0291</v>
      </c>
    </row>
    <row r="779" spans="1:3" x14ac:dyDescent="0.3">
      <c r="A779" s="4">
        <v>45000</v>
      </c>
      <c r="B779" s="5">
        <v>123.616</v>
      </c>
      <c r="C779" s="5">
        <v>91.078500000000005</v>
      </c>
    </row>
    <row r="780" spans="1:3" x14ac:dyDescent="0.3">
      <c r="A780" s="4">
        <v>45001</v>
      </c>
      <c r="B780" s="5">
        <v>123.64409999999999</v>
      </c>
      <c r="C780" s="5">
        <v>92.1691</v>
      </c>
    </row>
    <row r="781" spans="1:3" x14ac:dyDescent="0.3">
      <c r="A781" s="4">
        <v>45002</v>
      </c>
      <c r="B781" s="5">
        <v>123.6703</v>
      </c>
      <c r="C781" s="5">
        <v>91.271900000000002</v>
      </c>
    </row>
    <row r="782" spans="1:3" x14ac:dyDescent="0.3">
      <c r="A782" s="4">
        <v>45005</v>
      </c>
      <c r="B782" s="5">
        <v>123.72450000000001</v>
      </c>
      <c r="C782" s="5">
        <v>92.560400000000001</v>
      </c>
    </row>
    <row r="783" spans="1:3" x14ac:dyDescent="0.3">
      <c r="A783" s="4">
        <v>45006</v>
      </c>
      <c r="B783" s="5">
        <v>123.7373</v>
      </c>
      <c r="C783" s="5">
        <v>91.685500000000005</v>
      </c>
    </row>
    <row r="784" spans="1:3" x14ac:dyDescent="0.3">
      <c r="A784" s="4">
        <v>45007</v>
      </c>
      <c r="B784" s="5">
        <v>123.7333</v>
      </c>
      <c r="C784" s="5">
        <v>91.551500000000004</v>
      </c>
    </row>
    <row r="785" spans="1:3" x14ac:dyDescent="0.3">
      <c r="A785" s="4">
        <v>45008</v>
      </c>
      <c r="B785" s="5">
        <v>123.7253</v>
      </c>
      <c r="C785" s="5">
        <v>92.113600000000005</v>
      </c>
    </row>
    <row r="786" spans="1:3" x14ac:dyDescent="0.3">
      <c r="A786" s="4">
        <v>45009</v>
      </c>
      <c r="B786" s="5">
        <v>123.6938</v>
      </c>
      <c r="C786" s="5">
        <v>92.132499999999993</v>
      </c>
    </row>
    <row r="787" spans="1:3" x14ac:dyDescent="0.3">
      <c r="A787" s="4">
        <v>45012</v>
      </c>
      <c r="B787" s="5">
        <v>123.72150000000001</v>
      </c>
      <c r="C787" s="5">
        <v>91.955699999999993</v>
      </c>
    </row>
    <row r="788" spans="1:3" x14ac:dyDescent="0.3">
      <c r="A788" s="4">
        <v>45013</v>
      </c>
      <c r="B788" s="5">
        <v>123.7299</v>
      </c>
      <c r="C788" s="5">
        <v>91.5214</v>
      </c>
    </row>
    <row r="789" spans="1:3" x14ac:dyDescent="0.3">
      <c r="A789" s="4">
        <v>45014</v>
      </c>
      <c r="B789" s="5">
        <v>123.73990000000001</v>
      </c>
      <c r="C789" s="5">
        <v>91.356099999999998</v>
      </c>
    </row>
    <row r="790" spans="1:3" x14ac:dyDescent="0.3">
      <c r="A790" s="4">
        <v>45015</v>
      </c>
      <c r="B790" s="5">
        <v>123.75230000000001</v>
      </c>
      <c r="C790" s="5">
        <v>91.599699999999999</v>
      </c>
    </row>
    <row r="791" spans="1:3" x14ac:dyDescent="0.3">
      <c r="A791" s="4">
        <v>45016</v>
      </c>
      <c r="B791" s="5">
        <v>123.779</v>
      </c>
      <c r="C791" s="5">
        <v>91.624600000000001</v>
      </c>
    </row>
    <row r="792" spans="1:3" x14ac:dyDescent="0.3">
      <c r="A792" s="4">
        <v>45019</v>
      </c>
      <c r="B792" s="5">
        <v>123.785</v>
      </c>
      <c r="C792" s="5">
        <v>91.8279</v>
      </c>
    </row>
    <row r="793" spans="1:3" x14ac:dyDescent="0.3">
      <c r="A793" s="4">
        <v>45020</v>
      </c>
      <c r="B793" s="5">
        <v>123.7911</v>
      </c>
      <c r="C793" s="5">
        <v>92.268500000000003</v>
      </c>
    </row>
    <row r="794" spans="1:3" x14ac:dyDescent="0.3">
      <c r="A794" s="4">
        <v>45022</v>
      </c>
      <c r="B794" s="5">
        <v>123.8002</v>
      </c>
      <c r="C794" s="5">
        <v>92.693600000000004</v>
      </c>
    </row>
    <row r="795" spans="1:3" x14ac:dyDescent="0.3">
      <c r="A795" s="4">
        <v>45023</v>
      </c>
      <c r="B795" s="5">
        <v>123.8115</v>
      </c>
      <c r="C795" s="5">
        <v>92.482600000000005</v>
      </c>
    </row>
    <row r="796" spans="1:3" x14ac:dyDescent="0.3">
      <c r="A796" s="4">
        <v>45026</v>
      </c>
      <c r="B796" s="5">
        <v>123.8232</v>
      </c>
      <c r="C796" s="5">
        <v>92.310900000000004</v>
      </c>
    </row>
    <row r="797" spans="1:3" x14ac:dyDescent="0.3">
      <c r="A797" s="4">
        <v>45027</v>
      </c>
      <c r="B797" s="5">
        <v>123.8793</v>
      </c>
      <c r="C797" s="5">
        <v>92.164500000000004</v>
      </c>
    </row>
    <row r="798" spans="1:3" x14ac:dyDescent="0.3">
      <c r="A798" s="4">
        <v>45028</v>
      </c>
      <c r="B798" s="5">
        <v>123.9278</v>
      </c>
      <c r="C798" s="5">
        <v>92.139700000000005</v>
      </c>
    </row>
    <row r="799" spans="1:3" x14ac:dyDescent="0.3">
      <c r="A799" s="4">
        <v>45029</v>
      </c>
      <c r="B799" s="5">
        <v>123.92610000000001</v>
      </c>
      <c r="C799" s="5">
        <v>92.298100000000005</v>
      </c>
    </row>
    <row r="800" spans="1:3" x14ac:dyDescent="0.3">
      <c r="A800" s="4">
        <v>45030</v>
      </c>
      <c r="B800" s="5">
        <v>123.9297</v>
      </c>
      <c r="C800" s="5">
        <v>92.213899999999995</v>
      </c>
    </row>
    <row r="801" spans="1:3" x14ac:dyDescent="0.3">
      <c r="A801" s="4">
        <v>45033</v>
      </c>
      <c r="B801" s="5">
        <v>123.9128</v>
      </c>
      <c r="C801" s="5">
        <v>91.969099999999997</v>
      </c>
    </row>
    <row r="802" spans="1:3" x14ac:dyDescent="0.3">
      <c r="A802" s="4">
        <v>45034</v>
      </c>
      <c r="B802" s="5">
        <v>123.9464</v>
      </c>
      <c r="C802" s="5">
        <v>91.775199999999998</v>
      </c>
    </row>
    <row r="803" spans="1:3" x14ac:dyDescent="0.3">
      <c r="A803" s="4">
        <v>45035</v>
      </c>
      <c r="B803" s="5">
        <v>123.9894</v>
      </c>
      <c r="C803" s="5">
        <v>91.767899999999997</v>
      </c>
    </row>
    <row r="804" spans="1:3" x14ac:dyDescent="0.3">
      <c r="A804" s="4">
        <v>45036</v>
      </c>
      <c r="B804" s="5">
        <v>124.0082</v>
      </c>
      <c r="C804" s="5">
        <v>91.743600000000001</v>
      </c>
    </row>
    <row r="805" spans="1:3" x14ac:dyDescent="0.3">
      <c r="A805" s="4">
        <v>45037</v>
      </c>
      <c r="B805" s="5">
        <v>124.0314</v>
      </c>
      <c r="C805" s="5">
        <v>92.018100000000004</v>
      </c>
    </row>
    <row r="806" spans="1:3" x14ac:dyDescent="0.3">
      <c r="A806" s="4">
        <v>45040</v>
      </c>
      <c r="B806" s="5">
        <v>124.0758</v>
      </c>
      <c r="C806" s="5">
        <v>91.833200000000005</v>
      </c>
    </row>
    <row r="807" spans="1:3" x14ac:dyDescent="0.3">
      <c r="A807" s="4">
        <v>45041</v>
      </c>
      <c r="B807" s="5">
        <v>124.0836</v>
      </c>
      <c r="C807" s="5">
        <v>92.190600000000003</v>
      </c>
    </row>
    <row r="808" spans="1:3" x14ac:dyDescent="0.3">
      <c r="A808" s="4">
        <v>45042</v>
      </c>
      <c r="B808" s="5">
        <v>124.1075</v>
      </c>
      <c r="C808" s="5">
        <v>92.263300000000001</v>
      </c>
    </row>
    <row r="809" spans="1:3" x14ac:dyDescent="0.3">
      <c r="A809" s="4">
        <v>45043</v>
      </c>
      <c r="B809" s="5">
        <v>124.2075</v>
      </c>
      <c r="C809" s="5">
        <v>92.102099999999993</v>
      </c>
    </row>
    <row r="810" spans="1:3" x14ac:dyDescent="0.3">
      <c r="A810" s="4">
        <v>45044</v>
      </c>
      <c r="B810" s="5">
        <v>124.2189</v>
      </c>
      <c r="C810" s="5">
        <v>91.974999999999994</v>
      </c>
    </row>
    <row r="811" spans="1:3" x14ac:dyDescent="0.3">
      <c r="A811" s="4">
        <v>45050</v>
      </c>
      <c r="B811" s="5">
        <v>124.35</v>
      </c>
      <c r="C811" s="5">
        <v>92.593999999999994</v>
      </c>
    </row>
    <row r="812" spans="1:3" x14ac:dyDescent="0.3">
      <c r="A812" s="4">
        <v>45051</v>
      </c>
      <c r="B812" s="5">
        <v>124.4628</v>
      </c>
      <c r="C812" s="5">
        <v>92.285899999999998</v>
      </c>
    </row>
    <row r="813" spans="1:3" x14ac:dyDescent="0.3">
      <c r="A813" s="4">
        <v>45054</v>
      </c>
      <c r="B813" s="5">
        <v>124.4811</v>
      </c>
      <c r="C813" s="5">
        <v>92.147199999999998</v>
      </c>
    </row>
    <row r="814" spans="1:3" x14ac:dyDescent="0.3">
      <c r="A814" s="4">
        <v>45055</v>
      </c>
      <c r="B814" s="5">
        <v>124.50660000000001</v>
      </c>
      <c r="C814" s="5">
        <v>91.893199999999993</v>
      </c>
    </row>
    <row r="815" spans="1:3" x14ac:dyDescent="0.3">
      <c r="A815" s="4">
        <v>45056</v>
      </c>
      <c r="B815" s="5">
        <v>124.5932</v>
      </c>
      <c r="C815" s="5">
        <v>91.836299999999994</v>
      </c>
    </row>
    <row r="816" spans="1:3" x14ac:dyDescent="0.3">
      <c r="A816" s="4">
        <v>45057</v>
      </c>
      <c r="B816" s="5">
        <v>124.6966</v>
      </c>
      <c r="C816" s="5">
        <v>92.238299999999995</v>
      </c>
    </row>
    <row r="817" spans="1:3" x14ac:dyDescent="0.3">
      <c r="A817" s="4">
        <v>45058</v>
      </c>
      <c r="B817" s="5">
        <v>124.68899999999999</v>
      </c>
      <c r="C817" s="5">
        <v>92.214100000000002</v>
      </c>
    </row>
    <row r="818" spans="1:3" x14ac:dyDescent="0.3">
      <c r="A818" s="4">
        <v>45061</v>
      </c>
      <c r="B818" s="5">
        <v>124.6572</v>
      </c>
      <c r="C818" s="5">
        <v>91.872699999999995</v>
      </c>
    </row>
    <row r="819" spans="1:3" x14ac:dyDescent="0.3">
      <c r="A819" s="4">
        <v>45062</v>
      </c>
      <c r="B819" s="5">
        <v>124.6482</v>
      </c>
      <c r="C819" s="5">
        <v>92.015500000000003</v>
      </c>
    </row>
    <row r="820" spans="1:3" x14ac:dyDescent="0.3">
      <c r="A820" s="4">
        <v>45063</v>
      </c>
      <c r="B820" s="5">
        <v>124.6293</v>
      </c>
      <c r="C820" s="5">
        <v>91.647199999999998</v>
      </c>
    </row>
    <row r="821" spans="1:3" x14ac:dyDescent="0.3">
      <c r="A821" s="4">
        <v>45064</v>
      </c>
      <c r="B821" s="5">
        <v>124.6016</v>
      </c>
      <c r="C821" s="5">
        <v>91.489199999999997</v>
      </c>
    </row>
    <row r="822" spans="1:3" x14ac:dyDescent="0.3">
      <c r="A822" s="4">
        <v>45065</v>
      </c>
      <c r="B822" s="5">
        <v>124.6202</v>
      </c>
      <c r="C822" s="5">
        <v>91.247699999999995</v>
      </c>
    </row>
    <row r="823" spans="1:3" x14ac:dyDescent="0.3">
      <c r="A823" s="4">
        <v>45068</v>
      </c>
      <c r="B823" s="5">
        <v>124.6279</v>
      </c>
      <c r="C823" s="5">
        <v>91.265199999999993</v>
      </c>
    </row>
    <row r="824" spans="1:3" x14ac:dyDescent="0.3">
      <c r="A824" s="4">
        <v>45069</v>
      </c>
      <c r="B824" s="5">
        <v>124.69880000000001</v>
      </c>
      <c r="C824" s="5">
        <v>91.044200000000004</v>
      </c>
    </row>
    <row r="825" spans="1:3" x14ac:dyDescent="0.3">
      <c r="A825" s="4">
        <v>45070</v>
      </c>
      <c r="B825" s="5">
        <v>124.7041</v>
      </c>
      <c r="C825" s="5">
        <v>91.199200000000005</v>
      </c>
    </row>
    <row r="826" spans="1:3" x14ac:dyDescent="0.3">
      <c r="A826" s="4">
        <v>45071</v>
      </c>
      <c r="B826" s="5">
        <v>124.6857</v>
      </c>
      <c r="C826" s="5">
        <v>90.788300000000007</v>
      </c>
    </row>
    <row r="827" spans="1:3" x14ac:dyDescent="0.3">
      <c r="A827" s="4">
        <v>45072</v>
      </c>
      <c r="B827" s="5">
        <v>124.65770000000001</v>
      </c>
      <c r="C827" s="5">
        <v>90.680199999999999</v>
      </c>
    </row>
    <row r="828" spans="1:3" x14ac:dyDescent="0.3">
      <c r="A828" s="4">
        <v>45075</v>
      </c>
      <c r="B828" s="5">
        <v>124.6615</v>
      </c>
      <c r="C828" s="5">
        <v>90.739099999999993</v>
      </c>
    </row>
    <row r="829" spans="1:3" x14ac:dyDescent="0.3">
      <c r="A829" s="4">
        <v>45076</v>
      </c>
      <c r="B829" s="5">
        <v>124.6897</v>
      </c>
      <c r="C829" s="5">
        <v>90.967699999999994</v>
      </c>
    </row>
    <row r="830" spans="1:3" x14ac:dyDescent="0.3">
      <c r="A830" s="4">
        <v>45077</v>
      </c>
      <c r="B830" s="5">
        <v>124.71939999999999</v>
      </c>
      <c r="C830" s="5">
        <v>91.313199999999995</v>
      </c>
    </row>
    <row r="831" spans="1:3" x14ac:dyDescent="0.3">
      <c r="A831" s="4">
        <v>45078</v>
      </c>
      <c r="B831" s="5">
        <v>124.76139999999999</v>
      </c>
      <c r="C831" s="5">
        <v>91.221599999999995</v>
      </c>
    </row>
    <row r="832" spans="1:3" x14ac:dyDescent="0.3">
      <c r="A832" s="4">
        <v>45079</v>
      </c>
      <c r="B832" s="5">
        <v>124.73650000000001</v>
      </c>
      <c r="C832" s="5">
        <v>91.581199999999995</v>
      </c>
    </row>
    <row r="833" spans="1:3" x14ac:dyDescent="0.3">
      <c r="A833" s="4">
        <v>45082</v>
      </c>
      <c r="B833" s="5">
        <v>124.75620000000001</v>
      </c>
      <c r="C833" s="5">
        <v>90.938999999999993</v>
      </c>
    </row>
    <row r="834" spans="1:3" x14ac:dyDescent="0.3">
      <c r="A834" s="4">
        <v>45083</v>
      </c>
      <c r="B834" s="5">
        <v>124.7903</v>
      </c>
      <c r="C834" s="5">
        <v>91.264399999999995</v>
      </c>
    </row>
    <row r="835" spans="1:3" x14ac:dyDescent="0.3">
      <c r="A835" s="4">
        <v>45084</v>
      </c>
      <c r="B835" s="5">
        <v>124.81829999999999</v>
      </c>
      <c r="C835" s="5">
        <v>91.243499999999997</v>
      </c>
    </row>
    <row r="836" spans="1:3" x14ac:dyDescent="0.3">
      <c r="A836" s="4">
        <v>45085</v>
      </c>
      <c r="B836" s="5">
        <v>124.83240000000001</v>
      </c>
      <c r="C836" s="5">
        <v>90.899600000000007</v>
      </c>
    </row>
    <row r="837" spans="1:3" x14ac:dyDescent="0.3">
      <c r="A837" s="4">
        <v>45086</v>
      </c>
      <c r="B837" s="5">
        <v>124.8837</v>
      </c>
      <c r="C837" s="5">
        <v>91.254300000000001</v>
      </c>
    </row>
    <row r="838" spans="1:3" x14ac:dyDescent="0.3">
      <c r="A838" s="4">
        <v>45089</v>
      </c>
      <c r="B838" s="5">
        <v>124.9263</v>
      </c>
      <c r="C838" s="5">
        <v>91.000100000000003</v>
      </c>
    </row>
    <row r="839" spans="1:3" x14ac:dyDescent="0.3">
      <c r="A839" s="4">
        <v>45090</v>
      </c>
      <c r="B839" s="5">
        <v>125.0545</v>
      </c>
      <c r="C839" s="5">
        <v>91.34</v>
      </c>
    </row>
    <row r="840" spans="1:3" x14ac:dyDescent="0.3">
      <c r="A840" s="4">
        <v>45091</v>
      </c>
      <c r="B840" s="5">
        <v>125.1288</v>
      </c>
      <c r="C840" s="5">
        <v>90.629099999999994</v>
      </c>
    </row>
    <row r="841" spans="1:3" x14ac:dyDescent="0.3">
      <c r="A841" s="4">
        <v>45092</v>
      </c>
      <c r="B841" s="5">
        <v>125.0522</v>
      </c>
      <c r="C841" s="5">
        <v>91.148700000000005</v>
      </c>
    </row>
    <row r="842" spans="1:3" x14ac:dyDescent="0.3">
      <c r="A842" s="4">
        <v>45093</v>
      </c>
      <c r="B842" s="5">
        <v>124.9348</v>
      </c>
      <c r="C842" s="5">
        <v>91.188900000000004</v>
      </c>
    </row>
    <row r="843" spans="1:3" x14ac:dyDescent="0.3">
      <c r="A843" s="4">
        <v>45096</v>
      </c>
      <c r="B843" s="5">
        <v>124.816</v>
      </c>
      <c r="C843" s="5">
        <v>91.086200000000005</v>
      </c>
    </row>
    <row r="844" spans="1:3" x14ac:dyDescent="0.3">
      <c r="A844" s="4">
        <v>45097</v>
      </c>
      <c r="B844" s="5">
        <v>124.8155</v>
      </c>
      <c r="C844" s="5">
        <v>90.945400000000006</v>
      </c>
    </row>
    <row r="845" spans="1:3" x14ac:dyDescent="0.3">
      <c r="A845" s="4">
        <v>45098</v>
      </c>
      <c r="B845" s="5">
        <v>124.84699999999999</v>
      </c>
      <c r="C845" s="5">
        <v>91.305800000000005</v>
      </c>
    </row>
    <row r="846" spans="1:3" x14ac:dyDescent="0.3">
      <c r="A846" s="4">
        <v>45103</v>
      </c>
      <c r="B846" s="5">
        <v>124.8694</v>
      </c>
      <c r="C846" s="5">
        <v>91.167500000000004</v>
      </c>
    </row>
    <row r="847" spans="1:3" x14ac:dyDescent="0.3">
      <c r="A847" s="4">
        <v>45104</v>
      </c>
      <c r="B847" s="5">
        <v>124.8389</v>
      </c>
      <c r="C847" s="5">
        <v>91.0274</v>
      </c>
    </row>
    <row r="848" spans="1:3" x14ac:dyDescent="0.3">
      <c r="A848" s="4">
        <v>45105</v>
      </c>
      <c r="B848" s="5">
        <v>124.8527</v>
      </c>
      <c r="C848" s="5">
        <v>90.968999999999994</v>
      </c>
    </row>
    <row r="849" spans="1:3" x14ac:dyDescent="0.3">
      <c r="A849" s="4">
        <v>45106</v>
      </c>
      <c r="B849" s="5">
        <v>124.87990000000001</v>
      </c>
      <c r="C849" s="5">
        <v>91.203100000000006</v>
      </c>
    </row>
    <row r="850" spans="1:3" x14ac:dyDescent="0.3">
      <c r="A850" s="4">
        <v>45107</v>
      </c>
      <c r="B850" s="5">
        <v>124.9389</v>
      </c>
      <c r="C850" s="5">
        <v>90.344200000000001</v>
      </c>
    </row>
    <row r="851" spans="1:3" x14ac:dyDescent="0.3">
      <c r="A851" s="4">
        <v>45110</v>
      </c>
      <c r="B851" s="5">
        <v>124.9657</v>
      </c>
      <c r="C851" s="5">
        <v>91.145399999999995</v>
      </c>
    </row>
    <row r="852" spans="1:3" x14ac:dyDescent="0.3">
      <c r="A852" s="4">
        <v>45111</v>
      </c>
      <c r="B852" s="5">
        <v>124.98779999999999</v>
      </c>
      <c r="C852" s="5">
        <v>90.503600000000006</v>
      </c>
    </row>
    <row r="853" spans="1:3" x14ac:dyDescent="0.3">
      <c r="A853" s="4">
        <v>45112</v>
      </c>
      <c r="B853" s="5">
        <v>125.00660000000001</v>
      </c>
      <c r="C853" s="5">
        <v>90.998000000000005</v>
      </c>
    </row>
    <row r="854" spans="1:3" x14ac:dyDescent="0.3">
      <c r="A854" s="4">
        <v>45113</v>
      </c>
      <c r="B854" s="5">
        <v>125.0235</v>
      </c>
      <c r="C854" s="5">
        <v>90.228399999999993</v>
      </c>
    </row>
    <row r="855" spans="1:3" x14ac:dyDescent="0.3">
      <c r="A855" s="4">
        <v>45114</v>
      </c>
      <c r="B855" s="5">
        <v>125.0421</v>
      </c>
      <c r="C855" s="5">
        <v>90.384399999999999</v>
      </c>
    </row>
    <row r="856" spans="1:3" x14ac:dyDescent="0.3">
      <c r="A856" s="4">
        <v>45117</v>
      </c>
      <c r="B856" s="5">
        <v>125.0732</v>
      </c>
      <c r="C856" s="5">
        <v>90.226900000000001</v>
      </c>
    </row>
    <row r="857" spans="1:3" x14ac:dyDescent="0.3">
      <c r="A857" s="4">
        <v>45118</v>
      </c>
      <c r="B857" s="5">
        <v>125.1151</v>
      </c>
      <c r="C857" s="5">
        <v>90.960099999999997</v>
      </c>
    </row>
    <row r="858" spans="1:3" x14ac:dyDescent="0.3">
      <c r="A858" s="4">
        <v>45119</v>
      </c>
      <c r="B858" s="5">
        <v>125.12139999999999</v>
      </c>
      <c r="C858" s="5">
        <v>90.464399999999998</v>
      </c>
    </row>
    <row r="859" spans="1:3" x14ac:dyDescent="0.3">
      <c r="A859" s="4">
        <v>45120</v>
      </c>
      <c r="B859" s="5">
        <v>125.1281</v>
      </c>
      <c r="C859" s="5">
        <v>91.593199999999996</v>
      </c>
    </row>
    <row r="860" spans="1:3" x14ac:dyDescent="0.3">
      <c r="A860" s="4">
        <v>45121</v>
      </c>
      <c r="B860" s="5">
        <v>125.10420000000001</v>
      </c>
      <c r="C860" s="5">
        <v>90.968599999999995</v>
      </c>
    </row>
    <row r="861" spans="1:3" x14ac:dyDescent="0.3">
      <c r="A861" s="4">
        <v>45124</v>
      </c>
      <c r="B861" s="5">
        <v>125.12869999999999</v>
      </c>
      <c r="C861" s="5">
        <v>90.971199999999996</v>
      </c>
    </row>
    <row r="862" spans="1:3" x14ac:dyDescent="0.3">
      <c r="A862" s="4">
        <v>45125</v>
      </c>
      <c r="B862" s="5">
        <v>125.16200000000001</v>
      </c>
      <c r="C862" s="5">
        <v>91.267899999999997</v>
      </c>
    </row>
    <row r="863" spans="1:3" x14ac:dyDescent="0.3">
      <c r="A863" s="4">
        <v>45126</v>
      </c>
      <c r="B863" s="5">
        <v>125.1872</v>
      </c>
      <c r="C863" s="5">
        <v>91.156700000000001</v>
      </c>
    </row>
    <row r="864" spans="1:3" x14ac:dyDescent="0.3">
      <c r="A864" s="4">
        <v>45127</v>
      </c>
      <c r="B864" s="5">
        <v>125.2</v>
      </c>
      <c r="C864" s="5">
        <v>91.091399999999993</v>
      </c>
    </row>
    <row r="865" spans="1:3" x14ac:dyDescent="0.3">
      <c r="A865" s="4">
        <v>45128</v>
      </c>
      <c r="B865" s="5">
        <v>125.24850000000001</v>
      </c>
      <c r="C865" s="5">
        <v>90.776200000000003</v>
      </c>
    </row>
    <row r="866" spans="1:3" x14ac:dyDescent="0.3">
      <c r="A866" s="4">
        <v>45131</v>
      </c>
      <c r="B866" s="5">
        <v>125.3057</v>
      </c>
      <c r="C866" s="5">
        <v>90.792900000000003</v>
      </c>
    </row>
    <row r="867" spans="1:3" x14ac:dyDescent="0.3">
      <c r="A867" s="4">
        <v>45132</v>
      </c>
      <c r="B867" s="5">
        <v>125.13800000000001</v>
      </c>
      <c r="C867" s="5">
        <v>90.683099999999996</v>
      </c>
    </row>
    <row r="868" spans="1:3" x14ac:dyDescent="0.3">
      <c r="A868" s="4">
        <v>45133</v>
      </c>
      <c r="B868" s="5">
        <v>125.1378</v>
      </c>
      <c r="C868" s="5">
        <v>90.583799999999997</v>
      </c>
    </row>
    <row r="869" spans="1:3" x14ac:dyDescent="0.3">
      <c r="A869" s="4">
        <v>45134</v>
      </c>
      <c r="B869" s="5">
        <v>125.1985</v>
      </c>
      <c r="C869" s="5">
        <v>91.046800000000005</v>
      </c>
    </row>
    <row r="870" spans="1:3" x14ac:dyDescent="0.3">
      <c r="A870" s="4">
        <v>45135</v>
      </c>
      <c r="B870" s="5">
        <v>125.1992</v>
      </c>
      <c r="C870" s="5">
        <v>90.171300000000002</v>
      </c>
    </row>
    <row r="871" spans="1:3" x14ac:dyDescent="0.3">
      <c r="A871" s="4">
        <v>45138</v>
      </c>
      <c r="B871" s="5">
        <v>125.1604</v>
      </c>
      <c r="C871" s="5">
        <v>90.804299999999998</v>
      </c>
    </row>
    <row r="872" spans="1:3" x14ac:dyDescent="0.3">
      <c r="A872" s="4">
        <v>45139</v>
      </c>
      <c r="B872" s="5">
        <v>125.18600000000001</v>
      </c>
      <c r="C872" s="5">
        <v>90.573999999999998</v>
      </c>
    </row>
    <row r="873" spans="1:3" x14ac:dyDescent="0.3">
      <c r="A873" s="4">
        <v>45140</v>
      </c>
      <c r="B873" s="5">
        <v>125.2226</v>
      </c>
      <c r="C873" s="5">
        <v>90.247200000000007</v>
      </c>
    </row>
    <row r="874" spans="1:3" x14ac:dyDescent="0.3">
      <c r="A874" s="4">
        <v>45141</v>
      </c>
      <c r="B874" s="5">
        <v>125.2727</v>
      </c>
      <c r="C874" s="5">
        <v>89.9572</v>
      </c>
    </row>
    <row r="875" spans="1:3" x14ac:dyDescent="0.3">
      <c r="A875" s="4">
        <v>45142</v>
      </c>
      <c r="B875" s="5">
        <v>125.2867</v>
      </c>
      <c r="C875" s="5">
        <v>89.895300000000006</v>
      </c>
    </row>
    <row r="876" spans="1:3" x14ac:dyDescent="0.3">
      <c r="A876" s="4">
        <v>45145</v>
      </c>
      <c r="B876" s="5">
        <v>125.3218</v>
      </c>
      <c r="C876" s="5">
        <v>90.844499999999996</v>
      </c>
    </row>
    <row r="877" spans="1:3" x14ac:dyDescent="0.3">
      <c r="A877" s="4">
        <v>45146</v>
      </c>
      <c r="B877" s="5">
        <v>125.33759999999999</v>
      </c>
      <c r="C877" s="5">
        <v>90.313000000000002</v>
      </c>
    </row>
    <row r="878" spans="1:3" x14ac:dyDescent="0.3">
      <c r="A878" s="4">
        <v>45147</v>
      </c>
      <c r="B878" s="5">
        <v>125.3471</v>
      </c>
      <c r="C878" s="5">
        <v>90.666899999999998</v>
      </c>
    </row>
    <row r="879" spans="1:3" x14ac:dyDescent="0.3">
      <c r="A879" s="4">
        <v>45148</v>
      </c>
      <c r="B879" s="5">
        <v>125.3438</v>
      </c>
      <c r="C879" s="5">
        <v>90.341800000000006</v>
      </c>
    </row>
    <row r="880" spans="1:3" x14ac:dyDescent="0.3">
      <c r="A880" s="4">
        <v>45149</v>
      </c>
      <c r="B880" s="5">
        <v>125.3609</v>
      </c>
      <c r="C880" s="5">
        <v>90.326599999999999</v>
      </c>
    </row>
    <row r="881" spans="1:3" x14ac:dyDescent="0.3">
      <c r="A881" s="4">
        <v>45152</v>
      </c>
      <c r="B881" s="5">
        <v>125.41930000000001</v>
      </c>
      <c r="C881" s="5">
        <v>89.776899999999998</v>
      </c>
    </row>
    <row r="882" spans="1:3" x14ac:dyDescent="0.3">
      <c r="A882" s="4">
        <v>45153</v>
      </c>
      <c r="B882" s="5">
        <v>125.5887</v>
      </c>
      <c r="C882" s="5">
        <v>89.738</v>
      </c>
    </row>
    <row r="883" spans="1:3" x14ac:dyDescent="0.3">
      <c r="A883" s="4">
        <v>45154</v>
      </c>
      <c r="B883" s="5">
        <v>125.66070000000001</v>
      </c>
      <c r="C883" s="5">
        <v>89.709000000000003</v>
      </c>
    </row>
    <row r="884" spans="1:3" x14ac:dyDescent="0.3">
      <c r="A884" s="4">
        <v>45155</v>
      </c>
      <c r="B884" s="5">
        <v>125.67740000000001</v>
      </c>
      <c r="C884" s="5">
        <v>89.188699999999997</v>
      </c>
    </row>
    <row r="885" spans="1:3" x14ac:dyDescent="0.3">
      <c r="A885" s="4">
        <v>45156</v>
      </c>
      <c r="B885" s="5">
        <v>125.71680000000001</v>
      </c>
      <c r="C885" s="5">
        <v>89.598299999999995</v>
      </c>
    </row>
    <row r="886" spans="1:3" x14ac:dyDescent="0.3">
      <c r="A886" s="4">
        <v>45159</v>
      </c>
      <c r="B886" s="5">
        <v>125.8138</v>
      </c>
      <c r="C886" s="5">
        <v>88.9482</v>
      </c>
    </row>
    <row r="887" spans="1:3" x14ac:dyDescent="0.3">
      <c r="A887" s="4">
        <v>45160</v>
      </c>
      <c r="B887" s="5">
        <v>125.8223</v>
      </c>
      <c r="C887" s="5">
        <v>89.119500000000002</v>
      </c>
    </row>
    <row r="888" spans="1:3" x14ac:dyDescent="0.3">
      <c r="A888" s="4">
        <v>45161</v>
      </c>
      <c r="B888" s="5">
        <v>125.8274</v>
      </c>
      <c r="C888" s="5">
        <v>89.118200000000002</v>
      </c>
    </row>
    <row r="889" spans="1:3" x14ac:dyDescent="0.3">
      <c r="A889" s="4">
        <v>45162</v>
      </c>
      <c r="B889" s="5">
        <v>125.8227</v>
      </c>
      <c r="C889" s="5">
        <v>89.971000000000004</v>
      </c>
    </row>
    <row r="890" spans="1:3" x14ac:dyDescent="0.3">
      <c r="A890" s="4">
        <v>45163</v>
      </c>
      <c r="B890" s="5">
        <v>125.7684</v>
      </c>
      <c r="C890" s="5">
        <v>89.253799999999998</v>
      </c>
    </row>
    <row r="891" spans="1:3" x14ac:dyDescent="0.3">
      <c r="A891" s="4">
        <v>45166</v>
      </c>
      <c r="B891" s="5">
        <v>125.6866</v>
      </c>
      <c r="C891" s="5">
        <v>89.771600000000007</v>
      </c>
    </row>
    <row r="892" spans="1:3" x14ac:dyDescent="0.3">
      <c r="A892" s="4">
        <v>45167</v>
      </c>
      <c r="B892" s="5">
        <v>125.65309999999999</v>
      </c>
      <c r="C892" s="5">
        <v>89.661000000000001</v>
      </c>
    </row>
    <row r="893" spans="1:3" x14ac:dyDescent="0.3">
      <c r="A893" s="4">
        <v>45168</v>
      </c>
      <c r="B893" s="5">
        <v>125.6489</v>
      </c>
      <c r="C893" s="5">
        <v>90.006799999999998</v>
      </c>
    </row>
    <row r="894" spans="1:3" x14ac:dyDescent="0.3">
      <c r="A894" s="4">
        <v>45169</v>
      </c>
      <c r="B894" s="5">
        <v>125.6781</v>
      </c>
      <c r="C894" s="5">
        <v>90.099800000000002</v>
      </c>
    </row>
    <row r="895" spans="1:3" x14ac:dyDescent="0.3">
      <c r="A895" s="4">
        <v>45170</v>
      </c>
      <c r="B895" s="5">
        <v>125.6087</v>
      </c>
      <c r="C895" s="5">
        <v>90.196200000000005</v>
      </c>
    </row>
    <row r="896" spans="1:3" x14ac:dyDescent="0.3">
      <c r="A896" s="4">
        <v>45173</v>
      </c>
      <c r="B896" s="5">
        <v>125.4409</v>
      </c>
      <c r="C896" s="5">
        <v>89.966999999999999</v>
      </c>
    </row>
    <row r="897" spans="1:3" x14ac:dyDescent="0.3">
      <c r="A897" s="4">
        <v>45174</v>
      </c>
      <c r="B897" s="5">
        <v>125.4109</v>
      </c>
      <c r="C897" s="5">
        <v>89.870199999999997</v>
      </c>
    </row>
    <row r="898" spans="1:3" x14ac:dyDescent="0.3">
      <c r="A898" s="4">
        <v>45175</v>
      </c>
      <c r="B898" s="5">
        <v>125.30719999999999</v>
      </c>
      <c r="C898" s="5">
        <v>89.615799999999993</v>
      </c>
    </row>
    <row r="899" spans="1:3" x14ac:dyDescent="0.3">
      <c r="A899" s="4">
        <v>45176</v>
      </c>
      <c r="B899" s="5">
        <v>125.2145</v>
      </c>
      <c r="C899" s="5">
        <v>89.686000000000007</v>
      </c>
    </row>
    <row r="900" spans="1:3" x14ac:dyDescent="0.3">
      <c r="A900" s="4">
        <v>45177</v>
      </c>
      <c r="B900" s="5">
        <v>125.16079999999999</v>
      </c>
      <c r="C900" s="5">
        <v>90.046899999999994</v>
      </c>
    </row>
    <row r="901" spans="1:3" x14ac:dyDescent="0.3">
      <c r="A901" s="4">
        <v>45180</v>
      </c>
      <c r="B901" s="5">
        <v>125.0993</v>
      </c>
      <c r="C901" s="5">
        <v>89.495000000000005</v>
      </c>
    </row>
    <row r="902" spans="1:3" x14ac:dyDescent="0.3">
      <c r="A902" s="4">
        <v>45181</v>
      </c>
      <c r="B902" s="5">
        <v>125.13590000000001</v>
      </c>
      <c r="C902" s="5">
        <v>89.667000000000002</v>
      </c>
    </row>
    <row r="903" spans="1:3" x14ac:dyDescent="0.3">
      <c r="A903" s="4">
        <v>45182</v>
      </c>
      <c r="B903" s="5">
        <v>125.1734</v>
      </c>
      <c r="C903" s="5">
        <v>89.474800000000002</v>
      </c>
    </row>
    <row r="904" spans="1:3" x14ac:dyDescent="0.3">
      <c r="A904" s="4">
        <v>45183</v>
      </c>
      <c r="B904" s="5">
        <v>125.21339999999999</v>
      </c>
      <c r="C904" s="5">
        <v>89.814099999999996</v>
      </c>
    </row>
    <row r="905" spans="1:3" x14ac:dyDescent="0.3">
      <c r="A905" s="4">
        <v>45184</v>
      </c>
      <c r="B905" s="5">
        <v>125.16930000000001</v>
      </c>
      <c r="C905" s="5">
        <v>89.442800000000005</v>
      </c>
    </row>
    <row r="906" spans="1:3" x14ac:dyDescent="0.3">
      <c r="A906" s="4">
        <v>45187</v>
      </c>
      <c r="B906" s="5">
        <v>125.0869</v>
      </c>
      <c r="C906" s="5">
        <v>89.495500000000007</v>
      </c>
    </row>
    <row r="907" spans="1:3" x14ac:dyDescent="0.3">
      <c r="A907" s="4">
        <v>45188</v>
      </c>
      <c r="B907" s="5">
        <v>125.06100000000001</v>
      </c>
      <c r="C907" s="5">
        <v>89.432000000000002</v>
      </c>
    </row>
    <row r="908" spans="1:3" x14ac:dyDescent="0.3">
      <c r="A908" s="4">
        <v>45189</v>
      </c>
      <c r="B908" s="5">
        <v>125.0389</v>
      </c>
      <c r="C908" s="5">
        <v>89.341499999999996</v>
      </c>
    </row>
    <row r="909" spans="1:3" x14ac:dyDescent="0.3">
      <c r="A909" s="4">
        <v>45190</v>
      </c>
      <c r="B909" s="5">
        <v>125.057</v>
      </c>
      <c r="C909" s="5">
        <v>89.082400000000007</v>
      </c>
    </row>
    <row r="910" spans="1:3" x14ac:dyDescent="0.3">
      <c r="A910" s="4">
        <v>45191</v>
      </c>
      <c r="B910" s="5">
        <v>125.0283</v>
      </c>
      <c r="C910" s="5">
        <v>88.931200000000004</v>
      </c>
    </row>
    <row r="911" spans="1:3" x14ac:dyDescent="0.3">
      <c r="A911" s="4">
        <v>45194</v>
      </c>
      <c r="B911" s="5">
        <v>124.9508</v>
      </c>
      <c r="C911" s="5">
        <v>89.273799999999994</v>
      </c>
    </row>
    <row r="912" spans="1:3" x14ac:dyDescent="0.3">
      <c r="A912" s="4">
        <v>45195</v>
      </c>
      <c r="B912" s="5">
        <v>124.8854</v>
      </c>
      <c r="C912" s="5">
        <v>88.617999999999995</v>
      </c>
    </row>
    <row r="913" spans="1:3" x14ac:dyDescent="0.3">
      <c r="A913" s="4">
        <v>45196</v>
      </c>
      <c r="B913" s="5">
        <v>124.8805</v>
      </c>
      <c r="C913" s="5">
        <v>89.264799999999994</v>
      </c>
    </row>
    <row r="914" spans="1:3" x14ac:dyDescent="0.3">
      <c r="A914" s="4">
        <v>45197</v>
      </c>
      <c r="B914" s="5">
        <v>124.9491</v>
      </c>
      <c r="C914" s="5">
        <v>88.355699999999999</v>
      </c>
    </row>
    <row r="915" spans="1:3" x14ac:dyDescent="0.3">
      <c r="A915" s="4">
        <v>45208</v>
      </c>
      <c r="B915" s="5">
        <v>125.0532</v>
      </c>
      <c r="C915" s="5">
        <v>88.438299999999998</v>
      </c>
    </row>
    <row r="916" spans="1:3" x14ac:dyDescent="0.3">
      <c r="A916" s="4">
        <v>45209</v>
      </c>
      <c r="B916" s="5">
        <v>124.9898</v>
      </c>
      <c r="C916" s="5">
        <v>89.129300000000001</v>
      </c>
    </row>
    <row r="917" spans="1:3" x14ac:dyDescent="0.3">
      <c r="A917" s="4">
        <v>45210</v>
      </c>
      <c r="B917" s="5">
        <v>124.89530000000001</v>
      </c>
      <c r="C917" s="5">
        <v>88.700100000000006</v>
      </c>
    </row>
    <row r="918" spans="1:3" x14ac:dyDescent="0.3">
      <c r="A918" s="4">
        <v>45211</v>
      </c>
      <c r="B918" s="5">
        <v>124.849</v>
      </c>
      <c r="C918" s="5">
        <v>89.423000000000002</v>
      </c>
    </row>
    <row r="919" spans="1:3" x14ac:dyDescent="0.3">
      <c r="A919" s="4">
        <v>45212</v>
      </c>
      <c r="B919" s="5">
        <v>124.9016</v>
      </c>
      <c r="C919" s="5">
        <v>88.3416</v>
      </c>
    </row>
    <row r="920" spans="1:3" x14ac:dyDescent="0.3">
      <c r="A920" s="4">
        <v>45215</v>
      </c>
      <c r="B920" s="5">
        <v>124.8883</v>
      </c>
      <c r="C920" s="5">
        <v>88.837400000000002</v>
      </c>
    </row>
    <row r="921" spans="1:3" x14ac:dyDescent="0.3">
      <c r="A921" s="4">
        <v>45216</v>
      </c>
      <c r="B921" s="5">
        <v>124.8352</v>
      </c>
      <c r="C921" s="5">
        <v>88.544300000000007</v>
      </c>
    </row>
    <row r="922" spans="1:3" x14ac:dyDescent="0.3">
      <c r="A922" s="4">
        <v>45217</v>
      </c>
      <c r="B922" s="5">
        <v>124.78100000000001</v>
      </c>
      <c r="C922" s="5">
        <v>88.256299999999996</v>
      </c>
    </row>
    <row r="923" spans="1:3" x14ac:dyDescent="0.3">
      <c r="A923" s="4">
        <v>45218</v>
      </c>
      <c r="B923" s="5">
        <v>124.6746</v>
      </c>
      <c r="C923" s="5">
        <v>87.668499999999995</v>
      </c>
    </row>
    <row r="924" spans="1:3" x14ac:dyDescent="0.3">
      <c r="A924" s="4">
        <v>45219</v>
      </c>
      <c r="B924" s="5">
        <v>124.6426</v>
      </c>
      <c r="C924" s="5">
        <v>87.927099999999996</v>
      </c>
    </row>
    <row r="925" spans="1:3" x14ac:dyDescent="0.3">
      <c r="A925" s="4">
        <v>45222</v>
      </c>
      <c r="B925" s="5">
        <v>124.6593</v>
      </c>
      <c r="C925" s="5">
        <v>87.802499999999995</v>
      </c>
    </row>
    <row r="926" spans="1:3" x14ac:dyDescent="0.3">
      <c r="A926" s="4">
        <v>45223</v>
      </c>
      <c r="B926" s="5">
        <v>124.5868</v>
      </c>
      <c r="C926" s="5">
        <v>88.182299999999998</v>
      </c>
    </row>
    <row r="927" spans="1:3" x14ac:dyDescent="0.3">
      <c r="A927" s="4">
        <v>45224</v>
      </c>
      <c r="B927" s="5">
        <v>124.61</v>
      </c>
      <c r="C927" s="5">
        <v>88.252200000000002</v>
      </c>
    </row>
    <row r="928" spans="1:3" x14ac:dyDescent="0.3">
      <c r="A928" s="4">
        <v>45225</v>
      </c>
      <c r="B928" s="5">
        <v>124.6217</v>
      </c>
      <c r="C928" s="5">
        <v>87.808800000000005</v>
      </c>
    </row>
    <row r="929" spans="1:3" x14ac:dyDescent="0.3">
      <c r="A929" s="4">
        <v>45226</v>
      </c>
      <c r="B929" s="5">
        <v>124.60469999999999</v>
      </c>
      <c r="C929" s="5">
        <v>88.114199999999997</v>
      </c>
    </row>
    <row r="930" spans="1:3" x14ac:dyDescent="0.3">
      <c r="A930" s="4">
        <v>45229</v>
      </c>
      <c r="B930" s="5">
        <v>124.6302</v>
      </c>
      <c r="C930" s="5">
        <v>88.117699999999999</v>
      </c>
    </row>
    <row r="931" spans="1:3" x14ac:dyDescent="0.3">
      <c r="A931" s="4">
        <v>45230</v>
      </c>
      <c r="B931" s="5">
        <v>124.67149999999999</v>
      </c>
      <c r="C931" s="5">
        <v>88.109700000000004</v>
      </c>
    </row>
    <row r="932" spans="1:3" x14ac:dyDescent="0.3">
      <c r="A932" s="4">
        <v>45231</v>
      </c>
      <c r="B932" s="5">
        <v>124.6823</v>
      </c>
      <c r="C932" s="5">
        <v>87.862200000000001</v>
      </c>
    </row>
    <row r="933" spans="1:3" x14ac:dyDescent="0.3">
      <c r="A933" s="4">
        <v>45232</v>
      </c>
      <c r="B933" s="5">
        <v>124.7574</v>
      </c>
      <c r="C933" s="5">
        <v>88.458799999999997</v>
      </c>
    </row>
    <row r="934" spans="1:3" x14ac:dyDescent="0.3">
      <c r="A934" s="4">
        <v>45233</v>
      </c>
      <c r="B934" s="5">
        <v>124.7582</v>
      </c>
      <c r="C934" s="5">
        <v>88.578900000000004</v>
      </c>
    </row>
    <row r="935" spans="1:3" x14ac:dyDescent="0.3">
      <c r="A935" s="4">
        <v>45236</v>
      </c>
      <c r="B935" s="5">
        <v>124.7735</v>
      </c>
      <c r="C935" s="5">
        <v>88.892200000000003</v>
      </c>
    </row>
    <row r="936" spans="1:3" x14ac:dyDescent="0.3">
      <c r="A936" s="4">
        <v>45237</v>
      </c>
      <c r="B936" s="5">
        <v>124.7717</v>
      </c>
      <c r="C936" s="5">
        <v>88.772400000000005</v>
      </c>
    </row>
    <row r="937" spans="1:3" x14ac:dyDescent="0.3">
      <c r="A937" s="4">
        <v>45238</v>
      </c>
      <c r="B937" s="5">
        <v>124.77030000000001</v>
      </c>
      <c r="C937" s="5">
        <v>88.969200000000001</v>
      </c>
    </row>
    <row r="938" spans="1:3" x14ac:dyDescent="0.3">
      <c r="A938" s="4">
        <v>45239</v>
      </c>
      <c r="B938" s="5">
        <v>124.7966</v>
      </c>
      <c r="C938" s="5">
        <v>89.182699999999997</v>
      </c>
    </row>
    <row r="939" spans="1:3" x14ac:dyDescent="0.3">
      <c r="A939" s="4">
        <v>45240</v>
      </c>
      <c r="B939" s="5">
        <v>124.8291</v>
      </c>
      <c r="C939" s="5">
        <v>88.765699999999995</v>
      </c>
    </row>
    <row r="940" spans="1:3" x14ac:dyDescent="0.3">
      <c r="A940" s="4">
        <v>45243</v>
      </c>
      <c r="B940" s="5">
        <v>124.8694</v>
      </c>
      <c r="C940" s="5">
        <v>88.705200000000005</v>
      </c>
    </row>
    <row r="941" spans="1:3" x14ac:dyDescent="0.3">
      <c r="A941" s="4">
        <v>45244</v>
      </c>
      <c r="B941" s="5">
        <v>124.88639999999999</v>
      </c>
      <c r="C941" s="5">
        <v>88.754499999999993</v>
      </c>
    </row>
    <row r="942" spans="1:3" x14ac:dyDescent="0.3">
      <c r="A942" s="4">
        <v>45245</v>
      </c>
      <c r="B942" s="5">
        <v>124.90009999999999</v>
      </c>
      <c r="C942" s="5">
        <v>89.427199999999999</v>
      </c>
    </row>
    <row r="943" spans="1:3" x14ac:dyDescent="0.3">
      <c r="A943" s="4">
        <v>45246</v>
      </c>
      <c r="B943" s="5">
        <v>124.9689</v>
      </c>
      <c r="C943" s="5">
        <v>89.228499999999997</v>
      </c>
    </row>
    <row r="944" spans="1:3" x14ac:dyDescent="0.3">
      <c r="A944" s="4">
        <v>45247</v>
      </c>
      <c r="B944" s="5">
        <v>125.0163</v>
      </c>
      <c r="C944" s="5">
        <v>89.419499999999999</v>
      </c>
    </row>
    <row r="945" spans="1:3" x14ac:dyDescent="0.3">
      <c r="A945" s="4">
        <v>45250</v>
      </c>
      <c r="B945" s="5">
        <v>125.02379999999999</v>
      </c>
      <c r="C945" s="5">
        <v>89.423900000000003</v>
      </c>
    </row>
    <row r="946" spans="1:3" x14ac:dyDescent="0.3">
      <c r="A946" s="4">
        <v>45251</v>
      </c>
      <c r="B946" s="5">
        <v>125.0296</v>
      </c>
      <c r="C946" s="5">
        <v>89.664100000000005</v>
      </c>
    </row>
    <row r="947" spans="1:3" x14ac:dyDescent="0.3">
      <c r="A947" s="4">
        <v>45252</v>
      </c>
      <c r="B947" s="5">
        <v>124.9975</v>
      </c>
      <c r="C947" s="5">
        <v>89.740600000000001</v>
      </c>
    </row>
    <row r="948" spans="1:3" x14ac:dyDescent="0.3">
      <c r="A948" s="4">
        <v>45253</v>
      </c>
      <c r="B948" s="5">
        <v>124.91630000000001</v>
      </c>
      <c r="C948" s="5">
        <v>89.747</v>
      </c>
    </row>
    <row r="949" spans="1:3" x14ac:dyDescent="0.3">
      <c r="A949" s="4">
        <v>45254</v>
      </c>
      <c r="B949" s="5">
        <v>124.9051</v>
      </c>
      <c r="C949" s="5">
        <v>89.6464</v>
      </c>
    </row>
    <row r="950" spans="1:3" x14ac:dyDescent="0.3">
      <c r="A950" s="4">
        <v>45257</v>
      </c>
      <c r="B950" s="5">
        <v>124.84350000000001</v>
      </c>
      <c r="C950" s="5">
        <v>89.633300000000006</v>
      </c>
    </row>
    <row r="951" spans="1:3" x14ac:dyDescent="0.3">
      <c r="A951" s="4">
        <v>45258</v>
      </c>
      <c r="B951" s="5">
        <v>124.8673</v>
      </c>
      <c r="C951" s="5">
        <v>89.818399999999997</v>
      </c>
    </row>
    <row r="952" spans="1:3" x14ac:dyDescent="0.3">
      <c r="A952" s="4">
        <v>45259</v>
      </c>
      <c r="B952" s="5">
        <v>124.866</v>
      </c>
      <c r="C952" s="5">
        <v>90.220100000000002</v>
      </c>
    </row>
    <row r="953" spans="1:3" x14ac:dyDescent="0.3">
      <c r="A953" s="4">
        <v>45260</v>
      </c>
      <c r="B953" s="5">
        <v>124.9128</v>
      </c>
      <c r="C953" s="5">
        <v>90.363100000000003</v>
      </c>
    </row>
    <row r="954" spans="1:3" x14ac:dyDescent="0.3">
      <c r="A954" s="4">
        <v>45261</v>
      </c>
      <c r="B954" s="5">
        <v>124.901</v>
      </c>
      <c r="C954" s="5">
        <v>90.1614</v>
      </c>
    </row>
    <row r="955" spans="1:3" x14ac:dyDescent="0.3">
      <c r="A955" s="4">
        <v>45264</v>
      </c>
      <c r="B955" s="5">
        <v>124.8918</v>
      </c>
      <c r="C955" s="5">
        <v>90.494699999999995</v>
      </c>
    </row>
    <row r="956" spans="1:3" x14ac:dyDescent="0.3">
      <c r="A956" s="4">
        <v>45265</v>
      </c>
      <c r="B956" s="5">
        <v>124.8723</v>
      </c>
      <c r="C956" s="5">
        <v>90.457599999999999</v>
      </c>
    </row>
    <row r="957" spans="1:3" x14ac:dyDescent="0.3">
      <c r="A957" s="4">
        <v>45266</v>
      </c>
      <c r="B957" s="5">
        <v>124.8493</v>
      </c>
      <c r="C957" s="5">
        <v>90.727400000000003</v>
      </c>
    </row>
    <row r="958" spans="1:3" x14ac:dyDescent="0.3">
      <c r="A958" s="4">
        <v>45267</v>
      </c>
      <c r="B958" s="5">
        <v>124.8677</v>
      </c>
      <c r="C958" s="5">
        <v>90.818600000000004</v>
      </c>
    </row>
    <row r="959" spans="1:3" x14ac:dyDescent="0.3">
      <c r="A959" s="4">
        <v>45268</v>
      </c>
      <c r="B959" s="5">
        <v>124.8934</v>
      </c>
      <c r="C959" s="5">
        <v>90.880399999999995</v>
      </c>
    </row>
    <row r="960" spans="1:3" x14ac:dyDescent="0.3">
      <c r="A960" s="4">
        <v>45271</v>
      </c>
      <c r="B960" s="5">
        <v>124.965</v>
      </c>
      <c r="C960" s="5">
        <v>90.164400000000001</v>
      </c>
    </row>
    <row r="961" spans="1:3" x14ac:dyDescent="0.3">
      <c r="A961" s="4">
        <v>45272</v>
      </c>
      <c r="B961" s="5">
        <v>124.9834</v>
      </c>
      <c r="C961" s="5">
        <v>90.627499999999998</v>
      </c>
    </row>
    <row r="962" spans="1:3" x14ac:dyDescent="0.3">
      <c r="A962" s="4">
        <v>45273</v>
      </c>
      <c r="B962" s="5">
        <v>125.07729999999999</v>
      </c>
      <c r="C962" s="5">
        <v>90.649000000000001</v>
      </c>
    </row>
    <row r="963" spans="1:3" x14ac:dyDescent="0.3">
      <c r="A963" s="4">
        <v>45274</v>
      </c>
      <c r="B963" s="5">
        <v>125.1336</v>
      </c>
      <c r="C963" s="5">
        <v>91.58</v>
      </c>
    </row>
    <row r="964" spans="1:3" x14ac:dyDescent="0.3">
      <c r="A964" s="4">
        <v>45275</v>
      </c>
      <c r="B964" s="5">
        <v>125.2311</v>
      </c>
      <c r="C964" s="5">
        <v>91.713300000000004</v>
      </c>
    </row>
    <row r="965" spans="1:3" x14ac:dyDescent="0.3">
      <c r="A965" s="4">
        <v>45278</v>
      </c>
      <c r="B965" s="5">
        <v>125.325</v>
      </c>
      <c r="C965" s="5">
        <v>91.790700000000001</v>
      </c>
    </row>
    <row r="966" spans="1:3" x14ac:dyDescent="0.3">
      <c r="A966" s="4">
        <v>45279</v>
      </c>
      <c r="B966" s="5">
        <v>125.3686</v>
      </c>
      <c r="C966" s="5">
        <v>91.719899999999996</v>
      </c>
    </row>
    <row r="967" spans="1:3" x14ac:dyDescent="0.3">
      <c r="A967" s="4">
        <v>45280</v>
      </c>
      <c r="B967" s="5">
        <v>125.4179</v>
      </c>
      <c r="C967" s="5">
        <v>91.822199999999995</v>
      </c>
    </row>
    <row r="968" spans="1:3" x14ac:dyDescent="0.3">
      <c r="A968" s="4">
        <v>45281</v>
      </c>
      <c r="B968" s="5">
        <v>125.5001</v>
      </c>
      <c r="C968" s="5">
        <v>91.963800000000006</v>
      </c>
    </row>
    <row r="969" spans="1:3" x14ac:dyDescent="0.3">
      <c r="A969" s="4">
        <v>45282</v>
      </c>
      <c r="B969" s="5">
        <v>125.61199999999999</v>
      </c>
      <c r="C969" s="5">
        <v>91.948899999999995</v>
      </c>
    </row>
    <row r="970" spans="1:3" x14ac:dyDescent="0.3">
      <c r="A970" s="4">
        <v>45285</v>
      </c>
      <c r="B970" s="5">
        <v>125.71939999999999</v>
      </c>
      <c r="C970" s="5">
        <v>91.938999999999993</v>
      </c>
    </row>
    <row r="971" spans="1:3" x14ac:dyDescent="0.3">
      <c r="A971" s="4">
        <v>45286</v>
      </c>
      <c r="B971" s="5">
        <v>125.7936</v>
      </c>
      <c r="C971" s="5">
        <v>92.051400000000001</v>
      </c>
    </row>
    <row r="972" spans="1:3" x14ac:dyDescent="0.3">
      <c r="A972" s="4">
        <v>45287</v>
      </c>
      <c r="B972" s="5">
        <v>125.86069999999999</v>
      </c>
      <c r="C972" s="5">
        <v>91.995800000000003</v>
      </c>
    </row>
    <row r="973" spans="1:3" x14ac:dyDescent="0.3">
      <c r="A973" s="4">
        <v>45288</v>
      </c>
      <c r="B973" s="5">
        <v>125.91679999999999</v>
      </c>
      <c r="C973" s="5">
        <v>92.265600000000006</v>
      </c>
    </row>
    <row r="974" spans="1:3" x14ac:dyDescent="0.3">
      <c r="A974" s="4">
        <v>45289</v>
      </c>
      <c r="B974" s="5">
        <v>125.94929999999999</v>
      </c>
      <c r="C974" s="5">
        <v>92.209100000000007</v>
      </c>
    </row>
    <row r="975" spans="1:3" x14ac:dyDescent="0.3">
      <c r="A975" s="4">
        <v>45293</v>
      </c>
      <c r="B975" s="5">
        <v>125.9646</v>
      </c>
      <c r="C975" s="5">
        <v>92.228899999999996</v>
      </c>
    </row>
    <row r="976" spans="1:3" x14ac:dyDescent="0.3">
      <c r="A976" s="4">
        <v>45294</v>
      </c>
      <c r="B976" s="5">
        <v>125.93380000000001</v>
      </c>
      <c r="C976" s="5">
        <v>92.016499999999994</v>
      </c>
    </row>
    <row r="977" spans="1:3" x14ac:dyDescent="0.3">
      <c r="A977" s="4">
        <v>45295</v>
      </c>
      <c r="B977" s="5">
        <v>125.9853</v>
      </c>
      <c r="C977" s="5">
        <v>92.034899999999993</v>
      </c>
    </row>
    <row r="978" spans="1:3" x14ac:dyDescent="0.3">
      <c r="A978" s="4">
        <v>45296</v>
      </c>
      <c r="B978" s="5">
        <v>126.0728</v>
      </c>
      <c r="C978" s="5">
        <v>91.738699999999994</v>
      </c>
    </row>
    <row r="979" spans="1:3" x14ac:dyDescent="0.3">
      <c r="A979" s="4">
        <v>45299</v>
      </c>
      <c r="B979" s="5">
        <v>126.0915</v>
      </c>
      <c r="C979" s="5">
        <v>91.625600000000006</v>
      </c>
    </row>
    <row r="980" spans="1:3" x14ac:dyDescent="0.3">
      <c r="A980" s="4">
        <v>45300</v>
      </c>
      <c r="B980" s="5">
        <v>126.21299999999999</v>
      </c>
      <c r="C980" s="5">
        <v>91.725999999999999</v>
      </c>
    </row>
    <row r="981" spans="1:3" x14ac:dyDescent="0.3">
      <c r="A981" s="4">
        <v>45301</v>
      </c>
      <c r="B981" s="5">
        <v>126.2148</v>
      </c>
      <c r="C981" s="5">
        <v>91.743799999999993</v>
      </c>
    </row>
    <row r="982" spans="1:3" x14ac:dyDescent="0.3">
      <c r="A982" s="4">
        <v>45302</v>
      </c>
      <c r="B982" s="5">
        <v>126.20740000000001</v>
      </c>
      <c r="C982" s="5">
        <v>91.764899999999997</v>
      </c>
    </row>
    <row r="983" spans="1:3" x14ac:dyDescent="0.3">
      <c r="A983" s="4">
        <v>45303</v>
      </c>
      <c r="B983" s="5">
        <v>126.17740000000001</v>
      </c>
      <c r="C983" s="5">
        <v>91.982299999999995</v>
      </c>
    </row>
    <row r="984" spans="1:3" x14ac:dyDescent="0.3">
      <c r="A984" s="4">
        <v>45306</v>
      </c>
      <c r="B984" s="5">
        <v>126.1819</v>
      </c>
      <c r="C984" s="5">
        <v>92.251099999999994</v>
      </c>
    </row>
    <row r="985" spans="1:3" x14ac:dyDescent="0.3">
      <c r="A985" s="4">
        <v>45307</v>
      </c>
      <c r="B985" s="5">
        <v>126.1782</v>
      </c>
      <c r="C985" s="5">
        <v>92.089600000000004</v>
      </c>
    </row>
    <row r="986" spans="1:3" x14ac:dyDescent="0.3">
      <c r="A986" s="4">
        <v>45308</v>
      </c>
      <c r="B986" s="5">
        <v>126.20489999999999</v>
      </c>
      <c r="C986" s="5">
        <v>92.070899999999995</v>
      </c>
    </row>
    <row r="987" spans="1:3" x14ac:dyDescent="0.3">
      <c r="A987" s="4">
        <v>45309</v>
      </c>
      <c r="B987" s="5">
        <v>126.2775</v>
      </c>
      <c r="C987" s="5">
        <v>91.677999999999997</v>
      </c>
    </row>
    <row r="988" spans="1:3" x14ac:dyDescent="0.3">
      <c r="A988" s="4">
        <v>45310</v>
      </c>
      <c r="B988" s="5">
        <v>126.33240000000001</v>
      </c>
      <c r="C988" s="5">
        <v>91.513599999999997</v>
      </c>
    </row>
    <row r="989" spans="1:3" x14ac:dyDescent="0.3">
      <c r="A989" s="4">
        <v>45313</v>
      </c>
      <c r="B989" s="5">
        <v>126.44750000000001</v>
      </c>
      <c r="C989" s="5">
        <v>91.636899999999997</v>
      </c>
    </row>
    <row r="990" spans="1:3" x14ac:dyDescent="0.3">
      <c r="A990" s="4">
        <v>45314</v>
      </c>
      <c r="B990" s="5">
        <v>126.4753</v>
      </c>
      <c r="C990" s="5">
        <v>91.614800000000002</v>
      </c>
    </row>
    <row r="991" spans="1:3" x14ac:dyDescent="0.3">
      <c r="A991" s="4">
        <v>45315</v>
      </c>
      <c r="B991" s="5">
        <v>126.5068</v>
      </c>
      <c r="C991" s="5">
        <v>91.620199999999997</v>
      </c>
    </row>
    <row r="992" spans="1:3" x14ac:dyDescent="0.3">
      <c r="A992" s="4">
        <v>45316</v>
      </c>
      <c r="B992" s="5">
        <v>126.5599</v>
      </c>
      <c r="C992" s="5">
        <v>91.525099999999995</v>
      </c>
    </row>
    <row r="993" spans="1:3" x14ac:dyDescent="0.3">
      <c r="A993" s="4">
        <v>45317</v>
      </c>
      <c r="B993" s="5">
        <v>126.5822</v>
      </c>
      <c r="C993" s="5">
        <v>91.753399999999999</v>
      </c>
    </row>
    <row r="994" spans="1:3" x14ac:dyDescent="0.3">
      <c r="A994" s="4">
        <v>45320</v>
      </c>
      <c r="B994" s="5">
        <v>126.63800000000001</v>
      </c>
      <c r="C994" s="5">
        <v>91.685299999999998</v>
      </c>
    </row>
    <row r="995" spans="1:3" x14ac:dyDescent="0.3">
      <c r="A995" s="4">
        <v>45321</v>
      </c>
      <c r="B995" s="5">
        <v>126.8597</v>
      </c>
      <c r="C995" s="5">
        <v>91.907799999999995</v>
      </c>
    </row>
    <row r="996" spans="1:3" x14ac:dyDescent="0.3">
      <c r="A996" s="4">
        <v>45322</v>
      </c>
      <c r="B996" s="5">
        <v>127.06480000000001</v>
      </c>
      <c r="C996" s="5">
        <v>91.993799999999993</v>
      </c>
    </row>
    <row r="997" spans="1:3" x14ac:dyDescent="0.3">
      <c r="A997" s="4">
        <v>45323</v>
      </c>
      <c r="B997" s="5">
        <v>127.0877</v>
      </c>
      <c r="C997" s="5">
        <v>92.297700000000006</v>
      </c>
    </row>
    <row r="998" spans="1:3" x14ac:dyDescent="0.3">
      <c r="A998" s="4">
        <v>45324</v>
      </c>
      <c r="B998" s="5">
        <v>127.0839</v>
      </c>
      <c r="C998" s="5">
        <v>92.491600000000005</v>
      </c>
    </row>
    <row r="999" spans="1:3" x14ac:dyDescent="0.3">
      <c r="A999" s="4">
        <v>45327</v>
      </c>
      <c r="B999" s="5">
        <v>127.208</v>
      </c>
      <c r="C999" s="5">
        <v>91.922600000000003</v>
      </c>
    </row>
    <row r="1000" spans="1:3" x14ac:dyDescent="0.3">
      <c r="A1000" s="4">
        <v>45328</v>
      </c>
      <c r="B1000" s="5">
        <v>127.0752</v>
      </c>
      <c r="C1000" s="5">
        <v>91.722300000000004</v>
      </c>
    </row>
    <row r="1001" spans="1:3" x14ac:dyDescent="0.3">
      <c r="A1001" s="4">
        <v>45329</v>
      </c>
      <c r="B1001" s="5">
        <v>127.1075</v>
      </c>
      <c r="C1001" s="5">
        <v>91.8887</v>
      </c>
    </row>
    <row r="1002" spans="1:3" x14ac:dyDescent="0.3">
      <c r="A1002" s="4">
        <v>45330</v>
      </c>
      <c r="B1002" s="5">
        <v>127.09439999999999</v>
      </c>
      <c r="C1002" s="5">
        <v>91.834100000000007</v>
      </c>
    </row>
    <row r="1003" spans="1:3" x14ac:dyDescent="0.3">
      <c r="A1003" s="4">
        <v>45341</v>
      </c>
      <c r="B1003" s="5">
        <v>127.15560000000001</v>
      </c>
      <c r="C1003" s="5">
        <v>91.467600000000004</v>
      </c>
    </row>
    <row r="1004" spans="1:3" x14ac:dyDescent="0.3">
      <c r="A1004" s="4">
        <v>45342</v>
      </c>
      <c r="B1004" s="5">
        <v>127.23</v>
      </c>
      <c r="C1004" s="5">
        <v>91.518900000000002</v>
      </c>
    </row>
    <row r="1005" spans="1:3" x14ac:dyDescent="0.3">
      <c r="A1005" s="4">
        <v>45343</v>
      </c>
      <c r="B1005" s="5">
        <v>127.25020000000001</v>
      </c>
      <c r="C1005" s="5">
        <v>91.624799999999993</v>
      </c>
    </row>
    <row r="1006" spans="1:3" x14ac:dyDescent="0.3">
      <c r="A1006" s="4">
        <v>45344</v>
      </c>
      <c r="B1006" s="5">
        <v>127.2924</v>
      </c>
      <c r="C1006" s="5">
        <v>91.511700000000005</v>
      </c>
    </row>
    <row r="1007" spans="1:3" x14ac:dyDescent="0.3">
      <c r="A1007" s="4">
        <v>45345</v>
      </c>
      <c r="B1007" s="5">
        <v>127.3766</v>
      </c>
      <c r="C1007" s="5">
        <v>91.482900000000001</v>
      </c>
    </row>
    <row r="1008" spans="1:3" x14ac:dyDescent="0.3">
      <c r="A1008" s="4">
        <v>45348</v>
      </c>
      <c r="B1008" s="5">
        <v>127.4192</v>
      </c>
      <c r="C1008" s="5">
        <v>91.747799999999998</v>
      </c>
    </row>
    <row r="1009" spans="1:3" x14ac:dyDescent="0.3">
      <c r="A1009" s="4">
        <v>45349</v>
      </c>
      <c r="B1009" s="5">
        <v>127.51560000000001</v>
      </c>
      <c r="C1009" s="5">
        <v>91.5792</v>
      </c>
    </row>
    <row r="1010" spans="1:3" x14ac:dyDescent="0.3">
      <c r="A1010" s="4">
        <v>45350</v>
      </c>
      <c r="B1010" s="5">
        <v>127.5937</v>
      </c>
      <c r="C1010" s="5">
        <v>91.603399999999993</v>
      </c>
    </row>
    <row r="1011" spans="1:3" x14ac:dyDescent="0.3">
      <c r="A1011" s="4">
        <v>45351</v>
      </c>
      <c r="B1011" s="5">
        <v>127.7621</v>
      </c>
      <c r="C1011" s="5">
        <v>91.720600000000005</v>
      </c>
    </row>
    <row r="1012" spans="1:3" x14ac:dyDescent="0.3">
      <c r="A1012" s="4">
        <v>45352</v>
      </c>
      <c r="B1012" s="5">
        <v>127.5886</v>
      </c>
      <c r="C1012" s="5">
        <v>91.758799999999994</v>
      </c>
    </row>
    <row r="1013" spans="1:3" x14ac:dyDescent="0.3">
      <c r="A1013" s="4">
        <v>45355</v>
      </c>
      <c r="B1013" s="5">
        <v>127.6276</v>
      </c>
      <c r="C1013" s="5">
        <v>92.084599999999995</v>
      </c>
    </row>
    <row r="1014" spans="1:3" x14ac:dyDescent="0.3">
      <c r="A1014" s="4">
        <v>45356</v>
      </c>
      <c r="B1014" s="5">
        <v>127.6613</v>
      </c>
      <c r="C1014" s="5">
        <v>91.989599999999996</v>
      </c>
    </row>
    <row r="1015" spans="1:3" x14ac:dyDescent="0.3">
      <c r="A1015" s="4">
        <v>45357</v>
      </c>
      <c r="B1015" s="5">
        <v>127.8552</v>
      </c>
      <c r="C1015" s="5">
        <v>92.167000000000002</v>
      </c>
    </row>
    <row r="1016" spans="1:3" x14ac:dyDescent="0.3">
      <c r="A1016" s="4">
        <v>45358</v>
      </c>
      <c r="B1016" s="5">
        <v>127.9297</v>
      </c>
      <c r="C1016" s="5">
        <v>92.290199999999999</v>
      </c>
    </row>
    <row r="1017" spans="1:3" x14ac:dyDescent="0.3">
      <c r="A1017" s="4">
        <v>45359</v>
      </c>
      <c r="B1017" s="5">
        <v>127.9144</v>
      </c>
      <c r="C1017" s="5">
        <v>92.417500000000004</v>
      </c>
    </row>
    <row r="1018" spans="1:3" x14ac:dyDescent="0.3">
      <c r="A1018" s="4">
        <v>45362</v>
      </c>
      <c r="B1018" s="5">
        <v>127.7984</v>
      </c>
      <c r="C1018" s="5">
        <v>92.433899999999994</v>
      </c>
    </row>
    <row r="1019" spans="1:3" x14ac:dyDescent="0.3">
      <c r="A1019" s="4">
        <v>45363</v>
      </c>
      <c r="B1019" s="5">
        <v>127.56140000000001</v>
      </c>
      <c r="C1019" s="5">
        <v>92.305099999999996</v>
      </c>
    </row>
    <row r="1020" spans="1:3" x14ac:dyDescent="0.3">
      <c r="A1020" s="4">
        <v>45364</v>
      </c>
      <c r="B1020" s="5">
        <v>127.4974</v>
      </c>
      <c r="C1020" s="5">
        <v>92.154200000000003</v>
      </c>
    </row>
    <row r="1021" spans="1:3" x14ac:dyDescent="0.3">
      <c r="A1021" s="4">
        <v>45365</v>
      </c>
      <c r="B1021" s="5">
        <v>127.44240000000001</v>
      </c>
      <c r="C1021" s="5">
        <v>91.9833</v>
      </c>
    </row>
    <row r="1022" spans="1:3" x14ac:dyDescent="0.3">
      <c r="A1022" s="4">
        <v>45366</v>
      </c>
      <c r="B1022" s="5">
        <v>127.48309999999999</v>
      </c>
      <c r="C1022" s="5">
        <v>91.754400000000004</v>
      </c>
    </row>
    <row r="1023" spans="1:3" x14ac:dyDescent="0.3">
      <c r="A1023" s="4">
        <v>45369</v>
      </c>
      <c r="B1023" s="5">
        <v>127.55500000000001</v>
      </c>
      <c r="C1023" s="5">
        <v>91.716399999999993</v>
      </c>
    </row>
    <row r="1024" spans="1:3" x14ac:dyDescent="0.3">
      <c r="A1024" s="4">
        <v>45370</v>
      </c>
      <c r="B1024" s="5">
        <v>127.65260000000001</v>
      </c>
      <c r="C1024" s="5">
        <v>91.662800000000004</v>
      </c>
    </row>
    <row r="1025" spans="1:3" x14ac:dyDescent="0.3">
      <c r="A1025" s="4">
        <v>45371</v>
      </c>
      <c r="B1025" s="5">
        <v>127.6322</v>
      </c>
      <c r="C1025" s="5">
        <v>91.805000000000007</v>
      </c>
    </row>
    <row r="1026" spans="1:3" x14ac:dyDescent="0.3">
      <c r="A1026" s="4">
        <v>45372</v>
      </c>
      <c r="B1026" s="5">
        <v>127.6405</v>
      </c>
      <c r="C1026" s="5">
        <v>91.909000000000006</v>
      </c>
    </row>
    <row r="1027" spans="1:3" x14ac:dyDescent="0.3">
      <c r="A1027" s="4">
        <v>45373</v>
      </c>
      <c r="B1027" s="5">
        <v>127.6302</v>
      </c>
      <c r="C1027" s="5">
        <v>92.004599999999996</v>
      </c>
    </row>
    <row r="1028" spans="1:3" x14ac:dyDescent="0.3">
      <c r="A1028" s="4">
        <v>45376</v>
      </c>
      <c r="B1028" s="5">
        <v>127.5352</v>
      </c>
      <c r="C1028" s="5">
        <v>92.161900000000003</v>
      </c>
    </row>
    <row r="1029" spans="1:3" x14ac:dyDescent="0.3">
      <c r="A1029" s="4">
        <v>45377</v>
      </c>
      <c r="B1029" s="5">
        <v>127.5163</v>
      </c>
      <c r="C1029" s="5">
        <v>92.100899999999996</v>
      </c>
    </row>
    <row r="1030" spans="1:3" x14ac:dyDescent="0.3">
      <c r="A1030" s="4">
        <v>45378</v>
      </c>
      <c r="B1030" s="5">
        <v>127.5813</v>
      </c>
      <c r="C1030" s="5">
        <v>92.129300000000001</v>
      </c>
    </row>
    <row r="1031" spans="1:3" x14ac:dyDescent="0.3">
      <c r="A1031" s="4">
        <v>45379</v>
      </c>
      <c r="B1031" s="5">
        <v>127.6237</v>
      </c>
      <c r="C1031" s="5">
        <v>92.229100000000003</v>
      </c>
    </row>
    <row r="1032" spans="1:3" x14ac:dyDescent="0.3">
      <c r="A1032" s="4">
        <v>45380</v>
      </c>
      <c r="B1032" s="5">
        <v>127.6763</v>
      </c>
      <c r="C1032" s="5">
        <v>92.2042</v>
      </c>
    </row>
    <row r="1033" spans="1:3" x14ac:dyDescent="0.3">
      <c r="A1033" s="4">
        <v>45383</v>
      </c>
      <c r="B1033" s="5">
        <v>127.6262</v>
      </c>
      <c r="C1033" s="5">
        <v>92.287499999999994</v>
      </c>
    </row>
    <row r="1034" spans="1:3" x14ac:dyDescent="0.3">
      <c r="A1034" s="4">
        <v>45384</v>
      </c>
      <c r="B1034" s="5">
        <v>127.6862</v>
      </c>
      <c r="C1034" s="5">
        <v>91.870599999999996</v>
      </c>
    </row>
    <row r="1035" spans="1:3" x14ac:dyDescent="0.3">
      <c r="A1035" s="4">
        <v>45385</v>
      </c>
      <c r="B1035" s="5">
        <v>127.7748</v>
      </c>
      <c r="C1035" s="5">
        <v>91.794399999999996</v>
      </c>
    </row>
    <row r="1036" spans="1:3" x14ac:dyDescent="0.3">
      <c r="A1036" s="4">
        <v>45390</v>
      </c>
      <c r="B1036" s="5">
        <v>127.8506</v>
      </c>
      <c r="C1036" s="5">
        <v>91.615300000000005</v>
      </c>
    </row>
    <row r="1037" spans="1:3" x14ac:dyDescent="0.3">
      <c r="A1037" s="4">
        <v>45391</v>
      </c>
      <c r="B1037" s="5">
        <v>127.9037</v>
      </c>
      <c r="C1037" s="5">
        <v>91.666600000000003</v>
      </c>
    </row>
    <row r="1038" spans="1:3" x14ac:dyDescent="0.3">
      <c r="A1038" s="4">
        <v>45392</v>
      </c>
      <c r="B1038" s="5">
        <v>127.8771</v>
      </c>
      <c r="C1038" s="5">
        <v>91.8566</v>
      </c>
    </row>
    <row r="1039" spans="1:3" x14ac:dyDescent="0.3">
      <c r="A1039" s="4">
        <v>45393</v>
      </c>
      <c r="B1039" s="5">
        <v>127.8956</v>
      </c>
      <c r="C1039" s="5">
        <v>91.244399999999999</v>
      </c>
    </row>
    <row r="1040" spans="1:3" x14ac:dyDescent="0.3">
      <c r="A1040" s="4">
        <v>45394</v>
      </c>
      <c r="B1040" s="5">
        <v>128.00729999999999</v>
      </c>
      <c r="C1040" s="5">
        <v>91.272300000000001</v>
      </c>
    </row>
    <row r="1041" spans="1:3" x14ac:dyDescent="0.3">
      <c r="A1041" s="4">
        <v>45397</v>
      </c>
      <c r="B1041" s="5">
        <v>128.03059999999999</v>
      </c>
      <c r="C1041" s="5">
        <v>91.375500000000002</v>
      </c>
    </row>
    <row r="1042" spans="1:3" x14ac:dyDescent="0.3">
      <c r="A1042" s="4">
        <v>45398</v>
      </c>
      <c r="B1042" s="5">
        <v>128.05600000000001</v>
      </c>
      <c r="C1042" s="5">
        <v>91.152799999999999</v>
      </c>
    </row>
    <row r="1043" spans="1:3" x14ac:dyDescent="0.3">
      <c r="A1043" s="4">
        <v>45399</v>
      </c>
      <c r="B1043" s="5">
        <v>128.11099999999999</v>
      </c>
      <c r="C1043" s="5">
        <v>91.020700000000005</v>
      </c>
    </row>
    <row r="1044" spans="1:3" x14ac:dyDescent="0.3">
      <c r="A1044" s="4">
        <v>45400</v>
      </c>
      <c r="B1044" s="5">
        <v>128.232</v>
      </c>
      <c r="C1044" s="5">
        <v>91.342399999999998</v>
      </c>
    </row>
    <row r="1045" spans="1:3" x14ac:dyDescent="0.3">
      <c r="A1045" s="4">
        <v>45401</v>
      </c>
      <c r="B1045" s="5">
        <v>128.33940000000001</v>
      </c>
      <c r="C1045" s="5">
        <v>91.238200000000006</v>
      </c>
    </row>
    <row r="1046" spans="1:3" x14ac:dyDescent="0.3">
      <c r="A1046" s="4">
        <v>45404</v>
      </c>
      <c r="B1046" s="5">
        <v>128.4495</v>
      </c>
      <c r="C1046" s="5">
        <v>91.096500000000006</v>
      </c>
    </row>
    <row r="1047" spans="1:3" x14ac:dyDescent="0.3">
      <c r="A1047" s="4">
        <v>45405</v>
      </c>
      <c r="B1047" s="5">
        <v>128.6061</v>
      </c>
      <c r="C1047" s="5">
        <v>91.170599999999993</v>
      </c>
    </row>
    <row r="1048" spans="1:3" x14ac:dyDescent="0.3">
      <c r="A1048" s="4">
        <v>45406</v>
      </c>
      <c r="B1048" s="5">
        <v>128.41050000000001</v>
      </c>
      <c r="C1048" s="5">
        <v>91.153199999999998</v>
      </c>
    </row>
    <row r="1049" spans="1:3" x14ac:dyDescent="0.3">
      <c r="A1049" s="4">
        <v>45407</v>
      </c>
      <c r="B1049" s="5">
        <v>128.32050000000001</v>
      </c>
      <c r="C1049" s="5">
        <v>91.077500000000001</v>
      </c>
    </row>
    <row r="1050" spans="1:3" x14ac:dyDescent="0.3">
      <c r="A1050" s="4">
        <v>45408</v>
      </c>
      <c r="B1050" s="5">
        <v>128.12270000000001</v>
      </c>
      <c r="C1050" s="5">
        <v>90.901899999999998</v>
      </c>
    </row>
    <row r="1051" spans="1:3" x14ac:dyDescent="0.3">
      <c r="A1051" s="4">
        <v>45411</v>
      </c>
      <c r="B1051" s="5">
        <v>127.7354</v>
      </c>
      <c r="C1051" s="5">
        <v>90.965000000000003</v>
      </c>
    </row>
    <row r="1052" spans="1:3" x14ac:dyDescent="0.3">
      <c r="A1052" s="4">
        <v>45412</v>
      </c>
      <c r="B1052" s="5">
        <v>127.8968</v>
      </c>
      <c r="C1052" s="5">
        <v>91.0642</v>
      </c>
    </row>
    <row r="1053" spans="1:3" x14ac:dyDescent="0.3">
      <c r="A1053" s="4">
        <v>45418</v>
      </c>
      <c r="B1053" s="5">
        <v>127.9331</v>
      </c>
      <c r="C1053" s="5">
        <v>91.490899999999996</v>
      </c>
    </row>
    <row r="1054" spans="1:3" x14ac:dyDescent="0.3">
      <c r="A1054" s="4">
        <v>45419</v>
      </c>
      <c r="B1054" s="5">
        <v>128.05889999999999</v>
      </c>
      <c r="C1054" s="5">
        <v>91.551500000000004</v>
      </c>
    </row>
    <row r="1055" spans="1:3" x14ac:dyDescent="0.3">
      <c r="A1055" s="4">
        <v>45420</v>
      </c>
      <c r="B1055" s="5">
        <v>128.09899999999999</v>
      </c>
      <c r="C1055" s="5">
        <v>91.573999999999998</v>
      </c>
    </row>
    <row r="1056" spans="1:3" x14ac:dyDescent="0.3">
      <c r="A1056" s="4">
        <v>45421</v>
      </c>
      <c r="B1056" s="5">
        <v>128.04069999999999</v>
      </c>
      <c r="C1056" s="5">
        <v>91.451899999999995</v>
      </c>
    </row>
    <row r="1057" spans="1:3" x14ac:dyDescent="0.3">
      <c r="A1057" s="4">
        <v>45422</v>
      </c>
      <c r="B1057" s="5">
        <v>128.0087</v>
      </c>
      <c r="C1057" s="5">
        <v>91.636799999999994</v>
      </c>
    </row>
    <row r="1058" spans="1:3" x14ac:dyDescent="0.3">
      <c r="A1058" s="4">
        <v>45425</v>
      </c>
      <c r="B1058" s="5">
        <v>128.0626</v>
      </c>
      <c r="C1058" s="5">
        <v>91.519900000000007</v>
      </c>
    </row>
    <row r="1059" spans="1:3" x14ac:dyDescent="0.3">
      <c r="A1059" s="4">
        <v>45426</v>
      </c>
      <c r="B1059" s="5">
        <v>128.14590000000001</v>
      </c>
      <c r="C1059" s="5">
        <v>91.561499999999995</v>
      </c>
    </row>
    <row r="1060" spans="1:3" x14ac:dyDescent="0.3">
      <c r="A1060" s="4">
        <v>45427</v>
      </c>
      <c r="B1060" s="5">
        <v>128.13679999999999</v>
      </c>
      <c r="C1060" s="5">
        <v>91.7346</v>
      </c>
    </row>
    <row r="1061" spans="1:3" x14ac:dyDescent="0.3">
      <c r="A1061" s="4">
        <v>45428</v>
      </c>
      <c r="B1061" s="5">
        <v>128.08070000000001</v>
      </c>
      <c r="C1061" s="5">
        <v>92.084199999999996</v>
      </c>
    </row>
    <row r="1062" spans="1:3" x14ac:dyDescent="0.3">
      <c r="A1062" s="4">
        <v>45429</v>
      </c>
      <c r="B1062" s="5">
        <v>128.02629999999999</v>
      </c>
      <c r="C1062" s="5">
        <v>91.908600000000007</v>
      </c>
    </row>
    <row r="1063" spans="1:3" x14ac:dyDescent="0.3">
      <c r="A1063" s="4">
        <v>45432</v>
      </c>
      <c r="B1063" s="5">
        <v>128.05340000000001</v>
      </c>
      <c r="C1063" s="5">
        <v>91.766499999999994</v>
      </c>
    </row>
    <row r="1064" spans="1:3" x14ac:dyDescent="0.3">
      <c r="A1064" s="4">
        <v>45433</v>
      </c>
      <c r="B1064" s="5">
        <v>128.0301</v>
      </c>
      <c r="C1064" s="5">
        <v>91.722700000000003</v>
      </c>
    </row>
    <row r="1065" spans="1:3" x14ac:dyDescent="0.3">
      <c r="A1065" s="4">
        <v>45434</v>
      </c>
      <c r="B1065" s="5">
        <v>128.05000000000001</v>
      </c>
      <c r="C1065" s="5">
        <v>91.760300000000001</v>
      </c>
    </row>
    <row r="1066" spans="1:3" x14ac:dyDescent="0.3">
      <c r="A1066" s="4">
        <v>45435</v>
      </c>
      <c r="B1066" s="5">
        <v>128.11930000000001</v>
      </c>
      <c r="C1066" s="5">
        <v>91.770499999999998</v>
      </c>
    </row>
    <row r="1067" spans="1:3" x14ac:dyDescent="0.3">
      <c r="A1067" s="4">
        <v>45436</v>
      </c>
      <c r="B1067" s="5">
        <v>128.11170000000001</v>
      </c>
      <c r="C1067" s="5">
        <v>91.602199999999996</v>
      </c>
    </row>
    <row r="1068" spans="1:3" x14ac:dyDescent="0.3">
      <c r="A1068" s="4">
        <v>45439</v>
      </c>
      <c r="B1068" s="5">
        <v>128.07300000000001</v>
      </c>
      <c r="C1068" s="5">
        <v>91.6387</v>
      </c>
    </row>
    <row r="1069" spans="1:3" x14ac:dyDescent="0.3">
      <c r="A1069" s="4">
        <v>45440</v>
      </c>
      <c r="B1069" s="5">
        <v>128.14080000000001</v>
      </c>
      <c r="C1069" s="5">
        <v>91.671300000000002</v>
      </c>
    </row>
    <row r="1070" spans="1:3" x14ac:dyDescent="0.3">
      <c r="A1070" s="4">
        <v>45441</v>
      </c>
      <c r="B1070" s="5">
        <v>128.22579999999999</v>
      </c>
      <c r="C1070" s="5">
        <v>91.362899999999996</v>
      </c>
    </row>
    <row r="1071" spans="1:3" x14ac:dyDescent="0.3">
      <c r="A1071" s="4">
        <v>45442</v>
      </c>
      <c r="B1071" s="5">
        <v>128.25020000000001</v>
      </c>
      <c r="C1071" s="5">
        <v>91.267200000000003</v>
      </c>
    </row>
    <row r="1072" spans="1:3" x14ac:dyDescent="0.3">
      <c r="A1072" s="4">
        <v>45443</v>
      </c>
      <c r="B1072" s="5">
        <v>128.1892</v>
      </c>
      <c r="C1072" s="5">
        <v>91.447699999999998</v>
      </c>
    </row>
    <row r="1073" spans="1:3" x14ac:dyDescent="0.3">
      <c r="A1073" s="4">
        <v>45446</v>
      </c>
      <c r="B1073" s="5">
        <v>128.26259999999999</v>
      </c>
      <c r="C1073" s="5">
        <v>91.568600000000004</v>
      </c>
    </row>
    <row r="1074" spans="1:3" x14ac:dyDescent="0.3">
      <c r="A1074" s="4">
        <v>45447</v>
      </c>
      <c r="B1074" s="5">
        <v>128.30179999999999</v>
      </c>
      <c r="C1074" s="5">
        <v>91.85</v>
      </c>
    </row>
    <row r="1075" spans="1:3" x14ac:dyDescent="0.3">
      <c r="A1075" s="4">
        <v>45448</v>
      </c>
      <c r="B1075" s="5">
        <v>128.38229999999999</v>
      </c>
      <c r="C1075" s="5">
        <v>92.078000000000003</v>
      </c>
    </row>
    <row r="1076" spans="1:3" x14ac:dyDescent="0.3">
      <c r="A1076" s="4">
        <v>45449</v>
      </c>
      <c r="B1076" s="5">
        <v>128.42580000000001</v>
      </c>
      <c r="C1076" s="5">
        <v>92.225200000000001</v>
      </c>
    </row>
    <row r="1077" spans="1:3" x14ac:dyDescent="0.3">
      <c r="A1077" s="4">
        <v>45450</v>
      </c>
      <c r="B1077" s="5">
        <v>128.44579999999999</v>
      </c>
      <c r="C1077" s="5">
        <v>92.242400000000004</v>
      </c>
    </row>
    <row r="1078" spans="1:3" x14ac:dyDescent="0.3">
      <c r="A1078" s="4">
        <v>45454</v>
      </c>
      <c r="B1078" s="5">
        <v>128.5068</v>
      </c>
      <c r="C1078" s="5">
        <v>91.702799999999996</v>
      </c>
    </row>
    <row r="1079" spans="1:3" x14ac:dyDescent="0.3">
      <c r="A1079" s="4">
        <v>45455</v>
      </c>
      <c r="B1079" s="5">
        <v>128.5179</v>
      </c>
      <c r="C1079" s="5">
        <v>91.902699999999996</v>
      </c>
    </row>
    <row r="1080" spans="1:3" x14ac:dyDescent="0.3">
      <c r="A1080" s="4">
        <v>45456</v>
      </c>
      <c r="B1080" s="5">
        <v>128.5634</v>
      </c>
      <c r="C1080" s="5">
        <v>92.189099999999996</v>
      </c>
    </row>
    <row r="1081" spans="1:3" x14ac:dyDescent="0.3">
      <c r="A1081" s="4">
        <v>45457</v>
      </c>
      <c r="B1081" s="5">
        <v>128.64169999999999</v>
      </c>
      <c r="C1081" s="5">
        <v>92.466800000000006</v>
      </c>
    </row>
    <row r="1082" spans="1:3" x14ac:dyDescent="0.3">
      <c r="A1082" s="4">
        <v>45460</v>
      </c>
      <c r="B1082" s="5">
        <v>128.6362</v>
      </c>
      <c r="C1082" s="5">
        <v>92.474299999999999</v>
      </c>
    </row>
    <row r="1083" spans="1:3" x14ac:dyDescent="0.3">
      <c r="A1083" s="4">
        <v>45461</v>
      </c>
      <c r="B1083" s="5">
        <v>128.69839999999999</v>
      </c>
      <c r="C1083" s="5">
        <v>92.324799999999996</v>
      </c>
    </row>
    <row r="1084" spans="1:3" x14ac:dyDescent="0.3">
      <c r="A1084" s="4">
        <v>45462</v>
      </c>
      <c r="B1084" s="5">
        <v>128.7448</v>
      </c>
      <c r="C1084" s="5">
        <v>92.522999999999996</v>
      </c>
    </row>
    <row r="1085" spans="1:3" x14ac:dyDescent="0.3">
      <c r="A1085" s="4">
        <v>45463</v>
      </c>
      <c r="B1085" s="5">
        <v>128.8013</v>
      </c>
      <c r="C1085" s="5">
        <v>92.429100000000005</v>
      </c>
    </row>
    <row r="1086" spans="1:3" x14ac:dyDescent="0.3">
      <c r="A1086" s="4">
        <v>45464</v>
      </c>
      <c r="B1086" s="5">
        <v>128.73169999999999</v>
      </c>
      <c r="C1086" s="5">
        <v>92.411699999999996</v>
      </c>
    </row>
    <row r="1087" spans="1:3" x14ac:dyDescent="0.3">
      <c r="A1087" s="4">
        <v>45467</v>
      </c>
      <c r="B1087" s="5">
        <v>128.76660000000001</v>
      </c>
      <c r="C1087" s="5">
        <v>92.413200000000003</v>
      </c>
    </row>
    <row r="1088" spans="1:3" x14ac:dyDescent="0.3">
      <c r="A1088" s="4">
        <v>45468</v>
      </c>
      <c r="B1088" s="5">
        <v>128.8441</v>
      </c>
      <c r="C1088" s="5">
        <v>92.478399999999993</v>
      </c>
    </row>
    <row r="1089" spans="1:3" x14ac:dyDescent="0.3">
      <c r="A1089" s="4">
        <v>45469</v>
      </c>
      <c r="B1089" s="5">
        <v>128.881</v>
      </c>
      <c r="C1089" s="5">
        <v>92.384200000000007</v>
      </c>
    </row>
    <row r="1090" spans="1:3" x14ac:dyDescent="0.3">
      <c r="A1090" s="4">
        <v>45470</v>
      </c>
      <c r="B1090" s="5">
        <v>128.96510000000001</v>
      </c>
      <c r="C1090" s="5">
        <v>92.183400000000006</v>
      </c>
    </row>
    <row r="1091" spans="1:3" x14ac:dyDescent="0.3">
      <c r="A1091" s="4">
        <v>45471</v>
      </c>
      <c r="B1091" s="5">
        <v>129.02629999999999</v>
      </c>
      <c r="C1091" s="5">
        <v>92.344399999999993</v>
      </c>
    </row>
    <row r="1092" spans="1:3" x14ac:dyDescent="0.3">
      <c r="A1092" s="4">
        <v>45474</v>
      </c>
      <c r="B1092" s="5">
        <v>128.87860000000001</v>
      </c>
      <c r="C1092" s="5">
        <v>92.059899999999999</v>
      </c>
    </row>
    <row r="1093" spans="1:3" x14ac:dyDescent="0.3">
      <c r="A1093" s="4">
        <v>45475</v>
      </c>
      <c r="B1093" s="5">
        <v>128.9366</v>
      </c>
      <c r="C1093" s="5">
        <v>91.960499999999996</v>
      </c>
    </row>
    <row r="1094" spans="1:3" x14ac:dyDescent="0.3">
      <c r="A1094" s="4">
        <v>45476</v>
      </c>
      <c r="B1094" s="5">
        <v>129.02289999999999</v>
      </c>
      <c r="C1094" s="5">
        <v>92.0381</v>
      </c>
    </row>
    <row r="1095" spans="1:3" x14ac:dyDescent="0.3">
      <c r="A1095" s="4">
        <v>45477</v>
      </c>
      <c r="B1095" s="5">
        <v>129.03540000000001</v>
      </c>
      <c r="C1095" s="5">
        <v>92.343299999999999</v>
      </c>
    </row>
    <row r="1096" spans="1:3" x14ac:dyDescent="0.3">
      <c r="A1096" s="4">
        <v>45478</v>
      </c>
      <c r="B1096" s="5">
        <v>128.94</v>
      </c>
      <c r="C1096" s="5">
        <v>92.362700000000004</v>
      </c>
    </row>
    <row r="1097" spans="1:3" x14ac:dyDescent="0.3">
      <c r="A1097" s="4">
        <v>45481</v>
      </c>
      <c r="B1097" s="5">
        <v>128.77610000000001</v>
      </c>
      <c r="C1097" s="5">
        <v>92.5916</v>
      </c>
    </row>
    <row r="1098" spans="1:3" x14ac:dyDescent="0.3">
      <c r="A1098" s="4">
        <v>45482</v>
      </c>
      <c r="B1098" s="5">
        <v>128.87700000000001</v>
      </c>
      <c r="C1098" s="5">
        <v>92.631</v>
      </c>
    </row>
    <row r="1099" spans="1:3" x14ac:dyDescent="0.3">
      <c r="A1099" s="4">
        <v>45483</v>
      </c>
      <c r="B1099" s="5">
        <v>128.893</v>
      </c>
      <c r="C1099" s="5">
        <v>92.625900000000001</v>
      </c>
    </row>
    <row r="1100" spans="1:3" x14ac:dyDescent="0.3">
      <c r="A1100" s="4">
        <v>45484</v>
      </c>
      <c r="B1100" s="5">
        <v>128.92089999999999</v>
      </c>
      <c r="C1100" s="5">
        <v>92.676500000000004</v>
      </c>
    </row>
    <row r="1101" spans="1:3" x14ac:dyDescent="0.3">
      <c r="A1101" s="4">
        <v>45485</v>
      </c>
      <c r="B1101" s="5">
        <v>128.97720000000001</v>
      </c>
      <c r="C1101" s="5">
        <v>92.992900000000006</v>
      </c>
    </row>
    <row r="1102" spans="1:3" x14ac:dyDescent="0.3">
      <c r="A1102" s="4">
        <v>45488</v>
      </c>
      <c r="B1102" s="5">
        <v>129.02719999999999</v>
      </c>
      <c r="C1102" s="5">
        <v>93.052300000000002</v>
      </c>
    </row>
    <row r="1103" spans="1:3" x14ac:dyDescent="0.3">
      <c r="A1103" s="4">
        <v>45489</v>
      </c>
      <c r="B1103" s="5">
        <v>129.0266</v>
      </c>
      <c r="C1103" s="5">
        <v>93.102699999999999</v>
      </c>
    </row>
    <row r="1104" spans="1:3" x14ac:dyDescent="0.3">
      <c r="A1104" s="4">
        <v>45490</v>
      </c>
      <c r="B1104" s="5">
        <v>129.03149999999999</v>
      </c>
      <c r="C1104" s="5">
        <v>93.201599999999999</v>
      </c>
    </row>
    <row r="1105" spans="1:3" x14ac:dyDescent="0.3">
      <c r="A1105" s="4">
        <v>45491</v>
      </c>
      <c r="B1105" s="5">
        <v>128.99340000000001</v>
      </c>
      <c r="C1105" s="5">
        <v>93.197800000000001</v>
      </c>
    </row>
    <row r="1106" spans="1:3" x14ac:dyDescent="0.3">
      <c r="A1106" s="4">
        <v>45492</v>
      </c>
      <c r="B1106" s="5">
        <v>129.00210000000001</v>
      </c>
      <c r="C1106" s="5">
        <v>93.085700000000003</v>
      </c>
    </row>
    <row r="1107" spans="1:3" x14ac:dyDescent="0.3">
      <c r="A1107" s="4">
        <v>45495</v>
      </c>
      <c r="B1107" s="5">
        <v>129.14099999999999</v>
      </c>
      <c r="C1107" s="5">
        <v>92.999300000000005</v>
      </c>
    </row>
    <row r="1108" spans="1:3" x14ac:dyDescent="0.3">
      <c r="A1108" s="4">
        <v>45496</v>
      </c>
      <c r="B1108" s="5">
        <v>129.2456</v>
      </c>
      <c r="C1108" s="5">
        <v>92.909000000000006</v>
      </c>
    </row>
    <row r="1109" spans="1:3" x14ac:dyDescent="0.3">
      <c r="A1109" s="4">
        <v>45497</v>
      </c>
      <c r="B1109" s="5">
        <v>129.2842</v>
      </c>
      <c r="C1109" s="5">
        <v>92.965699999999998</v>
      </c>
    </row>
    <row r="1110" spans="1:3" x14ac:dyDescent="0.3">
      <c r="A1110" s="4">
        <v>45498</v>
      </c>
      <c r="B1110" s="5">
        <v>129.3837</v>
      </c>
      <c r="C1110" s="5">
        <v>92.963099999999997</v>
      </c>
    </row>
    <row r="1111" spans="1:3" x14ac:dyDescent="0.3">
      <c r="A1111" s="4">
        <v>45499</v>
      </c>
      <c r="B1111" s="5">
        <v>129.46719999999999</v>
      </c>
      <c r="C1111" s="5">
        <v>92.938299999999998</v>
      </c>
    </row>
    <row r="1112" spans="1:3" x14ac:dyDescent="0.3">
      <c r="A1112" s="4">
        <v>45502</v>
      </c>
      <c r="B1112" s="5">
        <v>129.5779</v>
      </c>
      <c r="C1112" s="5">
        <v>93.203999999999994</v>
      </c>
    </row>
    <row r="1113" spans="1:3" x14ac:dyDescent="0.3">
      <c r="A1113" s="4">
        <v>45503</v>
      </c>
      <c r="B1113" s="5">
        <v>129.6857</v>
      </c>
      <c r="C1113" s="5">
        <v>93.1661</v>
      </c>
    </row>
    <row r="1114" spans="1:3" x14ac:dyDescent="0.3">
      <c r="A1114" s="4">
        <v>45504</v>
      </c>
      <c r="B1114" s="5">
        <v>129.7543</v>
      </c>
      <c r="C1114" s="5">
        <v>93.313199999999995</v>
      </c>
    </row>
    <row r="1115" spans="1:3" x14ac:dyDescent="0.3">
      <c r="A1115" s="4">
        <v>45505</v>
      </c>
      <c r="B1115" s="5">
        <v>129.85470000000001</v>
      </c>
      <c r="C1115" s="5">
        <v>93.653300000000002</v>
      </c>
    </row>
    <row r="1116" spans="1:3" x14ac:dyDescent="0.3">
      <c r="A1116" s="4">
        <v>45506</v>
      </c>
      <c r="B1116" s="5">
        <v>129.94839999999999</v>
      </c>
      <c r="C1116" s="5">
        <v>93.995099999999994</v>
      </c>
    </row>
    <row r="1117" spans="1:3" x14ac:dyDescent="0.3">
      <c r="A1117" s="4">
        <v>45509</v>
      </c>
      <c r="B1117" s="5">
        <v>130.04769999999999</v>
      </c>
      <c r="C1117" s="5">
        <v>94.861000000000004</v>
      </c>
    </row>
    <row r="1118" spans="1:3" x14ac:dyDescent="0.3">
      <c r="A1118" s="4">
        <v>45510</v>
      </c>
      <c r="B1118" s="5">
        <v>129.96690000000001</v>
      </c>
      <c r="C1118" s="5">
        <v>94.333100000000002</v>
      </c>
    </row>
    <row r="1119" spans="1:3" x14ac:dyDescent="0.3">
      <c r="A1119" s="4">
        <v>45511</v>
      </c>
      <c r="B1119" s="5">
        <v>130.05080000000001</v>
      </c>
      <c r="C1119" s="5">
        <v>94.136799999999994</v>
      </c>
    </row>
    <row r="1120" spans="1:3" x14ac:dyDescent="0.3">
      <c r="A1120" s="4">
        <v>45512</v>
      </c>
      <c r="B1120" s="5">
        <v>129.93090000000001</v>
      </c>
      <c r="C1120" s="5">
        <v>94.074700000000007</v>
      </c>
    </row>
    <row r="1121" spans="1:3" x14ac:dyDescent="0.3">
      <c r="A1121" s="4">
        <v>45513</v>
      </c>
      <c r="B1121" s="5">
        <v>129.77090000000001</v>
      </c>
      <c r="C1121" s="5">
        <v>93.905799999999999</v>
      </c>
    </row>
    <row r="1122" spans="1:3" x14ac:dyDescent="0.3">
      <c r="A1122" s="4">
        <v>45516</v>
      </c>
      <c r="B1122" s="5">
        <v>129.41550000000001</v>
      </c>
      <c r="C1122" s="5">
        <v>93.976600000000005</v>
      </c>
    </row>
    <row r="1123" spans="1:3" x14ac:dyDescent="0.3">
      <c r="A1123" s="4">
        <v>45517</v>
      </c>
      <c r="B1123" s="5">
        <v>129.50309999999999</v>
      </c>
      <c r="C1123" s="5">
        <v>94.142700000000005</v>
      </c>
    </row>
    <row r="1124" spans="1:3" x14ac:dyDescent="0.3">
      <c r="A1124" s="4">
        <v>45518</v>
      </c>
      <c r="B1124" s="5">
        <v>129.7191</v>
      </c>
      <c r="C1124" s="5">
        <v>94.436899999999994</v>
      </c>
    </row>
    <row r="1125" spans="1:3" x14ac:dyDescent="0.3">
      <c r="A1125" s="4">
        <v>45519</v>
      </c>
      <c r="B1125" s="5">
        <v>129.62280000000001</v>
      </c>
      <c r="C1125" s="5">
        <v>94.523399999999995</v>
      </c>
    </row>
    <row r="1126" spans="1:3" x14ac:dyDescent="0.3">
      <c r="A1126" s="4">
        <v>45520</v>
      </c>
      <c r="B1126" s="5">
        <v>129.62639999999999</v>
      </c>
      <c r="C1126" s="5">
        <v>94.261799999999994</v>
      </c>
    </row>
    <row r="1127" spans="1:3" x14ac:dyDescent="0.3">
      <c r="A1127" s="4">
        <v>45523</v>
      </c>
      <c r="B1127" s="5">
        <v>129.6549</v>
      </c>
      <c r="C1127" s="5">
        <v>94.423400000000001</v>
      </c>
    </row>
    <row r="1128" spans="1:3" x14ac:dyDescent="0.3">
      <c r="A1128" s="4">
        <v>45524</v>
      </c>
      <c r="B1128" s="5">
        <v>129.69069999999999</v>
      </c>
      <c r="C1128" s="5">
        <v>94.406499999999994</v>
      </c>
    </row>
    <row r="1129" spans="1:3" x14ac:dyDescent="0.3">
      <c r="A1129" s="4">
        <v>45525</v>
      </c>
      <c r="B1129" s="5">
        <v>129.63740000000001</v>
      </c>
      <c r="C1129" s="5">
        <v>94.661000000000001</v>
      </c>
    </row>
    <row r="1130" spans="1:3" x14ac:dyDescent="0.3">
      <c r="A1130" s="4">
        <v>45526</v>
      </c>
      <c r="B1130" s="5">
        <v>129.6985</v>
      </c>
      <c r="C1130" s="5">
        <v>94.742999999999995</v>
      </c>
    </row>
    <row r="1131" spans="1:3" x14ac:dyDescent="0.3">
      <c r="A1131" s="4">
        <v>45527</v>
      </c>
      <c r="B1131" s="5">
        <v>129.70140000000001</v>
      </c>
      <c r="C1131" s="5">
        <v>94.557199999999995</v>
      </c>
    </row>
    <row r="1132" spans="1:3" x14ac:dyDescent="0.3">
      <c r="A1132" s="4">
        <v>45530</v>
      </c>
      <c r="B1132" s="5">
        <v>129.65119999999999</v>
      </c>
      <c r="C1132" s="5">
        <v>94.835400000000007</v>
      </c>
    </row>
    <row r="1133" spans="1:3" x14ac:dyDescent="0.3">
      <c r="A1133" s="4">
        <v>45531</v>
      </c>
      <c r="B1133" s="5">
        <v>129.51079999999999</v>
      </c>
      <c r="C1133" s="5">
        <v>94.710300000000004</v>
      </c>
    </row>
    <row r="1134" spans="1:3" x14ac:dyDescent="0.3">
      <c r="A1134" s="4">
        <v>45532</v>
      </c>
      <c r="B1134" s="5">
        <v>129.54599999999999</v>
      </c>
      <c r="C1134" s="5">
        <v>94.734800000000007</v>
      </c>
    </row>
    <row r="1135" spans="1:3" x14ac:dyDescent="0.3">
      <c r="A1135" s="4">
        <v>45533</v>
      </c>
      <c r="B1135" s="5">
        <v>129.54949999999999</v>
      </c>
      <c r="C1135" s="5">
        <v>94.717200000000005</v>
      </c>
    </row>
    <row r="1136" spans="1:3" x14ac:dyDescent="0.3">
      <c r="A1136" s="4">
        <v>45534</v>
      </c>
      <c r="B1136" s="5">
        <v>129.52680000000001</v>
      </c>
      <c r="C1136" s="5">
        <v>94.667000000000002</v>
      </c>
    </row>
    <row r="1137" spans="1:3" x14ac:dyDescent="0.3">
      <c r="A1137" s="4">
        <v>45537</v>
      </c>
      <c r="B1137" s="5">
        <v>129.68119999999999</v>
      </c>
      <c r="C1137" s="5">
        <v>94.511899999999997</v>
      </c>
    </row>
    <row r="1138" spans="1:3" x14ac:dyDescent="0.3">
      <c r="A1138" s="4">
        <v>45538</v>
      </c>
      <c r="B1138" s="5">
        <v>129.74350000000001</v>
      </c>
      <c r="C1138" s="5">
        <v>94.512900000000002</v>
      </c>
    </row>
    <row r="1139" spans="1:3" x14ac:dyDescent="0.3">
      <c r="A1139" s="4">
        <v>45539</v>
      </c>
      <c r="B1139" s="5">
        <v>129.83029999999999</v>
      </c>
      <c r="C1139" s="5">
        <v>94.794600000000003</v>
      </c>
    </row>
    <row r="1140" spans="1:3" x14ac:dyDescent="0.3">
      <c r="A1140" s="4">
        <v>45540</v>
      </c>
      <c r="B1140" s="5">
        <v>129.9308</v>
      </c>
      <c r="C1140" s="5">
        <v>95.097899999999996</v>
      </c>
    </row>
    <row r="1141" spans="1:3" x14ac:dyDescent="0.3">
      <c r="A1141" s="4">
        <v>45541</v>
      </c>
      <c r="B1141" s="5">
        <v>129.95330000000001</v>
      </c>
      <c r="C1141" s="5">
        <v>95.286600000000007</v>
      </c>
    </row>
    <row r="1142" spans="1:3" x14ac:dyDescent="0.3">
      <c r="A1142" s="4">
        <v>45544</v>
      </c>
      <c r="B1142" s="5">
        <v>130.04</v>
      </c>
      <c r="C1142" s="5">
        <v>95.2821</v>
      </c>
    </row>
    <row r="1143" spans="1:3" x14ac:dyDescent="0.3">
      <c r="A1143" s="4">
        <v>45545</v>
      </c>
      <c r="B1143" s="5">
        <v>130.11689999999999</v>
      </c>
      <c r="C1143" s="5">
        <v>95.350800000000007</v>
      </c>
    </row>
    <row r="1144" spans="1:3" x14ac:dyDescent="0.3">
      <c r="A1144" s="4">
        <v>45546</v>
      </c>
      <c r="B1144" s="5">
        <v>130.20330000000001</v>
      </c>
      <c r="C1144" s="5">
        <v>95.640900000000002</v>
      </c>
    </row>
    <row r="1145" spans="1:3" x14ac:dyDescent="0.3">
      <c r="A1145" s="4">
        <v>45547</v>
      </c>
      <c r="B1145" s="5">
        <v>130.2561</v>
      </c>
      <c r="C1145" s="5">
        <v>95.438299999999998</v>
      </c>
    </row>
    <row r="1146" spans="1:3" x14ac:dyDescent="0.3">
      <c r="A1146" s="4">
        <v>45548</v>
      </c>
      <c r="B1146" s="5">
        <v>130.33590000000001</v>
      </c>
      <c r="C1146" s="5">
        <v>95.531800000000004</v>
      </c>
    </row>
    <row r="1147" spans="1:3" x14ac:dyDescent="0.3">
      <c r="A1147" s="4">
        <v>45553</v>
      </c>
      <c r="B1147" s="5">
        <v>130.5264</v>
      </c>
      <c r="C1147" s="5">
        <v>95.570499999999996</v>
      </c>
    </row>
    <row r="1148" spans="1:3" x14ac:dyDescent="0.3">
      <c r="A1148" s="4">
        <v>45554</v>
      </c>
      <c r="B1148" s="5">
        <v>130.5103</v>
      </c>
      <c r="C1148" s="5">
        <v>95.378699999999995</v>
      </c>
    </row>
    <row r="1149" spans="1:3" x14ac:dyDescent="0.3">
      <c r="A1149" s="4">
        <v>45555</v>
      </c>
      <c r="B1149" s="5">
        <v>130.48419999999999</v>
      </c>
      <c r="C1149" s="5">
        <v>95.452299999999994</v>
      </c>
    </row>
    <row r="1150" spans="1:3" x14ac:dyDescent="0.3">
      <c r="A1150" s="4">
        <v>45558</v>
      </c>
      <c r="B1150" s="5">
        <v>130.51079999999999</v>
      </c>
      <c r="C1150" s="5">
        <v>95.335300000000004</v>
      </c>
    </row>
    <row r="1151" spans="1:3" x14ac:dyDescent="0.3">
      <c r="A1151" s="4">
        <v>45559</v>
      </c>
      <c r="B1151" s="5">
        <v>130.3785</v>
      </c>
      <c r="C1151" s="5">
        <v>95.36</v>
      </c>
    </row>
    <row r="1152" spans="1:3" x14ac:dyDescent="0.3">
      <c r="A1152" s="4">
        <v>45560</v>
      </c>
      <c r="B1152" s="5">
        <v>130.4555</v>
      </c>
      <c r="C1152" s="5">
        <v>95.486199999999997</v>
      </c>
    </row>
    <row r="1153" spans="1:3" x14ac:dyDescent="0.3">
      <c r="A1153" s="4">
        <v>45561</v>
      </c>
      <c r="B1153" s="5">
        <v>130.34909999999999</v>
      </c>
      <c r="C1153" s="5">
        <v>95.336600000000004</v>
      </c>
    </row>
    <row r="1154" spans="1:3" x14ac:dyDescent="0.3">
      <c r="A1154" s="4">
        <v>45562</v>
      </c>
      <c r="B1154" s="5">
        <v>129.70570000000001</v>
      </c>
      <c r="C1154" s="5">
        <v>95.276700000000005</v>
      </c>
    </row>
    <row r="1155" spans="1:3" x14ac:dyDescent="0.3">
      <c r="A1155" s="4">
        <v>45565</v>
      </c>
      <c r="B1155" s="5">
        <v>129.35910000000001</v>
      </c>
      <c r="C1155" s="5">
        <v>95.466399999999993</v>
      </c>
    </row>
    <row r="1156" spans="1:3" x14ac:dyDescent="0.3">
      <c r="A1156" s="4">
        <v>45573</v>
      </c>
      <c r="B1156" s="5">
        <v>129.2413</v>
      </c>
      <c r="C1156" s="5">
        <v>94.611800000000002</v>
      </c>
    </row>
    <row r="1157" spans="1:3" x14ac:dyDescent="0.3">
      <c r="A1157" s="4">
        <v>45574</v>
      </c>
      <c r="B1157" s="5">
        <v>129.2313</v>
      </c>
      <c r="C1157" s="5">
        <v>94.565100000000001</v>
      </c>
    </row>
    <row r="1158" spans="1:3" x14ac:dyDescent="0.3">
      <c r="A1158" s="4">
        <v>45575</v>
      </c>
      <c r="B1158" s="5">
        <v>129.51400000000001</v>
      </c>
      <c r="C1158" s="5">
        <v>94.42</v>
      </c>
    </row>
    <row r="1159" spans="1:3" x14ac:dyDescent="0.3">
      <c r="A1159" s="4">
        <v>45576</v>
      </c>
      <c r="B1159" s="5">
        <v>129.66059999999999</v>
      </c>
      <c r="C1159" s="5">
        <v>94.458200000000005</v>
      </c>
    </row>
    <row r="1160" spans="1:3" x14ac:dyDescent="0.3">
      <c r="A1160" s="4">
        <v>45579</v>
      </c>
      <c r="B1160" s="5">
        <v>129.6875</v>
      </c>
      <c r="C1160" s="5">
        <v>94.3887</v>
      </c>
    </row>
    <row r="1161" spans="1:3" x14ac:dyDescent="0.3">
      <c r="A1161" s="4">
        <v>45580</v>
      </c>
      <c r="B1161" s="5">
        <v>129.6867</v>
      </c>
      <c r="C1161" s="5">
        <v>94.443100000000001</v>
      </c>
    </row>
    <row r="1162" spans="1:3" x14ac:dyDescent="0.3">
      <c r="A1162" s="4">
        <v>45581</v>
      </c>
      <c r="B1162" s="5">
        <v>129.69839999999999</v>
      </c>
      <c r="C1162" s="5">
        <v>94.734200000000001</v>
      </c>
    </row>
    <row r="1163" spans="1:3" x14ac:dyDescent="0.3">
      <c r="A1163" s="4">
        <v>45582</v>
      </c>
      <c r="B1163" s="5">
        <v>129.79050000000001</v>
      </c>
      <c r="C1163" s="5">
        <v>94.705500000000001</v>
      </c>
    </row>
    <row r="1164" spans="1:3" x14ac:dyDescent="0.3">
      <c r="A1164" s="4">
        <v>45583</v>
      </c>
      <c r="B1164" s="5">
        <v>129.78450000000001</v>
      </c>
      <c r="C1164" s="5">
        <v>94.471100000000007</v>
      </c>
    </row>
    <row r="1165" spans="1:3" x14ac:dyDescent="0.3">
      <c r="A1165" s="4">
        <v>45586</v>
      </c>
      <c r="B1165" s="5">
        <v>129.72989999999999</v>
      </c>
      <c r="C1165" s="5">
        <v>94.536900000000003</v>
      </c>
    </row>
    <row r="1166" spans="1:3" x14ac:dyDescent="0.3">
      <c r="A1166" s="4">
        <v>45587</v>
      </c>
      <c r="B1166" s="5">
        <v>129.6053</v>
      </c>
      <c r="C1166" s="5">
        <v>94.097300000000004</v>
      </c>
    </row>
    <row r="1167" spans="1:3" x14ac:dyDescent="0.3">
      <c r="A1167" s="4">
        <v>45588</v>
      </c>
      <c r="B1167" s="5">
        <v>129.45699999999999</v>
      </c>
      <c r="C1167" s="5">
        <v>94.063400000000001</v>
      </c>
    </row>
    <row r="1168" spans="1:3" x14ac:dyDescent="0.3">
      <c r="A1168" s="4">
        <v>45589</v>
      </c>
      <c r="B1168" s="5">
        <v>129.4521</v>
      </c>
      <c r="C1168" s="5">
        <v>94.065799999999996</v>
      </c>
    </row>
    <row r="1169" spans="1:3" x14ac:dyDescent="0.3">
      <c r="A1169" s="4">
        <v>45590</v>
      </c>
      <c r="B1169" s="5">
        <v>129.37809999999999</v>
      </c>
      <c r="C1169" s="5">
        <v>94.203100000000006</v>
      </c>
    </row>
    <row r="1170" spans="1:3" x14ac:dyDescent="0.3">
      <c r="A1170" s="4">
        <v>45593</v>
      </c>
      <c r="B1170" s="5">
        <v>129.2636</v>
      </c>
      <c r="C1170" s="5">
        <v>93.763199999999998</v>
      </c>
    </row>
    <row r="1171" spans="1:3" x14ac:dyDescent="0.3">
      <c r="A1171" s="4">
        <v>45594</v>
      </c>
      <c r="B1171" s="5">
        <v>129.28649999999999</v>
      </c>
      <c r="C1171" s="5">
        <v>93.8459</v>
      </c>
    </row>
    <row r="1172" spans="1:3" x14ac:dyDescent="0.3">
      <c r="A1172" s="4">
        <v>45595</v>
      </c>
      <c r="B1172" s="5">
        <v>129.2996</v>
      </c>
      <c r="C1172" s="5">
        <v>93.976200000000006</v>
      </c>
    </row>
    <row r="1173" spans="1:3" x14ac:dyDescent="0.3">
      <c r="A1173" s="4">
        <v>45596</v>
      </c>
      <c r="B1173" s="5">
        <v>129.34</v>
      </c>
      <c r="C1173" s="5">
        <v>93.8459</v>
      </c>
    </row>
    <row r="1174" spans="1:3" x14ac:dyDescent="0.3">
      <c r="A1174" s="4">
        <v>45597</v>
      </c>
      <c r="B1174" s="5">
        <v>129.4571</v>
      </c>
      <c r="C1174" s="5">
        <v>93.924300000000002</v>
      </c>
    </row>
    <row r="1175" spans="1:3" x14ac:dyDescent="0.3">
      <c r="A1175" s="4">
        <v>45600</v>
      </c>
      <c r="B1175" s="5">
        <v>129.52189999999999</v>
      </c>
      <c r="C1175" s="5">
        <v>93.477800000000002</v>
      </c>
    </row>
    <row r="1176" spans="1:3" x14ac:dyDescent="0.3">
      <c r="A1176" s="4">
        <v>45601</v>
      </c>
      <c r="B1176" s="5">
        <v>129.56739999999999</v>
      </c>
      <c r="C1176" s="5">
        <v>93.780699999999996</v>
      </c>
    </row>
    <row r="1177" spans="1:3" x14ac:dyDescent="0.3">
      <c r="A1177" s="4">
        <v>45602</v>
      </c>
      <c r="B1177" s="5">
        <v>129.60470000000001</v>
      </c>
      <c r="C1177" s="5">
        <v>93.525499999999994</v>
      </c>
    </row>
    <row r="1178" spans="1:3" x14ac:dyDescent="0.3">
      <c r="A1178" s="4">
        <v>45603</v>
      </c>
      <c r="B1178" s="5">
        <v>129.6669</v>
      </c>
      <c r="C1178" s="5">
        <v>93.356099999999998</v>
      </c>
    </row>
    <row r="1179" spans="1:3" x14ac:dyDescent="0.3">
      <c r="A1179" s="4">
        <v>45604</v>
      </c>
      <c r="B1179" s="5">
        <v>129.71360000000001</v>
      </c>
      <c r="C1179" s="5">
        <v>93.670100000000005</v>
      </c>
    </row>
    <row r="1180" spans="1:3" x14ac:dyDescent="0.3">
      <c r="A1180" s="4">
        <v>45607</v>
      </c>
      <c r="B1180" s="5">
        <v>129.75909999999999</v>
      </c>
      <c r="C1180" s="5">
        <v>93.782600000000002</v>
      </c>
    </row>
    <row r="1181" spans="1:3" x14ac:dyDescent="0.3">
      <c r="A1181" s="4">
        <v>45608</v>
      </c>
      <c r="B1181" s="5">
        <v>129.8424</v>
      </c>
      <c r="C1181" s="5">
        <v>93.706500000000005</v>
      </c>
    </row>
    <row r="1182" spans="1:3" x14ac:dyDescent="0.3">
      <c r="A1182" s="4">
        <v>45609</v>
      </c>
      <c r="B1182" s="5">
        <v>129.83860000000001</v>
      </c>
      <c r="C1182" s="5">
        <v>93.335999999999999</v>
      </c>
    </row>
    <row r="1183" spans="1:3" x14ac:dyDescent="0.3">
      <c r="A1183" s="4">
        <v>45610</v>
      </c>
      <c r="B1183" s="5">
        <v>129.82810000000001</v>
      </c>
      <c r="C1183" s="5">
        <v>93.285300000000007</v>
      </c>
    </row>
    <row r="1184" spans="1:3" x14ac:dyDescent="0.3">
      <c r="A1184" s="4">
        <v>45611</v>
      </c>
      <c r="B1184" s="5">
        <v>129.80869999999999</v>
      </c>
      <c r="C1184" s="5">
        <v>93.332700000000003</v>
      </c>
    </row>
    <row r="1185" spans="1:3" x14ac:dyDescent="0.3">
      <c r="A1185" s="4">
        <v>45614</v>
      </c>
      <c r="B1185" s="5">
        <v>129.69739999999999</v>
      </c>
      <c r="C1185" s="5">
        <v>93.319100000000006</v>
      </c>
    </row>
    <row r="1186" spans="1:3" x14ac:dyDescent="0.3">
      <c r="A1186" s="4">
        <v>45615</v>
      </c>
      <c r="B1186" s="5">
        <v>129.70179999999999</v>
      </c>
      <c r="C1186" s="5">
        <v>93.379199999999997</v>
      </c>
    </row>
    <row r="1187" spans="1:3" x14ac:dyDescent="0.3">
      <c r="A1187" s="4">
        <v>45616</v>
      </c>
      <c r="B1187" s="5">
        <v>129.6942</v>
      </c>
      <c r="C1187" s="5">
        <v>93.414100000000005</v>
      </c>
    </row>
    <row r="1188" spans="1:3" x14ac:dyDescent="0.3">
      <c r="A1188" s="4">
        <v>45617</v>
      </c>
      <c r="B1188" s="5">
        <v>129.749</v>
      </c>
      <c r="C1188" s="5">
        <v>93.388199999999998</v>
      </c>
    </row>
    <row r="1189" spans="1:3" x14ac:dyDescent="0.3">
      <c r="A1189" s="4">
        <v>45618</v>
      </c>
      <c r="B1189" s="5">
        <v>129.79050000000001</v>
      </c>
      <c r="C1189" s="5">
        <v>93.340100000000007</v>
      </c>
    </row>
    <row r="1190" spans="1:3" x14ac:dyDescent="0.3">
      <c r="A1190" s="4">
        <v>45621</v>
      </c>
      <c r="B1190" s="5">
        <v>129.89519999999999</v>
      </c>
      <c r="C1190" s="5">
        <v>93.476399999999998</v>
      </c>
    </row>
    <row r="1191" spans="1:3" x14ac:dyDescent="0.3">
      <c r="A1191" s="4">
        <v>45622</v>
      </c>
      <c r="B1191" s="5">
        <v>129.96430000000001</v>
      </c>
      <c r="C1191" s="5">
        <v>93.761600000000001</v>
      </c>
    </row>
    <row r="1192" spans="1:3" x14ac:dyDescent="0.3">
      <c r="A1192" s="4">
        <v>45623</v>
      </c>
      <c r="B1192" s="5">
        <v>130.0087</v>
      </c>
      <c r="C1192" s="5">
        <v>93.768600000000006</v>
      </c>
    </row>
    <row r="1193" spans="1:3" x14ac:dyDescent="0.3">
      <c r="A1193" s="4">
        <v>45624</v>
      </c>
      <c r="B1193" s="5">
        <v>130.1122</v>
      </c>
      <c r="C1193" s="5">
        <v>93.898399999999995</v>
      </c>
    </row>
    <row r="1194" spans="1:3" x14ac:dyDescent="0.3">
      <c r="A1194" s="4">
        <v>45625</v>
      </c>
      <c r="B1194" s="5">
        <v>130.23939999999999</v>
      </c>
      <c r="C1194" s="5">
        <v>94.015000000000001</v>
      </c>
    </row>
    <row r="1195" spans="1:3" x14ac:dyDescent="0.3">
      <c r="A1195" s="4">
        <v>45628</v>
      </c>
      <c r="B1195" s="5">
        <v>130.55840000000001</v>
      </c>
      <c r="C1195" s="5">
        <v>94.096900000000005</v>
      </c>
    </row>
    <row r="1196" spans="1:3" x14ac:dyDescent="0.3">
      <c r="A1196" s="4">
        <v>45629</v>
      </c>
      <c r="B1196" s="5">
        <v>130.55439999999999</v>
      </c>
      <c r="C1196" s="5">
        <v>94.022499999999994</v>
      </c>
    </row>
    <row r="1197" spans="1:3" x14ac:dyDescent="0.3">
      <c r="A1197" s="4">
        <v>45630</v>
      </c>
      <c r="B1197" s="5">
        <v>130.7242</v>
      </c>
      <c r="C1197" s="5">
        <v>93.966899999999995</v>
      </c>
    </row>
    <row r="1198" spans="1:3" x14ac:dyDescent="0.3">
      <c r="A1198" s="4">
        <v>45631</v>
      </c>
      <c r="B1198" s="5">
        <v>130.77760000000001</v>
      </c>
      <c r="C1198" s="5">
        <v>94.177099999999996</v>
      </c>
    </row>
    <row r="1199" spans="1:3" x14ac:dyDescent="0.3">
      <c r="A1199" s="4">
        <v>45632</v>
      </c>
      <c r="B1199" s="5">
        <v>130.77199999999999</v>
      </c>
      <c r="C1199" s="5">
        <v>94.206400000000002</v>
      </c>
    </row>
    <row r="1200" spans="1:3" x14ac:dyDescent="0.3">
      <c r="A1200" s="4">
        <v>45635</v>
      </c>
      <c r="B1200" s="5">
        <v>130.86080000000001</v>
      </c>
      <c r="C1200" s="5">
        <v>94.3489</v>
      </c>
    </row>
    <row r="1201" spans="1:3" x14ac:dyDescent="0.3">
      <c r="A1201" s="4">
        <v>45636</v>
      </c>
      <c r="B1201" s="5">
        <v>131.30009999999999</v>
      </c>
      <c r="C1201" s="5">
        <v>94.179599999999994</v>
      </c>
    </row>
    <row r="1202" spans="1:3" x14ac:dyDescent="0.3">
      <c r="A1202" s="4">
        <v>45637</v>
      </c>
      <c r="B1202" s="5">
        <v>131.34209999999999</v>
      </c>
      <c r="C1202" s="5">
        <v>94.000799999999998</v>
      </c>
    </row>
    <row r="1203" spans="1:3" x14ac:dyDescent="0.3">
      <c r="A1203" s="4">
        <v>45638</v>
      </c>
      <c r="B1203" s="5">
        <v>131.4392</v>
      </c>
      <c r="C1203" s="5">
        <v>93.853700000000003</v>
      </c>
    </row>
    <row r="1204" spans="1:3" x14ac:dyDescent="0.3">
      <c r="A1204" s="4">
        <v>45639</v>
      </c>
      <c r="B1204" s="5">
        <v>131.74469999999999</v>
      </c>
      <c r="C1204" s="5">
        <v>93.687799999999996</v>
      </c>
    </row>
    <row r="1205" spans="1:3" x14ac:dyDescent="0.3">
      <c r="A1205" s="4">
        <v>45642</v>
      </c>
      <c r="B1205" s="5">
        <v>132.0214</v>
      </c>
      <c r="C1205" s="5">
        <v>93.502899999999997</v>
      </c>
    </row>
    <row r="1206" spans="1:3" x14ac:dyDescent="0.3">
      <c r="A1206" s="4">
        <v>45643</v>
      </c>
      <c r="B1206" s="5">
        <v>131.93799999999999</v>
      </c>
      <c r="C1206" s="5">
        <v>93.459400000000002</v>
      </c>
    </row>
    <row r="1207" spans="1:3" x14ac:dyDescent="0.3">
      <c r="A1207" s="4">
        <v>45644</v>
      </c>
      <c r="B1207" s="5">
        <v>131.78440000000001</v>
      </c>
      <c r="C1207" s="5">
        <v>93.552300000000002</v>
      </c>
    </row>
    <row r="1208" spans="1:3" x14ac:dyDescent="0.3">
      <c r="A1208" s="4">
        <v>45645</v>
      </c>
      <c r="B1208" s="5">
        <v>131.70490000000001</v>
      </c>
      <c r="C1208" s="5">
        <v>93.061499999999995</v>
      </c>
    </row>
    <row r="1209" spans="1:3" x14ac:dyDescent="0.3">
      <c r="A1209" s="4">
        <v>45646</v>
      </c>
      <c r="B1209" s="5">
        <v>131.97720000000001</v>
      </c>
      <c r="C1209" s="5">
        <v>92.989599999999996</v>
      </c>
    </row>
    <row r="1210" spans="1:3" x14ac:dyDescent="0.3">
      <c r="A1210" s="4">
        <v>45649</v>
      </c>
      <c r="B1210" s="5">
        <v>132.06540000000001</v>
      </c>
      <c r="C1210" s="5">
        <v>93.069599999999994</v>
      </c>
    </row>
    <row r="1211" spans="1:3" x14ac:dyDescent="0.3">
      <c r="A1211" s="4">
        <v>45650</v>
      </c>
      <c r="B1211" s="5">
        <v>131.92769999999999</v>
      </c>
      <c r="C1211" s="5">
        <v>92.874200000000002</v>
      </c>
    </row>
    <row r="1212" spans="1:3" x14ac:dyDescent="0.3">
      <c r="A1212" s="4">
        <v>45651</v>
      </c>
      <c r="B1212" s="5">
        <v>131.8235</v>
      </c>
      <c r="C1212" s="5">
        <v>92.905100000000004</v>
      </c>
    </row>
    <row r="1213" spans="1:3" x14ac:dyDescent="0.3">
      <c r="A1213" s="4">
        <v>45652</v>
      </c>
      <c r="B1213" s="5">
        <v>131.84129999999999</v>
      </c>
      <c r="C1213" s="5">
        <v>92.880499999999998</v>
      </c>
    </row>
    <row r="1214" spans="1:3" x14ac:dyDescent="0.3">
      <c r="A1214" s="4">
        <v>45653</v>
      </c>
      <c r="B1214" s="5">
        <v>132.0693</v>
      </c>
      <c r="C1214" s="5">
        <v>92.945499999999996</v>
      </c>
    </row>
    <row r="1215" spans="1:3" x14ac:dyDescent="0.3">
      <c r="A1215" s="4">
        <v>45656</v>
      </c>
      <c r="B1215" s="5">
        <v>132.04259999999999</v>
      </c>
      <c r="C1215" s="5">
        <v>92.880899999999997</v>
      </c>
    </row>
    <row r="1216" spans="1:3" x14ac:dyDescent="0.3">
      <c r="A1216" s="4">
        <v>45657</v>
      </c>
      <c r="B1216" s="5">
        <v>132.24789999999999</v>
      </c>
      <c r="C1216" s="5">
        <v>93.188400000000001</v>
      </c>
    </row>
    <row r="1217" spans="1:3" x14ac:dyDescent="0.3">
      <c r="A1217" s="4">
        <v>45659</v>
      </c>
      <c r="B1217" s="5">
        <v>132.6661</v>
      </c>
      <c r="C1217" s="5">
        <v>93.128100000000003</v>
      </c>
    </row>
    <row r="1218" spans="1:3" x14ac:dyDescent="0.3">
      <c r="A1218" s="4">
        <v>45660</v>
      </c>
      <c r="B1218" s="5">
        <v>132.83090000000001</v>
      </c>
      <c r="C1218" s="5">
        <v>93.200400000000002</v>
      </c>
    </row>
    <row r="1219" spans="1:3" x14ac:dyDescent="0.3">
      <c r="A1219" s="4">
        <v>45663</v>
      </c>
      <c r="B1219" s="5">
        <v>132.85640000000001</v>
      </c>
      <c r="C1219" s="5">
        <v>93.025800000000004</v>
      </c>
    </row>
    <row r="1220" spans="1:3" x14ac:dyDescent="0.3">
      <c r="A1220" s="4">
        <v>45664</v>
      </c>
      <c r="B1220" s="5">
        <v>132.73910000000001</v>
      </c>
      <c r="C1220" s="5">
        <v>93.031499999999994</v>
      </c>
    </row>
    <row r="1221" spans="1:3" x14ac:dyDescent="0.3">
      <c r="A1221" s="4">
        <v>45665</v>
      </c>
      <c r="B1221" s="5">
        <v>132.6764</v>
      </c>
      <c r="C1221" s="5">
        <v>92.843199999999996</v>
      </c>
    </row>
    <row r="1222" spans="1:3" x14ac:dyDescent="0.3">
      <c r="A1222" s="4">
        <v>45666</v>
      </c>
      <c r="B1222" s="5">
        <v>132.48759999999999</v>
      </c>
      <c r="C1222" s="5">
        <v>92.884100000000004</v>
      </c>
    </row>
    <row r="1223" spans="1:3" x14ac:dyDescent="0.3">
      <c r="A1223" s="4">
        <v>45667</v>
      </c>
      <c r="B1223" s="5">
        <v>132.4982</v>
      </c>
      <c r="C1223" s="5">
        <v>92.844399999999993</v>
      </c>
    </row>
    <row r="1224" spans="1:3" x14ac:dyDescent="0.3">
      <c r="A1224" s="4">
        <v>45670</v>
      </c>
      <c r="B1224" s="5">
        <v>132.37700000000001</v>
      </c>
      <c r="C1224" s="5">
        <v>92.623199999999997</v>
      </c>
    </row>
    <row r="1225" spans="1:3" x14ac:dyDescent="0.3">
      <c r="A1225" s="4">
        <v>45671</v>
      </c>
      <c r="B1225" s="5">
        <v>132.46170000000001</v>
      </c>
      <c r="C1225" s="5">
        <v>92.609899999999996</v>
      </c>
    </row>
    <row r="1226" spans="1:3" x14ac:dyDescent="0.3">
      <c r="A1226" s="4">
        <v>45672</v>
      </c>
      <c r="B1226" s="5">
        <v>132.5393</v>
      </c>
      <c r="C1226" s="5">
        <v>92.611599999999996</v>
      </c>
    </row>
    <row r="1227" spans="1:3" x14ac:dyDescent="0.3">
      <c r="A1227" s="4">
        <v>45673</v>
      </c>
      <c r="B1227" s="5">
        <v>132.4744</v>
      </c>
      <c r="C1227" s="5">
        <v>93.031099999999995</v>
      </c>
    </row>
    <row r="1228" spans="1:3" x14ac:dyDescent="0.3">
      <c r="A1228" s="4">
        <v>45674</v>
      </c>
      <c r="B1228" s="5">
        <v>132.41030000000001</v>
      </c>
      <c r="C1228" s="5">
        <v>93.193700000000007</v>
      </c>
    </row>
    <row r="1229" spans="1:3" x14ac:dyDescent="0.3">
      <c r="A1229" s="4">
        <v>45677</v>
      </c>
      <c r="B1229" s="5">
        <v>132.32380000000001</v>
      </c>
      <c r="C1229" s="5">
        <v>93.134299999999996</v>
      </c>
    </row>
    <row r="1230" spans="1:3" x14ac:dyDescent="0.3">
      <c r="A1230" s="4">
        <v>45678</v>
      </c>
      <c r="B1230" s="5">
        <v>132.3998</v>
      </c>
      <c r="C1230" s="5">
        <v>93.299899999999994</v>
      </c>
    </row>
    <row r="1231" spans="1:3" x14ac:dyDescent="0.3">
      <c r="A1231" s="4">
        <v>45679</v>
      </c>
      <c r="B1231" s="5">
        <v>132.43360000000001</v>
      </c>
      <c r="C1231" s="5">
        <v>93.269000000000005</v>
      </c>
    </row>
    <row r="1232" spans="1:3" x14ac:dyDescent="0.3">
      <c r="A1232" s="4">
        <v>45680</v>
      </c>
      <c r="B1232" s="5">
        <v>132.3674</v>
      </c>
      <c r="C1232" s="5">
        <v>93.208299999999994</v>
      </c>
    </row>
    <row r="1233" spans="1:3" x14ac:dyDescent="0.3">
      <c r="A1233" s="4">
        <v>45681</v>
      </c>
      <c r="B1233" s="5">
        <v>132.30539999999999</v>
      </c>
      <c r="C1233" s="5">
        <v>93.174599999999998</v>
      </c>
    </row>
    <row r="1234" spans="1:3" x14ac:dyDescent="0.3">
      <c r="A1234" s="4">
        <v>45684</v>
      </c>
      <c r="B1234" s="5">
        <v>132.5112</v>
      </c>
      <c r="C1234" s="5">
        <v>93.263599999999997</v>
      </c>
    </row>
    <row r="1235" spans="1:3" x14ac:dyDescent="0.3">
      <c r="A1235" s="4">
        <v>45693</v>
      </c>
      <c r="B1235" s="5">
        <v>132.61600000000001</v>
      </c>
      <c r="C1235" s="5">
        <v>93.650800000000004</v>
      </c>
    </row>
    <row r="1236" spans="1:3" x14ac:dyDescent="0.3">
      <c r="A1236" s="4">
        <v>45694</v>
      </c>
      <c r="B1236" s="5">
        <v>132.7551</v>
      </c>
      <c r="C1236" s="5">
        <v>93.932599999999994</v>
      </c>
    </row>
    <row r="1237" spans="1:3" x14ac:dyDescent="0.3">
      <c r="A1237" s="4">
        <v>45695</v>
      </c>
      <c r="B1237" s="5">
        <v>132.7764</v>
      </c>
      <c r="C1237" s="5">
        <v>93.900800000000004</v>
      </c>
    </row>
    <row r="1238" spans="1:3" x14ac:dyDescent="0.3">
      <c r="A1238" s="4">
        <v>45698</v>
      </c>
      <c r="B1238" s="5">
        <v>132.6524</v>
      </c>
      <c r="C1238" s="5">
        <v>93.713999999999999</v>
      </c>
    </row>
    <row r="1239" spans="1:3" x14ac:dyDescent="0.3">
      <c r="A1239" s="4">
        <v>45699</v>
      </c>
      <c r="B1239" s="5">
        <v>132.65690000000001</v>
      </c>
      <c r="C1239" s="5">
        <v>93.706000000000003</v>
      </c>
    </row>
    <row r="1240" spans="1:3" x14ac:dyDescent="0.3">
      <c r="A1240" s="4">
        <v>45700</v>
      </c>
      <c r="B1240" s="5">
        <v>132.6585</v>
      </c>
      <c r="C1240" s="5">
        <v>93.565700000000007</v>
      </c>
    </row>
    <row r="1241" spans="1:3" x14ac:dyDescent="0.3">
      <c r="A1241" s="4">
        <v>45701</v>
      </c>
      <c r="B1241" s="5">
        <v>132.63829999999999</v>
      </c>
      <c r="C1241" s="5">
        <v>93.368200000000002</v>
      </c>
    </row>
    <row r="1242" spans="1:3" x14ac:dyDescent="0.3">
      <c r="A1242" s="4">
        <v>45702</v>
      </c>
      <c r="B1242" s="5">
        <v>132.50749999999999</v>
      </c>
      <c r="C1242" s="5">
        <v>93.654300000000006</v>
      </c>
    </row>
    <row r="1243" spans="1:3" x14ac:dyDescent="0.3">
      <c r="A1243" s="4">
        <v>45705</v>
      </c>
      <c r="B1243" s="5">
        <v>132.28899999999999</v>
      </c>
      <c r="C1243" s="5">
        <v>93.944299999999998</v>
      </c>
    </row>
    <row r="1244" spans="1:3" x14ac:dyDescent="0.3">
      <c r="A1244" s="4">
        <v>45706</v>
      </c>
      <c r="B1244" s="5">
        <v>132.1491</v>
      </c>
      <c r="C1244" s="5">
        <v>93.870400000000004</v>
      </c>
    </row>
    <row r="1245" spans="1:3" x14ac:dyDescent="0.3">
      <c r="A1245" s="4">
        <v>45707</v>
      </c>
      <c r="B1245" s="5">
        <v>132.1713</v>
      </c>
      <c r="C1245" s="5">
        <v>93.719200000000001</v>
      </c>
    </row>
    <row r="1246" spans="1:3" x14ac:dyDescent="0.3">
      <c r="A1246" s="4">
        <v>45708</v>
      </c>
      <c r="B1246" s="5">
        <v>132.0275</v>
      </c>
      <c r="C1246" s="5">
        <v>93.841399999999993</v>
      </c>
    </row>
    <row r="1247" spans="1:3" x14ac:dyDescent="0.3">
      <c r="A1247" s="4">
        <v>45709</v>
      </c>
      <c r="B1247" s="5">
        <v>131.7954</v>
      </c>
      <c r="C1247" s="5">
        <v>93.900599999999997</v>
      </c>
    </row>
    <row r="1248" spans="1:3" x14ac:dyDescent="0.3">
      <c r="A1248" s="4">
        <v>45712</v>
      </c>
      <c r="B1248" s="5">
        <v>131.4374</v>
      </c>
      <c r="C1248" s="5">
        <v>94.187299999999993</v>
      </c>
    </row>
    <row r="1249" spans="1:3" x14ac:dyDescent="0.3">
      <c r="A1249" s="4">
        <v>45713</v>
      </c>
      <c r="B1249" s="5">
        <v>131.38910000000001</v>
      </c>
      <c r="C1249" s="5">
        <v>94.323400000000007</v>
      </c>
    </row>
    <row r="1250" spans="1:3" x14ac:dyDescent="0.3">
      <c r="A1250" s="4">
        <v>45714</v>
      </c>
      <c r="B1250" s="5">
        <v>131.40119999999999</v>
      </c>
      <c r="C1250" s="5">
        <v>94.557699999999997</v>
      </c>
    </row>
    <row r="1251" spans="1:3" x14ac:dyDescent="0.3">
      <c r="A1251" s="4">
        <v>45715</v>
      </c>
      <c r="B1251" s="5">
        <v>131.22890000000001</v>
      </c>
      <c r="C1251" s="5">
        <v>94.802499999999995</v>
      </c>
    </row>
    <row r="1252" spans="1:3" x14ac:dyDescent="0.3">
      <c r="A1252" s="4">
        <v>45716</v>
      </c>
      <c r="B1252" s="5">
        <v>131.2568</v>
      </c>
      <c r="C1252" s="5">
        <v>94.892799999999994</v>
      </c>
    </row>
    <row r="1253" spans="1:3" x14ac:dyDescent="0.3">
      <c r="A1253" s="4">
        <v>45719</v>
      </c>
      <c r="B1253" s="5">
        <v>131.345</v>
      </c>
      <c r="C1253" s="5">
        <v>94.991799999999998</v>
      </c>
    </row>
    <row r="1254" spans="1:3" x14ac:dyDescent="0.3">
      <c r="A1254" s="4">
        <v>45720</v>
      </c>
      <c r="B1254" s="5">
        <v>131.35839999999999</v>
      </c>
      <c r="C1254" s="5">
        <v>95.226900000000001</v>
      </c>
    </row>
    <row r="1255" spans="1:3" x14ac:dyDescent="0.3">
      <c r="A1255" s="4">
        <v>45721</v>
      </c>
      <c r="B1255" s="5">
        <v>131.38079999999999</v>
      </c>
      <c r="C1255" s="5">
        <v>94.964399999999998</v>
      </c>
    </row>
    <row r="1256" spans="1:3" x14ac:dyDescent="0.3">
      <c r="A1256" s="4">
        <v>45722</v>
      </c>
      <c r="B1256" s="5">
        <v>131.2182</v>
      </c>
      <c r="C1256" s="5">
        <v>94.754300000000001</v>
      </c>
    </row>
    <row r="1257" spans="1:3" x14ac:dyDescent="0.3">
      <c r="A1257" s="4">
        <v>45723</v>
      </c>
      <c r="B1257" s="5">
        <v>130.86019999999999</v>
      </c>
      <c r="C1257" s="5">
        <v>94.97</v>
      </c>
    </row>
    <row r="1258" spans="1:3" x14ac:dyDescent="0.3">
      <c r="A1258" s="4">
        <v>45726</v>
      </c>
      <c r="B1258" s="5">
        <v>130.7484</v>
      </c>
      <c r="C1258" s="5">
        <v>94.817300000000003</v>
      </c>
    </row>
    <row r="1259" spans="1:3" x14ac:dyDescent="0.3">
      <c r="A1259" s="4">
        <v>45727</v>
      </c>
      <c r="B1259" s="5">
        <v>130.36060000000001</v>
      </c>
      <c r="C1259" s="5">
        <v>95.097200000000001</v>
      </c>
    </row>
    <row r="1260" spans="1:3" x14ac:dyDescent="0.3">
      <c r="A1260" s="4">
        <v>45728</v>
      </c>
      <c r="B1260" s="5">
        <v>130.48849999999999</v>
      </c>
      <c r="C1260" s="5">
        <v>94.853300000000004</v>
      </c>
    </row>
    <row r="1261" spans="1:3" x14ac:dyDescent="0.3">
      <c r="A1261" s="4">
        <v>45729</v>
      </c>
      <c r="B1261" s="5">
        <v>130.5094</v>
      </c>
      <c r="C1261" s="5">
        <v>94.727099999999993</v>
      </c>
    </row>
    <row r="1262" spans="1:3" x14ac:dyDescent="0.3">
      <c r="A1262" s="4">
        <v>45730</v>
      </c>
      <c r="B1262" s="5">
        <v>130.51349999999999</v>
      </c>
      <c r="C1262" s="5">
        <v>94.743799999999993</v>
      </c>
    </row>
    <row r="1263" spans="1:3" x14ac:dyDescent="0.3">
      <c r="A1263" s="4">
        <v>45733</v>
      </c>
      <c r="B1263" s="5">
        <v>130.1302</v>
      </c>
      <c r="C1263" s="5">
        <v>94.671899999999994</v>
      </c>
    </row>
    <row r="1264" spans="1:3" x14ac:dyDescent="0.3">
      <c r="A1264" s="4">
        <v>45734</v>
      </c>
      <c r="B1264" s="5">
        <v>130.14570000000001</v>
      </c>
      <c r="C1264" s="5">
        <v>94.713800000000006</v>
      </c>
    </row>
    <row r="1265" spans="1:3" x14ac:dyDescent="0.3">
      <c r="A1265" s="4">
        <v>45735</v>
      </c>
      <c r="B1265" s="5">
        <v>130.17580000000001</v>
      </c>
      <c r="C1265" s="5">
        <v>94.705100000000002</v>
      </c>
    </row>
    <row r="1266" spans="1:3" x14ac:dyDescent="0.3">
      <c r="A1266" s="4">
        <v>45736</v>
      </c>
      <c r="B1266" s="5">
        <v>130.4392</v>
      </c>
      <c r="C1266" s="5">
        <v>94.95</v>
      </c>
    </row>
    <row r="1267" spans="1:3" x14ac:dyDescent="0.3">
      <c r="A1267" s="4">
        <v>45737</v>
      </c>
      <c r="B1267" s="5">
        <v>130.45349999999999</v>
      </c>
      <c r="C1267" s="5">
        <v>94.927700000000002</v>
      </c>
    </row>
    <row r="1268" spans="1:3" x14ac:dyDescent="0.3">
      <c r="A1268" s="4">
        <v>45740</v>
      </c>
      <c r="B1268" s="5">
        <v>130.42619999999999</v>
      </c>
      <c r="C1268" s="5">
        <v>94.844200000000001</v>
      </c>
    </row>
    <row r="1269" spans="1:3" x14ac:dyDescent="0.3">
      <c r="A1269" s="4">
        <v>45741</v>
      </c>
      <c r="B1269" s="5">
        <v>130.55779999999999</v>
      </c>
      <c r="C1269" s="5">
        <v>94.647499999999994</v>
      </c>
    </row>
    <row r="1270" spans="1:3" x14ac:dyDescent="0.3">
      <c r="A1270" s="4">
        <v>45742</v>
      </c>
      <c r="B1270" s="5">
        <v>130.63290000000001</v>
      </c>
      <c r="C1270" s="5">
        <v>94.634399999999999</v>
      </c>
    </row>
    <row r="1271" spans="1:3" x14ac:dyDescent="0.3">
      <c r="A1271" s="4">
        <v>45743</v>
      </c>
      <c r="B1271" s="5">
        <v>130.6591</v>
      </c>
      <c r="C1271" s="5">
        <v>94.538200000000003</v>
      </c>
    </row>
    <row r="1272" spans="1:3" x14ac:dyDescent="0.3">
      <c r="A1272" s="4">
        <v>45744</v>
      </c>
      <c r="B1272" s="5">
        <v>130.6448</v>
      </c>
      <c r="C1272" s="5">
        <v>94.582499999999996</v>
      </c>
    </row>
    <row r="1273" spans="1:3" x14ac:dyDescent="0.3">
      <c r="A1273" s="4">
        <v>45747</v>
      </c>
      <c r="B1273" s="5">
        <v>130.67660000000001</v>
      </c>
      <c r="C1273" s="5">
        <v>95.045699999999997</v>
      </c>
    </row>
    <row r="1274" spans="1:3" x14ac:dyDescent="0.3">
      <c r="A1274" s="4">
        <v>45748</v>
      </c>
      <c r="B1274" s="5">
        <v>130.7217</v>
      </c>
      <c r="C1274" s="5">
        <v>95.049400000000006</v>
      </c>
    </row>
    <row r="1275" spans="1:3" x14ac:dyDescent="0.3">
      <c r="A1275" s="4">
        <v>45749</v>
      </c>
      <c r="B1275" s="5">
        <v>130.9025</v>
      </c>
      <c r="C1275" s="5">
        <v>95.096299999999999</v>
      </c>
    </row>
    <row r="1276" spans="1:3" x14ac:dyDescent="0.3">
      <c r="A1276" s="4">
        <v>45750</v>
      </c>
      <c r="B1276" s="5">
        <v>131.45070000000001</v>
      </c>
      <c r="C1276" s="5">
        <v>95.333100000000002</v>
      </c>
    </row>
    <row r="1277" spans="1:3" x14ac:dyDescent="0.3">
      <c r="A1277" s="4">
        <v>45754</v>
      </c>
      <c r="B1277" s="5">
        <v>132.01769999999999</v>
      </c>
      <c r="C1277" s="5">
        <v>95.749899999999997</v>
      </c>
    </row>
    <row r="1278" spans="1:3" x14ac:dyDescent="0.3">
      <c r="A1278" s="4">
        <v>45755</v>
      </c>
      <c r="B1278" s="5">
        <v>131.77340000000001</v>
      </c>
      <c r="C1278" s="5">
        <v>94.741600000000005</v>
      </c>
    </row>
    <row r="1279" spans="1:3" x14ac:dyDescent="0.3">
      <c r="A1279" s="4">
        <v>45756</v>
      </c>
      <c r="B1279" s="5">
        <v>131.804</v>
      </c>
      <c r="C1279" s="5">
        <v>94.138599999999997</v>
      </c>
    </row>
    <row r="1280" spans="1:3" x14ac:dyDescent="0.3">
      <c r="A1280" s="4">
        <v>45757</v>
      </c>
      <c r="B1280" s="5">
        <v>131.75219999999999</v>
      </c>
      <c r="C1280" s="5">
        <v>94.070400000000006</v>
      </c>
    </row>
    <row r="1281" spans="1:3" x14ac:dyDescent="0.3">
      <c r="A1281" s="4">
        <v>45758</v>
      </c>
      <c r="B1281" s="5">
        <v>131.78190000000001</v>
      </c>
      <c r="C1281" s="5">
        <v>93.849500000000006</v>
      </c>
    </row>
    <row r="1282" spans="1:3" x14ac:dyDescent="0.3">
      <c r="A1282" s="4">
        <v>45761</v>
      </c>
      <c r="B1282" s="5">
        <v>131.73769999999999</v>
      </c>
      <c r="C1282" s="5">
        <v>93.686999999999998</v>
      </c>
    </row>
    <row r="1283" spans="1:3" x14ac:dyDescent="0.3">
      <c r="A1283" s="4">
        <v>45762</v>
      </c>
      <c r="B1283" s="5">
        <v>131.7242</v>
      </c>
      <c r="C1283" s="5">
        <v>94.025800000000004</v>
      </c>
    </row>
    <row r="1284" spans="1:3" x14ac:dyDescent="0.3">
      <c r="A1284" s="4">
        <v>45763</v>
      </c>
      <c r="B1284" s="5">
        <v>131.7859</v>
      </c>
      <c r="C1284" s="5">
        <v>94.212100000000007</v>
      </c>
    </row>
    <row r="1285" spans="1:3" x14ac:dyDescent="0.3">
      <c r="A1285" s="4">
        <v>45764</v>
      </c>
      <c r="B1285" s="5">
        <v>131.72069999999999</v>
      </c>
      <c r="C1285" s="5">
        <v>94.272300000000001</v>
      </c>
    </row>
    <row r="1286" spans="1:3" x14ac:dyDescent="0.3">
      <c r="A1286" s="4">
        <v>45765</v>
      </c>
      <c r="B1286" s="5">
        <v>131.70259999999999</v>
      </c>
      <c r="C1286" s="5">
        <v>94.233599999999996</v>
      </c>
    </row>
    <row r="1287" spans="1:3" x14ac:dyDescent="0.3">
      <c r="A1287" s="4">
        <v>45768</v>
      </c>
      <c r="B1287" s="5">
        <v>131.64109999999999</v>
      </c>
      <c r="C1287" s="5">
        <v>94.144599999999997</v>
      </c>
    </row>
    <row r="1288" spans="1:3" x14ac:dyDescent="0.3">
      <c r="A1288" s="4">
        <v>45769</v>
      </c>
      <c r="B1288" s="5">
        <v>131.6755</v>
      </c>
      <c r="C1288" s="5">
        <v>93.968100000000007</v>
      </c>
    </row>
    <row r="1289" spans="1:3" x14ac:dyDescent="0.3">
      <c r="A1289" s="4">
        <v>45770</v>
      </c>
      <c r="B1289" s="5">
        <v>131.5967</v>
      </c>
      <c r="C1289" s="5">
        <v>94.101600000000005</v>
      </c>
    </row>
    <row r="1290" spans="1:3" x14ac:dyDescent="0.3">
      <c r="A1290" s="4">
        <v>45771</v>
      </c>
      <c r="B1290" s="5">
        <v>131.601</v>
      </c>
      <c r="C1290" s="5">
        <v>94.132499999999993</v>
      </c>
    </row>
    <row r="1291" spans="1:3" x14ac:dyDescent="0.3">
      <c r="A1291" s="4">
        <v>45772</v>
      </c>
      <c r="B1291" s="5">
        <v>131.61859999999999</v>
      </c>
      <c r="C1291" s="5">
        <v>94.357600000000005</v>
      </c>
    </row>
    <row r="1292" spans="1:3" x14ac:dyDescent="0.3">
      <c r="A1292" s="4">
        <v>45775</v>
      </c>
      <c r="B1292" s="5">
        <v>131.697</v>
      </c>
      <c r="C1292" s="5">
        <v>94.497799999999998</v>
      </c>
    </row>
    <row r="1293" spans="1:3" x14ac:dyDescent="0.3">
      <c r="A1293" s="4">
        <v>45776</v>
      </c>
      <c r="B1293" s="5">
        <v>131.8468</v>
      </c>
      <c r="C1293" s="5">
        <v>94.655100000000004</v>
      </c>
    </row>
    <row r="1294" spans="1:3" x14ac:dyDescent="0.3">
      <c r="A1294" s="4">
        <v>45777</v>
      </c>
      <c r="B1294" s="5">
        <v>131.91560000000001</v>
      </c>
      <c r="C1294" s="5">
        <v>94.829300000000003</v>
      </c>
    </row>
    <row r="1295" spans="1:3" x14ac:dyDescent="0.3">
      <c r="A1295" s="4">
        <v>45783</v>
      </c>
      <c r="B1295" s="5">
        <v>131.9718</v>
      </c>
      <c r="C1295" s="5">
        <v>94.010800000000003</v>
      </c>
    </row>
    <row r="1296" spans="1:3" x14ac:dyDescent="0.3">
      <c r="A1296" s="4">
        <v>45784</v>
      </c>
      <c r="B1296" s="5">
        <v>131.91640000000001</v>
      </c>
      <c r="C1296" s="5">
        <v>94.165400000000005</v>
      </c>
    </row>
    <row r="1297" spans="1:3" x14ac:dyDescent="0.3">
      <c r="A1297" s="4">
        <v>45785</v>
      </c>
      <c r="B1297" s="5">
        <v>132.02010000000001</v>
      </c>
      <c r="C1297" s="5">
        <v>94.241</v>
      </c>
    </row>
    <row r="1298" spans="1:3" x14ac:dyDescent="0.3">
      <c r="A1298" s="4">
        <v>45786</v>
      </c>
      <c r="B1298" s="5">
        <v>132.07050000000001</v>
      </c>
      <c r="C1298" s="5">
        <v>94.009500000000003</v>
      </c>
    </row>
    <row r="1299" spans="1:3" x14ac:dyDescent="0.3">
      <c r="A1299" s="4">
        <v>45789</v>
      </c>
      <c r="B1299" s="5">
        <v>131.80359999999999</v>
      </c>
      <c r="C1299" s="5">
        <v>93.924000000000007</v>
      </c>
    </row>
    <row r="1300" spans="1:3" x14ac:dyDescent="0.3">
      <c r="A1300" s="4">
        <v>45790</v>
      </c>
      <c r="B1300" s="5">
        <v>131.8493</v>
      </c>
      <c r="C1300" s="5">
        <v>93.7834</v>
      </c>
    </row>
    <row r="1301" spans="1:3" x14ac:dyDescent="0.3">
      <c r="A1301" s="4">
        <v>45791</v>
      </c>
      <c r="B1301" s="5">
        <v>131.82859999999999</v>
      </c>
      <c r="C1301" s="5">
        <v>93.796400000000006</v>
      </c>
    </row>
    <row r="1302" spans="1:3" x14ac:dyDescent="0.3">
      <c r="A1302" s="4">
        <v>45792</v>
      </c>
      <c r="B1302" s="5">
        <v>131.7988</v>
      </c>
      <c r="C1302" s="5">
        <v>93.616</v>
      </c>
    </row>
    <row r="1303" spans="1:3" x14ac:dyDescent="0.3">
      <c r="A1303" s="4">
        <v>45793</v>
      </c>
      <c r="B1303" s="5">
        <v>131.7415</v>
      </c>
      <c r="C1303" s="5">
        <v>94.015699999999995</v>
      </c>
    </row>
    <row r="1304" spans="1:3" x14ac:dyDescent="0.3">
      <c r="A1304" s="4">
        <v>45796</v>
      </c>
      <c r="B1304" s="5">
        <v>131.79689999999999</v>
      </c>
      <c r="C1304" s="5">
        <v>93.7042</v>
      </c>
    </row>
    <row r="1305" spans="1:3" x14ac:dyDescent="0.3">
      <c r="A1305" s="4">
        <v>45797</v>
      </c>
      <c r="B1305" s="5">
        <v>131.81209999999999</v>
      </c>
      <c r="C1305" s="5">
        <v>93.847399999999993</v>
      </c>
    </row>
    <row r="1306" spans="1:3" x14ac:dyDescent="0.3">
      <c r="A1306" s="4">
        <v>45798</v>
      </c>
      <c r="B1306" s="5">
        <v>131.7784</v>
      </c>
      <c r="C1306" s="5">
        <v>93.671800000000005</v>
      </c>
    </row>
    <row r="1307" spans="1:3" x14ac:dyDescent="0.3">
      <c r="A1307" s="4">
        <v>45799</v>
      </c>
      <c r="B1307" s="5">
        <v>131.7808</v>
      </c>
      <c r="C1307" s="5">
        <v>93.418000000000006</v>
      </c>
    </row>
    <row r="1308" spans="1:3" x14ac:dyDescent="0.3">
      <c r="A1308" s="4">
        <v>45800</v>
      </c>
      <c r="B1308" s="5">
        <v>131.76179999999999</v>
      </c>
      <c r="C1308" s="5">
        <v>93.637200000000007</v>
      </c>
    </row>
    <row r="1309" spans="1:3" x14ac:dyDescent="0.3">
      <c r="A1309" s="4">
        <v>45803</v>
      </c>
      <c r="B1309" s="5">
        <v>131.7578</v>
      </c>
      <c r="C1309" s="5">
        <v>93.634699999999995</v>
      </c>
    </row>
    <row r="1310" spans="1:3" x14ac:dyDescent="0.3">
      <c r="A1310" s="4">
        <v>45804</v>
      </c>
      <c r="B1310" s="5">
        <v>131.71969999999999</v>
      </c>
      <c r="C1310" s="5">
        <v>93.786299999999997</v>
      </c>
    </row>
    <row r="1311" spans="1:3" x14ac:dyDescent="0.3">
      <c r="A1311" s="4">
        <v>45805</v>
      </c>
      <c r="B1311" s="5">
        <v>131.6825</v>
      </c>
      <c r="C1311" s="5">
        <v>93.851399999999998</v>
      </c>
    </row>
    <row r="1312" spans="1:3" x14ac:dyDescent="0.3">
      <c r="A1312" s="4">
        <v>45806</v>
      </c>
      <c r="B1312" s="5">
        <v>131.54849999999999</v>
      </c>
      <c r="C1312" s="5">
        <v>93.713300000000004</v>
      </c>
    </row>
    <row r="1313" spans="1:3" x14ac:dyDescent="0.3">
      <c r="A1313" s="4">
        <v>45807</v>
      </c>
      <c r="B1313" s="5">
        <v>131.66210000000001</v>
      </c>
      <c r="C1313" s="5">
        <v>94.083500000000001</v>
      </c>
    </row>
    <row r="1314" spans="1:3" x14ac:dyDescent="0.3">
      <c r="A1314" s="4">
        <v>45811</v>
      </c>
      <c r="B1314" s="5">
        <v>131.66730000000001</v>
      </c>
      <c r="C1314" s="5">
        <v>93.943399999999997</v>
      </c>
    </row>
    <row r="1315" spans="1:3" x14ac:dyDescent="0.3">
      <c r="A1315" s="4">
        <v>45812</v>
      </c>
      <c r="B1315" s="5">
        <v>131.6797</v>
      </c>
      <c r="C1315" s="5">
        <v>93.865600000000001</v>
      </c>
    </row>
    <row r="1316" spans="1:3" x14ac:dyDescent="0.3">
      <c r="A1316" s="4">
        <v>45813</v>
      </c>
      <c r="B1316" s="5">
        <v>131.7064</v>
      </c>
      <c r="C1316" s="5">
        <v>94.228399999999993</v>
      </c>
    </row>
    <row r="1317" spans="1:3" x14ac:dyDescent="0.3">
      <c r="A1317" s="4">
        <v>45814</v>
      </c>
      <c r="B1317" s="5">
        <v>131.77780000000001</v>
      </c>
      <c r="C1317" s="5">
        <v>94.150099999999995</v>
      </c>
    </row>
    <row r="1318" spans="1:3" x14ac:dyDescent="0.3">
      <c r="A1318" s="4">
        <v>45817</v>
      </c>
      <c r="B1318" s="5">
        <v>131.83099999999999</v>
      </c>
      <c r="C1318" s="5">
        <v>93.843299999999999</v>
      </c>
    </row>
    <row r="1319" spans="1:3" x14ac:dyDescent="0.3">
      <c r="A1319" s="4">
        <v>45818</v>
      </c>
      <c r="B1319" s="5">
        <v>131.85400000000001</v>
      </c>
      <c r="C1319" s="5">
        <v>93.991100000000003</v>
      </c>
    </row>
    <row r="1320" spans="1:3" x14ac:dyDescent="0.3">
      <c r="A1320" s="4">
        <v>45819</v>
      </c>
      <c r="B1320" s="5">
        <v>131.93729999999999</v>
      </c>
      <c r="C1320" s="5">
        <v>93.9268</v>
      </c>
    </row>
    <row r="1321" spans="1:3" x14ac:dyDescent="0.3">
      <c r="A1321" s="4">
        <v>45820</v>
      </c>
      <c r="B1321" s="5">
        <v>131.9639</v>
      </c>
      <c r="C1321" s="5">
        <v>94.177899999999994</v>
      </c>
    </row>
    <row r="1322" spans="1:3" x14ac:dyDescent="0.3">
      <c r="A1322" s="4">
        <v>45821</v>
      </c>
      <c r="B1322" s="5">
        <v>131.96960000000001</v>
      </c>
      <c r="C1322" s="5">
        <v>94.482600000000005</v>
      </c>
    </row>
    <row r="1323" spans="1:3" x14ac:dyDescent="0.3">
      <c r="A1323" s="4">
        <v>45824</v>
      </c>
      <c r="B1323" s="5">
        <v>131.9751</v>
      </c>
      <c r="C1323" s="5">
        <v>94.184200000000004</v>
      </c>
    </row>
    <row r="1324" spans="1:3" x14ac:dyDescent="0.3">
      <c r="A1324" s="4">
        <v>45825</v>
      </c>
      <c r="B1324" s="5">
        <v>132.03620000000001</v>
      </c>
      <c r="C1324" s="5">
        <v>94.147099999999995</v>
      </c>
    </row>
    <row r="1325" spans="1:3" x14ac:dyDescent="0.3">
      <c r="A1325" s="4">
        <v>45826</v>
      </c>
      <c r="B1325" s="5">
        <v>132.0752</v>
      </c>
      <c r="C1325" s="5">
        <v>94.284700000000001</v>
      </c>
    </row>
    <row r="1326" spans="1:3" x14ac:dyDescent="0.3">
      <c r="A1326" s="4">
        <v>45827</v>
      </c>
      <c r="B1326" s="5">
        <v>132.1643</v>
      </c>
      <c r="C1326" s="5">
        <v>94.332400000000007</v>
      </c>
    </row>
    <row r="1327" spans="1:3" x14ac:dyDescent="0.3">
      <c r="A1327" s="4">
        <v>45828</v>
      </c>
      <c r="B1327" s="5">
        <v>132.22120000000001</v>
      </c>
      <c r="C1327" s="5">
        <v>94.397199999999998</v>
      </c>
    </row>
    <row r="1328" spans="1:3" x14ac:dyDescent="0.3">
      <c r="A1328" s="4">
        <v>45831</v>
      </c>
      <c r="B1328" s="5">
        <v>132.24090000000001</v>
      </c>
      <c r="C1328" s="5">
        <v>94.343999999999994</v>
      </c>
    </row>
    <row r="1329" spans="1:3" x14ac:dyDescent="0.3">
      <c r="A1329" s="4">
        <v>45832</v>
      </c>
      <c r="B1329" s="5">
        <v>132.1601</v>
      </c>
      <c r="C1329" s="5">
        <v>94.576700000000002</v>
      </c>
    </row>
    <row r="1330" spans="1:3" x14ac:dyDescent="0.3">
      <c r="A1330" s="4">
        <v>45833</v>
      </c>
      <c r="B1330" s="5">
        <v>132.0822</v>
      </c>
      <c r="C1330" s="5">
        <v>94.726299999999995</v>
      </c>
    </row>
    <row r="1331" spans="1:3" x14ac:dyDescent="0.3">
      <c r="A1331" s="4">
        <v>45834</v>
      </c>
      <c r="B1331" s="5">
        <v>132.07740000000001</v>
      </c>
      <c r="C1331" s="5">
        <v>94.8172</v>
      </c>
    </row>
    <row r="1332" spans="1:3" x14ac:dyDescent="0.3">
      <c r="A1332" s="4">
        <v>45835</v>
      </c>
      <c r="B1332" s="5">
        <v>132.107</v>
      </c>
      <c r="C1332" s="5">
        <v>94.929299999999998</v>
      </c>
    </row>
    <row r="1333" spans="1:3" x14ac:dyDescent="0.3">
      <c r="A1333" s="4">
        <v>45838</v>
      </c>
      <c r="B1333" s="5">
        <v>132.06659999999999</v>
      </c>
      <c r="C1333" s="5">
        <v>94.876099999999994</v>
      </c>
    </row>
    <row r="1334" spans="1:3" x14ac:dyDescent="0.3">
      <c r="A1334" s="4">
        <v>45839</v>
      </c>
      <c r="B1334" s="5">
        <v>132.124</v>
      </c>
      <c r="C1334" s="5">
        <v>95.108500000000006</v>
      </c>
    </row>
    <row r="1335" spans="1:3" x14ac:dyDescent="0.3">
      <c r="A1335" s="4">
        <v>45840</v>
      </c>
      <c r="B1335" s="5">
        <v>132.24090000000001</v>
      </c>
      <c r="C1335" s="5">
        <v>94.915999999999997</v>
      </c>
    </row>
    <row r="1336" spans="1:3" x14ac:dyDescent="0.3">
      <c r="A1336" s="4">
        <v>45841</v>
      </c>
      <c r="B1336" s="5">
        <v>132.2636</v>
      </c>
      <c r="C1336" s="5">
        <v>94.971500000000006</v>
      </c>
    </row>
    <row r="1337" spans="1:3" x14ac:dyDescent="0.3">
      <c r="A1337" s="4">
        <v>45842</v>
      </c>
      <c r="B1337" s="5">
        <v>132.2929</v>
      </c>
      <c r="C1337" s="5">
        <v>94.692999999999998</v>
      </c>
    </row>
    <row r="1338" spans="1:3" x14ac:dyDescent="0.3">
      <c r="A1338" s="4">
        <v>45845</v>
      </c>
      <c r="B1338" s="5">
        <v>132.3091</v>
      </c>
      <c r="C1338" s="5">
        <v>94.7684</v>
      </c>
    </row>
    <row r="1339" spans="1:3" x14ac:dyDescent="0.3">
      <c r="A1339" s="4">
        <v>45846</v>
      </c>
      <c r="B1339" s="5">
        <v>132.26410000000001</v>
      </c>
      <c r="C1339" s="5">
        <v>94.552199999999999</v>
      </c>
    </row>
    <row r="1340" spans="1:3" x14ac:dyDescent="0.3">
      <c r="A1340" s="4">
        <v>45847</v>
      </c>
      <c r="B1340" s="5">
        <v>132.25980000000001</v>
      </c>
      <c r="C1340" s="5">
        <v>94.564700000000002</v>
      </c>
    </row>
    <row r="1341" spans="1:3" x14ac:dyDescent="0.3">
      <c r="A1341" s="4">
        <v>45848</v>
      </c>
      <c r="B1341" s="5">
        <v>132.178</v>
      </c>
      <c r="C1341" s="5">
        <v>94.802999999999997</v>
      </c>
    </row>
    <row r="1342" spans="1:3" x14ac:dyDescent="0.3">
      <c r="A1342" s="4">
        <v>45849</v>
      </c>
      <c r="B1342" s="5">
        <v>132.13990000000001</v>
      </c>
      <c r="C1342" s="5">
        <v>94.744100000000003</v>
      </c>
    </row>
    <row r="1343" spans="1:3" x14ac:dyDescent="0.3">
      <c r="A1343" s="4">
        <v>45852</v>
      </c>
      <c r="B1343" s="5">
        <v>132.07079999999999</v>
      </c>
      <c r="C1343" s="5">
        <v>94.575999999999993</v>
      </c>
    </row>
    <row r="1344" spans="1:3" x14ac:dyDescent="0.3">
      <c r="A1344" s="4">
        <v>45853</v>
      </c>
      <c r="B1344" s="5">
        <v>132.1737</v>
      </c>
      <c r="C1344" s="5">
        <v>94.557199999999995</v>
      </c>
    </row>
    <row r="1345" spans="1:3" x14ac:dyDescent="0.3">
      <c r="A1345" s="4">
        <v>45854</v>
      </c>
      <c r="B1345" s="5">
        <v>132.18610000000001</v>
      </c>
      <c r="C1345" s="5">
        <v>94.437899999999999</v>
      </c>
    </row>
    <row r="1346" spans="1:3" x14ac:dyDescent="0.3">
      <c r="A1346" s="4">
        <v>45855</v>
      </c>
      <c r="B1346" s="5">
        <v>132.1985</v>
      </c>
      <c r="C1346" s="5">
        <v>94.462599999999995</v>
      </c>
    </row>
    <row r="1347" spans="1:3" x14ac:dyDescent="0.3">
      <c r="A1347" s="4">
        <v>45856</v>
      </c>
      <c r="B1347" s="5">
        <v>132.17580000000001</v>
      </c>
      <c r="C1347" s="5">
        <v>94.622299999999996</v>
      </c>
    </row>
    <row r="1348" spans="1:3" x14ac:dyDescent="0.3">
      <c r="A1348" s="4">
        <v>45859</v>
      </c>
      <c r="B1348" s="5">
        <v>132.0624</v>
      </c>
      <c r="C1348" s="5">
        <v>94.752499999999998</v>
      </c>
    </row>
    <row r="1349" spans="1:3" x14ac:dyDescent="0.3">
      <c r="A1349" s="4">
        <v>45860</v>
      </c>
      <c r="B1349" s="5">
        <v>131.9796</v>
      </c>
      <c r="C1349" s="5">
        <v>94.849800000000002</v>
      </c>
    </row>
    <row r="1350" spans="1:3" x14ac:dyDescent="0.3">
      <c r="A1350" s="4">
        <v>45861</v>
      </c>
      <c r="B1350" s="5">
        <v>131.85740000000001</v>
      </c>
      <c r="C1350" s="5">
        <v>94.9178</v>
      </c>
    </row>
    <row r="1351" spans="1:3" x14ac:dyDescent="0.3">
      <c r="A1351" s="4">
        <v>45862</v>
      </c>
      <c r="B1351" s="5">
        <v>131.62950000000001</v>
      </c>
      <c r="C1351" s="5">
        <v>94.8262</v>
      </c>
    </row>
    <row r="1352" spans="1:3" x14ac:dyDescent="0.3">
      <c r="A1352" s="4">
        <v>45863</v>
      </c>
      <c r="B1352" s="5">
        <v>131.5933</v>
      </c>
      <c r="C1352" s="5">
        <v>94.811599999999999</v>
      </c>
    </row>
    <row r="1353" spans="1:3" x14ac:dyDescent="0.3">
      <c r="A1353" s="4">
        <v>45866</v>
      </c>
      <c r="B1353" s="5">
        <v>131.70150000000001</v>
      </c>
      <c r="C1353" s="5">
        <v>94.838499999999996</v>
      </c>
    </row>
    <row r="1354" spans="1:3" x14ac:dyDescent="0.3">
      <c r="A1354" s="4">
        <v>45867</v>
      </c>
      <c r="B1354" s="5">
        <v>131.4734</v>
      </c>
      <c r="C1354" s="5">
        <v>94.795699999999997</v>
      </c>
    </row>
    <row r="1355" spans="1:3" x14ac:dyDescent="0.3">
      <c r="A1355" s="4">
        <v>45868</v>
      </c>
      <c r="B1355" s="5">
        <v>131.56489999999999</v>
      </c>
      <c r="C1355" s="5">
        <v>95.090299999999999</v>
      </c>
    </row>
    <row r="1356" spans="1:3" x14ac:dyDescent="0.3">
      <c r="A1356" s="4">
        <v>45869</v>
      </c>
      <c r="B1356" s="5">
        <v>131.7278</v>
      </c>
      <c r="C1356" s="5">
        <v>94.9833</v>
      </c>
    </row>
    <row r="1357" spans="1:3" x14ac:dyDescent="0.3">
      <c r="A1357" s="4">
        <v>45870</v>
      </c>
      <c r="B1357" s="5">
        <v>131.74119999999999</v>
      </c>
      <c r="C1357" s="5">
        <v>94.885999999999996</v>
      </c>
    </row>
    <row r="1358" spans="1:3" x14ac:dyDescent="0.3">
      <c r="A1358" s="4">
        <v>45873</v>
      </c>
      <c r="B1358" s="5">
        <v>131.77180000000001</v>
      </c>
      <c r="C1358" s="5">
        <v>95.471800000000002</v>
      </c>
    </row>
    <row r="1359" spans="1:3" x14ac:dyDescent="0.3">
      <c r="A1359" s="4">
        <v>45874</v>
      </c>
      <c r="B1359" s="5">
        <v>131.7647</v>
      </c>
      <c r="C1359" s="5">
        <v>95.6143</v>
      </c>
    </row>
    <row r="1360" spans="1:3" x14ac:dyDescent="0.3">
      <c r="A1360" s="4">
        <v>45875</v>
      </c>
      <c r="B1360" s="5">
        <v>131.7842</v>
      </c>
      <c r="C1360" s="5">
        <v>95.553600000000003</v>
      </c>
    </row>
    <row r="1361" spans="1:3" x14ac:dyDescent="0.3">
      <c r="A1361" s="4">
        <v>45876</v>
      </c>
      <c r="B1361" s="5">
        <v>131.816</v>
      </c>
      <c r="C1361" s="5">
        <v>95.542100000000005</v>
      </c>
    </row>
    <row r="1362" spans="1:3" x14ac:dyDescent="0.3">
      <c r="A1362" s="4">
        <v>45877</v>
      </c>
      <c r="B1362" s="5">
        <v>131.81180000000001</v>
      </c>
      <c r="C1362" s="5">
        <v>95.4863</v>
      </c>
    </row>
    <row r="1363" spans="1:3" x14ac:dyDescent="0.3">
      <c r="A1363" s="4">
        <v>45880</v>
      </c>
      <c r="B1363" s="5">
        <v>131.64850000000001</v>
      </c>
      <c r="C1363" s="5">
        <v>95.447100000000006</v>
      </c>
    </row>
    <row r="1364" spans="1:3" x14ac:dyDescent="0.3">
      <c r="A1364" s="4">
        <v>45881</v>
      </c>
      <c r="B1364" s="5">
        <v>131.50530000000001</v>
      </c>
      <c r="C1364" s="5">
        <v>95.403800000000004</v>
      </c>
    </row>
    <row r="1365" spans="1:3" x14ac:dyDescent="0.3">
      <c r="A1365" s="4">
        <v>45882</v>
      </c>
      <c r="B1365" s="5">
        <v>131.4846</v>
      </c>
      <c r="C1365" s="5">
        <v>95.4542</v>
      </c>
    </row>
    <row r="1366" spans="1:3" x14ac:dyDescent="0.3">
      <c r="A1366" s="4">
        <v>45883</v>
      </c>
      <c r="B1366" s="5">
        <v>131.41409999999999</v>
      </c>
      <c r="C1366" s="5">
        <v>95.680800000000005</v>
      </c>
    </row>
    <row r="1367" spans="1:3" x14ac:dyDescent="0.3">
      <c r="A1367" s="4">
        <v>45884</v>
      </c>
      <c r="B1367" s="5">
        <v>131.31020000000001</v>
      </c>
      <c r="C1367" s="5">
        <v>95.5364</v>
      </c>
    </row>
    <row r="1368" spans="1:3" x14ac:dyDescent="0.3">
      <c r="A1368" s="4">
        <v>45887</v>
      </c>
      <c r="B1368" s="5">
        <v>130.9151</v>
      </c>
      <c r="C1368" s="5">
        <v>95.471299999999999</v>
      </c>
    </row>
    <row r="1369" spans="1:3" x14ac:dyDescent="0.3">
      <c r="A1369" s="4">
        <v>45888</v>
      </c>
      <c r="B1369" s="5">
        <v>130.92670000000001</v>
      </c>
      <c r="C1369" s="5">
        <v>95.408600000000007</v>
      </c>
    </row>
    <row r="1370" spans="1:3" x14ac:dyDescent="0.3">
      <c r="A1370" s="4">
        <v>45889</v>
      </c>
      <c r="B1370" s="5">
        <v>130.8707</v>
      </c>
      <c r="C1370" s="5">
        <v>95.521600000000007</v>
      </c>
    </row>
    <row r="1371" spans="1:3" x14ac:dyDescent="0.3">
      <c r="A1371" s="4">
        <v>45890</v>
      </c>
      <c r="B1371" s="5">
        <v>130.8793</v>
      </c>
      <c r="C1371" s="5">
        <v>95.584299999999999</v>
      </c>
    </row>
    <row r="1372" spans="1:3" x14ac:dyDescent="0.3">
      <c r="A1372" s="4">
        <v>45891</v>
      </c>
      <c r="B1372" s="5">
        <v>130.85120000000001</v>
      </c>
      <c r="C1372" s="5">
        <v>95.488100000000003</v>
      </c>
    </row>
    <row r="1373" spans="1:3" x14ac:dyDescent="0.3">
      <c r="A1373" s="4">
        <v>45894</v>
      </c>
      <c r="B1373" s="5">
        <v>130.89830000000001</v>
      </c>
      <c r="C1373" s="5">
        <v>95.781199999999998</v>
      </c>
    </row>
    <row r="1374" spans="1:3" x14ac:dyDescent="0.3">
      <c r="A1374" s="4">
        <v>45895</v>
      </c>
      <c r="B1374" s="5">
        <v>130.97309999999999</v>
      </c>
      <c r="C1374" s="5">
        <v>95.6982</v>
      </c>
    </row>
    <row r="1375" spans="1:3" x14ac:dyDescent="0.3">
      <c r="A1375" s="4">
        <v>45896</v>
      </c>
      <c r="B1375" s="5">
        <v>130.99520000000001</v>
      </c>
      <c r="C1375" s="5">
        <v>95.738299999999995</v>
      </c>
    </row>
    <row r="1376" spans="1:3" x14ac:dyDescent="0.3">
      <c r="A1376" s="4">
        <v>45897</v>
      </c>
      <c r="B1376" s="5">
        <v>130.86670000000001</v>
      </c>
      <c r="C1376" s="5">
        <v>95.875100000000003</v>
      </c>
    </row>
    <row r="1377" spans="1:3" x14ac:dyDescent="0.3">
      <c r="A1377" s="4">
        <v>45898</v>
      </c>
      <c r="B1377" s="5">
        <v>130.88210000000001</v>
      </c>
      <c r="C1377" s="5">
        <v>95.965000000000003</v>
      </c>
    </row>
    <row r="1378" spans="1:3" x14ac:dyDescent="0.3">
      <c r="A1378" s="4">
        <v>45901</v>
      </c>
      <c r="B1378" s="5">
        <v>130.91409999999999</v>
      </c>
      <c r="C1378" s="5">
        <v>95.916700000000006</v>
      </c>
    </row>
    <row r="1379" spans="1:3" x14ac:dyDescent="0.3">
      <c r="A1379" s="4">
        <v>45902</v>
      </c>
      <c r="B1379" s="5">
        <v>130.9461</v>
      </c>
      <c r="C1379" s="5">
        <v>95.829700000000003</v>
      </c>
    </row>
    <row r="1380" spans="1:3" x14ac:dyDescent="0.3">
      <c r="A1380" s="4">
        <v>45903</v>
      </c>
      <c r="B1380" s="5">
        <v>131.0513</v>
      </c>
      <c r="C1380" s="5">
        <v>95.711200000000005</v>
      </c>
    </row>
    <row r="1381" spans="1:3" x14ac:dyDescent="0.3">
      <c r="A1381" s="4">
        <v>45904</v>
      </c>
      <c r="B1381" s="5">
        <v>131.09950000000001</v>
      </c>
      <c r="C1381" s="5">
        <v>95.994900000000001</v>
      </c>
    </row>
    <row r="1382" spans="1:3" x14ac:dyDescent="0.3">
      <c r="A1382" s="4">
        <v>45905</v>
      </c>
      <c r="B1382" s="5">
        <v>130.96360000000001</v>
      </c>
      <c r="C1382" s="5">
        <v>96.160600000000002</v>
      </c>
    </row>
    <row r="1383" spans="1:3" x14ac:dyDescent="0.3">
      <c r="A1383" s="4">
        <v>45908</v>
      </c>
      <c r="B1383" s="5">
        <v>130.815</v>
      </c>
      <c r="C1383" s="5">
        <v>96.509200000000007</v>
      </c>
    </row>
    <row r="1384" spans="1:3" x14ac:dyDescent="0.3">
      <c r="A1384" s="4">
        <v>45909</v>
      </c>
      <c r="B1384" s="5">
        <v>130.71039999999999</v>
      </c>
      <c r="C1384" s="5">
        <v>96.671000000000006</v>
      </c>
    </row>
    <row r="1385" spans="1:3" x14ac:dyDescent="0.3">
      <c r="A1385" s="4">
        <v>45910</v>
      </c>
      <c r="B1385" s="5">
        <v>130.51339999999999</v>
      </c>
      <c r="C1385" s="5">
        <v>96.516999999999996</v>
      </c>
    </row>
    <row r="1386" spans="1:3" x14ac:dyDescent="0.3">
      <c r="A1386" s="4">
        <v>45911</v>
      </c>
      <c r="B1386" s="5">
        <v>130.4768</v>
      </c>
      <c r="C1386" s="5">
        <v>96.590999999999994</v>
      </c>
    </row>
    <row r="1387" spans="1:3" x14ac:dyDescent="0.3">
      <c r="A1387" s="4">
        <v>45912</v>
      </c>
      <c r="B1387" s="5">
        <v>130.52119999999999</v>
      </c>
      <c r="C1387" s="5">
        <v>96.6721</v>
      </c>
    </row>
    <row r="1388" spans="1:3" x14ac:dyDescent="0.3">
      <c r="A1388" s="4">
        <v>45915</v>
      </c>
      <c r="B1388" s="5">
        <v>130.5213</v>
      </c>
      <c r="C1388" s="5">
        <v>96.498199999999997</v>
      </c>
    </row>
    <row r="1389" spans="1:3" x14ac:dyDescent="0.3">
      <c r="A1389" s="4">
        <v>45916</v>
      </c>
      <c r="B1389" s="5">
        <v>130.54499999999999</v>
      </c>
      <c r="C1389" s="5">
        <v>96.6541</v>
      </c>
    </row>
    <row r="1390" spans="1:3" x14ac:dyDescent="0.3">
      <c r="A1390" s="4">
        <v>45917</v>
      </c>
      <c r="B1390" s="5">
        <v>130.62469999999999</v>
      </c>
      <c r="C1390" s="5">
        <v>96.785399999999996</v>
      </c>
    </row>
    <row r="1391" spans="1:3" x14ac:dyDescent="0.3">
      <c r="A1391" s="4">
        <v>45918</v>
      </c>
      <c r="B1391" s="5">
        <v>130.57560000000001</v>
      </c>
      <c r="C1391" s="5">
        <v>96.721900000000005</v>
      </c>
    </row>
    <row r="1392" spans="1:3" x14ac:dyDescent="0.3">
      <c r="A1392" s="4">
        <v>45919</v>
      </c>
      <c r="B1392" s="5">
        <v>130.4546</v>
      </c>
      <c r="C1392" s="5">
        <v>96.442999999999998</v>
      </c>
    </row>
    <row r="1393" spans="1:3" x14ac:dyDescent="0.3">
      <c r="A1393" s="4">
        <v>45922</v>
      </c>
      <c r="B1393" s="5">
        <v>130.45490000000001</v>
      </c>
      <c r="C1393" s="5">
        <v>96.453699999999998</v>
      </c>
    </row>
    <row r="1394" spans="1:3" x14ac:dyDescent="0.3">
      <c r="A1394" s="4">
        <v>45923</v>
      </c>
      <c r="B1394" s="5">
        <v>130.33090000000001</v>
      </c>
      <c r="C1394" s="5">
        <v>96.436599999999999</v>
      </c>
    </row>
    <row r="1395" spans="1:3" x14ac:dyDescent="0.3">
      <c r="A1395" s="4">
        <v>45924</v>
      </c>
      <c r="B1395" s="5">
        <v>130.14660000000001</v>
      </c>
      <c r="C1395" s="5">
        <v>96.557299999999998</v>
      </c>
    </row>
    <row r="1396" spans="1:3" x14ac:dyDescent="0.3">
      <c r="A1396" s="4">
        <v>45925</v>
      </c>
      <c r="B1396" s="5">
        <v>130.05799999999999</v>
      </c>
      <c r="C1396" s="5">
        <v>96.411699999999996</v>
      </c>
    </row>
    <row r="1397" spans="1:3" x14ac:dyDescent="0.3">
      <c r="A1397" s="4">
        <v>45926</v>
      </c>
      <c r="B1397" s="5">
        <v>130.06559999999999</v>
      </c>
      <c r="C1397" s="5">
        <v>96.320599999999999</v>
      </c>
    </row>
    <row r="1398" spans="1:3" x14ac:dyDescent="0.3">
      <c r="A1398" s="4">
        <v>45929</v>
      </c>
      <c r="B1398" s="5">
        <v>130.02670000000001</v>
      </c>
      <c r="C1398" s="5">
        <v>96.440700000000007</v>
      </c>
    </row>
    <row r="1399" spans="1:3" x14ac:dyDescent="0.3">
      <c r="A1399" s="4">
        <v>45930</v>
      </c>
      <c r="B1399" s="5">
        <v>130.09039999999999</v>
      </c>
      <c r="C1399" s="5">
        <v>96.569299999999998</v>
      </c>
    </row>
    <row r="1400" spans="1:3" x14ac:dyDescent="0.3">
      <c r="A1400" s="4">
        <v>45939</v>
      </c>
      <c r="B1400" s="5">
        <v>130.21510000000001</v>
      </c>
      <c r="C1400" s="5">
        <v>96.654799999999994</v>
      </c>
    </row>
    <row r="1401" spans="1:3" x14ac:dyDescent="0.3">
      <c r="A1401" s="4">
        <v>45940</v>
      </c>
      <c r="B1401" s="5">
        <v>130.1927</v>
      </c>
      <c r="C1401" s="5">
        <v>96.677000000000007</v>
      </c>
    </row>
    <row r="1402" spans="1:3" x14ac:dyDescent="0.3">
      <c r="A1402" s="4">
        <v>45943</v>
      </c>
      <c r="B1402" s="5">
        <v>130.3098</v>
      </c>
      <c r="C1402" s="5">
        <v>97.037700000000001</v>
      </c>
    </row>
    <row r="1403" spans="1:3" x14ac:dyDescent="0.3">
      <c r="A1403" s="4">
        <v>45944</v>
      </c>
      <c r="B1403" s="5">
        <v>130.2809</v>
      </c>
      <c r="C1403" s="5">
        <v>97.115899999999996</v>
      </c>
    </row>
    <row r="1404" spans="1:3" x14ac:dyDescent="0.3">
      <c r="A1404" s="4">
        <v>45945</v>
      </c>
      <c r="B1404" s="5">
        <v>130.24549999999999</v>
      </c>
      <c r="C1404" s="5">
        <v>97.194999999999993</v>
      </c>
    </row>
    <row r="1405" spans="1:3" x14ac:dyDescent="0.3">
      <c r="A1405" s="4">
        <v>45946</v>
      </c>
      <c r="B1405" s="5">
        <v>130.3032</v>
      </c>
      <c r="C1405" s="5">
        <v>97.094999999999999</v>
      </c>
    </row>
    <row r="1406" spans="1:3" x14ac:dyDescent="0.3">
      <c r="A1406" s="4">
        <v>45947</v>
      </c>
      <c r="B1406" s="5">
        <v>130.44030000000001</v>
      </c>
      <c r="C1406" s="5">
        <v>97.418099999999995</v>
      </c>
    </row>
    <row r="1407" spans="1:3" x14ac:dyDescent="0.3">
      <c r="A1407" s="4">
        <v>45950</v>
      </c>
      <c r="B1407" s="5">
        <v>130.35820000000001</v>
      </c>
      <c r="C1407" s="5">
        <v>97.120400000000004</v>
      </c>
    </row>
    <row r="1408" spans="1:3" x14ac:dyDescent="0.3">
      <c r="A1408" s="4">
        <v>45951</v>
      </c>
      <c r="B1408" s="5">
        <v>130.38679999999999</v>
      </c>
      <c r="C1408" s="5">
        <v>97.325199999999995</v>
      </c>
    </row>
    <row r="1409" spans="1:3" x14ac:dyDescent="0.3">
      <c r="A1409" s="4">
        <v>45952</v>
      </c>
      <c r="B1409" s="5">
        <v>130.4058</v>
      </c>
      <c r="C1409" s="5">
        <v>97.369900000000001</v>
      </c>
    </row>
    <row r="1410" spans="1:3" x14ac:dyDescent="0.3">
      <c r="A1410" s="4">
        <v>45953</v>
      </c>
      <c r="B1410" s="5">
        <v>130.3869</v>
      </c>
      <c r="C1410" s="5">
        <v>97.342399999999998</v>
      </c>
    </row>
    <row r="1411" spans="1:3" x14ac:dyDescent="0.3">
      <c r="A1411" s="4">
        <v>45954</v>
      </c>
      <c r="B1411" s="5">
        <v>130.334</v>
      </c>
      <c r="C1411" s="5">
        <v>97.236500000000007</v>
      </c>
    </row>
    <row r="1412" spans="1:3" x14ac:dyDescent="0.3">
      <c r="A1412" s="4">
        <v>45957</v>
      </c>
      <c r="B1412" s="5">
        <v>130.32830000000001</v>
      </c>
      <c r="C1412" s="5">
        <v>97.002300000000005</v>
      </c>
    </row>
    <row r="1413" spans="1:3" x14ac:dyDescent="0.3">
      <c r="A1413" s="4">
        <v>45958</v>
      </c>
      <c r="B1413" s="5">
        <v>130.51089999999999</v>
      </c>
      <c r="C1413" s="5">
        <v>97.203800000000001</v>
      </c>
    </row>
    <row r="1414" spans="1:3" x14ac:dyDescent="0.3">
      <c r="A1414" s="4">
        <v>45959</v>
      </c>
      <c r="B1414" s="5">
        <v>130.53370000000001</v>
      </c>
      <c r="C1414" s="5">
        <v>97.217299999999994</v>
      </c>
    </row>
    <row r="1415" spans="1:3" x14ac:dyDescent="0.3">
      <c r="A1415" s="4">
        <v>45960</v>
      </c>
      <c r="B1415" s="5">
        <v>130.58410000000001</v>
      </c>
      <c r="C1415" s="5">
        <v>96.825299999999999</v>
      </c>
    </row>
    <row r="1416" spans="1:3" x14ac:dyDescent="0.3">
      <c r="A1416" s="4">
        <v>45961</v>
      </c>
      <c r="B1416" s="5">
        <v>130.70269999999999</v>
      </c>
      <c r="C1416" s="5">
        <v>96.724100000000007</v>
      </c>
    </row>
    <row r="1417" spans="1:3" x14ac:dyDescent="0.3">
      <c r="A1417" s="4">
        <v>45964</v>
      </c>
      <c r="B1417" s="5">
        <v>130.72839999999999</v>
      </c>
      <c r="C1417" s="5">
        <v>96.752499999999998</v>
      </c>
    </row>
    <row r="1418" spans="1:3" x14ac:dyDescent="0.3">
      <c r="A1418" s="4">
        <v>45965</v>
      </c>
      <c r="B1418" s="5">
        <v>130.726</v>
      </c>
      <c r="C1418" s="5">
        <v>96.5762</v>
      </c>
    </row>
    <row r="1419" spans="1:3" x14ac:dyDescent="0.3">
      <c r="A1419" s="4">
        <v>45966</v>
      </c>
      <c r="B1419" s="5">
        <v>130.76560000000001</v>
      </c>
      <c r="C1419" s="5">
        <v>96.649600000000007</v>
      </c>
    </row>
    <row r="1420" spans="1:3" x14ac:dyDescent="0.3">
      <c r="A1420" s="4">
        <v>45967</v>
      </c>
      <c r="B1420" s="5">
        <v>130.69900000000001</v>
      </c>
      <c r="C1420" s="5">
        <v>96.367699999999999</v>
      </c>
    </row>
    <row r="1421" spans="1:3" x14ac:dyDescent="0.3">
      <c r="A1421" s="4">
        <v>45968</v>
      </c>
      <c r="B1421" s="5">
        <v>130.66839999999999</v>
      </c>
      <c r="C1421" s="5">
        <v>96.540099999999995</v>
      </c>
    </row>
    <row r="1422" spans="1:3" x14ac:dyDescent="0.3">
      <c r="A1422" s="4">
        <v>45971</v>
      </c>
      <c r="B1422" s="5">
        <v>130.6789</v>
      </c>
      <c r="C1422" s="5">
        <v>96.406899999999993</v>
      </c>
    </row>
    <row r="1423" spans="1:3" x14ac:dyDescent="0.3">
      <c r="A1423" s="4">
        <v>45972</v>
      </c>
      <c r="B1423" s="5">
        <v>130.69759999999999</v>
      </c>
      <c r="C1423" s="5">
        <v>96.488699999999994</v>
      </c>
    </row>
    <row r="1424" spans="1:3" x14ac:dyDescent="0.3">
      <c r="A1424" s="4">
        <v>45973</v>
      </c>
      <c r="B1424" s="5">
        <v>130.7415</v>
      </c>
      <c r="C1424" s="5">
        <v>96.539199999999994</v>
      </c>
    </row>
    <row r="1425" spans="1:3" x14ac:dyDescent="0.3">
      <c r="A1425" s="4">
        <v>45974</v>
      </c>
      <c r="B1425" s="5">
        <v>130.71979999999999</v>
      </c>
      <c r="C1425" s="5">
        <v>96.587299999999999</v>
      </c>
    </row>
    <row r="1426" spans="1:3" x14ac:dyDescent="0.3">
      <c r="A1426" s="4">
        <v>45975</v>
      </c>
      <c r="B1426" s="5">
        <v>130.7191</v>
      </c>
      <c r="C1426" s="5">
        <v>96.464600000000004</v>
      </c>
    </row>
    <row r="1427" spans="1:3" x14ac:dyDescent="0.3">
      <c r="A1427" s="4">
        <v>45978</v>
      </c>
      <c r="B1427" s="5">
        <v>130.7311</v>
      </c>
      <c r="C1427" s="5">
        <v>96.278800000000004</v>
      </c>
    </row>
    <row r="1428" spans="1:3" x14ac:dyDescent="0.3">
      <c r="A1428" s="4">
        <v>45979</v>
      </c>
      <c r="B1428" s="5">
        <v>130.7473</v>
      </c>
      <c r="C1428" s="5">
        <v>96.382099999999994</v>
      </c>
    </row>
    <row r="1429" spans="1:3" x14ac:dyDescent="0.3">
      <c r="A1429" s="4">
        <v>45980</v>
      </c>
      <c r="B1429" s="5">
        <v>130.71700000000001</v>
      </c>
      <c r="C1429" s="5">
        <v>96.358400000000003</v>
      </c>
    </row>
    <row r="1430" spans="1:3" x14ac:dyDescent="0.3">
      <c r="A1430" s="4">
        <v>45981</v>
      </c>
      <c r="B1430" s="5">
        <v>130.7176</v>
      </c>
      <c r="C1430" s="5">
        <v>96.198400000000007</v>
      </c>
    </row>
    <row r="1431" spans="1:3" x14ac:dyDescent="0.3">
      <c r="A1431" s="4">
        <v>45982</v>
      </c>
      <c r="B1431" s="5">
        <v>130.6858</v>
      </c>
      <c r="C1431" s="5">
        <v>96.369900000000001</v>
      </c>
    </row>
    <row r="1432" spans="1:3" x14ac:dyDescent="0.3">
      <c r="A1432" s="4">
        <v>45985</v>
      </c>
      <c r="B1432" s="5">
        <v>130.67509999999999</v>
      </c>
      <c r="C1432" s="5">
        <v>96.397599999999997</v>
      </c>
    </row>
    <row r="1433" spans="1:3" x14ac:dyDescent="0.3">
      <c r="A1433" s="4">
        <v>45986</v>
      </c>
      <c r="B1433" s="5">
        <v>130.5907</v>
      </c>
      <c r="C1433" s="5">
        <v>96.502899999999997</v>
      </c>
    </row>
    <row r="1434" spans="1:3" x14ac:dyDescent="0.3">
      <c r="A1434" s="4">
        <v>45987</v>
      </c>
      <c r="B1434" s="5">
        <v>130.44229999999999</v>
      </c>
      <c r="C1434" s="5">
        <v>96.612099999999998</v>
      </c>
    </row>
    <row r="1435" spans="1:3" x14ac:dyDescent="0.3">
      <c r="A1435" s="4">
        <v>45988</v>
      </c>
      <c r="B1435" s="5">
        <v>130.35489999999999</v>
      </c>
      <c r="C1435" s="5">
        <v>96.662999999999997</v>
      </c>
    </row>
    <row r="1436" spans="1:3" x14ac:dyDescent="0.3">
      <c r="A1436" s="4">
        <v>45989</v>
      </c>
      <c r="B1436" s="5">
        <v>130.36259999999999</v>
      </c>
      <c r="C1436" s="5">
        <v>96.634699999999995</v>
      </c>
    </row>
    <row r="1437" spans="1:3" x14ac:dyDescent="0.3">
      <c r="A1437" s="4">
        <v>45992</v>
      </c>
      <c r="B1437" s="5">
        <v>130.35890000000001</v>
      </c>
      <c r="C1437" s="5">
        <v>96.871099999999998</v>
      </c>
    </row>
    <row r="1438" spans="1:3" x14ac:dyDescent="0.3">
      <c r="A1438" s="4">
        <v>45993</v>
      </c>
      <c r="B1438" s="5">
        <v>130.28880000000001</v>
      </c>
      <c r="C1438" s="5">
        <v>96.700100000000006</v>
      </c>
    </row>
    <row r="1439" spans="1:3" x14ac:dyDescent="0.3">
      <c r="A1439" s="4">
        <v>45994</v>
      </c>
      <c r="B1439" s="5">
        <v>130.19980000000001</v>
      </c>
      <c r="C1439" s="5">
        <v>96.6755</v>
      </c>
    </row>
    <row r="1440" spans="1:3" x14ac:dyDescent="0.3">
      <c r="A1440" s="4">
        <v>45995</v>
      </c>
      <c r="B1440" s="5">
        <v>130.0069</v>
      </c>
      <c r="C1440" s="5">
        <v>96.692400000000006</v>
      </c>
    </row>
    <row r="1441" spans="1:3" x14ac:dyDescent="0.3">
      <c r="A1441" s="4">
        <v>45996</v>
      </c>
      <c r="B1441" s="5">
        <v>130.02879999999999</v>
      </c>
      <c r="C1441" s="5">
        <v>96.623999999999995</v>
      </c>
    </row>
    <row r="1442" spans="1:3" x14ac:dyDescent="0.3">
      <c r="A1442" s="4">
        <v>45999</v>
      </c>
      <c r="B1442" s="5">
        <v>130.00649999999999</v>
      </c>
      <c r="C1442" s="5">
        <v>96.4529</v>
      </c>
    </row>
    <row r="1443" spans="1:3" x14ac:dyDescent="0.3">
      <c r="A1443" s="4">
        <v>46000</v>
      </c>
      <c r="B1443" s="5">
        <v>130.0728</v>
      </c>
      <c r="C1443" s="5">
        <v>96.373900000000006</v>
      </c>
    </row>
    <row r="1444" spans="1:3" x14ac:dyDescent="0.3">
      <c r="A1444" s="4">
        <v>46001</v>
      </c>
      <c r="B1444" s="5">
        <v>130.11199999999999</v>
      </c>
      <c r="C1444" s="5">
        <v>96.290700000000001</v>
      </c>
    </row>
    <row r="1445" spans="1:3" x14ac:dyDescent="0.3">
      <c r="A1445" s="4">
        <v>46002</v>
      </c>
      <c r="B1445" s="5">
        <v>130.20509999999999</v>
      </c>
      <c r="C1445" s="5">
        <v>96.495599999999996</v>
      </c>
    </row>
    <row r="1446" spans="1:3" x14ac:dyDescent="0.3">
      <c r="A1446" s="4">
        <v>46003</v>
      </c>
      <c r="B1446" s="5">
        <v>130.1627</v>
      </c>
      <c r="C1446" s="5">
        <v>96.425399999999996</v>
      </c>
    </row>
    <row r="1447" spans="1:3" x14ac:dyDescent="0.3">
      <c r="A1447" s="4">
        <v>46006</v>
      </c>
      <c r="B1447" s="5">
        <v>130.0386</v>
      </c>
      <c r="C1447" s="5">
        <v>96.402199999999993</v>
      </c>
    </row>
    <row r="1448" spans="1:3" x14ac:dyDescent="0.3">
      <c r="A1448" s="4">
        <v>46007</v>
      </c>
      <c r="B1448" s="5">
        <v>130.0241</v>
      </c>
      <c r="C1448" s="5">
        <v>96.461699999999993</v>
      </c>
    </row>
    <row r="1449" spans="1:3" x14ac:dyDescent="0.3">
      <c r="A1449" s="4">
        <v>46008</v>
      </c>
      <c r="B1449" s="5">
        <v>130.11879999999999</v>
      </c>
      <c r="C1449" s="5">
        <v>96.488299999999995</v>
      </c>
    </row>
    <row r="1450" spans="1:3" x14ac:dyDescent="0.3">
      <c r="A1450" s="4">
        <v>46009</v>
      </c>
      <c r="B1450" s="5">
        <v>130.1437</v>
      </c>
      <c r="C1450" s="5">
        <v>96.571299999999994</v>
      </c>
    </row>
    <row r="1451" spans="1:3" x14ac:dyDescent="0.3">
      <c r="A1451" s="4">
        <v>46010</v>
      </c>
      <c r="B1451" s="5">
        <v>130.19649999999999</v>
      </c>
      <c r="C1451" s="5">
        <v>96.596299999999999</v>
      </c>
    </row>
    <row r="1452" spans="1:3" x14ac:dyDescent="0.3">
      <c r="A1452" s="4">
        <v>46013</v>
      </c>
      <c r="B1452" s="5">
        <v>130.17070000000001</v>
      </c>
      <c r="C1452" s="5">
        <v>96.488699999999994</v>
      </c>
    </row>
    <row r="1453" spans="1:3" x14ac:dyDescent="0.3">
      <c r="A1453" s="4">
        <v>46014</v>
      </c>
      <c r="B1453" s="5">
        <v>130.24449999999999</v>
      </c>
      <c r="C1453" s="5">
        <v>96.508600000000001</v>
      </c>
    </row>
    <row r="1454" spans="1:3" x14ac:dyDescent="0.3">
      <c r="A1454" s="4">
        <v>46015</v>
      </c>
      <c r="B1454" s="5">
        <v>130.28059999999999</v>
      </c>
      <c r="C1454" s="5">
        <v>96.4726</v>
      </c>
    </row>
    <row r="1455" spans="1:3" x14ac:dyDescent="0.3">
      <c r="A1455" s="4">
        <v>46016</v>
      </c>
      <c r="B1455" s="5">
        <v>130.28829999999999</v>
      </c>
      <c r="C1455" s="5">
        <v>96.605900000000005</v>
      </c>
    </row>
    <row r="1456" spans="1:3" x14ac:dyDescent="0.3">
      <c r="A1456" s="4">
        <v>46017</v>
      </c>
      <c r="B1456" s="5">
        <v>130.3313</v>
      </c>
      <c r="C1456" s="5">
        <v>96.588099999999997</v>
      </c>
    </row>
    <row r="1457" spans="1:3" x14ac:dyDescent="0.3">
      <c r="A1457" s="4">
        <v>46020</v>
      </c>
      <c r="B1457" s="5">
        <v>130.17070000000001</v>
      </c>
      <c r="C1457" s="5">
        <v>96.633300000000006</v>
      </c>
    </row>
    <row r="1458" spans="1:3" x14ac:dyDescent="0.3">
      <c r="A1458" s="4">
        <v>46021</v>
      </c>
      <c r="B1458" s="5">
        <v>130.15369999999999</v>
      </c>
      <c r="C1458" s="5">
        <v>96.709100000000007</v>
      </c>
    </row>
    <row r="1459" spans="1:3" x14ac:dyDescent="0.3">
      <c r="A1459" s="4">
        <v>46022</v>
      </c>
      <c r="B1459" s="5">
        <v>130.14570000000001</v>
      </c>
      <c r="C1459" s="5">
        <v>96.714600000000004</v>
      </c>
    </row>
    <row r="1460" spans="1:3" x14ac:dyDescent="0.3">
      <c r="A1460" s="4">
        <v>46027</v>
      </c>
      <c r="B1460" s="5">
        <v>130.09139999999999</v>
      </c>
      <c r="C1460" s="5">
        <v>96.548000000000002</v>
      </c>
    </row>
    <row r="1461" spans="1:3" x14ac:dyDescent="0.3">
      <c r="A1461" s="4">
        <v>46028</v>
      </c>
      <c r="B1461" s="5">
        <v>129.9796</v>
      </c>
      <c r="C1461" s="5">
        <v>96.554199999999994</v>
      </c>
    </row>
    <row r="1462" spans="1:3" x14ac:dyDescent="0.3">
      <c r="A1462" s="4">
        <v>46029</v>
      </c>
      <c r="B1462" s="5">
        <v>129.8973</v>
      </c>
      <c r="C1462" s="5">
        <v>96.615300000000005</v>
      </c>
    </row>
    <row r="1463" spans="1:3" x14ac:dyDescent="0.3">
      <c r="A1463" s="4">
        <v>46030</v>
      </c>
      <c r="B1463" s="5">
        <v>129.93559999999999</v>
      </c>
      <c r="C1463" s="5">
        <v>96.704599999999999</v>
      </c>
    </row>
    <row r="1464" spans="1:3" x14ac:dyDescent="0.3">
      <c r="A1464" s="4">
        <v>46031</v>
      </c>
      <c r="B1464" s="5">
        <v>129.9751</v>
      </c>
      <c r="C1464" s="5">
        <v>96.576099999999997</v>
      </c>
    </row>
    <row r="1465" spans="1:3" x14ac:dyDescent="0.3">
      <c r="A1465" s="4">
        <v>46034</v>
      </c>
      <c r="B1465" s="5">
        <v>130.0335</v>
      </c>
      <c r="C1465" s="5">
        <v>96.524299999999997</v>
      </c>
    </row>
    <row r="1466" spans="1:3" x14ac:dyDescent="0.3">
      <c r="A1466" s="4">
        <v>46035</v>
      </c>
      <c r="B1466" s="5">
        <v>130.07759999999999</v>
      </c>
      <c r="C1466" s="5">
        <v>96.4619</v>
      </c>
    </row>
    <row r="1467" spans="1:3" x14ac:dyDescent="0.3">
      <c r="A1467" s="4">
        <v>46036</v>
      </c>
      <c r="B1467" s="5">
        <v>130.09020000000001</v>
      </c>
      <c r="C1467" s="5">
        <v>96.553100000000001</v>
      </c>
    </row>
    <row r="1468" spans="1:3" x14ac:dyDescent="0.3">
      <c r="A1468" s="4">
        <v>46037</v>
      </c>
      <c r="B1468" s="5">
        <v>130.1225</v>
      </c>
      <c r="C1468" s="5">
        <v>96.647800000000004</v>
      </c>
    </row>
    <row r="1469" spans="1:3" x14ac:dyDescent="0.3">
      <c r="A1469" s="4">
        <v>46038</v>
      </c>
      <c r="B1469" s="5">
        <v>130.15530000000001</v>
      </c>
      <c r="C1469" s="5">
        <v>96.553899999999999</v>
      </c>
    </row>
    <row r="1470" spans="1:3" x14ac:dyDescent="0.3">
      <c r="A1470" s="4">
        <v>46041</v>
      </c>
      <c r="B1470" s="5">
        <v>130.17160000000001</v>
      </c>
      <c r="C1470" s="5">
        <v>96.377899999999997</v>
      </c>
    </row>
    <row r="1471" spans="1:3" x14ac:dyDescent="0.3">
      <c r="A1471" s="4">
        <v>46042</v>
      </c>
      <c r="B1471" s="5">
        <v>130.2482</v>
      </c>
      <c r="C1471" s="5">
        <v>96.279300000000006</v>
      </c>
    </row>
    <row r="1472" spans="1:3" x14ac:dyDescent="0.3">
      <c r="A1472" s="4">
        <v>46043</v>
      </c>
      <c r="B1472" s="5">
        <v>130.3519</v>
      </c>
      <c r="C1472" s="5">
        <v>96.22</v>
      </c>
    </row>
    <row r="1473" spans="1:3" x14ac:dyDescent="0.3">
      <c r="A1473" s="4">
        <v>46044</v>
      </c>
      <c r="B1473" s="5">
        <v>130.37450000000001</v>
      </c>
      <c r="C1473" s="5">
        <v>96.311599999999999</v>
      </c>
    </row>
    <row r="1474" spans="1:3" x14ac:dyDescent="0.3">
      <c r="A1474" s="4">
        <v>46045</v>
      </c>
      <c r="B1474" s="5">
        <v>130.43620000000001</v>
      </c>
      <c r="C1474" s="5">
        <v>96.373400000000004</v>
      </c>
    </row>
    <row r="1475" spans="1:3" x14ac:dyDescent="0.3">
      <c r="A1475" s="4">
        <v>46048</v>
      </c>
      <c r="B1475" s="5">
        <v>130.4436</v>
      </c>
      <c r="C1475" s="5">
        <v>96.4114</v>
      </c>
    </row>
    <row r="1476" spans="1:3" x14ac:dyDescent="0.3">
      <c r="A1476" s="4">
        <v>46049</v>
      </c>
      <c r="B1476" s="5">
        <v>130.40610000000001</v>
      </c>
      <c r="C1476" s="5">
        <v>96.439800000000005</v>
      </c>
    </row>
    <row r="1477" spans="1:3" x14ac:dyDescent="0.3">
      <c r="A1477" s="4">
        <v>46050</v>
      </c>
      <c r="B1477" s="5">
        <v>130.43559999999999</v>
      </c>
      <c r="C1477" s="5">
        <v>96.418800000000005</v>
      </c>
    </row>
    <row r="1478" spans="1:3" x14ac:dyDescent="0.3">
      <c r="A1478" s="4">
        <v>46051</v>
      </c>
      <c r="B1478" s="5">
        <v>130.45099999999999</v>
      </c>
      <c r="C1478" s="5">
        <v>96.354600000000005</v>
      </c>
    </row>
    <row r="1479" spans="1:3" x14ac:dyDescent="0.3">
      <c r="A1479" s="4">
        <v>46052</v>
      </c>
      <c r="B1479" s="5">
        <v>130.43350000000001</v>
      </c>
      <c r="C1479" s="5">
        <v>96.353099999999998</v>
      </c>
    </row>
    <row r="1480" spans="1:3" x14ac:dyDescent="0.3">
      <c r="A1480" s="4">
        <v>46055</v>
      </c>
      <c r="B1480" s="5">
        <v>130.43969999999999</v>
      </c>
      <c r="C1480" s="5">
        <v>96.493499999999997</v>
      </c>
    </row>
    <row r="1481" spans="1:3" x14ac:dyDescent="0.3">
      <c r="A1481" s="4">
        <v>46056</v>
      </c>
      <c r="B1481" s="5">
        <v>130.40880000000001</v>
      </c>
      <c r="C1481" s="5">
        <v>96.285300000000007</v>
      </c>
    </row>
    <row r="1482" spans="1:3" x14ac:dyDescent="0.3">
      <c r="A1482" s="4">
        <v>46057</v>
      </c>
      <c r="B1482" s="5">
        <v>130.39680000000001</v>
      </c>
      <c r="C1482" s="5">
        <v>96.314099999999996</v>
      </c>
    </row>
    <row r="1483" spans="1:3" x14ac:dyDescent="0.3">
      <c r="A1483" s="4">
        <v>46058</v>
      </c>
      <c r="B1483" s="5">
        <v>130.42429999999999</v>
      </c>
      <c r="C1483" s="5">
        <v>96.359800000000007</v>
      </c>
    </row>
    <row r="1484" spans="1:3" x14ac:dyDescent="0.3">
      <c r="A1484" s="4">
        <v>46059</v>
      </c>
      <c r="B1484" s="5">
        <v>130.50389999999999</v>
      </c>
      <c r="C1484" s="5">
        <v>96.659599999999998</v>
      </c>
    </row>
    <row r="1485" spans="1:3" x14ac:dyDescent="0.3">
      <c r="A1485" s="4">
        <v>46062</v>
      </c>
      <c r="B1485" s="5">
        <v>130.5531</v>
      </c>
      <c r="C1485" s="5">
        <v>96.508899999999997</v>
      </c>
    </row>
    <row r="1486" spans="1:3" x14ac:dyDescent="0.3">
      <c r="A1486" s="4">
        <v>46063</v>
      </c>
      <c r="B1486" s="5">
        <v>130.56960000000001</v>
      </c>
      <c r="C1486" s="5">
        <v>96.6524</v>
      </c>
    </row>
    <row r="1487" spans="1:3" x14ac:dyDescent="0.3">
      <c r="A1487" s="4">
        <v>46064</v>
      </c>
      <c r="B1487" s="5">
        <v>130.60120000000001</v>
      </c>
      <c r="C1487" s="5">
        <v>96.855999999999995</v>
      </c>
    </row>
    <row r="1488" spans="1:3" x14ac:dyDescent="0.3">
      <c r="A1488" s="4">
        <v>46065</v>
      </c>
      <c r="B1488" s="5">
        <v>130.63480000000001</v>
      </c>
      <c r="C1488" s="5">
        <v>96.709199999999996</v>
      </c>
    </row>
    <row r="1489" spans="1:3" x14ac:dyDescent="0.3">
      <c r="A1489" s="4">
        <v>46066</v>
      </c>
      <c r="B1489" s="5">
        <v>130.64150000000001</v>
      </c>
      <c r="C1489" s="5">
        <v>96.937600000000003</v>
      </c>
    </row>
    <row r="1490" spans="1:3" x14ac:dyDescent="0.3">
      <c r="A1490" s="4">
        <v>46077</v>
      </c>
      <c r="B1490" s="5">
        <v>130.6592</v>
      </c>
      <c r="C1490" s="5">
        <v>97.161100000000005</v>
      </c>
    </row>
    <row r="1491" spans="1:3" x14ac:dyDescent="0.3">
      <c r="A1491" s="4">
        <v>46078</v>
      </c>
      <c r="B1491" s="5">
        <v>130.57660000000001</v>
      </c>
      <c r="C1491" s="5">
        <v>97.141199999999998</v>
      </c>
    </row>
    <row r="1492" spans="1:3" x14ac:dyDescent="0.3">
      <c r="A1492" s="4">
        <v>46079</v>
      </c>
      <c r="B1492" s="5">
        <v>130.45179999999999</v>
      </c>
      <c r="C1492" s="5">
        <v>97.136300000000006</v>
      </c>
    </row>
    <row r="1493" spans="1:3" x14ac:dyDescent="0.3">
      <c r="A1493" s="4">
        <v>46080</v>
      </c>
      <c r="B1493" s="5">
        <v>130.4504</v>
      </c>
      <c r="C1493" s="5">
        <v>97.306200000000004</v>
      </c>
    </row>
    <row r="1494" spans="1:3" x14ac:dyDescent="0.3">
      <c r="A1494" s="4">
        <v>46083</v>
      </c>
      <c r="B1494" s="5">
        <v>130.51589999999999</v>
      </c>
      <c r="C1494" s="5">
        <v>97.4101</v>
      </c>
    </row>
    <row r="1495" spans="1:3" x14ac:dyDescent="0.3">
      <c r="A1495" s="4">
        <v>46084</v>
      </c>
      <c r="B1495" s="5">
        <v>130.52930000000001</v>
      </c>
      <c r="C1495" s="5">
        <v>97.0642</v>
      </c>
    </row>
    <row r="1496" spans="1:3" x14ac:dyDescent="0.3">
      <c r="A1496" s="4">
        <v>46085</v>
      </c>
      <c r="B1496" s="5">
        <v>130.55449999999999</v>
      </c>
      <c r="C1496" s="5">
        <v>96.981300000000005</v>
      </c>
    </row>
    <row r="1497" spans="1:3" x14ac:dyDescent="0.3">
      <c r="A1497" s="4">
        <v>46086</v>
      </c>
      <c r="B1497" s="5">
        <v>130.5752</v>
      </c>
      <c r="C1497" s="5">
        <v>96.820899999999995</v>
      </c>
    </row>
    <row r="1498" spans="1:3" x14ac:dyDescent="0.3">
      <c r="A1498" s="4">
        <v>46087</v>
      </c>
      <c r="B1498" s="5">
        <v>130.57409999999999</v>
      </c>
      <c r="C1498" s="5">
        <v>96.7637</v>
      </c>
    </row>
    <row r="1499" spans="1:3" x14ac:dyDescent="0.3">
      <c r="A1499" s="4">
        <v>46090</v>
      </c>
      <c r="B1499" s="5">
        <v>130.42449999999999</v>
      </c>
      <c r="C1499" s="5">
        <v>96.623900000000006</v>
      </c>
    </row>
    <row r="1500" spans="1:3" x14ac:dyDescent="0.3">
      <c r="A1500" s="4">
        <v>46091</v>
      </c>
      <c r="B1500" s="5">
        <v>130.4212</v>
      </c>
      <c r="C1500" s="5">
        <v>96.871700000000004</v>
      </c>
    </row>
    <row r="1501" spans="1:3" x14ac:dyDescent="0.3">
      <c r="A1501" s="4">
        <v>46092</v>
      </c>
      <c r="B1501" s="5">
        <v>130.39169999999999</v>
      </c>
      <c r="C1501" s="5">
        <v>96.702699999999993</v>
      </c>
    </row>
    <row r="1502" spans="1:3" x14ac:dyDescent="0.3">
      <c r="A1502" s="4">
        <v>46093</v>
      </c>
      <c r="B1502" s="5">
        <v>130.41319999999999</v>
      </c>
      <c r="C1502" s="5">
        <v>96.361900000000006</v>
      </c>
    </row>
    <row r="1503" spans="1:3" x14ac:dyDescent="0.3">
      <c r="A1503" s="4">
        <v>46094</v>
      </c>
      <c r="B1503" s="5">
        <v>130.40559999999999</v>
      </c>
      <c r="C1503" s="5">
        <v>96.191199999999995</v>
      </c>
    </row>
    <row r="1504" spans="1:3" x14ac:dyDescent="0.3">
      <c r="A1504" s="4">
        <v>46097</v>
      </c>
      <c r="B1504" s="5">
        <v>130.2972</v>
      </c>
      <c r="C1504" s="5">
        <v>96.194500000000005</v>
      </c>
    </row>
    <row r="1505" spans="1:3" x14ac:dyDescent="0.3">
      <c r="A1505" s="4">
        <v>46098</v>
      </c>
      <c r="B1505" s="5">
        <v>130.3143</v>
      </c>
      <c r="C1505" s="5">
        <v>96.305800000000005</v>
      </c>
    </row>
    <row r="1506" spans="1:3" x14ac:dyDescent="0.3">
      <c r="A1506" s="4">
        <v>46099</v>
      </c>
      <c r="B1506" s="5">
        <v>130.37039999999999</v>
      </c>
      <c r="C1506" s="5">
        <v>96.474800000000002</v>
      </c>
    </row>
    <row r="1507" spans="1:3" x14ac:dyDescent="0.3">
      <c r="A1507" s="4">
        <v>46100</v>
      </c>
      <c r="B1507" s="5">
        <v>130.3767</v>
      </c>
      <c r="C1507" s="5">
        <v>96.132999999999996</v>
      </c>
    </row>
    <row r="1508" spans="1:3" x14ac:dyDescent="0.3">
      <c r="A1508" s="4">
        <v>46101</v>
      </c>
      <c r="B1508" s="5">
        <v>130.3664</v>
      </c>
      <c r="C1508" s="5">
        <v>96.250699999999995</v>
      </c>
    </row>
    <row r="1509" spans="1:3" x14ac:dyDescent="0.3">
      <c r="A1509" s="4">
        <v>46104</v>
      </c>
      <c r="B1509" s="5">
        <v>130.3467</v>
      </c>
      <c r="C1509" s="5">
        <v>95.666799999999995</v>
      </c>
    </row>
    <row r="1510" spans="1:3" x14ac:dyDescent="0.3">
      <c r="A1510" s="4">
        <v>46105</v>
      </c>
      <c r="B1510" s="5">
        <v>130.38329999999999</v>
      </c>
      <c r="C1510" s="5">
        <v>95.840900000000005</v>
      </c>
    </row>
    <row r="1511" spans="1:3" x14ac:dyDescent="0.3">
      <c r="A1511" s="4">
        <v>46106</v>
      </c>
      <c r="B1511" s="5">
        <v>130.3836</v>
      </c>
      <c r="C1511" s="5">
        <v>95.865300000000005</v>
      </c>
    </row>
    <row r="1512" spans="1:3" x14ac:dyDescent="0.3">
      <c r="A1512" s="4">
        <v>46107</v>
      </c>
      <c r="B1512" s="5">
        <v>130.41319999999999</v>
      </c>
      <c r="C1512" s="5">
        <v>95.819800000000001</v>
      </c>
    </row>
    <row r="1513" spans="1:3" x14ac:dyDescent="0.3">
      <c r="A1513" s="4">
        <v>46108</v>
      </c>
      <c r="B1513" s="5">
        <v>130.41640000000001</v>
      </c>
      <c r="C1513" s="5">
        <v>95.648700000000005</v>
      </c>
    </row>
    <row r="1514" spans="1:3" x14ac:dyDescent="0.3">
      <c r="A1514" s="4">
        <v>46111</v>
      </c>
      <c r="B1514" s="5">
        <v>130.49510000000001</v>
      </c>
      <c r="C1514" s="5">
        <v>95.793300000000002</v>
      </c>
    </row>
    <row r="1515" spans="1:3" x14ac:dyDescent="0.3">
      <c r="A1515" s="4">
        <v>46112</v>
      </c>
      <c r="B1515" s="5">
        <v>130.5189</v>
      </c>
      <c r="C1515" s="5">
        <v>96.005200000000002</v>
      </c>
    </row>
    <row r="1516" spans="1:3" x14ac:dyDescent="0.3">
      <c r="A1516" s="4">
        <v>46113</v>
      </c>
      <c r="B1516" s="5">
        <v>130.49109999999999</v>
      </c>
      <c r="C1516" s="5">
        <v>96.195999999999998</v>
      </c>
    </row>
    <row r="1517" spans="1:3" x14ac:dyDescent="0.3">
      <c r="A1517" s="4">
        <v>46114</v>
      </c>
      <c r="B1517" s="5">
        <v>130.4836</v>
      </c>
      <c r="C1517" s="5">
        <v>95.909000000000006</v>
      </c>
    </row>
    <row r="1518" spans="1:3" x14ac:dyDescent="0.3">
      <c r="A1518" s="4">
        <v>46115</v>
      </c>
      <c r="B1518" s="5">
        <v>130.53120000000001</v>
      </c>
      <c r="C1518" s="5">
        <v>96.129400000000004</v>
      </c>
    </row>
    <row r="1519" spans="1:3" x14ac:dyDescent="0.3">
      <c r="A1519" s="4">
        <v>46119</v>
      </c>
      <c r="B1519" s="5">
        <v>130.62280000000001</v>
      </c>
      <c r="C1519" s="5">
        <v>96.006200000000007</v>
      </c>
    </row>
    <row r="1520" spans="1:3" x14ac:dyDescent="0.3">
      <c r="A1520" s="4">
        <v>46120</v>
      </c>
      <c r="B1520" s="5">
        <v>130.6892</v>
      </c>
      <c r="C1520" s="5">
        <v>96.347899999999996</v>
      </c>
    </row>
    <row r="1521" spans="1:3" x14ac:dyDescent="0.3">
      <c r="A1521" s="4">
        <v>46121</v>
      </c>
      <c r="B1521" s="5">
        <v>130.70230000000001</v>
      </c>
      <c r="C1521" s="5">
        <v>96.195499999999996</v>
      </c>
    </row>
    <row r="1522" spans="1:3" x14ac:dyDescent="0.3">
      <c r="A1522" s="4">
        <v>46122</v>
      </c>
      <c r="B1522" s="5">
        <v>130.7578</v>
      </c>
      <c r="C1522" s="5">
        <v>96.228700000000003</v>
      </c>
    </row>
    <row r="1523" spans="1:3" x14ac:dyDescent="0.3">
      <c r="A1523" s="4">
        <v>46125</v>
      </c>
      <c r="B1523" s="5">
        <v>130.834</v>
      </c>
      <c r="C1523" s="5">
        <v>96.093400000000003</v>
      </c>
    </row>
    <row r="1524" spans="1:3" x14ac:dyDescent="0.3">
      <c r="A1524" s="4">
        <v>46126</v>
      </c>
      <c r="B1524" s="5">
        <v>130.87809999999999</v>
      </c>
      <c r="C1524" s="5">
        <v>96.2911</v>
      </c>
    </row>
    <row r="1525" spans="1:3" x14ac:dyDescent="0.3">
      <c r="A1525" s="4">
        <v>46127</v>
      </c>
      <c r="B1525" s="5">
        <v>130.87780000000001</v>
      </c>
      <c r="C1525" s="5">
        <v>96.442400000000006</v>
      </c>
    </row>
    <row r="1526" spans="1:3" x14ac:dyDescent="0.3">
      <c r="A1526" s="4">
        <v>46128</v>
      </c>
      <c r="B1526" s="5">
        <v>130.88499999999999</v>
      </c>
      <c r="C1526" s="5">
        <v>96.335700000000003</v>
      </c>
    </row>
    <row r="1527" spans="1:3" x14ac:dyDescent="0.3">
      <c r="A1527" s="4">
        <v>46129</v>
      </c>
      <c r="B1527" s="5">
        <v>130.97550000000001</v>
      </c>
      <c r="C1527" s="5">
        <v>96.176100000000005</v>
      </c>
    </row>
    <row r="1528" spans="1:3" x14ac:dyDescent="0.3">
      <c r="A1528" s="4">
        <v>46132</v>
      </c>
      <c r="B1528" s="5">
        <v>131.02279999999999</v>
      </c>
      <c r="C1528" s="5">
        <v>96.354299999999995</v>
      </c>
    </row>
    <row r="1529" spans="1:3" x14ac:dyDescent="0.3">
      <c r="A1529" s="4">
        <v>46133</v>
      </c>
      <c r="B1529" s="5">
        <v>131.09379999999999</v>
      </c>
      <c r="C1529" s="5">
        <v>96.383799999999994</v>
      </c>
    </row>
    <row r="1530" spans="1:3" x14ac:dyDescent="0.3">
      <c r="A1530" s="4">
        <v>46134</v>
      </c>
      <c r="B1530" s="5">
        <v>131.16249999999999</v>
      </c>
      <c r="C1530" s="5">
        <v>96.260400000000004</v>
      </c>
    </row>
    <row r="1531" spans="1:3" x14ac:dyDescent="0.3">
      <c r="A1531" s="4">
        <v>46135</v>
      </c>
      <c r="B1531" s="5">
        <v>131.10589999999999</v>
      </c>
      <c r="C1531" s="5">
        <v>96.181899999999999</v>
      </c>
    </row>
    <row r="1532" spans="1:3" x14ac:dyDescent="0.3">
      <c r="A1532" s="4">
        <v>46136</v>
      </c>
      <c r="B1532" s="5">
        <v>131.03530000000001</v>
      </c>
      <c r="C1532" s="5">
        <v>96.112499999999997</v>
      </c>
    </row>
    <row r="1533" spans="1:3" x14ac:dyDescent="0.3">
      <c r="A1533" s="4">
        <v>46139</v>
      </c>
      <c r="B1533" s="5">
        <v>130.9271</v>
      </c>
      <c r="C1533" s="5">
        <v>96.153999999999996</v>
      </c>
    </row>
    <row r="1534" spans="1:3" x14ac:dyDescent="0.3">
      <c r="A1534" s="4">
        <v>46140</v>
      </c>
      <c r="B1534" s="5">
        <v>130.94550000000001</v>
      </c>
      <c r="C1534" s="5">
        <v>96.031599999999997</v>
      </c>
    </row>
    <row r="1535" spans="1:3" x14ac:dyDescent="0.3">
      <c r="A1535" s="4">
        <v>46141</v>
      </c>
      <c r="B1535" s="5">
        <v>130.99789999999999</v>
      </c>
      <c r="C1535" s="5">
        <v>96.008200000000002</v>
      </c>
    </row>
    <row r="1536" spans="1:3" x14ac:dyDescent="0.3">
      <c r="A1536" s="4">
        <v>46142</v>
      </c>
      <c r="B1536" s="5">
        <v>130.9597</v>
      </c>
      <c r="C1536" s="5">
        <v>95.721599999999995</v>
      </c>
    </row>
    <row r="1537" spans="1:3" x14ac:dyDescent="0.3">
      <c r="A1537" s="4">
        <v>46148</v>
      </c>
      <c r="B1537" s="5">
        <v>130.87629999999999</v>
      </c>
      <c r="C1537" s="5">
        <v>95.855900000000005</v>
      </c>
    </row>
    <row r="1538" spans="1:3" x14ac:dyDescent="0.3">
      <c r="A1538" s="4">
        <v>46149</v>
      </c>
      <c r="B1538" s="5">
        <v>130.8897</v>
      </c>
      <c r="C1538" s="5">
        <v>96.118300000000005</v>
      </c>
    </row>
    <row r="1539" spans="1:3" x14ac:dyDescent="0.3">
      <c r="A1539" s="4">
        <v>46150</v>
      </c>
      <c r="B1539" s="5">
        <v>130.92179999999999</v>
      </c>
      <c r="C1539" s="5">
        <v>95.883099999999999</v>
      </c>
    </row>
    <row r="1540" spans="1:3" x14ac:dyDescent="0.3">
      <c r="A1540" s="4">
        <v>46153</v>
      </c>
      <c r="B1540" s="5">
        <v>130.96969999999999</v>
      </c>
      <c r="C1540" s="5">
        <v>95.910600000000002</v>
      </c>
    </row>
    <row r="1541" spans="1:3" x14ac:dyDescent="0.3">
      <c r="A1541" s="4">
        <v>46154</v>
      </c>
      <c r="B1541" s="5">
        <v>131.0308</v>
      </c>
      <c r="C1541" s="5">
        <v>95.728899999999996</v>
      </c>
    </row>
    <row r="1542" spans="1:3" x14ac:dyDescent="0.3">
      <c r="A1542" s="4">
        <v>46155</v>
      </c>
      <c r="B1542" s="5">
        <v>131.0308</v>
      </c>
      <c r="C1542" s="5">
        <v>95.728899999999996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E1702"/>
  <sheetViews>
    <sheetView workbookViewId="0">
      <pane xSplit="1" ySplit="3" topLeftCell="B1691" activePane="bottomRight" state="frozen"/>
      <selection pane="topRight"/>
      <selection pane="bottomLeft"/>
      <selection pane="bottomRight" activeCell="I1707" sqref="I1707"/>
    </sheetView>
  </sheetViews>
  <sheetFormatPr defaultColWidth="9" defaultRowHeight="13.5" x14ac:dyDescent="0.3"/>
  <cols>
    <col min="1" max="1" width="11.6640625" customWidth="1"/>
    <col min="2" max="2" width="19.46484375" customWidth="1"/>
    <col min="3" max="3" width="16.6640625" customWidth="1"/>
  </cols>
  <sheetData>
    <row r="1" spans="1:3" ht="13.9" x14ac:dyDescent="0.35">
      <c r="B1" s="1" t="s">
        <v>18</v>
      </c>
    </row>
    <row r="2" spans="1:3" ht="13.9" x14ac:dyDescent="0.35">
      <c r="B2" s="1" t="s">
        <v>18</v>
      </c>
    </row>
    <row r="3" spans="1:3" ht="13.9" x14ac:dyDescent="0.35">
      <c r="A3" s="1" t="s">
        <v>12</v>
      </c>
      <c r="B3" s="1" t="s">
        <v>108</v>
      </c>
      <c r="C3" s="1" t="s">
        <v>109</v>
      </c>
    </row>
    <row r="4" spans="1:3" ht="13.9" x14ac:dyDescent="0.35">
      <c r="A4" s="1" t="s">
        <v>13</v>
      </c>
      <c r="B4" s="1" t="s">
        <v>110</v>
      </c>
      <c r="C4" s="1" t="s">
        <v>111</v>
      </c>
    </row>
    <row r="5" spans="1:3" ht="13.9" x14ac:dyDescent="0.35">
      <c r="A5" s="2">
        <v>43832</v>
      </c>
      <c r="B5" s="3">
        <f>[1]!WSD(B4:C4,B2,"2020-01-01","","TradingCalendar=SSE","rptType=1","ShowParams=Y","cols=2;rows=1698")</f>
        <v>3.1484999999999999</v>
      </c>
      <c r="C5" s="3">
        <v>1.88</v>
      </c>
    </row>
    <row r="6" spans="1:3" ht="13.9" x14ac:dyDescent="0.35">
      <c r="A6" s="2">
        <v>43833</v>
      </c>
      <c r="B6" s="3">
        <v>3.1427999999999998</v>
      </c>
      <c r="C6" s="3">
        <v>1.8</v>
      </c>
    </row>
    <row r="7" spans="1:3" ht="13.9" x14ac:dyDescent="0.35">
      <c r="A7" s="2">
        <v>43836</v>
      </c>
      <c r="B7" s="3">
        <v>3.1352000000000002</v>
      </c>
      <c r="C7" s="3">
        <v>1.81</v>
      </c>
    </row>
    <row r="8" spans="1:3" ht="13.9" x14ac:dyDescent="0.35">
      <c r="A8" s="2">
        <v>43837</v>
      </c>
      <c r="B8" s="3">
        <v>3.1379000000000001</v>
      </c>
      <c r="C8" s="3">
        <v>1.83</v>
      </c>
    </row>
    <row r="9" spans="1:3" ht="13.9" x14ac:dyDescent="0.35">
      <c r="A9" s="2">
        <v>43838</v>
      </c>
      <c r="B9" s="3">
        <v>3.1337000000000002</v>
      </c>
      <c r="C9" s="3">
        <v>1.87</v>
      </c>
    </row>
    <row r="10" spans="1:3" ht="13.9" x14ac:dyDescent="0.35">
      <c r="A10" s="2">
        <v>43839</v>
      </c>
      <c r="B10" s="3">
        <v>3.1183999999999998</v>
      </c>
      <c r="C10" s="3">
        <v>1.85</v>
      </c>
    </row>
    <row r="11" spans="1:3" ht="13.9" x14ac:dyDescent="0.35">
      <c r="A11" s="2">
        <v>43840</v>
      </c>
      <c r="B11" s="3">
        <v>3.0819000000000001</v>
      </c>
      <c r="C11" s="3">
        <v>1.83</v>
      </c>
    </row>
    <row r="12" spans="1:3" ht="13.9" x14ac:dyDescent="0.35">
      <c r="A12" s="2">
        <v>43843</v>
      </c>
      <c r="B12" s="3">
        <v>3.0840000000000001</v>
      </c>
      <c r="C12" s="3">
        <v>1.85</v>
      </c>
    </row>
    <row r="13" spans="1:3" ht="13.9" x14ac:dyDescent="0.35">
      <c r="A13" s="2">
        <v>43844</v>
      </c>
      <c r="B13" s="3">
        <v>3.0994000000000002</v>
      </c>
      <c r="C13" s="3">
        <v>1.82</v>
      </c>
    </row>
    <row r="14" spans="1:3" ht="13.9" x14ac:dyDescent="0.35">
      <c r="A14" s="2">
        <v>43845</v>
      </c>
      <c r="B14" s="3">
        <v>3.0897000000000001</v>
      </c>
      <c r="C14" s="3">
        <v>1.79</v>
      </c>
    </row>
    <row r="15" spans="1:3" ht="13.9" x14ac:dyDescent="0.35">
      <c r="A15" s="2">
        <v>43846</v>
      </c>
      <c r="B15" s="3">
        <v>3.0918000000000001</v>
      </c>
      <c r="C15" s="3">
        <v>1.81</v>
      </c>
    </row>
    <row r="16" spans="1:3" ht="13.9" x14ac:dyDescent="0.35">
      <c r="A16" s="2">
        <v>43847</v>
      </c>
      <c r="B16" s="3">
        <v>3.0832000000000002</v>
      </c>
      <c r="C16" s="3">
        <v>1.84</v>
      </c>
    </row>
    <row r="17" spans="1:3" ht="13.9" x14ac:dyDescent="0.35">
      <c r="A17" s="2">
        <v>43849</v>
      </c>
      <c r="B17" s="3">
        <v>3.0779999999999998</v>
      </c>
      <c r="C17" s="3"/>
    </row>
    <row r="18" spans="1:3" ht="13.9" x14ac:dyDescent="0.35">
      <c r="A18" s="2">
        <v>43850</v>
      </c>
      <c r="B18" s="3">
        <v>3.0775999999999999</v>
      </c>
      <c r="C18" s="3"/>
    </row>
    <row r="19" spans="1:3" ht="13.9" x14ac:dyDescent="0.35">
      <c r="A19" s="2">
        <v>43851</v>
      </c>
      <c r="B19" s="3">
        <v>3.0337000000000001</v>
      </c>
      <c r="C19" s="3">
        <v>1.78</v>
      </c>
    </row>
    <row r="20" spans="1:3" ht="13.9" x14ac:dyDescent="0.35">
      <c r="A20" s="2">
        <v>43852</v>
      </c>
      <c r="B20" s="3">
        <v>3.0282</v>
      </c>
      <c r="C20" s="3">
        <v>1.77</v>
      </c>
    </row>
    <row r="21" spans="1:3" ht="13.9" x14ac:dyDescent="0.35">
      <c r="A21" s="2">
        <v>43853</v>
      </c>
      <c r="B21" s="3">
        <v>2.9931999999999999</v>
      </c>
      <c r="C21" s="3">
        <v>1.74</v>
      </c>
    </row>
    <row r="22" spans="1:3" ht="13.9" x14ac:dyDescent="0.35">
      <c r="A22" s="2">
        <v>43854</v>
      </c>
      <c r="B22" s="3"/>
      <c r="C22" s="3">
        <v>1.7</v>
      </c>
    </row>
    <row r="23" spans="1:3" ht="13.9" x14ac:dyDescent="0.35">
      <c r="A23" s="2">
        <v>43857</v>
      </c>
      <c r="B23" s="3"/>
      <c r="C23" s="3">
        <v>1.61</v>
      </c>
    </row>
    <row r="24" spans="1:3" ht="13.9" x14ac:dyDescent="0.35">
      <c r="A24" s="2">
        <v>43858</v>
      </c>
      <c r="B24" s="3"/>
      <c r="C24" s="3">
        <v>1.65</v>
      </c>
    </row>
    <row r="25" spans="1:3" ht="13.9" x14ac:dyDescent="0.35">
      <c r="A25" s="2">
        <v>43859</v>
      </c>
      <c r="B25" s="3"/>
      <c r="C25" s="3">
        <v>1.6</v>
      </c>
    </row>
    <row r="26" spans="1:3" ht="13.9" x14ac:dyDescent="0.35">
      <c r="A26" s="2">
        <v>43860</v>
      </c>
      <c r="B26" s="3"/>
      <c r="C26" s="3">
        <v>1.57</v>
      </c>
    </row>
    <row r="27" spans="1:3" ht="13.9" x14ac:dyDescent="0.35">
      <c r="A27" s="2">
        <v>43861</v>
      </c>
      <c r="B27" s="3"/>
      <c r="C27" s="3">
        <v>1.51</v>
      </c>
    </row>
    <row r="28" spans="1:3" ht="13.9" x14ac:dyDescent="0.35">
      <c r="A28" s="2">
        <v>43864</v>
      </c>
      <c r="B28" s="3">
        <v>2.8231000000000002</v>
      </c>
      <c r="C28" s="3">
        <v>1.54</v>
      </c>
    </row>
    <row r="29" spans="1:3" ht="13.9" x14ac:dyDescent="0.35">
      <c r="A29" s="2">
        <v>43865</v>
      </c>
      <c r="B29" s="3">
        <v>2.8551000000000002</v>
      </c>
      <c r="C29" s="3">
        <v>1.61</v>
      </c>
    </row>
    <row r="30" spans="1:3" ht="13.9" x14ac:dyDescent="0.35">
      <c r="A30" s="2">
        <v>43866</v>
      </c>
      <c r="B30" s="3">
        <v>2.8439999999999999</v>
      </c>
      <c r="C30" s="3">
        <v>1.66</v>
      </c>
    </row>
    <row r="31" spans="1:3" ht="13.9" x14ac:dyDescent="0.35">
      <c r="A31" s="2">
        <v>43867</v>
      </c>
      <c r="B31" s="3">
        <v>2.8391999999999999</v>
      </c>
      <c r="C31" s="3">
        <v>1.65</v>
      </c>
    </row>
    <row r="32" spans="1:3" ht="13.9" x14ac:dyDescent="0.35">
      <c r="A32" s="2">
        <v>43868</v>
      </c>
      <c r="B32" s="3">
        <v>2.8024</v>
      </c>
      <c r="C32" s="3">
        <v>1.59</v>
      </c>
    </row>
    <row r="33" spans="1:3" ht="13.9" x14ac:dyDescent="0.35">
      <c r="A33" s="2">
        <v>43871</v>
      </c>
      <c r="B33" s="3">
        <v>2.7871999999999999</v>
      </c>
      <c r="C33" s="3">
        <v>1.56</v>
      </c>
    </row>
    <row r="34" spans="1:3" ht="13.9" x14ac:dyDescent="0.35">
      <c r="A34" s="2">
        <v>43872</v>
      </c>
      <c r="B34" s="3">
        <v>2.8340000000000001</v>
      </c>
      <c r="C34" s="3">
        <v>1.59</v>
      </c>
    </row>
    <row r="35" spans="1:3" ht="13.9" x14ac:dyDescent="0.35">
      <c r="A35" s="2">
        <v>43873</v>
      </c>
      <c r="B35" s="3">
        <v>2.8332999999999999</v>
      </c>
      <c r="C35" s="3">
        <v>1.62</v>
      </c>
    </row>
    <row r="36" spans="1:3" ht="13.9" x14ac:dyDescent="0.35">
      <c r="A36" s="2">
        <v>43874</v>
      </c>
      <c r="B36" s="3">
        <v>2.8201000000000001</v>
      </c>
      <c r="C36" s="3">
        <v>1.61</v>
      </c>
    </row>
    <row r="37" spans="1:3" ht="13.9" x14ac:dyDescent="0.35">
      <c r="A37" s="2">
        <v>43875</v>
      </c>
      <c r="B37" s="3">
        <v>2.8631000000000002</v>
      </c>
      <c r="C37" s="3">
        <v>1.59</v>
      </c>
    </row>
    <row r="38" spans="1:3" ht="13.9" x14ac:dyDescent="0.35">
      <c r="A38" s="2">
        <v>43878</v>
      </c>
      <c r="B38" s="3">
        <v>2.8927999999999998</v>
      </c>
      <c r="C38" s="3"/>
    </row>
    <row r="39" spans="1:3" ht="13.9" x14ac:dyDescent="0.35">
      <c r="A39" s="2">
        <v>43879</v>
      </c>
      <c r="B39" s="3">
        <v>2.8664000000000001</v>
      </c>
      <c r="C39" s="3">
        <v>1.55</v>
      </c>
    </row>
    <row r="40" spans="1:3" ht="13.9" x14ac:dyDescent="0.35">
      <c r="A40" s="2">
        <v>43880</v>
      </c>
      <c r="B40" s="3">
        <v>2.8776000000000002</v>
      </c>
      <c r="C40" s="3">
        <v>1.56</v>
      </c>
    </row>
    <row r="41" spans="1:3" ht="13.9" x14ac:dyDescent="0.35">
      <c r="A41" s="2">
        <v>43881</v>
      </c>
      <c r="B41" s="3">
        <v>2.8856999999999999</v>
      </c>
      <c r="C41" s="3">
        <v>1.52</v>
      </c>
    </row>
    <row r="42" spans="1:3" ht="13.9" x14ac:dyDescent="0.35">
      <c r="A42" s="2">
        <v>43882</v>
      </c>
      <c r="B42" s="3">
        <v>2.847</v>
      </c>
      <c r="C42" s="3">
        <v>1.46</v>
      </c>
    </row>
    <row r="43" spans="1:3" ht="13.9" x14ac:dyDescent="0.35">
      <c r="A43" s="2">
        <v>43885</v>
      </c>
      <c r="B43" s="3">
        <v>2.8119999999999998</v>
      </c>
      <c r="C43" s="3">
        <v>1.38</v>
      </c>
    </row>
    <row r="44" spans="1:3" ht="13.9" x14ac:dyDescent="0.35">
      <c r="A44" s="2">
        <v>43886</v>
      </c>
      <c r="B44" s="3">
        <v>2.8220000000000001</v>
      </c>
      <c r="C44" s="3">
        <v>1.33</v>
      </c>
    </row>
    <row r="45" spans="1:3" ht="13.9" x14ac:dyDescent="0.35">
      <c r="A45" s="2">
        <v>43887</v>
      </c>
      <c r="B45" s="3">
        <v>2.7972999999999999</v>
      </c>
      <c r="C45" s="3">
        <v>1.33</v>
      </c>
    </row>
    <row r="46" spans="1:3" ht="13.9" x14ac:dyDescent="0.35">
      <c r="A46" s="2">
        <v>43888</v>
      </c>
      <c r="B46" s="3">
        <v>2.7702</v>
      </c>
      <c r="C46" s="3">
        <v>1.3</v>
      </c>
    </row>
    <row r="47" spans="1:3" ht="13.9" x14ac:dyDescent="0.35">
      <c r="A47" s="2">
        <v>43889</v>
      </c>
      <c r="B47" s="3">
        <v>2.7376</v>
      </c>
      <c r="C47" s="3">
        <v>1.1299999999999999</v>
      </c>
    </row>
    <row r="48" spans="1:3" ht="13.9" x14ac:dyDescent="0.35">
      <c r="A48" s="2">
        <v>43892</v>
      </c>
      <c r="B48" s="3">
        <v>2.7427999999999999</v>
      </c>
      <c r="C48" s="3">
        <v>1.1000000000000001</v>
      </c>
    </row>
    <row r="49" spans="1:3" ht="13.9" x14ac:dyDescent="0.35">
      <c r="A49" s="2">
        <v>43893</v>
      </c>
      <c r="B49" s="3">
        <v>2.7477999999999998</v>
      </c>
      <c r="C49" s="3">
        <v>1.02</v>
      </c>
    </row>
    <row r="50" spans="1:3" ht="13.9" x14ac:dyDescent="0.35">
      <c r="A50" s="2">
        <v>43894</v>
      </c>
      <c r="B50" s="3">
        <v>2.673</v>
      </c>
      <c r="C50" s="3">
        <v>1.02</v>
      </c>
    </row>
    <row r="51" spans="1:3" ht="13.9" x14ac:dyDescent="0.35">
      <c r="A51" s="2">
        <v>43895</v>
      </c>
      <c r="B51" s="3">
        <v>2.6829000000000001</v>
      </c>
      <c r="C51" s="3">
        <v>0.92</v>
      </c>
    </row>
    <row r="52" spans="1:3" ht="13.9" x14ac:dyDescent="0.35">
      <c r="A52" s="2">
        <v>43896</v>
      </c>
      <c r="B52" s="3">
        <v>2.6280000000000001</v>
      </c>
      <c r="C52" s="3">
        <v>0.74</v>
      </c>
    </row>
    <row r="53" spans="1:3" ht="13.9" x14ac:dyDescent="0.35">
      <c r="A53" s="2">
        <v>43899</v>
      </c>
      <c r="B53" s="3">
        <v>2.5205000000000002</v>
      </c>
      <c r="C53" s="3">
        <v>0.54</v>
      </c>
    </row>
    <row r="54" spans="1:3" ht="13.9" x14ac:dyDescent="0.35">
      <c r="A54" s="2">
        <v>43900</v>
      </c>
      <c r="B54" s="3">
        <v>2.613</v>
      </c>
      <c r="C54" s="3">
        <v>0.76</v>
      </c>
    </row>
    <row r="55" spans="1:3" ht="13.9" x14ac:dyDescent="0.35">
      <c r="A55" s="2">
        <v>43901</v>
      </c>
      <c r="B55" s="3">
        <v>2.6078999999999999</v>
      </c>
      <c r="C55" s="3">
        <v>0.82</v>
      </c>
    </row>
    <row r="56" spans="1:3" ht="13.9" x14ac:dyDescent="0.35">
      <c r="A56" s="2">
        <v>43902</v>
      </c>
      <c r="B56" s="3">
        <v>2.6379000000000001</v>
      </c>
      <c r="C56" s="3">
        <v>0.88</v>
      </c>
    </row>
    <row r="57" spans="1:3" ht="13.9" x14ac:dyDescent="0.35">
      <c r="A57" s="2">
        <v>43903</v>
      </c>
      <c r="B57" s="3">
        <v>2.6758999999999999</v>
      </c>
      <c r="C57" s="3">
        <v>0.94</v>
      </c>
    </row>
    <row r="58" spans="1:3" ht="13.9" x14ac:dyDescent="0.35">
      <c r="A58" s="2">
        <v>43906</v>
      </c>
      <c r="B58" s="3">
        <v>2.6758000000000002</v>
      </c>
      <c r="C58" s="3">
        <v>0.73</v>
      </c>
    </row>
    <row r="59" spans="1:3" ht="13.9" x14ac:dyDescent="0.35">
      <c r="A59" s="2">
        <v>43907</v>
      </c>
      <c r="B59" s="3">
        <v>2.7134999999999998</v>
      </c>
      <c r="C59" s="3">
        <v>1.02</v>
      </c>
    </row>
    <row r="60" spans="1:3" ht="13.9" x14ac:dyDescent="0.35">
      <c r="A60" s="2">
        <v>43908</v>
      </c>
      <c r="B60" s="3">
        <v>2.7136</v>
      </c>
      <c r="C60" s="3">
        <v>1.18</v>
      </c>
    </row>
    <row r="61" spans="1:3" ht="13.9" x14ac:dyDescent="0.35">
      <c r="A61" s="2">
        <v>43909</v>
      </c>
      <c r="B61" s="3">
        <v>2.7299000000000002</v>
      </c>
      <c r="C61" s="3">
        <v>1.1200000000000001</v>
      </c>
    </row>
    <row r="62" spans="1:3" ht="13.9" x14ac:dyDescent="0.35">
      <c r="A62" s="2">
        <v>43910</v>
      </c>
      <c r="B62" s="3">
        <v>2.6815000000000002</v>
      </c>
      <c r="C62" s="3">
        <v>0.92</v>
      </c>
    </row>
    <row r="63" spans="1:3" ht="13.9" x14ac:dyDescent="0.35">
      <c r="A63" s="2">
        <v>43913</v>
      </c>
      <c r="B63" s="3">
        <v>2.6315</v>
      </c>
      <c r="C63" s="3">
        <v>0.76</v>
      </c>
    </row>
    <row r="64" spans="1:3" ht="13.9" x14ac:dyDescent="0.35">
      <c r="A64" s="2">
        <v>43914</v>
      </c>
      <c r="B64" s="3">
        <v>2.6288999999999998</v>
      </c>
      <c r="C64" s="3">
        <v>0.84</v>
      </c>
    </row>
    <row r="65" spans="1:3" ht="13.9" x14ac:dyDescent="0.35">
      <c r="A65" s="2">
        <v>43915</v>
      </c>
      <c r="B65" s="3">
        <v>2.6288999999999998</v>
      </c>
      <c r="C65" s="3">
        <v>0.88</v>
      </c>
    </row>
    <row r="66" spans="1:3" ht="13.9" x14ac:dyDescent="0.35">
      <c r="A66" s="2">
        <v>43916</v>
      </c>
      <c r="B66" s="3">
        <v>2.5939999999999999</v>
      </c>
      <c r="C66" s="3">
        <v>0.83</v>
      </c>
    </row>
    <row r="67" spans="1:3" ht="13.9" x14ac:dyDescent="0.35">
      <c r="A67" s="2">
        <v>43917</v>
      </c>
      <c r="B67" s="3">
        <v>2.609</v>
      </c>
      <c r="C67" s="3">
        <v>0.72</v>
      </c>
    </row>
    <row r="68" spans="1:3" ht="13.9" x14ac:dyDescent="0.35">
      <c r="A68" s="2">
        <v>43920</v>
      </c>
      <c r="B68" s="3">
        <v>2.6141999999999999</v>
      </c>
      <c r="C68" s="3">
        <v>0.7</v>
      </c>
    </row>
    <row r="69" spans="1:3" ht="13.9" x14ac:dyDescent="0.35">
      <c r="A69" s="2">
        <v>43921</v>
      </c>
      <c r="B69" s="3">
        <v>2.5899000000000001</v>
      </c>
      <c r="C69" s="3">
        <v>0.7</v>
      </c>
    </row>
    <row r="70" spans="1:3" ht="13.9" x14ac:dyDescent="0.35">
      <c r="A70" s="2">
        <v>43922</v>
      </c>
      <c r="B70" s="3">
        <v>2.5550000000000002</v>
      </c>
      <c r="C70" s="3">
        <v>0.62</v>
      </c>
    </row>
    <row r="71" spans="1:3" ht="13.9" x14ac:dyDescent="0.35">
      <c r="A71" s="2">
        <v>43923</v>
      </c>
      <c r="B71" s="3">
        <v>2.5853999999999999</v>
      </c>
      <c r="C71" s="3">
        <v>0.63</v>
      </c>
    </row>
    <row r="72" spans="1:3" ht="13.9" x14ac:dyDescent="0.35">
      <c r="A72" s="2">
        <v>43924</v>
      </c>
      <c r="B72" s="3">
        <v>2.5964999999999998</v>
      </c>
      <c r="C72" s="3">
        <v>0.62</v>
      </c>
    </row>
    <row r="73" spans="1:3" ht="13.9" x14ac:dyDescent="0.35">
      <c r="A73" s="2">
        <v>43927</v>
      </c>
      <c r="B73" s="3"/>
      <c r="C73" s="3">
        <v>0.67</v>
      </c>
    </row>
    <row r="74" spans="1:3" ht="13.9" x14ac:dyDescent="0.35">
      <c r="A74" s="2">
        <v>43928</v>
      </c>
      <c r="B74" s="3">
        <v>2.5112000000000001</v>
      </c>
      <c r="C74" s="3">
        <v>0.75</v>
      </c>
    </row>
    <row r="75" spans="1:3" ht="13.9" x14ac:dyDescent="0.35">
      <c r="A75" s="2">
        <v>43929</v>
      </c>
      <c r="B75" s="3">
        <v>2.4824000000000002</v>
      </c>
      <c r="C75" s="3">
        <v>0.77</v>
      </c>
    </row>
    <row r="76" spans="1:3" ht="13.9" x14ac:dyDescent="0.35">
      <c r="A76" s="2">
        <v>43930</v>
      </c>
      <c r="B76" s="3">
        <v>2.5226000000000002</v>
      </c>
      <c r="C76" s="3">
        <v>0.73</v>
      </c>
    </row>
    <row r="77" spans="1:3" ht="13.9" x14ac:dyDescent="0.35">
      <c r="A77" s="2">
        <v>43931</v>
      </c>
      <c r="B77" s="3">
        <v>2.5402999999999998</v>
      </c>
      <c r="C77" s="3"/>
    </row>
    <row r="78" spans="1:3" ht="13.9" x14ac:dyDescent="0.35">
      <c r="A78" s="2">
        <v>43934</v>
      </c>
      <c r="B78" s="3">
        <v>2.5657999999999999</v>
      </c>
      <c r="C78" s="3">
        <v>0.76</v>
      </c>
    </row>
    <row r="79" spans="1:3" ht="13.9" x14ac:dyDescent="0.35">
      <c r="A79" s="2">
        <v>43935</v>
      </c>
      <c r="B79" s="3">
        <v>2.5590999999999999</v>
      </c>
      <c r="C79" s="3">
        <v>0.76</v>
      </c>
    </row>
    <row r="80" spans="1:3" ht="13.9" x14ac:dyDescent="0.35">
      <c r="A80" s="2">
        <v>43936</v>
      </c>
      <c r="B80" s="3">
        <v>2.5455000000000001</v>
      </c>
      <c r="C80" s="3">
        <v>0.63</v>
      </c>
    </row>
    <row r="81" spans="1:3" ht="13.9" x14ac:dyDescent="0.35">
      <c r="A81" s="2">
        <v>43937</v>
      </c>
      <c r="B81" s="3">
        <v>2.5276000000000001</v>
      </c>
      <c r="C81" s="3">
        <v>0.61</v>
      </c>
    </row>
    <row r="82" spans="1:3" ht="13.9" x14ac:dyDescent="0.35">
      <c r="A82" s="2">
        <v>43938</v>
      </c>
      <c r="B82" s="3">
        <v>2.5590000000000002</v>
      </c>
      <c r="C82" s="3">
        <v>0.65</v>
      </c>
    </row>
    <row r="83" spans="1:3" ht="13.9" x14ac:dyDescent="0.35">
      <c r="A83" s="2">
        <v>43941</v>
      </c>
      <c r="B83" s="3">
        <v>2.5920000000000001</v>
      </c>
      <c r="C83" s="3">
        <v>0.63</v>
      </c>
    </row>
    <row r="84" spans="1:3" ht="13.9" x14ac:dyDescent="0.35">
      <c r="A84" s="2">
        <v>43942</v>
      </c>
      <c r="B84" s="3">
        <v>2.5790999999999999</v>
      </c>
      <c r="C84" s="3">
        <v>0.57999999999999996</v>
      </c>
    </row>
    <row r="85" spans="1:3" ht="13.9" x14ac:dyDescent="0.35">
      <c r="A85" s="2">
        <v>43943</v>
      </c>
      <c r="B85" s="3">
        <v>2.5567000000000002</v>
      </c>
      <c r="C85" s="3">
        <v>0.63</v>
      </c>
    </row>
    <row r="86" spans="1:3" ht="13.9" x14ac:dyDescent="0.35">
      <c r="A86" s="2">
        <v>43944</v>
      </c>
      <c r="B86" s="3">
        <v>2.5226999999999999</v>
      </c>
      <c r="C86" s="3">
        <v>0.61</v>
      </c>
    </row>
    <row r="87" spans="1:3" ht="13.9" x14ac:dyDescent="0.35">
      <c r="A87" s="2">
        <v>43945</v>
      </c>
      <c r="B87" s="3">
        <v>2.5099999999999998</v>
      </c>
      <c r="C87" s="3">
        <v>0.6</v>
      </c>
    </row>
    <row r="88" spans="1:3" ht="13.9" x14ac:dyDescent="0.35">
      <c r="A88" s="2">
        <v>43947</v>
      </c>
      <c r="B88" s="3">
        <v>2.5205000000000002</v>
      </c>
      <c r="C88" s="3"/>
    </row>
    <row r="89" spans="1:3" ht="13.9" x14ac:dyDescent="0.35">
      <c r="A89" s="2">
        <v>43948</v>
      </c>
      <c r="B89" s="3">
        <v>2.5345</v>
      </c>
      <c r="C89" s="3">
        <v>0.67</v>
      </c>
    </row>
    <row r="90" spans="1:3" ht="13.9" x14ac:dyDescent="0.35">
      <c r="A90" s="2">
        <v>43949</v>
      </c>
      <c r="B90" s="3">
        <v>2.5253999999999999</v>
      </c>
      <c r="C90" s="3">
        <v>0.62</v>
      </c>
    </row>
    <row r="91" spans="1:3" ht="13.9" x14ac:dyDescent="0.35">
      <c r="A91" s="2">
        <v>43950</v>
      </c>
      <c r="B91" s="3">
        <v>2.5009000000000001</v>
      </c>
      <c r="C91" s="3">
        <v>0.63</v>
      </c>
    </row>
    <row r="92" spans="1:3" ht="13.9" x14ac:dyDescent="0.35">
      <c r="A92" s="2">
        <v>43951</v>
      </c>
      <c r="B92" s="3">
        <v>2.5379999999999998</v>
      </c>
      <c r="C92" s="3">
        <v>0.64</v>
      </c>
    </row>
    <row r="93" spans="1:3" ht="13.9" x14ac:dyDescent="0.35">
      <c r="A93" s="2">
        <v>43952</v>
      </c>
      <c r="B93" s="3"/>
      <c r="C93" s="3">
        <v>0.64</v>
      </c>
    </row>
    <row r="94" spans="1:3" ht="13.9" x14ac:dyDescent="0.35">
      <c r="A94" s="2">
        <v>43955</v>
      </c>
      <c r="B94" s="3"/>
      <c r="C94" s="3">
        <v>0.64</v>
      </c>
    </row>
    <row r="95" spans="1:3" ht="13.9" x14ac:dyDescent="0.35">
      <c r="A95" s="2">
        <v>43956</v>
      </c>
      <c r="B95" s="3"/>
      <c r="C95" s="3">
        <v>0.66</v>
      </c>
    </row>
    <row r="96" spans="1:3" ht="13.9" x14ac:dyDescent="0.35">
      <c r="A96" s="2">
        <v>43957</v>
      </c>
      <c r="B96" s="3">
        <v>2.5809000000000002</v>
      </c>
      <c r="C96" s="3">
        <v>0.72</v>
      </c>
    </row>
    <row r="97" spans="1:5" ht="13.9" x14ac:dyDescent="0.35">
      <c r="A97" s="2">
        <v>43958</v>
      </c>
      <c r="B97" s="3">
        <v>2.6297999999999999</v>
      </c>
      <c r="C97" s="3">
        <v>0.63</v>
      </c>
    </row>
    <row r="98" spans="1:5" ht="13.9" x14ac:dyDescent="0.35">
      <c r="A98" s="2">
        <v>43959</v>
      </c>
      <c r="B98" s="3">
        <v>2.6206999999999998</v>
      </c>
      <c r="C98" s="3">
        <v>0.69</v>
      </c>
    </row>
    <row r="99" spans="1:5" ht="13.9" x14ac:dyDescent="0.35">
      <c r="A99" s="2">
        <v>43960</v>
      </c>
      <c r="B99" s="3">
        <v>2.64</v>
      </c>
      <c r="C99" s="3"/>
    </row>
    <row r="100" spans="1:5" ht="13.9" x14ac:dyDescent="0.35">
      <c r="A100" s="2">
        <v>43962</v>
      </c>
      <c r="B100" s="3">
        <v>2.6698</v>
      </c>
      <c r="C100" s="3">
        <v>0.73</v>
      </c>
    </row>
    <row r="101" spans="1:5" ht="13.9" x14ac:dyDescent="0.35">
      <c r="A101" s="2">
        <v>43963</v>
      </c>
      <c r="B101" s="3">
        <v>2.6602999999999999</v>
      </c>
      <c r="C101" s="3">
        <v>0.69</v>
      </c>
    </row>
    <row r="102" spans="1:5" ht="13.9" x14ac:dyDescent="0.35">
      <c r="A102" s="2">
        <v>43964</v>
      </c>
      <c r="B102" s="3">
        <v>2.7075999999999998</v>
      </c>
      <c r="C102" s="3">
        <v>0.64</v>
      </c>
    </row>
    <row r="103" spans="1:5" ht="13.9" x14ac:dyDescent="0.35">
      <c r="A103" s="2">
        <v>43965</v>
      </c>
      <c r="B103" s="3">
        <v>2.6989000000000001</v>
      </c>
      <c r="C103" s="3">
        <v>0.63</v>
      </c>
    </row>
    <row r="104" spans="1:5" ht="13.9" x14ac:dyDescent="0.35">
      <c r="A104" s="2">
        <v>43966</v>
      </c>
      <c r="B104" s="3">
        <v>2.6819999999999999</v>
      </c>
      <c r="C104" s="3">
        <v>0.64</v>
      </c>
    </row>
    <row r="105" spans="1:5" ht="13.9" x14ac:dyDescent="0.35">
      <c r="A105" s="2">
        <v>43969</v>
      </c>
      <c r="B105" s="3">
        <v>2.7252999999999998</v>
      </c>
      <c r="C105" s="3">
        <v>0.73</v>
      </c>
    </row>
    <row r="106" spans="1:5" ht="13.9" x14ac:dyDescent="0.35">
      <c r="A106" s="2">
        <v>43970</v>
      </c>
      <c r="B106" s="3">
        <v>2.7271999999999998</v>
      </c>
      <c r="C106" s="3">
        <v>0.7</v>
      </c>
    </row>
    <row r="107" spans="1:5" ht="13.9" x14ac:dyDescent="0.35">
      <c r="A107" s="2">
        <v>43971</v>
      </c>
      <c r="B107" s="3">
        <v>2.69</v>
      </c>
      <c r="C107" s="3">
        <v>0.68</v>
      </c>
    </row>
    <row r="108" spans="1:5" ht="13.9" x14ac:dyDescent="0.35">
      <c r="A108" s="2">
        <v>43972</v>
      </c>
      <c r="B108" s="3">
        <v>2.6850000000000001</v>
      </c>
      <c r="C108" s="3">
        <v>0.68</v>
      </c>
    </row>
    <row r="109" spans="1:5" ht="13.9" x14ac:dyDescent="0.35">
      <c r="A109" s="2">
        <v>43973</v>
      </c>
      <c r="B109" s="3">
        <v>2.6175999999999999</v>
      </c>
      <c r="C109" s="3">
        <v>0.66</v>
      </c>
      <c r="E109">
        <v>100</v>
      </c>
    </row>
    <row r="110" spans="1:5" ht="13.9" x14ac:dyDescent="0.35">
      <c r="A110" s="10">
        <v>43976</v>
      </c>
      <c r="B110" s="11">
        <v>2.6852</v>
      </c>
      <c r="C110" s="11"/>
      <c r="E110" s="9">
        <f>B110/$E$109</f>
        <v>2.6852000000000001E-2</v>
      </c>
    </row>
    <row r="111" spans="1:5" ht="13.9" x14ac:dyDescent="0.35">
      <c r="A111" s="10">
        <v>43977</v>
      </c>
      <c r="B111" s="11">
        <v>2.7402000000000002</v>
      </c>
      <c r="C111" s="11">
        <v>0.69</v>
      </c>
      <c r="E111" s="9">
        <f t="shared" ref="E111:E145" si="0">B111/$E$109</f>
        <v>2.7402000000000003E-2</v>
      </c>
    </row>
    <row r="112" spans="1:5" ht="13.9" x14ac:dyDescent="0.35">
      <c r="A112" s="10">
        <v>43978</v>
      </c>
      <c r="B112" s="11">
        <v>2.7526999999999999</v>
      </c>
      <c r="C112" s="11">
        <v>0.68</v>
      </c>
      <c r="E112" s="9">
        <f t="shared" si="0"/>
        <v>2.7526999999999999E-2</v>
      </c>
    </row>
    <row r="113" spans="1:5" ht="13.9" x14ac:dyDescent="0.35">
      <c r="A113" s="10">
        <v>43979</v>
      </c>
      <c r="B113" s="11">
        <v>2.7201</v>
      </c>
      <c r="C113" s="11">
        <v>0.7</v>
      </c>
      <c r="E113" s="9">
        <f t="shared" si="0"/>
        <v>2.7200999999999999E-2</v>
      </c>
    </row>
    <row r="114" spans="1:5" ht="13.9" x14ac:dyDescent="0.35">
      <c r="A114" s="10">
        <v>43980</v>
      </c>
      <c r="B114" s="11">
        <v>2.7052999999999998</v>
      </c>
      <c r="C114" s="11">
        <v>0.65</v>
      </c>
      <c r="E114" s="9">
        <f t="shared" si="0"/>
        <v>2.7052999999999997E-2</v>
      </c>
    </row>
    <row r="115" spans="1:5" ht="13.9" x14ac:dyDescent="0.35">
      <c r="A115" s="12">
        <v>43983</v>
      </c>
      <c r="B115" s="13">
        <v>2.7252999999999998</v>
      </c>
      <c r="C115" s="13">
        <v>0.66</v>
      </c>
      <c r="E115" s="9">
        <f t="shared" si="0"/>
        <v>2.7252999999999999E-2</v>
      </c>
    </row>
    <row r="116" spans="1:5" ht="13.9" x14ac:dyDescent="0.35">
      <c r="A116" s="12">
        <v>43984</v>
      </c>
      <c r="B116" s="13">
        <v>2.7852000000000001</v>
      </c>
      <c r="C116" s="13">
        <v>0.68</v>
      </c>
      <c r="E116" s="9">
        <f t="shared" si="0"/>
        <v>2.7852000000000002E-2</v>
      </c>
    </row>
    <row r="117" spans="1:5" ht="13.9" x14ac:dyDescent="0.35">
      <c r="A117" s="12">
        <v>43985</v>
      </c>
      <c r="B117" s="13">
        <v>2.7900999999999998</v>
      </c>
      <c r="C117" s="13">
        <v>0.77</v>
      </c>
      <c r="E117" s="9">
        <f t="shared" si="0"/>
        <v>2.7900999999999999E-2</v>
      </c>
    </row>
    <row r="118" spans="1:5" ht="13.9" x14ac:dyDescent="0.35">
      <c r="A118" s="12">
        <v>43986</v>
      </c>
      <c r="B118" s="13">
        <v>2.8300999999999998</v>
      </c>
      <c r="C118" s="13">
        <v>0.82</v>
      </c>
      <c r="E118" s="9">
        <f t="shared" si="0"/>
        <v>2.8301E-2</v>
      </c>
    </row>
    <row r="119" spans="1:5" ht="13.9" x14ac:dyDescent="0.35">
      <c r="A119" s="12">
        <v>43987</v>
      </c>
      <c r="B119" s="13">
        <v>2.8475000000000001</v>
      </c>
      <c r="C119" s="13">
        <v>0.91</v>
      </c>
      <c r="E119" s="9">
        <f t="shared" si="0"/>
        <v>2.8475E-2</v>
      </c>
    </row>
    <row r="120" spans="1:5" ht="13.9" x14ac:dyDescent="0.35">
      <c r="A120" s="14">
        <v>43990</v>
      </c>
      <c r="B120" s="15">
        <v>2.8100999999999998</v>
      </c>
      <c r="C120" s="15">
        <v>0.88</v>
      </c>
      <c r="E120" s="9">
        <f t="shared" si="0"/>
        <v>2.8100999999999998E-2</v>
      </c>
    </row>
    <row r="121" spans="1:5" ht="13.9" x14ac:dyDescent="0.35">
      <c r="A121" s="14">
        <v>43991</v>
      </c>
      <c r="B121" s="15">
        <v>2.8031000000000001</v>
      </c>
      <c r="C121" s="15">
        <v>0.84</v>
      </c>
      <c r="E121" s="9">
        <f t="shared" si="0"/>
        <v>2.8031E-2</v>
      </c>
    </row>
    <row r="122" spans="1:5" ht="13.9" x14ac:dyDescent="0.35">
      <c r="A122" s="14">
        <v>43992</v>
      </c>
      <c r="B122" s="15">
        <v>2.8201000000000001</v>
      </c>
      <c r="C122" s="15">
        <v>0.75</v>
      </c>
      <c r="E122" s="9">
        <f t="shared" si="0"/>
        <v>2.8201E-2</v>
      </c>
    </row>
    <row r="123" spans="1:5" ht="13.9" x14ac:dyDescent="0.35">
      <c r="A123" s="14">
        <v>43993</v>
      </c>
      <c r="B123" s="15">
        <v>2.7700999999999998</v>
      </c>
      <c r="C123" s="15">
        <v>0.66</v>
      </c>
      <c r="E123" s="9">
        <f t="shared" si="0"/>
        <v>2.7700999999999996E-2</v>
      </c>
    </row>
    <row r="124" spans="1:5" ht="13.9" x14ac:dyDescent="0.35">
      <c r="A124" s="14">
        <v>43994</v>
      </c>
      <c r="B124" s="15">
        <v>2.7450999999999999</v>
      </c>
      <c r="C124" s="15">
        <v>0.71</v>
      </c>
      <c r="E124" s="9">
        <f t="shared" si="0"/>
        <v>2.7451E-2</v>
      </c>
    </row>
    <row r="125" spans="1:5" ht="13.9" x14ac:dyDescent="0.35">
      <c r="A125" s="2">
        <v>43997</v>
      </c>
      <c r="B125" s="3">
        <v>2.7877999999999998</v>
      </c>
      <c r="C125" s="3">
        <v>0.71</v>
      </c>
      <c r="E125" s="9">
        <f t="shared" si="0"/>
        <v>2.7878E-2</v>
      </c>
    </row>
    <row r="126" spans="1:5" ht="13.9" x14ac:dyDescent="0.35">
      <c r="A126" s="2">
        <v>43998</v>
      </c>
      <c r="B126" s="3">
        <v>2.8401999999999998</v>
      </c>
      <c r="C126" s="3">
        <v>0.75</v>
      </c>
      <c r="E126" s="9">
        <f t="shared" si="0"/>
        <v>2.8401999999999997E-2</v>
      </c>
    </row>
    <row r="127" spans="1:5" ht="13.9" x14ac:dyDescent="0.35">
      <c r="A127" s="2">
        <v>43999</v>
      </c>
      <c r="B127" s="3">
        <v>2.8801999999999999</v>
      </c>
      <c r="C127" s="3">
        <v>0.74</v>
      </c>
      <c r="E127" s="9">
        <f t="shared" si="0"/>
        <v>2.8801999999999998E-2</v>
      </c>
    </row>
    <row r="128" spans="1:5" ht="13.9" x14ac:dyDescent="0.35">
      <c r="A128" s="2">
        <v>44000</v>
      </c>
      <c r="B128" s="3">
        <v>2.8527</v>
      </c>
      <c r="C128" s="3">
        <v>0.71</v>
      </c>
      <c r="E128" s="9">
        <f t="shared" si="0"/>
        <v>2.8527E-2</v>
      </c>
    </row>
    <row r="129" spans="1:5" ht="13.9" x14ac:dyDescent="0.35">
      <c r="A129" s="2">
        <v>44001</v>
      </c>
      <c r="B129" s="3">
        <v>2.8752</v>
      </c>
      <c r="C129" s="3">
        <v>0.7</v>
      </c>
      <c r="E129" s="9">
        <f t="shared" si="0"/>
        <v>2.8752E-2</v>
      </c>
    </row>
    <row r="130" spans="1:5" ht="13.9" x14ac:dyDescent="0.35">
      <c r="A130" s="2">
        <v>44004</v>
      </c>
      <c r="B130" s="3">
        <v>2.9152999999999998</v>
      </c>
      <c r="C130" s="3">
        <v>0.71</v>
      </c>
      <c r="E130" s="9">
        <f t="shared" si="0"/>
        <v>2.9152999999999998E-2</v>
      </c>
    </row>
    <row r="131" spans="1:5" ht="13.9" x14ac:dyDescent="0.35">
      <c r="A131" s="2">
        <v>44005</v>
      </c>
      <c r="B131" s="3">
        <v>2.9127000000000001</v>
      </c>
      <c r="C131" s="3">
        <v>0.72</v>
      </c>
      <c r="E131" s="9">
        <f t="shared" si="0"/>
        <v>2.9127E-2</v>
      </c>
    </row>
    <row r="132" spans="1:5" ht="13.9" x14ac:dyDescent="0.35">
      <c r="A132" s="2">
        <v>44006</v>
      </c>
      <c r="B132" s="3">
        <v>2.8614000000000002</v>
      </c>
      <c r="C132" s="3">
        <v>0.69</v>
      </c>
      <c r="E132" s="9">
        <f t="shared" si="0"/>
        <v>2.8614000000000001E-2</v>
      </c>
    </row>
    <row r="133" spans="1:5" ht="13.9" x14ac:dyDescent="0.35">
      <c r="A133" s="2">
        <v>44007</v>
      </c>
      <c r="B133" s="3"/>
      <c r="C133" s="3">
        <v>0.68</v>
      </c>
      <c r="E133" s="9">
        <f t="shared" si="0"/>
        <v>0</v>
      </c>
    </row>
    <row r="134" spans="1:5" ht="13.9" x14ac:dyDescent="0.35">
      <c r="A134" s="2">
        <v>44008</v>
      </c>
      <c r="B134" s="3"/>
      <c r="C134" s="3">
        <v>0.64</v>
      </c>
      <c r="E134" s="9">
        <f t="shared" si="0"/>
        <v>0</v>
      </c>
    </row>
    <row r="135" spans="1:5" ht="13.9" x14ac:dyDescent="0.35">
      <c r="A135" s="2">
        <v>44010</v>
      </c>
      <c r="B135" s="3">
        <v>2.8403999999999998</v>
      </c>
      <c r="C135" s="3"/>
      <c r="E135" s="9">
        <f t="shared" si="0"/>
        <v>2.8403999999999999E-2</v>
      </c>
    </row>
    <row r="136" spans="1:5" ht="13.9" x14ac:dyDescent="0.35">
      <c r="A136" s="2">
        <v>44011</v>
      </c>
      <c r="B136" s="3">
        <v>2.8504</v>
      </c>
      <c r="C136" s="3">
        <v>0.64</v>
      </c>
      <c r="E136" s="9">
        <f t="shared" si="0"/>
        <v>2.8504000000000002E-2</v>
      </c>
    </row>
    <row r="137" spans="1:5" ht="13.9" x14ac:dyDescent="0.35">
      <c r="A137" s="2">
        <v>44012</v>
      </c>
      <c r="B137" s="3">
        <v>2.823</v>
      </c>
      <c r="C137" s="3">
        <v>0.66</v>
      </c>
      <c r="E137" s="9">
        <f t="shared" si="0"/>
        <v>2.8229999999999998E-2</v>
      </c>
    </row>
    <row r="138" spans="1:5" ht="13.9" x14ac:dyDescent="0.35">
      <c r="A138" s="2">
        <v>44013</v>
      </c>
      <c r="B138" s="3">
        <v>2.8456000000000001</v>
      </c>
      <c r="C138" s="3">
        <v>0.69</v>
      </c>
      <c r="E138" s="9">
        <f t="shared" si="0"/>
        <v>2.8456000000000002E-2</v>
      </c>
    </row>
    <row r="139" spans="1:5" ht="13.9" x14ac:dyDescent="0.35">
      <c r="A139" s="2">
        <v>44014</v>
      </c>
      <c r="B139" s="3">
        <v>2.8584000000000001</v>
      </c>
      <c r="C139" s="3">
        <v>0.68</v>
      </c>
      <c r="E139" s="9">
        <f t="shared" si="0"/>
        <v>2.8584000000000002E-2</v>
      </c>
    </row>
    <row r="140" spans="1:5" ht="13.9" x14ac:dyDescent="0.35">
      <c r="A140" s="2">
        <v>44015</v>
      </c>
      <c r="B140" s="3">
        <v>2.8974000000000002</v>
      </c>
      <c r="C140" s="3"/>
      <c r="E140" s="9">
        <f t="shared" si="0"/>
        <v>2.8974000000000003E-2</v>
      </c>
    </row>
    <row r="141" spans="1:5" ht="13.9" x14ac:dyDescent="0.35">
      <c r="A141" s="2">
        <v>44018</v>
      </c>
      <c r="B141" s="3">
        <v>2.9958999999999998</v>
      </c>
      <c r="C141" s="3">
        <v>0.69</v>
      </c>
      <c r="E141" s="9">
        <f t="shared" si="0"/>
        <v>2.9959E-2</v>
      </c>
    </row>
    <row r="142" spans="1:5" ht="13.9" x14ac:dyDescent="0.35">
      <c r="A142" s="2">
        <v>44019</v>
      </c>
      <c r="B142" s="3">
        <v>3.0158</v>
      </c>
      <c r="C142" s="3">
        <v>0.65</v>
      </c>
      <c r="E142" s="9">
        <f t="shared" si="0"/>
        <v>3.0158000000000001E-2</v>
      </c>
    </row>
    <row r="143" spans="1:5" ht="13.9" x14ac:dyDescent="0.35">
      <c r="A143" s="2">
        <v>44020</v>
      </c>
      <c r="B143" s="3">
        <v>3.0632000000000001</v>
      </c>
      <c r="C143" s="3">
        <v>0.67</v>
      </c>
      <c r="E143" s="9">
        <f t="shared" si="0"/>
        <v>3.0632000000000003E-2</v>
      </c>
    </row>
    <row r="144" spans="1:5" ht="13.9" x14ac:dyDescent="0.35">
      <c r="A144" s="2">
        <v>44021</v>
      </c>
      <c r="B144" s="3">
        <v>3.0809000000000002</v>
      </c>
      <c r="C144" s="3">
        <v>0.62</v>
      </c>
      <c r="E144" s="9">
        <f t="shared" si="0"/>
        <v>3.0809000000000003E-2</v>
      </c>
    </row>
    <row r="145" spans="1:5" ht="13.9" x14ac:dyDescent="0.35">
      <c r="A145" s="2">
        <v>44022</v>
      </c>
      <c r="B145" s="3">
        <v>3.0305</v>
      </c>
      <c r="C145" s="3">
        <v>0.65</v>
      </c>
      <c r="E145" s="9">
        <f t="shared" si="0"/>
        <v>3.0304999999999999E-2</v>
      </c>
    </row>
    <row r="146" spans="1:5" ht="13.9" x14ac:dyDescent="0.35">
      <c r="A146" s="2">
        <v>44025</v>
      </c>
      <c r="B146" s="3">
        <v>3.0556999999999999</v>
      </c>
      <c r="C146" s="3">
        <v>0.64</v>
      </c>
    </row>
    <row r="147" spans="1:5" ht="13.9" x14ac:dyDescent="0.35">
      <c r="A147" s="2">
        <v>44026</v>
      </c>
      <c r="B147" s="3">
        <v>3.0057</v>
      </c>
      <c r="C147" s="3">
        <v>0.63</v>
      </c>
    </row>
    <row r="148" spans="1:5" ht="13.9" x14ac:dyDescent="0.35">
      <c r="A148" s="2">
        <v>44027</v>
      </c>
      <c r="B148" s="3">
        <v>2.9559000000000002</v>
      </c>
      <c r="C148" s="3">
        <v>0.64</v>
      </c>
    </row>
    <row r="149" spans="1:5" ht="13.9" x14ac:dyDescent="0.35">
      <c r="A149" s="2">
        <v>44028</v>
      </c>
      <c r="B149" s="3">
        <v>2.9459</v>
      </c>
      <c r="C149" s="3">
        <v>0.62</v>
      </c>
    </row>
    <row r="150" spans="1:5" ht="13.9" x14ac:dyDescent="0.35">
      <c r="A150" s="2">
        <v>44029</v>
      </c>
      <c r="B150" s="3">
        <v>2.9506999999999999</v>
      </c>
      <c r="C150" s="3">
        <v>0.64</v>
      </c>
    </row>
    <row r="151" spans="1:5" ht="13.9" x14ac:dyDescent="0.35">
      <c r="A151" s="2">
        <v>44032</v>
      </c>
      <c r="B151" s="3">
        <v>2.9310999999999998</v>
      </c>
      <c r="C151" s="3">
        <v>0.62</v>
      </c>
    </row>
    <row r="152" spans="1:5" ht="13.9" x14ac:dyDescent="0.35">
      <c r="A152" s="2">
        <v>44033</v>
      </c>
      <c r="B152" s="3">
        <v>2.9011</v>
      </c>
      <c r="C152" s="3">
        <v>0.61</v>
      </c>
    </row>
    <row r="153" spans="1:5" ht="13.9" x14ac:dyDescent="0.35">
      <c r="A153" s="2">
        <v>44034</v>
      </c>
      <c r="B153" s="3">
        <v>2.8860999999999999</v>
      </c>
      <c r="C153" s="3">
        <v>0.6</v>
      </c>
    </row>
    <row r="154" spans="1:5" ht="13.9" x14ac:dyDescent="0.35">
      <c r="A154" s="2">
        <v>44035</v>
      </c>
      <c r="B154" s="3">
        <v>2.9064000000000001</v>
      </c>
      <c r="C154" s="3">
        <v>0.59</v>
      </c>
    </row>
    <row r="155" spans="1:5" ht="13.9" x14ac:dyDescent="0.35">
      <c r="A155" s="2">
        <v>44036</v>
      </c>
      <c r="B155" s="3">
        <v>2.8612000000000002</v>
      </c>
      <c r="C155" s="3">
        <v>0.59</v>
      </c>
    </row>
    <row r="156" spans="1:5" ht="13.9" x14ac:dyDescent="0.35">
      <c r="A156" s="2">
        <v>44039</v>
      </c>
      <c r="B156" s="3">
        <v>2.8791000000000002</v>
      </c>
      <c r="C156" s="3">
        <v>0.62</v>
      </c>
    </row>
    <row r="157" spans="1:5" ht="13.9" x14ac:dyDescent="0.35">
      <c r="A157" s="2">
        <v>44040</v>
      </c>
      <c r="B157" s="3">
        <v>2.9214000000000002</v>
      </c>
      <c r="C157" s="3">
        <v>0.59</v>
      </c>
    </row>
    <row r="158" spans="1:5" ht="13.9" x14ac:dyDescent="0.35">
      <c r="A158" s="2">
        <v>44041</v>
      </c>
      <c r="B158" s="3">
        <v>2.9415</v>
      </c>
      <c r="C158" s="3">
        <v>0.57999999999999996</v>
      </c>
    </row>
    <row r="159" spans="1:5" ht="13.9" x14ac:dyDescent="0.35">
      <c r="A159" s="2">
        <v>44042</v>
      </c>
      <c r="B159" s="3">
        <v>2.9363999999999999</v>
      </c>
      <c r="C159" s="3">
        <v>0.55000000000000004</v>
      </c>
    </row>
    <row r="160" spans="1:5" ht="13.9" x14ac:dyDescent="0.35">
      <c r="A160" s="2">
        <v>44043</v>
      </c>
      <c r="B160" s="3">
        <v>2.9664000000000001</v>
      </c>
      <c r="C160" s="3">
        <v>0.55000000000000004</v>
      </c>
    </row>
    <row r="161" spans="1:3" ht="13.9" x14ac:dyDescent="0.35">
      <c r="A161" s="2">
        <v>44046</v>
      </c>
      <c r="B161" s="3">
        <v>2.9466000000000001</v>
      </c>
      <c r="C161" s="3">
        <v>0.56000000000000005</v>
      </c>
    </row>
    <row r="162" spans="1:3" ht="13.9" x14ac:dyDescent="0.35">
      <c r="A162" s="2">
        <v>44047</v>
      </c>
      <c r="B162" s="3">
        <v>2.9365000000000001</v>
      </c>
      <c r="C162" s="3">
        <v>0.52</v>
      </c>
    </row>
    <row r="163" spans="1:3" ht="13.9" x14ac:dyDescent="0.35">
      <c r="A163" s="2">
        <v>44048</v>
      </c>
      <c r="B163" s="3">
        <v>2.9592000000000001</v>
      </c>
      <c r="C163" s="3">
        <v>0.55000000000000004</v>
      </c>
    </row>
    <row r="164" spans="1:3" ht="13.9" x14ac:dyDescent="0.35">
      <c r="A164" s="2">
        <v>44049</v>
      </c>
      <c r="B164" s="3">
        <v>2.9815999999999998</v>
      </c>
      <c r="C164" s="3">
        <v>0.55000000000000004</v>
      </c>
    </row>
    <row r="165" spans="1:3" ht="13.9" x14ac:dyDescent="0.35">
      <c r="A165" s="2">
        <v>44050</v>
      </c>
      <c r="B165" s="3">
        <v>2.9918</v>
      </c>
      <c r="C165" s="3">
        <v>0.56999999999999995</v>
      </c>
    </row>
    <row r="166" spans="1:3" ht="13.9" x14ac:dyDescent="0.35">
      <c r="A166" s="2">
        <v>44053</v>
      </c>
      <c r="B166" s="3">
        <v>2.9542999999999999</v>
      </c>
      <c r="C166" s="3">
        <v>0.59</v>
      </c>
    </row>
    <row r="167" spans="1:3" ht="13.9" x14ac:dyDescent="0.35">
      <c r="A167" s="2">
        <v>44054</v>
      </c>
      <c r="B167" s="3">
        <v>2.9544000000000001</v>
      </c>
      <c r="C167" s="3">
        <v>0.64</v>
      </c>
    </row>
    <row r="168" spans="1:3" ht="13.9" x14ac:dyDescent="0.35">
      <c r="A168" s="2">
        <v>44055</v>
      </c>
      <c r="B168" s="3">
        <v>2.9620000000000002</v>
      </c>
      <c r="C168" s="3">
        <v>0.69</v>
      </c>
    </row>
    <row r="169" spans="1:3" ht="13.9" x14ac:dyDescent="0.35">
      <c r="A169" s="2">
        <v>44056</v>
      </c>
      <c r="B169" s="3">
        <v>2.9554999999999998</v>
      </c>
      <c r="C169" s="3">
        <v>0.71</v>
      </c>
    </row>
    <row r="170" spans="1:3" ht="13.9" x14ac:dyDescent="0.35">
      <c r="A170" s="2">
        <v>44057</v>
      </c>
      <c r="B170" s="3">
        <v>2.9369000000000001</v>
      </c>
      <c r="C170" s="3">
        <v>0.71</v>
      </c>
    </row>
    <row r="171" spans="1:3" ht="13.9" x14ac:dyDescent="0.35">
      <c r="A171" s="2">
        <v>44060</v>
      </c>
      <c r="B171" s="3">
        <v>2.9420999999999999</v>
      </c>
      <c r="C171" s="3">
        <v>0.69</v>
      </c>
    </row>
    <row r="172" spans="1:3" ht="13.9" x14ac:dyDescent="0.35">
      <c r="A172" s="2">
        <v>44061</v>
      </c>
      <c r="B172" s="3">
        <v>2.9771000000000001</v>
      </c>
      <c r="C172" s="3">
        <v>0.67</v>
      </c>
    </row>
    <row r="173" spans="1:3" ht="13.9" x14ac:dyDescent="0.35">
      <c r="A173" s="2">
        <v>44062</v>
      </c>
      <c r="B173" s="3">
        <v>2.9921000000000002</v>
      </c>
      <c r="C173" s="3">
        <v>0.68</v>
      </c>
    </row>
    <row r="174" spans="1:3" ht="13.9" x14ac:dyDescent="0.35">
      <c r="A174" s="2">
        <v>44063</v>
      </c>
      <c r="B174" s="3">
        <v>2.9973000000000001</v>
      </c>
      <c r="C174" s="3">
        <v>0.65</v>
      </c>
    </row>
    <row r="175" spans="1:3" ht="13.9" x14ac:dyDescent="0.35">
      <c r="A175" s="2">
        <v>44064</v>
      </c>
      <c r="B175" s="3">
        <v>2.9823</v>
      </c>
      <c r="C175" s="3">
        <v>0.64</v>
      </c>
    </row>
    <row r="176" spans="1:3" ht="13.9" x14ac:dyDescent="0.35">
      <c r="A176" s="2">
        <v>44067</v>
      </c>
      <c r="B176" s="3">
        <v>2.9998</v>
      </c>
      <c r="C176" s="3">
        <v>0.65</v>
      </c>
    </row>
    <row r="177" spans="1:3" ht="13.9" x14ac:dyDescent="0.35">
      <c r="A177" s="2">
        <v>44068</v>
      </c>
      <c r="B177" s="3">
        <v>3.0424000000000002</v>
      </c>
      <c r="C177" s="3">
        <v>0.69</v>
      </c>
    </row>
    <row r="178" spans="1:3" ht="13.9" x14ac:dyDescent="0.35">
      <c r="A178" s="2">
        <v>44069</v>
      </c>
      <c r="B178" s="3">
        <v>3.0510999999999999</v>
      </c>
      <c r="C178" s="3">
        <v>0.69</v>
      </c>
    </row>
    <row r="179" spans="1:3" ht="13.9" x14ac:dyDescent="0.35">
      <c r="A179" s="2">
        <v>44070</v>
      </c>
      <c r="B179" s="3">
        <v>3.0598999999999998</v>
      </c>
      <c r="C179" s="3">
        <v>0.74</v>
      </c>
    </row>
    <row r="180" spans="1:3" ht="13.9" x14ac:dyDescent="0.35">
      <c r="A180" s="2">
        <v>44071</v>
      </c>
      <c r="B180" s="3">
        <v>3.0672000000000001</v>
      </c>
      <c r="C180" s="3">
        <v>0.74</v>
      </c>
    </row>
    <row r="181" spans="1:3" ht="13.9" x14ac:dyDescent="0.35">
      <c r="A181" s="2">
        <v>44074</v>
      </c>
      <c r="B181" s="3">
        <v>3.0177</v>
      </c>
      <c r="C181" s="3">
        <v>0.72</v>
      </c>
    </row>
    <row r="182" spans="1:3" ht="13.9" x14ac:dyDescent="0.35">
      <c r="A182" s="2">
        <v>44075</v>
      </c>
      <c r="B182" s="3">
        <v>3.0478000000000001</v>
      </c>
      <c r="C182" s="3">
        <v>0.68</v>
      </c>
    </row>
    <row r="183" spans="1:3" ht="13.9" x14ac:dyDescent="0.35">
      <c r="A183" s="2">
        <v>44076</v>
      </c>
      <c r="B183" s="3">
        <v>3.1027</v>
      </c>
      <c r="C183" s="3">
        <v>0.66</v>
      </c>
    </row>
    <row r="184" spans="1:3" ht="13.9" x14ac:dyDescent="0.35">
      <c r="A184" s="2">
        <v>44077</v>
      </c>
      <c r="B184" s="3">
        <v>3.1051000000000002</v>
      </c>
      <c r="C184" s="3">
        <v>0.63</v>
      </c>
    </row>
    <row r="185" spans="1:3" ht="13.9" x14ac:dyDescent="0.35">
      <c r="A185" s="2">
        <v>44078</v>
      </c>
      <c r="B185" s="3">
        <v>3.1227999999999998</v>
      </c>
      <c r="C185" s="3">
        <v>0.72</v>
      </c>
    </row>
    <row r="186" spans="1:3" ht="13.9" x14ac:dyDescent="0.35">
      <c r="A186" s="2">
        <v>44081</v>
      </c>
      <c r="B186" s="3">
        <v>3.1454</v>
      </c>
      <c r="C186" s="3"/>
    </row>
    <row r="187" spans="1:3" ht="13.9" x14ac:dyDescent="0.35">
      <c r="A187" s="2">
        <v>44082</v>
      </c>
      <c r="B187" s="3">
        <v>3.1230000000000002</v>
      </c>
      <c r="C187" s="3">
        <v>0.69</v>
      </c>
    </row>
    <row r="188" spans="1:3" ht="13.9" x14ac:dyDescent="0.35">
      <c r="A188" s="2">
        <v>44083</v>
      </c>
      <c r="B188" s="3">
        <v>3.0804999999999998</v>
      </c>
      <c r="C188" s="3">
        <v>0.71</v>
      </c>
    </row>
    <row r="189" spans="1:3" ht="13.9" x14ac:dyDescent="0.35">
      <c r="A189" s="2">
        <v>44084</v>
      </c>
      <c r="B189" s="3">
        <v>3.0832999999999999</v>
      </c>
      <c r="C189" s="3">
        <v>0.68</v>
      </c>
    </row>
    <row r="190" spans="1:3" ht="13.9" x14ac:dyDescent="0.35">
      <c r="A190" s="2">
        <v>44085</v>
      </c>
      <c r="B190" s="3">
        <v>3.1345999999999998</v>
      </c>
      <c r="C190" s="3">
        <v>0.67</v>
      </c>
    </row>
    <row r="191" spans="1:3" ht="13.9" x14ac:dyDescent="0.35">
      <c r="A191" s="2">
        <v>44088</v>
      </c>
      <c r="B191" s="3">
        <v>3.1532</v>
      </c>
      <c r="C191" s="3">
        <v>0.68</v>
      </c>
    </row>
    <row r="192" spans="1:3" ht="13.9" x14ac:dyDescent="0.35">
      <c r="A192" s="2">
        <v>44089</v>
      </c>
      <c r="B192" s="3">
        <v>3.1082999999999998</v>
      </c>
      <c r="C192" s="3">
        <v>0.68</v>
      </c>
    </row>
    <row r="193" spans="1:3" ht="13.9" x14ac:dyDescent="0.35">
      <c r="A193" s="2">
        <v>44090</v>
      </c>
      <c r="B193" s="3">
        <v>3.1259999999999999</v>
      </c>
      <c r="C193" s="3">
        <v>0.69</v>
      </c>
    </row>
    <row r="194" spans="1:3" ht="13.9" x14ac:dyDescent="0.35">
      <c r="A194" s="2">
        <v>44091</v>
      </c>
      <c r="B194" s="3">
        <v>3.1334</v>
      </c>
      <c r="C194" s="3">
        <v>0.69</v>
      </c>
    </row>
    <row r="195" spans="1:3" ht="13.9" x14ac:dyDescent="0.35">
      <c r="A195" s="2">
        <v>44092</v>
      </c>
      <c r="B195" s="3">
        <v>3.1162000000000001</v>
      </c>
      <c r="C195" s="3">
        <v>0.7</v>
      </c>
    </row>
    <row r="196" spans="1:3" ht="13.9" x14ac:dyDescent="0.35">
      <c r="A196" s="2">
        <v>44095</v>
      </c>
      <c r="B196" s="3">
        <v>3.0998999999999999</v>
      </c>
      <c r="C196" s="3">
        <v>0.68</v>
      </c>
    </row>
    <row r="197" spans="1:3" ht="13.9" x14ac:dyDescent="0.35">
      <c r="A197" s="2">
        <v>44096</v>
      </c>
      <c r="B197" s="3">
        <v>3.0863</v>
      </c>
      <c r="C197" s="3">
        <v>0.68</v>
      </c>
    </row>
    <row r="198" spans="1:3" ht="13.9" x14ac:dyDescent="0.35">
      <c r="A198" s="2">
        <v>44097</v>
      </c>
      <c r="B198" s="3">
        <v>3.089</v>
      </c>
      <c r="C198" s="3">
        <v>0.68</v>
      </c>
    </row>
    <row r="199" spans="1:3" ht="13.9" x14ac:dyDescent="0.35">
      <c r="A199" s="2">
        <v>44098</v>
      </c>
      <c r="B199" s="3">
        <v>3.0840000000000001</v>
      </c>
      <c r="C199" s="3">
        <v>0.67</v>
      </c>
    </row>
    <row r="200" spans="1:3" ht="13.9" x14ac:dyDescent="0.35">
      <c r="A200" s="2">
        <v>44099</v>
      </c>
      <c r="B200" s="3">
        <v>3.1295000000000002</v>
      </c>
      <c r="C200" s="3">
        <v>0.66</v>
      </c>
    </row>
    <row r="201" spans="1:3" ht="13.9" x14ac:dyDescent="0.35">
      <c r="A201" s="2">
        <v>44101</v>
      </c>
      <c r="B201" s="3">
        <v>3.1324000000000001</v>
      </c>
      <c r="C201" s="3"/>
    </row>
    <row r="202" spans="1:3" ht="13.9" x14ac:dyDescent="0.35">
      <c r="A202" s="2">
        <v>44102</v>
      </c>
      <c r="B202" s="3">
        <v>3.1092</v>
      </c>
      <c r="C202" s="3">
        <v>0.67</v>
      </c>
    </row>
    <row r="203" spans="1:3" ht="13.9" x14ac:dyDescent="0.35">
      <c r="A203" s="2">
        <v>44103</v>
      </c>
      <c r="B203" s="3">
        <v>3.1292</v>
      </c>
      <c r="C203" s="3">
        <v>0.66</v>
      </c>
    </row>
    <row r="204" spans="1:3" ht="13.9" x14ac:dyDescent="0.35">
      <c r="A204" s="2">
        <v>44104</v>
      </c>
      <c r="B204" s="3">
        <v>3.1482000000000001</v>
      </c>
      <c r="C204" s="3">
        <v>0.69</v>
      </c>
    </row>
    <row r="205" spans="1:3" ht="13.9" x14ac:dyDescent="0.35">
      <c r="A205" s="2">
        <v>44105</v>
      </c>
      <c r="B205" s="3"/>
      <c r="C205" s="3">
        <v>0.68</v>
      </c>
    </row>
    <row r="206" spans="1:3" ht="13.9" x14ac:dyDescent="0.35">
      <c r="A206" s="2">
        <v>44106</v>
      </c>
      <c r="B206" s="3"/>
      <c r="C206" s="3">
        <v>0.7</v>
      </c>
    </row>
    <row r="207" spans="1:3" ht="13.9" x14ac:dyDescent="0.35">
      <c r="A207" s="2">
        <v>44109</v>
      </c>
      <c r="B207" s="3"/>
      <c r="C207" s="3">
        <v>0.78</v>
      </c>
    </row>
    <row r="208" spans="1:3" ht="13.9" x14ac:dyDescent="0.35">
      <c r="A208" s="2">
        <v>44110</v>
      </c>
      <c r="B208" s="3"/>
      <c r="C208" s="3">
        <v>0.76</v>
      </c>
    </row>
    <row r="209" spans="1:3" ht="13.9" x14ac:dyDescent="0.35">
      <c r="A209" s="2">
        <v>44111</v>
      </c>
      <c r="B209" s="3"/>
      <c r="C209" s="3">
        <v>0.81</v>
      </c>
    </row>
    <row r="210" spans="1:3" ht="13.9" x14ac:dyDescent="0.35">
      <c r="A210" s="2">
        <v>44112</v>
      </c>
      <c r="B210" s="3"/>
      <c r="C210" s="3">
        <v>0.78</v>
      </c>
    </row>
    <row r="211" spans="1:3" ht="13.9" x14ac:dyDescent="0.35">
      <c r="A211" s="2">
        <v>44113</v>
      </c>
      <c r="B211" s="3">
        <v>3.1873</v>
      </c>
      <c r="C211" s="3">
        <v>0.79</v>
      </c>
    </row>
    <row r="212" spans="1:3" ht="13.9" x14ac:dyDescent="0.35">
      <c r="A212" s="2">
        <v>44114</v>
      </c>
      <c r="B212" s="3">
        <v>3.1898</v>
      </c>
      <c r="C212" s="3"/>
    </row>
    <row r="213" spans="1:3" ht="13.9" x14ac:dyDescent="0.35">
      <c r="A213" s="2">
        <v>44116</v>
      </c>
      <c r="B213" s="3">
        <v>3.1861000000000002</v>
      </c>
      <c r="C213" s="3"/>
    </row>
    <row r="214" spans="1:3" ht="13.9" x14ac:dyDescent="0.35">
      <c r="A214" s="2">
        <v>44117</v>
      </c>
      <c r="B214" s="3">
        <v>3.1949999999999998</v>
      </c>
      <c r="C214" s="3">
        <v>0.74</v>
      </c>
    </row>
    <row r="215" spans="1:3" ht="13.9" x14ac:dyDescent="0.35">
      <c r="A215" s="2">
        <v>44118</v>
      </c>
      <c r="B215" s="3">
        <v>3.2149999999999999</v>
      </c>
      <c r="C215" s="3">
        <v>0.73</v>
      </c>
    </row>
    <row r="216" spans="1:3" ht="13.9" x14ac:dyDescent="0.35">
      <c r="A216" s="2">
        <v>44119</v>
      </c>
      <c r="B216" s="3">
        <v>3.23</v>
      </c>
      <c r="C216" s="3">
        <v>0.74</v>
      </c>
    </row>
    <row r="217" spans="1:3" ht="13.9" x14ac:dyDescent="0.35">
      <c r="A217" s="2">
        <v>44120</v>
      </c>
      <c r="B217" s="3">
        <v>3.2202000000000002</v>
      </c>
      <c r="C217" s="3">
        <v>0.76</v>
      </c>
    </row>
    <row r="218" spans="1:3" ht="13.9" x14ac:dyDescent="0.35">
      <c r="A218" s="2">
        <v>44123</v>
      </c>
      <c r="B218" s="3">
        <v>3.2004999999999999</v>
      </c>
      <c r="C218" s="3">
        <v>0.78</v>
      </c>
    </row>
    <row r="219" spans="1:3" ht="13.9" x14ac:dyDescent="0.35">
      <c r="A219" s="2">
        <v>44124</v>
      </c>
      <c r="B219" s="3">
        <v>3.1955</v>
      </c>
      <c r="C219" s="3">
        <v>0.81</v>
      </c>
    </row>
    <row r="220" spans="1:3" ht="13.9" x14ac:dyDescent="0.35">
      <c r="A220" s="2">
        <v>44125</v>
      </c>
      <c r="B220" s="3">
        <v>3.1855000000000002</v>
      </c>
      <c r="C220" s="3">
        <v>0.83</v>
      </c>
    </row>
    <row r="221" spans="1:3" ht="13.9" x14ac:dyDescent="0.35">
      <c r="A221" s="2">
        <v>44126</v>
      </c>
      <c r="B221" s="3">
        <v>3.1707000000000001</v>
      </c>
      <c r="C221" s="3">
        <v>0.87</v>
      </c>
    </row>
    <row r="222" spans="1:3" ht="13.9" x14ac:dyDescent="0.35">
      <c r="A222" s="2">
        <v>44127</v>
      </c>
      <c r="B222" s="3">
        <v>3.1957</v>
      </c>
      <c r="C222" s="3">
        <v>0.85</v>
      </c>
    </row>
    <row r="223" spans="1:3" ht="13.9" x14ac:dyDescent="0.35">
      <c r="A223" s="2">
        <v>44130</v>
      </c>
      <c r="B223" s="3">
        <v>3.1934</v>
      </c>
      <c r="C223" s="3">
        <v>0.81</v>
      </c>
    </row>
    <row r="224" spans="1:3" ht="13.9" x14ac:dyDescent="0.35">
      <c r="A224" s="2">
        <v>44131</v>
      </c>
      <c r="B224" s="3">
        <v>3.1608999999999998</v>
      </c>
      <c r="C224" s="3">
        <v>0.79</v>
      </c>
    </row>
    <row r="225" spans="1:3" ht="13.9" x14ac:dyDescent="0.35">
      <c r="A225" s="2">
        <v>44132</v>
      </c>
      <c r="B225" s="3">
        <v>3.181</v>
      </c>
      <c r="C225" s="3">
        <v>0.79</v>
      </c>
    </row>
    <row r="226" spans="1:3" ht="13.9" x14ac:dyDescent="0.35">
      <c r="A226" s="2">
        <v>44133</v>
      </c>
      <c r="B226" s="3">
        <v>3.1859999999999999</v>
      </c>
      <c r="C226" s="3">
        <v>0.85</v>
      </c>
    </row>
    <row r="227" spans="1:3" ht="13.9" x14ac:dyDescent="0.35">
      <c r="A227" s="2">
        <v>44134</v>
      </c>
      <c r="B227" s="3">
        <v>3.181</v>
      </c>
      <c r="C227" s="3">
        <v>0.88</v>
      </c>
    </row>
    <row r="228" spans="1:3" ht="13.9" x14ac:dyDescent="0.35">
      <c r="A228" s="2">
        <v>44137</v>
      </c>
      <c r="B228" s="3">
        <v>3.1785000000000001</v>
      </c>
      <c r="C228" s="3">
        <v>0.87</v>
      </c>
    </row>
    <row r="229" spans="1:3" ht="13.9" x14ac:dyDescent="0.35">
      <c r="A229" s="2">
        <v>44138</v>
      </c>
      <c r="B229" s="3">
        <v>3.1762000000000001</v>
      </c>
      <c r="C229" s="3">
        <v>0.9</v>
      </c>
    </row>
    <row r="230" spans="1:3" ht="13.9" x14ac:dyDescent="0.35">
      <c r="A230" s="2">
        <v>44139</v>
      </c>
      <c r="B230" s="3">
        <v>3.1686999999999999</v>
      </c>
      <c r="C230" s="3">
        <v>0.78</v>
      </c>
    </row>
    <row r="231" spans="1:3" ht="13.9" x14ac:dyDescent="0.35">
      <c r="A231" s="2">
        <v>44140</v>
      </c>
      <c r="B231" s="3">
        <v>3.1911999999999998</v>
      </c>
      <c r="C231" s="3">
        <v>0.79</v>
      </c>
    </row>
    <row r="232" spans="1:3" ht="13.9" x14ac:dyDescent="0.35">
      <c r="A232" s="2">
        <v>44141</v>
      </c>
      <c r="B232" s="3">
        <v>3.2063000000000001</v>
      </c>
      <c r="C232" s="3">
        <v>0.83</v>
      </c>
    </row>
    <row r="233" spans="1:3" ht="13.9" x14ac:dyDescent="0.35">
      <c r="A233" s="2">
        <v>44144</v>
      </c>
      <c r="B233" s="3">
        <v>3.2363</v>
      </c>
      <c r="C233" s="3">
        <v>0.96</v>
      </c>
    </row>
    <row r="234" spans="1:3" ht="13.9" x14ac:dyDescent="0.35">
      <c r="A234" s="2">
        <v>44145</v>
      </c>
      <c r="B234" s="3">
        <v>3.2241</v>
      </c>
      <c r="C234" s="3">
        <v>0.98</v>
      </c>
    </row>
    <row r="235" spans="1:3" ht="13.9" x14ac:dyDescent="0.35">
      <c r="A235" s="2">
        <v>44146</v>
      </c>
      <c r="B235" s="3">
        <v>3.2391000000000001</v>
      </c>
      <c r="C235" s="3"/>
    </row>
    <row r="236" spans="1:3" ht="13.9" x14ac:dyDescent="0.35">
      <c r="A236" s="2">
        <v>44147</v>
      </c>
      <c r="B236" s="3">
        <v>3.2614000000000001</v>
      </c>
      <c r="C236" s="3">
        <v>0.88</v>
      </c>
    </row>
    <row r="237" spans="1:3" ht="13.9" x14ac:dyDescent="0.35">
      <c r="A237" s="2">
        <v>44148</v>
      </c>
      <c r="B237" s="3">
        <v>3.2715000000000001</v>
      </c>
      <c r="C237" s="3">
        <v>0.89</v>
      </c>
    </row>
    <row r="238" spans="1:3" ht="13.9" x14ac:dyDescent="0.35">
      <c r="A238" s="2">
        <v>44151</v>
      </c>
      <c r="B238" s="3">
        <v>3.2740999999999998</v>
      </c>
      <c r="C238" s="3">
        <v>0.91</v>
      </c>
    </row>
    <row r="239" spans="1:3" ht="13.9" x14ac:dyDescent="0.35">
      <c r="A239" s="2">
        <v>44152</v>
      </c>
      <c r="B239" s="3">
        <v>3.2866</v>
      </c>
      <c r="C239" s="3">
        <v>0.87</v>
      </c>
    </row>
    <row r="240" spans="1:3" ht="13.9" x14ac:dyDescent="0.35">
      <c r="A240" s="2">
        <v>44153</v>
      </c>
      <c r="B240" s="3">
        <v>3.3239999999999998</v>
      </c>
      <c r="C240" s="3">
        <v>0.88</v>
      </c>
    </row>
    <row r="241" spans="1:3" ht="13.9" x14ac:dyDescent="0.35">
      <c r="A241" s="2">
        <v>44154</v>
      </c>
      <c r="B241" s="3">
        <v>3.3487</v>
      </c>
      <c r="C241" s="3">
        <v>0.86</v>
      </c>
    </row>
    <row r="242" spans="1:3" ht="13.9" x14ac:dyDescent="0.35">
      <c r="A242" s="2">
        <v>44155</v>
      </c>
      <c r="B242" s="3">
        <v>3.31</v>
      </c>
      <c r="C242" s="3">
        <v>0.83</v>
      </c>
    </row>
    <row r="243" spans="1:3" ht="13.9" x14ac:dyDescent="0.35">
      <c r="A243" s="2">
        <v>44158</v>
      </c>
      <c r="B243" s="3">
        <v>3.2650000000000001</v>
      </c>
      <c r="C243" s="3">
        <v>0.86</v>
      </c>
    </row>
    <row r="244" spans="1:3" ht="13.9" x14ac:dyDescent="0.35">
      <c r="A244" s="2">
        <v>44159</v>
      </c>
      <c r="B244" s="3">
        <v>3.29</v>
      </c>
      <c r="C244" s="3">
        <v>0.88</v>
      </c>
    </row>
    <row r="245" spans="1:3" ht="13.9" x14ac:dyDescent="0.35">
      <c r="A245" s="2">
        <v>44160</v>
      </c>
      <c r="B245" s="3">
        <v>3.2675000000000001</v>
      </c>
      <c r="C245" s="3">
        <v>0.88</v>
      </c>
    </row>
    <row r="246" spans="1:3" ht="13.9" x14ac:dyDescent="0.35">
      <c r="A246" s="2">
        <v>44161</v>
      </c>
      <c r="B246" s="3">
        <v>3.2850000000000001</v>
      </c>
      <c r="C246" s="3"/>
    </row>
    <row r="247" spans="1:3" ht="13.9" x14ac:dyDescent="0.35">
      <c r="A247" s="2">
        <v>44162</v>
      </c>
      <c r="B247" s="3">
        <v>3.3</v>
      </c>
      <c r="C247" s="3">
        <v>0.84</v>
      </c>
    </row>
    <row r="248" spans="1:3" ht="13.9" x14ac:dyDescent="0.35">
      <c r="A248" s="2">
        <v>44165</v>
      </c>
      <c r="B248" s="3">
        <v>3.25</v>
      </c>
      <c r="C248" s="3">
        <v>0.84</v>
      </c>
    </row>
    <row r="249" spans="1:3" ht="13.9" x14ac:dyDescent="0.35">
      <c r="A249" s="2">
        <v>44166</v>
      </c>
      <c r="B249" s="3">
        <v>3.2725</v>
      </c>
      <c r="C249" s="3">
        <v>0.92</v>
      </c>
    </row>
    <row r="250" spans="1:3" ht="13.9" x14ac:dyDescent="0.35">
      <c r="A250" s="2">
        <v>44167</v>
      </c>
      <c r="B250" s="3">
        <v>3.2925</v>
      </c>
      <c r="C250" s="3">
        <v>0.95</v>
      </c>
    </row>
    <row r="251" spans="1:3" ht="13.9" x14ac:dyDescent="0.35">
      <c r="A251" s="2">
        <v>44168</v>
      </c>
      <c r="B251" s="3">
        <v>3.2850999999999999</v>
      </c>
      <c r="C251" s="3">
        <v>0.92</v>
      </c>
    </row>
    <row r="252" spans="1:3" ht="13.9" x14ac:dyDescent="0.35">
      <c r="A252" s="2">
        <v>44169</v>
      </c>
      <c r="B252" s="3">
        <v>3.2650999999999999</v>
      </c>
      <c r="C252" s="3">
        <v>0.97</v>
      </c>
    </row>
    <row r="253" spans="1:3" ht="13.9" x14ac:dyDescent="0.35">
      <c r="A253" s="2">
        <v>44172</v>
      </c>
      <c r="B253" s="3">
        <v>3.2700999999999998</v>
      </c>
      <c r="C253" s="3">
        <v>0.94</v>
      </c>
    </row>
    <row r="254" spans="1:3" ht="13.9" x14ac:dyDescent="0.35">
      <c r="A254" s="2">
        <v>44173</v>
      </c>
      <c r="B254" s="3">
        <v>3.2551000000000001</v>
      </c>
      <c r="C254" s="3">
        <v>0.92</v>
      </c>
    </row>
    <row r="255" spans="1:3" ht="13.9" x14ac:dyDescent="0.35">
      <c r="A255" s="2">
        <v>44174</v>
      </c>
      <c r="B255" s="3">
        <v>3.2726000000000002</v>
      </c>
      <c r="C255" s="3">
        <v>0.95</v>
      </c>
    </row>
    <row r="256" spans="1:3" ht="13.9" x14ac:dyDescent="0.35">
      <c r="A256" s="2">
        <v>44175</v>
      </c>
      <c r="B256" s="3">
        <v>3.2601</v>
      </c>
      <c r="C256" s="3">
        <v>0.92</v>
      </c>
    </row>
    <row r="257" spans="1:3" ht="13.9" x14ac:dyDescent="0.35">
      <c r="A257" s="2">
        <v>44176</v>
      </c>
      <c r="B257" s="3">
        <v>3.2951000000000001</v>
      </c>
      <c r="C257" s="3">
        <v>0.9</v>
      </c>
    </row>
    <row r="258" spans="1:3" ht="13.9" x14ac:dyDescent="0.35">
      <c r="A258" s="2">
        <v>44179</v>
      </c>
      <c r="B258" s="3">
        <v>3.2850999999999999</v>
      </c>
      <c r="C258" s="3">
        <v>0.9</v>
      </c>
    </row>
    <row r="259" spans="1:3" ht="13.9" x14ac:dyDescent="0.35">
      <c r="A259" s="2">
        <v>44180</v>
      </c>
      <c r="B259" s="3">
        <v>3.2776999999999998</v>
      </c>
      <c r="C259" s="3">
        <v>0.92</v>
      </c>
    </row>
    <row r="260" spans="1:3" ht="13.9" x14ac:dyDescent="0.35">
      <c r="A260" s="2">
        <v>44181</v>
      </c>
      <c r="B260" s="3">
        <v>3.2751999999999999</v>
      </c>
      <c r="C260" s="3">
        <v>0.92</v>
      </c>
    </row>
    <row r="261" spans="1:3" ht="13.9" x14ac:dyDescent="0.35">
      <c r="A261" s="2">
        <v>44182</v>
      </c>
      <c r="B261" s="3">
        <v>3.2801999999999998</v>
      </c>
      <c r="C261" s="3">
        <v>0.94</v>
      </c>
    </row>
    <row r="262" spans="1:3" ht="13.9" x14ac:dyDescent="0.35">
      <c r="A262" s="2">
        <v>44183</v>
      </c>
      <c r="B262" s="3">
        <v>3.2902</v>
      </c>
      <c r="C262" s="3">
        <v>0.95</v>
      </c>
    </row>
    <row r="263" spans="1:3" ht="13.9" x14ac:dyDescent="0.35">
      <c r="A263" s="2">
        <v>44186</v>
      </c>
      <c r="B263" s="3">
        <v>3.2652000000000001</v>
      </c>
      <c r="C263" s="3">
        <v>0.95</v>
      </c>
    </row>
    <row r="264" spans="1:3" ht="13.9" x14ac:dyDescent="0.35">
      <c r="A264" s="2">
        <v>44187</v>
      </c>
      <c r="B264" s="3">
        <v>3.2277999999999998</v>
      </c>
      <c r="C264" s="3">
        <v>0.93</v>
      </c>
    </row>
    <row r="265" spans="1:3" ht="13.9" x14ac:dyDescent="0.35">
      <c r="A265" s="2">
        <v>44188</v>
      </c>
      <c r="B265" s="3">
        <v>3.2153</v>
      </c>
      <c r="C265" s="3">
        <v>0.96</v>
      </c>
    </row>
    <row r="266" spans="1:3" ht="13.9" x14ac:dyDescent="0.35">
      <c r="A266" s="2">
        <v>44189</v>
      </c>
      <c r="B266" s="3">
        <v>3.2303000000000002</v>
      </c>
      <c r="C266" s="3">
        <v>0.94</v>
      </c>
    </row>
    <row r="267" spans="1:3" ht="13.9" x14ac:dyDescent="0.35">
      <c r="A267" s="2">
        <v>44190</v>
      </c>
      <c r="B267" s="3">
        <v>3.1878000000000002</v>
      </c>
      <c r="C267" s="3"/>
    </row>
    <row r="268" spans="1:3" ht="13.9" x14ac:dyDescent="0.35">
      <c r="A268" s="2">
        <v>44193</v>
      </c>
      <c r="B268" s="3">
        <v>3.1629</v>
      </c>
      <c r="C268" s="3">
        <v>0.94</v>
      </c>
    </row>
    <row r="269" spans="1:3" ht="13.9" x14ac:dyDescent="0.35">
      <c r="A269" s="2">
        <v>44194</v>
      </c>
      <c r="B269" s="3">
        <v>3.1554000000000002</v>
      </c>
      <c r="C269" s="3">
        <v>0.94</v>
      </c>
    </row>
    <row r="270" spans="1:3" ht="13.9" x14ac:dyDescent="0.35">
      <c r="A270" s="2">
        <v>44195</v>
      </c>
      <c r="B270" s="3">
        <v>3.1204000000000001</v>
      </c>
      <c r="C270" s="3">
        <v>0.93</v>
      </c>
    </row>
    <row r="271" spans="1:3" ht="13.9" x14ac:dyDescent="0.35">
      <c r="A271" s="2">
        <v>44196</v>
      </c>
      <c r="B271" s="3">
        <v>3.1429</v>
      </c>
      <c r="C271" s="3">
        <v>0.93</v>
      </c>
    </row>
    <row r="272" spans="1:3" ht="13.9" x14ac:dyDescent="0.35">
      <c r="A272" s="2">
        <v>44200</v>
      </c>
      <c r="B272" s="3">
        <v>3.1779999999999999</v>
      </c>
      <c r="C272" s="3">
        <v>0.93</v>
      </c>
    </row>
    <row r="273" spans="1:3" ht="13.9" x14ac:dyDescent="0.35">
      <c r="A273" s="2">
        <v>44201</v>
      </c>
      <c r="B273" s="3">
        <v>3.1305000000000001</v>
      </c>
      <c r="C273" s="3">
        <v>0.96</v>
      </c>
    </row>
    <row r="274" spans="1:3" ht="13.9" x14ac:dyDescent="0.35">
      <c r="A274" s="2">
        <v>44202</v>
      </c>
      <c r="B274" s="3">
        <v>3.1255999999999999</v>
      </c>
      <c r="C274" s="3">
        <v>1.04</v>
      </c>
    </row>
    <row r="275" spans="1:3" ht="13.9" x14ac:dyDescent="0.35">
      <c r="A275" s="2">
        <v>44203</v>
      </c>
      <c r="B275" s="3">
        <v>3.1255999999999999</v>
      </c>
      <c r="C275" s="3">
        <v>1.08</v>
      </c>
    </row>
    <row r="276" spans="1:3" ht="13.9" x14ac:dyDescent="0.35">
      <c r="A276" s="2">
        <v>44204</v>
      </c>
      <c r="B276" s="3">
        <v>3.1456</v>
      </c>
      <c r="C276" s="3">
        <v>1.1299999999999999</v>
      </c>
    </row>
    <row r="277" spans="1:3" ht="13.9" x14ac:dyDescent="0.35">
      <c r="A277" s="2">
        <v>44207</v>
      </c>
      <c r="B277" s="3">
        <v>3.1631999999999998</v>
      </c>
      <c r="C277" s="3">
        <v>1.1499999999999999</v>
      </c>
    </row>
    <row r="278" spans="1:3" ht="13.9" x14ac:dyDescent="0.35">
      <c r="A278" s="2">
        <v>44208</v>
      </c>
      <c r="B278" s="3">
        <v>3.1457000000000002</v>
      </c>
      <c r="C278" s="3">
        <v>1.1499999999999999</v>
      </c>
    </row>
    <row r="279" spans="1:3" ht="13.9" x14ac:dyDescent="0.35">
      <c r="A279" s="2">
        <v>44209</v>
      </c>
      <c r="B279" s="3">
        <v>3.1156999999999999</v>
      </c>
      <c r="C279" s="3">
        <v>1.1000000000000001</v>
      </c>
    </row>
    <row r="280" spans="1:3" ht="13.9" x14ac:dyDescent="0.35">
      <c r="A280" s="2">
        <v>44210</v>
      </c>
      <c r="B280" s="3">
        <v>3.1059000000000001</v>
      </c>
      <c r="C280" s="3">
        <v>1.1499999999999999</v>
      </c>
    </row>
    <row r="281" spans="1:3" ht="13.9" x14ac:dyDescent="0.35">
      <c r="A281" s="2">
        <v>44211</v>
      </c>
      <c r="B281" s="3">
        <v>3.1507999999999998</v>
      </c>
      <c r="C281" s="3">
        <v>1.1100000000000001</v>
      </c>
    </row>
    <row r="282" spans="1:3" ht="13.9" x14ac:dyDescent="0.35">
      <c r="A282" s="2">
        <v>44214</v>
      </c>
      <c r="B282" s="3">
        <v>3.1657999999999999</v>
      </c>
      <c r="C282" s="3"/>
    </row>
    <row r="283" spans="1:3" ht="13.9" x14ac:dyDescent="0.35">
      <c r="A283" s="2">
        <v>44215</v>
      </c>
      <c r="B283" s="3">
        <v>3.1608999999999998</v>
      </c>
      <c r="C283" s="3">
        <v>1.1000000000000001</v>
      </c>
    </row>
    <row r="284" spans="1:3" ht="13.9" x14ac:dyDescent="0.35">
      <c r="A284" s="2">
        <v>44216</v>
      </c>
      <c r="B284" s="3">
        <v>3.161</v>
      </c>
      <c r="C284" s="3">
        <v>1.1000000000000001</v>
      </c>
    </row>
    <row r="285" spans="1:3" ht="13.9" x14ac:dyDescent="0.35">
      <c r="A285" s="2">
        <v>44217</v>
      </c>
      <c r="B285" s="3">
        <v>3.1335000000000002</v>
      </c>
      <c r="C285" s="3">
        <v>1.1200000000000001</v>
      </c>
    </row>
    <row r="286" spans="1:3" ht="13.9" x14ac:dyDescent="0.35">
      <c r="A286" s="2">
        <v>44218</v>
      </c>
      <c r="B286" s="3">
        <v>3.1185</v>
      </c>
      <c r="C286" s="3">
        <v>1.1000000000000001</v>
      </c>
    </row>
    <row r="287" spans="1:3" ht="13.9" x14ac:dyDescent="0.35">
      <c r="A287" s="2">
        <v>44221</v>
      </c>
      <c r="B287" s="3">
        <v>3.1322999999999999</v>
      </c>
      <c r="C287" s="3">
        <v>1.05</v>
      </c>
    </row>
    <row r="288" spans="1:3" ht="13.9" x14ac:dyDescent="0.35">
      <c r="A288" s="2">
        <v>44222</v>
      </c>
      <c r="B288" s="3">
        <v>3.1585000000000001</v>
      </c>
      <c r="C288" s="3">
        <v>1.05</v>
      </c>
    </row>
    <row r="289" spans="1:3" ht="13.9" x14ac:dyDescent="0.35">
      <c r="A289" s="2">
        <v>44223</v>
      </c>
      <c r="B289" s="3">
        <v>3.1636000000000002</v>
      </c>
      <c r="C289" s="3">
        <v>1.04</v>
      </c>
    </row>
    <row r="290" spans="1:3" ht="13.9" x14ac:dyDescent="0.35">
      <c r="A290" s="2">
        <v>44224</v>
      </c>
      <c r="B290" s="3">
        <v>3.1960999999999999</v>
      </c>
      <c r="C290" s="3">
        <v>1.07</v>
      </c>
    </row>
    <row r="291" spans="1:3" ht="13.9" x14ac:dyDescent="0.35">
      <c r="A291" s="2">
        <v>44225</v>
      </c>
      <c r="B291" s="3">
        <v>3.1785999999999999</v>
      </c>
      <c r="C291" s="3">
        <v>1.1100000000000001</v>
      </c>
    </row>
    <row r="292" spans="1:3" ht="13.9" x14ac:dyDescent="0.35">
      <c r="A292" s="2">
        <v>44228</v>
      </c>
      <c r="B292" s="3">
        <v>3.1711999999999998</v>
      </c>
      <c r="C292" s="3">
        <v>1.0900000000000001</v>
      </c>
    </row>
    <row r="293" spans="1:3" ht="13.9" x14ac:dyDescent="0.35">
      <c r="A293" s="2">
        <v>44229</v>
      </c>
      <c r="B293" s="3">
        <v>3.1861999999999999</v>
      </c>
      <c r="C293" s="3">
        <v>1.1200000000000001</v>
      </c>
    </row>
    <row r="294" spans="1:3" ht="13.9" x14ac:dyDescent="0.35">
      <c r="A294" s="2">
        <v>44230</v>
      </c>
      <c r="B294" s="3">
        <v>3.2111999999999998</v>
      </c>
      <c r="C294" s="3">
        <v>1.1499999999999999</v>
      </c>
    </row>
    <row r="295" spans="1:3" ht="13.9" x14ac:dyDescent="0.35">
      <c r="A295" s="2">
        <v>44231</v>
      </c>
      <c r="B295" s="3">
        <v>3.2347000000000001</v>
      </c>
      <c r="C295" s="3">
        <v>1.1499999999999999</v>
      </c>
    </row>
    <row r="296" spans="1:3" ht="13.9" x14ac:dyDescent="0.35">
      <c r="A296" s="2">
        <v>44232</v>
      </c>
      <c r="B296" s="3">
        <v>3.2164000000000001</v>
      </c>
      <c r="C296" s="3">
        <v>1.19</v>
      </c>
    </row>
    <row r="297" spans="1:3" ht="13.9" x14ac:dyDescent="0.35">
      <c r="A297" s="2">
        <v>44234</v>
      </c>
      <c r="B297" s="3">
        <v>3.2168000000000001</v>
      </c>
      <c r="C297" s="3"/>
    </row>
    <row r="298" spans="1:3" ht="13.9" x14ac:dyDescent="0.35">
      <c r="A298" s="2">
        <v>44235</v>
      </c>
      <c r="B298" s="3">
        <v>3.2370000000000001</v>
      </c>
      <c r="C298" s="3">
        <v>1.19</v>
      </c>
    </row>
    <row r="299" spans="1:3" ht="13.9" x14ac:dyDescent="0.35">
      <c r="A299" s="2">
        <v>44236</v>
      </c>
      <c r="B299" s="3">
        <v>3.2303000000000002</v>
      </c>
      <c r="C299" s="3">
        <v>1.18</v>
      </c>
    </row>
    <row r="300" spans="1:3" ht="13.9" x14ac:dyDescent="0.35">
      <c r="A300" s="2">
        <v>44237</v>
      </c>
      <c r="B300" s="3">
        <v>3.2448999999999999</v>
      </c>
      <c r="C300" s="3">
        <v>1.1499999999999999</v>
      </c>
    </row>
    <row r="301" spans="1:3" ht="13.9" x14ac:dyDescent="0.35">
      <c r="A301" s="2">
        <v>44238</v>
      </c>
      <c r="B301" s="3"/>
      <c r="C301" s="3">
        <v>1.1599999999999999</v>
      </c>
    </row>
    <row r="302" spans="1:3" ht="13.9" x14ac:dyDescent="0.35">
      <c r="A302" s="2">
        <v>44239</v>
      </c>
      <c r="B302" s="3"/>
      <c r="C302" s="3">
        <v>1.2</v>
      </c>
    </row>
    <row r="303" spans="1:3" ht="13.9" x14ac:dyDescent="0.35">
      <c r="A303" s="2">
        <v>44243</v>
      </c>
      <c r="B303" s="3"/>
      <c r="C303" s="3">
        <v>1.3</v>
      </c>
    </row>
    <row r="304" spans="1:3" ht="13.9" x14ac:dyDescent="0.35">
      <c r="A304" s="2">
        <v>44244</v>
      </c>
      <c r="B304" s="3"/>
      <c r="C304" s="3">
        <v>1.29</v>
      </c>
    </row>
    <row r="305" spans="1:3" ht="13.9" x14ac:dyDescent="0.35">
      <c r="A305" s="2">
        <v>44245</v>
      </c>
      <c r="B305" s="3">
        <v>3.2831000000000001</v>
      </c>
      <c r="C305" s="3">
        <v>1.29</v>
      </c>
    </row>
    <row r="306" spans="1:3" ht="13.9" x14ac:dyDescent="0.35">
      <c r="A306" s="2">
        <v>44246</v>
      </c>
      <c r="B306" s="3">
        <v>3.2578</v>
      </c>
      <c r="C306" s="3">
        <v>1.34</v>
      </c>
    </row>
    <row r="307" spans="1:3" ht="13.9" x14ac:dyDescent="0.35">
      <c r="A307" s="2">
        <v>44247</v>
      </c>
      <c r="B307" s="3">
        <v>3.2605</v>
      </c>
      <c r="C307" s="3"/>
    </row>
    <row r="308" spans="1:3" ht="13.9" x14ac:dyDescent="0.35">
      <c r="A308" s="2">
        <v>44249</v>
      </c>
      <c r="B308" s="3">
        <v>3.2736000000000001</v>
      </c>
      <c r="C308" s="3">
        <v>1.37</v>
      </c>
    </row>
    <row r="309" spans="1:3" ht="13.9" x14ac:dyDescent="0.35">
      <c r="A309" s="2">
        <v>44250</v>
      </c>
      <c r="B309" s="3">
        <v>3.2635000000000001</v>
      </c>
      <c r="C309" s="3">
        <v>1.37</v>
      </c>
    </row>
    <row r="310" spans="1:3" ht="13.9" x14ac:dyDescent="0.35">
      <c r="A310" s="2">
        <v>44251</v>
      </c>
      <c r="B310" s="3">
        <v>3.2627000000000002</v>
      </c>
      <c r="C310" s="3">
        <v>1.38</v>
      </c>
    </row>
    <row r="311" spans="1:3" ht="13.9" x14ac:dyDescent="0.35">
      <c r="A311" s="2">
        <v>44252</v>
      </c>
      <c r="B311" s="3">
        <v>3.2723</v>
      </c>
      <c r="C311" s="3">
        <v>1.54</v>
      </c>
    </row>
    <row r="312" spans="1:3" ht="13.9" x14ac:dyDescent="0.35">
      <c r="A312" s="2">
        <v>44253</v>
      </c>
      <c r="B312" s="3">
        <v>3.2797999999999998</v>
      </c>
      <c r="C312" s="3">
        <v>1.44</v>
      </c>
    </row>
    <row r="313" spans="1:3" ht="13.9" x14ac:dyDescent="0.35">
      <c r="A313" s="2">
        <v>44256</v>
      </c>
      <c r="B313" s="3">
        <v>3.2475000000000001</v>
      </c>
      <c r="C313" s="3">
        <v>1.45</v>
      </c>
    </row>
    <row r="314" spans="1:3" ht="13.9" x14ac:dyDescent="0.35">
      <c r="A314" s="2">
        <v>44257</v>
      </c>
      <c r="B314" s="3">
        <v>3.2473999999999998</v>
      </c>
      <c r="C314" s="3">
        <v>1.42</v>
      </c>
    </row>
    <row r="315" spans="1:3" ht="13.9" x14ac:dyDescent="0.35">
      <c r="A315" s="2">
        <v>44258</v>
      </c>
      <c r="B315" s="3">
        <v>3.2553000000000001</v>
      </c>
      <c r="C315" s="3">
        <v>1.47</v>
      </c>
    </row>
    <row r="316" spans="1:3" ht="13.9" x14ac:dyDescent="0.35">
      <c r="A316" s="2">
        <v>44259</v>
      </c>
      <c r="B316" s="3">
        <v>3.2654999999999998</v>
      </c>
      <c r="C316" s="3">
        <v>1.54</v>
      </c>
    </row>
    <row r="317" spans="1:3" ht="13.9" x14ac:dyDescent="0.35">
      <c r="A317" s="2">
        <v>44260</v>
      </c>
      <c r="B317" s="3">
        <v>3.2456999999999998</v>
      </c>
      <c r="C317" s="3">
        <v>1.56</v>
      </c>
    </row>
    <row r="318" spans="1:3" ht="13.9" x14ac:dyDescent="0.35">
      <c r="A318" s="2">
        <v>44263</v>
      </c>
      <c r="B318" s="3">
        <v>3.2404000000000002</v>
      </c>
      <c r="C318" s="3">
        <v>1.59</v>
      </c>
    </row>
    <row r="319" spans="1:3" ht="13.9" x14ac:dyDescent="0.35">
      <c r="A319" s="2">
        <v>44264</v>
      </c>
      <c r="B319" s="3">
        <v>3.2477999999999998</v>
      </c>
      <c r="C319" s="3">
        <v>1.55</v>
      </c>
    </row>
    <row r="320" spans="1:3" ht="13.9" x14ac:dyDescent="0.35">
      <c r="A320" s="2">
        <v>44265</v>
      </c>
      <c r="B320" s="3">
        <v>3.2353000000000001</v>
      </c>
      <c r="C320" s="3">
        <v>1.53</v>
      </c>
    </row>
    <row r="321" spans="1:3" ht="13.9" x14ac:dyDescent="0.35">
      <c r="A321" s="2">
        <v>44266</v>
      </c>
      <c r="B321" s="3">
        <v>3.2505999999999999</v>
      </c>
      <c r="C321" s="3">
        <v>1.54</v>
      </c>
    </row>
    <row r="322" spans="1:3" ht="13.9" x14ac:dyDescent="0.35">
      <c r="A322" s="2">
        <v>44267</v>
      </c>
      <c r="B322" s="3">
        <v>3.2612999999999999</v>
      </c>
      <c r="C322" s="3">
        <v>1.64</v>
      </c>
    </row>
    <row r="323" spans="1:3" ht="13.9" x14ac:dyDescent="0.35">
      <c r="A323" s="2">
        <v>44270</v>
      </c>
      <c r="B323" s="3">
        <v>3.274</v>
      </c>
      <c r="C323" s="3">
        <v>1.62</v>
      </c>
    </row>
    <row r="324" spans="1:3" ht="13.9" x14ac:dyDescent="0.35">
      <c r="A324" s="2">
        <v>44271</v>
      </c>
      <c r="B324" s="3">
        <v>3.2614000000000001</v>
      </c>
      <c r="C324" s="3">
        <v>1.62</v>
      </c>
    </row>
    <row r="325" spans="1:3" ht="13.9" x14ac:dyDescent="0.35">
      <c r="A325" s="2">
        <v>44272</v>
      </c>
      <c r="B325" s="3">
        <v>3.2564000000000002</v>
      </c>
      <c r="C325" s="3">
        <v>1.63</v>
      </c>
    </row>
    <row r="326" spans="1:3" ht="13.9" x14ac:dyDescent="0.35">
      <c r="A326" s="2">
        <v>44273</v>
      </c>
      <c r="B326" s="3">
        <v>3.2591999999999999</v>
      </c>
      <c r="C326" s="3">
        <v>1.71</v>
      </c>
    </row>
    <row r="327" spans="1:3" ht="13.9" x14ac:dyDescent="0.35">
      <c r="A327" s="2">
        <v>44274</v>
      </c>
      <c r="B327" s="3">
        <v>3.2364000000000002</v>
      </c>
      <c r="C327" s="3">
        <v>1.74</v>
      </c>
    </row>
    <row r="328" spans="1:3" ht="13.9" x14ac:dyDescent="0.35">
      <c r="A328" s="2">
        <v>44277</v>
      </c>
      <c r="B328" s="3">
        <v>3.2309000000000001</v>
      </c>
      <c r="C328" s="3">
        <v>1.69</v>
      </c>
    </row>
    <row r="329" spans="1:3" ht="13.9" x14ac:dyDescent="0.35">
      <c r="A329" s="2">
        <v>44278</v>
      </c>
      <c r="B329" s="3">
        <v>3.2105000000000001</v>
      </c>
      <c r="C329" s="3">
        <v>1.63</v>
      </c>
    </row>
    <row r="330" spans="1:3" ht="13.9" x14ac:dyDescent="0.35">
      <c r="A330" s="2">
        <v>44279</v>
      </c>
      <c r="B330" s="3">
        <v>3.1930000000000001</v>
      </c>
      <c r="C330" s="3">
        <v>1.62</v>
      </c>
    </row>
    <row r="331" spans="1:3" ht="13.9" x14ac:dyDescent="0.35">
      <c r="A331" s="2">
        <v>44280</v>
      </c>
      <c r="B331" s="3">
        <v>3.1882000000000001</v>
      </c>
      <c r="C331" s="3">
        <v>1.63</v>
      </c>
    </row>
    <row r="332" spans="1:3" ht="13.9" x14ac:dyDescent="0.35">
      <c r="A332" s="2">
        <v>44281</v>
      </c>
      <c r="B332" s="3">
        <v>3.1985000000000001</v>
      </c>
      <c r="C332" s="3">
        <v>1.67</v>
      </c>
    </row>
    <row r="333" spans="1:3" ht="13.9" x14ac:dyDescent="0.35">
      <c r="A333" s="2">
        <v>44284</v>
      </c>
      <c r="B333" s="3">
        <v>3.1962000000000002</v>
      </c>
      <c r="C333" s="3">
        <v>1.73</v>
      </c>
    </row>
    <row r="334" spans="1:3" ht="13.9" x14ac:dyDescent="0.35">
      <c r="A334" s="2">
        <v>44285</v>
      </c>
      <c r="B334" s="3">
        <v>3.206</v>
      </c>
      <c r="C334" s="3">
        <v>1.73</v>
      </c>
    </row>
    <row r="335" spans="1:3" ht="13.9" x14ac:dyDescent="0.35">
      <c r="A335" s="2">
        <v>44286</v>
      </c>
      <c r="B335" s="3">
        <v>3.1886999999999999</v>
      </c>
      <c r="C335" s="3">
        <v>1.74</v>
      </c>
    </row>
    <row r="336" spans="1:3" ht="13.9" x14ac:dyDescent="0.35">
      <c r="A336" s="2">
        <v>44287</v>
      </c>
      <c r="B336" s="3">
        <v>3.1960000000000002</v>
      </c>
      <c r="C336" s="3">
        <v>1.69</v>
      </c>
    </row>
    <row r="337" spans="1:3" ht="13.9" x14ac:dyDescent="0.35">
      <c r="A337" s="2">
        <v>44288</v>
      </c>
      <c r="B337" s="3">
        <v>3.2012999999999998</v>
      </c>
      <c r="C337" s="3">
        <v>1.72</v>
      </c>
    </row>
    <row r="338" spans="1:3" ht="13.9" x14ac:dyDescent="0.35">
      <c r="A338" s="2">
        <v>44291</v>
      </c>
      <c r="B338" s="3"/>
      <c r="C338" s="3">
        <v>1.73</v>
      </c>
    </row>
    <row r="339" spans="1:3" ht="13.9" x14ac:dyDescent="0.35">
      <c r="A339" s="2">
        <v>44292</v>
      </c>
      <c r="B339" s="3">
        <v>3.2086999999999999</v>
      </c>
      <c r="C339" s="3">
        <v>1.67</v>
      </c>
    </row>
    <row r="340" spans="1:3" ht="13.9" x14ac:dyDescent="0.35">
      <c r="A340" s="2">
        <v>44293</v>
      </c>
      <c r="B340" s="3">
        <v>3.2214999999999998</v>
      </c>
      <c r="C340" s="3">
        <v>1.68</v>
      </c>
    </row>
    <row r="341" spans="1:3" ht="13.9" x14ac:dyDescent="0.35">
      <c r="A341" s="2">
        <v>44294</v>
      </c>
      <c r="B341" s="3">
        <v>3.2221000000000002</v>
      </c>
      <c r="C341" s="3">
        <v>1.64</v>
      </c>
    </row>
    <row r="342" spans="1:3" ht="13.9" x14ac:dyDescent="0.35">
      <c r="A342" s="2">
        <v>44295</v>
      </c>
      <c r="B342" s="3">
        <v>3.2121</v>
      </c>
      <c r="C342" s="3">
        <v>1.67</v>
      </c>
    </row>
    <row r="343" spans="1:3" ht="13.9" x14ac:dyDescent="0.35">
      <c r="A343" s="2">
        <v>44298</v>
      </c>
      <c r="B343" s="3">
        <v>3.1947999999999999</v>
      </c>
      <c r="C343" s="3">
        <v>1.69</v>
      </c>
    </row>
    <row r="344" spans="1:3" ht="13.9" x14ac:dyDescent="0.35">
      <c r="A344" s="2">
        <v>44299</v>
      </c>
      <c r="B344" s="3">
        <v>3.1625999999999999</v>
      </c>
      <c r="C344" s="3">
        <v>1.64</v>
      </c>
    </row>
    <row r="345" spans="1:3" ht="13.9" x14ac:dyDescent="0.35">
      <c r="A345" s="2">
        <v>44300</v>
      </c>
      <c r="B345" s="3">
        <v>3.1650999999999998</v>
      </c>
      <c r="C345" s="3">
        <v>1.64</v>
      </c>
    </row>
    <row r="346" spans="1:3" ht="13.9" x14ac:dyDescent="0.35">
      <c r="A346" s="2">
        <v>44301</v>
      </c>
      <c r="B346" s="3">
        <v>3.1728000000000001</v>
      </c>
      <c r="C346" s="3">
        <v>1.56</v>
      </c>
    </row>
    <row r="347" spans="1:3" ht="13.9" x14ac:dyDescent="0.35">
      <c r="A347" s="2">
        <v>44302</v>
      </c>
      <c r="B347" s="3">
        <v>3.1631</v>
      </c>
      <c r="C347" s="3">
        <v>1.59</v>
      </c>
    </row>
    <row r="348" spans="1:3" ht="13.9" x14ac:dyDescent="0.35">
      <c r="A348" s="2">
        <v>44305</v>
      </c>
      <c r="B348" s="3">
        <v>3.1558999999999999</v>
      </c>
      <c r="C348" s="3">
        <v>1.61</v>
      </c>
    </row>
    <row r="349" spans="1:3" ht="13.9" x14ac:dyDescent="0.35">
      <c r="A349" s="2">
        <v>44306</v>
      </c>
      <c r="B349" s="3">
        <v>3.1554000000000002</v>
      </c>
      <c r="C349" s="3">
        <v>1.58</v>
      </c>
    </row>
    <row r="350" spans="1:3" ht="13.9" x14ac:dyDescent="0.35">
      <c r="A350" s="2">
        <v>44307</v>
      </c>
      <c r="B350" s="3">
        <v>3.153</v>
      </c>
      <c r="C350" s="3">
        <v>1.57</v>
      </c>
    </row>
    <row r="351" spans="1:3" ht="13.9" x14ac:dyDescent="0.35">
      <c r="A351" s="2">
        <v>44308</v>
      </c>
      <c r="B351" s="3">
        <v>3.1614</v>
      </c>
      <c r="C351" s="3">
        <v>1.57</v>
      </c>
    </row>
    <row r="352" spans="1:3" ht="13.9" x14ac:dyDescent="0.35">
      <c r="A352" s="2">
        <v>44309</v>
      </c>
      <c r="B352" s="3">
        <v>3.1718999999999999</v>
      </c>
      <c r="C352" s="3">
        <v>1.58</v>
      </c>
    </row>
    <row r="353" spans="1:3" ht="13.9" x14ac:dyDescent="0.35">
      <c r="A353" s="2">
        <v>44311</v>
      </c>
      <c r="B353" s="3">
        <v>3.1840999999999999</v>
      </c>
      <c r="C353" s="3"/>
    </row>
    <row r="354" spans="1:3" ht="13.9" x14ac:dyDescent="0.35">
      <c r="A354" s="2">
        <v>44312</v>
      </c>
      <c r="B354" s="3">
        <v>3.2023999999999999</v>
      </c>
      <c r="C354" s="3">
        <v>1.58</v>
      </c>
    </row>
    <row r="355" spans="1:3" ht="13.9" x14ac:dyDescent="0.35">
      <c r="A355" s="2">
        <v>44313</v>
      </c>
      <c r="B355" s="3">
        <v>3.2078000000000002</v>
      </c>
      <c r="C355" s="3">
        <v>1.63</v>
      </c>
    </row>
    <row r="356" spans="1:3" ht="13.9" x14ac:dyDescent="0.35">
      <c r="A356" s="2">
        <v>44314</v>
      </c>
      <c r="B356" s="3">
        <v>3.1979000000000002</v>
      </c>
      <c r="C356" s="3">
        <v>1.63</v>
      </c>
    </row>
    <row r="357" spans="1:3" ht="13.9" x14ac:dyDescent="0.35">
      <c r="A357" s="2">
        <v>44315</v>
      </c>
      <c r="B357" s="3">
        <v>3.1871999999999998</v>
      </c>
      <c r="C357" s="3">
        <v>1.65</v>
      </c>
    </row>
    <row r="358" spans="1:3" ht="13.9" x14ac:dyDescent="0.35">
      <c r="A358" s="2">
        <v>44316</v>
      </c>
      <c r="B358" s="3">
        <v>3.1640000000000001</v>
      </c>
      <c r="C358" s="3">
        <v>1.65</v>
      </c>
    </row>
    <row r="359" spans="1:3" ht="13.9" x14ac:dyDescent="0.35">
      <c r="A359" s="2">
        <v>44319</v>
      </c>
      <c r="B359" s="3"/>
      <c r="C359" s="3">
        <v>1.63</v>
      </c>
    </row>
    <row r="360" spans="1:3" ht="13.9" x14ac:dyDescent="0.35">
      <c r="A360" s="2">
        <v>44320</v>
      </c>
      <c r="B360" s="3"/>
      <c r="C360" s="3">
        <v>1.61</v>
      </c>
    </row>
    <row r="361" spans="1:3" ht="13.9" x14ac:dyDescent="0.35">
      <c r="A361" s="2">
        <v>44321</v>
      </c>
      <c r="B361" s="3"/>
      <c r="C361" s="3">
        <v>1.59</v>
      </c>
    </row>
    <row r="362" spans="1:3" ht="13.9" x14ac:dyDescent="0.35">
      <c r="A362" s="2">
        <v>44322</v>
      </c>
      <c r="B362" s="3">
        <v>3.1507000000000001</v>
      </c>
      <c r="C362" s="3">
        <v>1.58</v>
      </c>
    </row>
    <row r="363" spans="1:3" ht="13.9" x14ac:dyDescent="0.35">
      <c r="A363" s="2">
        <v>44323</v>
      </c>
      <c r="B363" s="3">
        <v>3.1589</v>
      </c>
      <c r="C363" s="3">
        <v>1.6</v>
      </c>
    </row>
    <row r="364" spans="1:3" ht="13.9" x14ac:dyDescent="0.35">
      <c r="A364" s="2">
        <v>44324</v>
      </c>
      <c r="B364" s="3">
        <v>3.1581999999999999</v>
      </c>
      <c r="C364" s="3"/>
    </row>
    <row r="365" spans="1:3" ht="13.9" x14ac:dyDescent="0.35">
      <c r="A365" s="2">
        <v>44326</v>
      </c>
      <c r="B365" s="3">
        <v>3.1459999999999999</v>
      </c>
      <c r="C365" s="3">
        <v>1.63</v>
      </c>
    </row>
    <row r="366" spans="1:3" ht="13.9" x14ac:dyDescent="0.35">
      <c r="A366" s="2">
        <v>44327</v>
      </c>
      <c r="B366" s="3">
        <v>3.1379999999999999</v>
      </c>
      <c r="C366" s="3">
        <v>1.64</v>
      </c>
    </row>
    <row r="367" spans="1:3" ht="13.9" x14ac:dyDescent="0.35">
      <c r="A367" s="2">
        <v>44328</v>
      </c>
      <c r="B367" s="3">
        <v>3.1309999999999998</v>
      </c>
      <c r="C367" s="3">
        <v>1.69</v>
      </c>
    </row>
    <row r="368" spans="1:3" ht="13.9" x14ac:dyDescent="0.35">
      <c r="A368" s="2">
        <v>44329</v>
      </c>
      <c r="B368" s="3">
        <v>3.1366000000000001</v>
      </c>
      <c r="C368" s="3">
        <v>1.66</v>
      </c>
    </row>
    <row r="369" spans="1:3" ht="13.9" x14ac:dyDescent="0.35">
      <c r="A369" s="2">
        <v>44330</v>
      </c>
      <c r="B369" s="3">
        <v>3.1421999999999999</v>
      </c>
      <c r="C369" s="3">
        <v>1.63</v>
      </c>
    </row>
    <row r="370" spans="1:3" ht="13.9" x14ac:dyDescent="0.35">
      <c r="A370" s="2">
        <v>44333</v>
      </c>
      <c r="B370" s="3">
        <v>3.1524000000000001</v>
      </c>
      <c r="C370" s="3">
        <v>1.64</v>
      </c>
    </row>
    <row r="371" spans="1:3" ht="13.9" x14ac:dyDescent="0.35">
      <c r="A371" s="2">
        <v>44334</v>
      </c>
      <c r="B371" s="3">
        <v>3.1457000000000002</v>
      </c>
      <c r="C371" s="3">
        <v>1.64</v>
      </c>
    </row>
    <row r="372" spans="1:3" ht="13.9" x14ac:dyDescent="0.35">
      <c r="A372" s="2">
        <v>44335</v>
      </c>
      <c r="B372" s="3">
        <v>3.1297999999999999</v>
      </c>
      <c r="C372" s="3">
        <v>1.68</v>
      </c>
    </row>
    <row r="373" spans="1:3" ht="13.9" x14ac:dyDescent="0.35">
      <c r="A373" s="2">
        <v>44336</v>
      </c>
      <c r="B373" s="3">
        <v>3.1000999999999999</v>
      </c>
      <c r="C373" s="3">
        <v>1.63</v>
      </c>
    </row>
    <row r="374" spans="1:3" ht="13.9" x14ac:dyDescent="0.35">
      <c r="A374" s="2">
        <v>44337</v>
      </c>
      <c r="B374" s="3">
        <v>3.0876000000000001</v>
      </c>
      <c r="C374" s="3">
        <v>1.63</v>
      </c>
    </row>
    <row r="375" spans="1:3" ht="13.9" x14ac:dyDescent="0.35">
      <c r="A375" s="2">
        <v>44340</v>
      </c>
      <c r="B375" s="3">
        <v>3.085</v>
      </c>
      <c r="C375" s="3">
        <v>1.61</v>
      </c>
    </row>
    <row r="376" spans="1:3" ht="13.9" x14ac:dyDescent="0.35">
      <c r="A376" s="2">
        <v>44341</v>
      </c>
      <c r="B376" s="3">
        <v>3.085</v>
      </c>
      <c r="C376" s="3">
        <v>1.56</v>
      </c>
    </row>
    <row r="377" spans="1:3" ht="13.9" x14ac:dyDescent="0.35">
      <c r="A377" s="2">
        <v>44342</v>
      </c>
      <c r="B377" s="3">
        <v>3.06</v>
      </c>
      <c r="C377" s="3">
        <v>1.58</v>
      </c>
    </row>
    <row r="378" spans="1:3" ht="13.9" x14ac:dyDescent="0.35">
      <c r="A378" s="2">
        <v>44343</v>
      </c>
      <c r="B378" s="3">
        <v>3.0724999999999998</v>
      </c>
      <c r="C378" s="3">
        <v>1.61</v>
      </c>
    </row>
    <row r="379" spans="1:3" ht="13.9" x14ac:dyDescent="0.35">
      <c r="A379" s="2">
        <v>44344</v>
      </c>
      <c r="B379" s="3">
        <v>3.0825</v>
      </c>
      <c r="C379" s="3">
        <v>1.58</v>
      </c>
    </row>
    <row r="380" spans="1:3" ht="13.9" x14ac:dyDescent="0.35">
      <c r="A380" s="2">
        <v>44347</v>
      </c>
      <c r="B380" s="3">
        <v>3.0449999999999999</v>
      </c>
      <c r="C380" s="3"/>
    </row>
    <row r="381" spans="1:3" ht="13.9" x14ac:dyDescent="0.35">
      <c r="A381" s="2">
        <v>44348</v>
      </c>
      <c r="B381" s="3">
        <v>3.04</v>
      </c>
      <c r="C381" s="3">
        <v>1.62</v>
      </c>
    </row>
    <row r="382" spans="1:3" ht="13.9" x14ac:dyDescent="0.35">
      <c r="A382" s="2">
        <v>44349</v>
      </c>
      <c r="B382" s="3">
        <v>3.0649999999999999</v>
      </c>
      <c r="C382" s="3">
        <v>1.59</v>
      </c>
    </row>
    <row r="383" spans="1:3" ht="13.9" x14ac:dyDescent="0.35">
      <c r="A383" s="2">
        <v>44350</v>
      </c>
      <c r="B383" s="3">
        <v>3.0550000000000002</v>
      </c>
      <c r="C383" s="3">
        <v>1.63</v>
      </c>
    </row>
    <row r="384" spans="1:3" ht="13.9" x14ac:dyDescent="0.35">
      <c r="A384" s="2">
        <v>44351</v>
      </c>
      <c r="B384" s="3">
        <v>3.0924999999999998</v>
      </c>
      <c r="C384" s="3">
        <v>1.56</v>
      </c>
    </row>
    <row r="385" spans="1:3" x14ac:dyDescent="0.3">
      <c r="A385" s="4">
        <v>44354</v>
      </c>
      <c r="B385" s="5">
        <v>3.11</v>
      </c>
      <c r="C385" s="5">
        <v>1.57</v>
      </c>
    </row>
    <row r="386" spans="1:3" x14ac:dyDescent="0.3">
      <c r="A386" s="4">
        <v>44355</v>
      </c>
      <c r="B386" s="5">
        <v>3.11</v>
      </c>
      <c r="C386" s="5">
        <v>1.53</v>
      </c>
    </row>
    <row r="387" spans="1:3" x14ac:dyDescent="0.3">
      <c r="A387" s="4">
        <v>44356</v>
      </c>
      <c r="B387" s="5">
        <v>3.1051000000000002</v>
      </c>
      <c r="C387" s="5">
        <v>1.5</v>
      </c>
    </row>
    <row r="388" spans="1:3" x14ac:dyDescent="0.3">
      <c r="A388" s="4">
        <v>44357</v>
      </c>
      <c r="B388" s="5">
        <v>3.1</v>
      </c>
      <c r="C388" s="5">
        <v>1.45</v>
      </c>
    </row>
    <row r="389" spans="1:3" x14ac:dyDescent="0.3">
      <c r="A389" s="4">
        <v>44358</v>
      </c>
      <c r="B389" s="5">
        <v>3.1276000000000002</v>
      </c>
      <c r="C389" s="5">
        <v>1.47</v>
      </c>
    </row>
    <row r="390" spans="1:3" x14ac:dyDescent="0.3">
      <c r="A390" s="4">
        <v>44361</v>
      </c>
      <c r="B390" s="5"/>
      <c r="C390" s="5">
        <v>1.51</v>
      </c>
    </row>
    <row r="391" spans="1:3" x14ac:dyDescent="0.3">
      <c r="A391" s="4">
        <v>44362</v>
      </c>
      <c r="B391" s="5">
        <v>3.1175999999999999</v>
      </c>
      <c r="C391" s="5">
        <v>1.51</v>
      </c>
    </row>
    <row r="392" spans="1:3" x14ac:dyDescent="0.3">
      <c r="A392" s="4">
        <v>44363</v>
      </c>
      <c r="B392" s="5">
        <v>3.1301000000000001</v>
      </c>
      <c r="C392" s="5">
        <v>1.57</v>
      </c>
    </row>
    <row r="393" spans="1:3" x14ac:dyDescent="0.3">
      <c r="A393" s="4">
        <v>44364</v>
      </c>
      <c r="B393" s="5">
        <v>3.1400999999999999</v>
      </c>
      <c r="C393" s="5">
        <v>1.52</v>
      </c>
    </row>
    <row r="394" spans="1:3" x14ac:dyDescent="0.3">
      <c r="A394" s="4">
        <v>44365</v>
      </c>
      <c r="B394" s="5">
        <v>3.1202000000000001</v>
      </c>
      <c r="C394" s="5">
        <v>1.45</v>
      </c>
    </row>
    <row r="395" spans="1:3" x14ac:dyDescent="0.3">
      <c r="A395" s="4">
        <v>44368</v>
      </c>
      <c r="B395" s="5">
        <v>3.0952999999999999</v>
      </c>
      <c r="C395" s="5">
        <v>1.5</v>
      </c>
    </row>
    <row r="396" spans="1:3" x14ac:dyDescent="0.3">
      <c r="A396" s="4">
        <v>44369</v>
      </c>
      <c r="B396" s="5">
        <v>3.0876999999999999</v>
      </c>
      <c r="C396" s="5">
        <v>1.48</v>
      </c>
    </row>
    <row r="397" spans="1:3" x14ac:dyDescent="0.3">
      <c r="A397" s="4">
        <v>44370</v>
      </c>
      <c r="B397" s="5">
        <v>3.0853000000000002</v>
      </c>
      <c r="C397" s="5">
        <v>1.5</v>
      </c>
    </row>
    <row r="398" spans="1:3" x14ac:dyDescent="0.3">
      <c r="A398" s="4">
        <v>44371</v>
      </c>
      <c r="B398" s="5">
        <v>3.0828000000000002</v>
      </c>
      <c r="C398" s="5">
        <v>1.49</v>
      </c>
    </row>
    <row r="399" spans="1:3" x14ac:dyDescent="0.3">
      <c r="A399" s="4">
        <v>44372</v>
      </c>
      <c r="B399" s="5">
        <v>3.0827</v>
      </c>
      <c r="C399" s="5">
        <v>1.54</v>
      </c>
    </row>
    <row r="400" spans="1:3" x14ac:dyDescent="0.3">
      <c r="A400" s="4">
        <v>44375</v>
      </c>
      <c r="B400" s="5">
        <v>3.0903</v>
      </c>
      <c r="C400" s="5">
        <v>1.49</v>
      </c>
    </row>
    <row r="401" spans="1:3" x14ac:dyDescent="0.3">
      <c r="A401" s="4">
        <v>44376</v>
      </c>
      <c r="B401" s="5">
        <v>3.0853000000000002</v>
      </c>
      <c r="C401" s="5">
        <v>1.49</v>
      </c>
    </row>
    <row r="402" spans="1:3" x14ac:dyDescent="0.3">
      <c r="A402" s="4">
        <v>44377</v>
      </c>
      <c r="B402" s="5">
        <v>3.0777999999999999</v>
      </c>
      <c r="C402" s="5">
        <v>1.45</v>
      </c>
    </row>
    <row r="403" spans="1:3" x14ac:dyDescent="0.3">
      <c r="A403" s="4">
        <v>44378</v>
      </c>
      <c r="B403" s="5">
        <v>3.0878000000000001</v>
      </c>
      <c r="C403" s="5">
        <v>1.48</v>
      </c>
    </row>
    <row r="404" spans="1:3" x14ac:dyDescent="0.3">
      <c r="A404" s="4">
        <v>44379</v>
      </c>
      <c r="B404" s="5">
        <v>3.0802999999999998</v>
      </c>
      <c r="C404" s="5">
        <v>1.44</v>
      </c>
    </row>
    <row r="405" spans="1:3" x14ac:dyDescent="0.3">
      <c r="A405" s="4">
        <v>44382</v>
      </c>
      <c r="B405" s="5">
        <v>3.0754000000000001</v>
      </c>
      <c r="C405" s="5"/>
    </row>
    <row r="406" spans="1:3" x14ac:dyDescent="0.3">
      <c r="A406" s="4">
        <v>44383</v>
      </c>
      <c r="B406" s="5">
        <v>3.0853999999999999</v>
      </c>
      <c r="C406" s="5">
        <v>1.37</v>
      </c>
    </row>
    <row r="407" spans="1:3" x14ac:dyDescent="0.3">
      <c r="A407" s="4">
        <v>44384</v>
      </c>
      <c r="B407" s="5">
        <v>3.0554000000000001</v>
      </c>
      <c r="C407" s="5">
        <v>1.33</v>
      </c>
    </row>
    <row r="408" spans="1:3" x14ac:dyDescent="0.3">
      <c r="A408" s="4">
        <v>44385</v>
      </c>
      <c r="B408" s="5">
        <v>2.9830000000000001</v>
      </c>
      <c r="C408" s="5">
        <v>1.3</v>
      </c>
    </row>
    <row r="409" spans="1:3" x14ac:dyDescent="0.3">
      <c r="A409" s="4">
        <v>44386</v>
      </c>
      <c r="B409" s="5">
        <v>3.0105</v>
      </c>
      <c r="C409" s="5">
        <v>1.37</v>
      </c>
    </row>
    <row r="410" spans="1:3" x14ac:dyDescent="0.3">
      <c r="A410" s="4">
        <v>44389</v>
      </c>
      <c r="B410" s="5">
        <v>2.9430999999999998</v>
      </c>
      <c r="C410" s="5">
        <v>1.38</v>
      </c>
    </row>
    <row r="411" spans="1:3" x14ac:dyDescent="0.3">
      <c r="A411" s="4">
        <v>44390</v>
      </c>
      <c r="B411" s="5">
        <v>2.9256000000000002</v>
      </c>
      <c r="C411" s="5">
        <v>1.42</v>
      </c>
    </row>
    <row r="412" spans="1:3" x14ac:dyDescent="0.3">
      <c r="A412" s="4">
        <v>44391</v>
      </c>
      <c r="B412" s="5">
        <v>2.9356</v>
      </c>
      <c r="C412" s="5">
        <v>1.37</v>
      </c>
    </row>
    <row r="413" spans="1:3" x14ac:dyDescent="0.3">
      <c r="A413" s="4">
        <v>44392</v>
      </c>
      <c r="B413" s="5">
        <v>2.9557000000000002</v>
      </c>
      <c r="C413" s="5">
        <v>1.31</v>
      </c>
    </row>
    <row r="414" spans="1:3" x14ac:dyDescent="0.3">
      <c r="A414" s="4">
        <v>44393</v>
      </c>
      <c r="B414" s="5">
        <v>2.9432</v>
      </c>
      <c r="C414" s="5">
        <v>1.31</v>
      </c>
    </row>
    <row r="415" spans="1:3" x14ac:dyDescent="0.3">
      <c r="A415" s="4">
        <v>44396</v>
      </c>
      <c r="B415" s="5">
        <v>2.9483000000000001</v>
      </c>
      <c r="C415" s="5">
        <v>1.19</v>
      </c>
    </row>
    <row r="416" spans="1:3" x14ac:dyDescent="0.3">
      <c r="A416" s="4">
        <v>44397</v>
      </c>
      <c r="B416" s="5">
        <v>2.9258000000000002</v>
      </c>
      <c r="C416" s="5">
        <v>1.23</v>
      </c>
    </row>
    <row r="417" spans="1:3" x14ac:dyDescent="0.3">
      <c r="A417" s="4">
        <v>44398</v>
      </c>
      <c r="B417" s="5">
        <v>2.9184000000000001</v>
      </c>
      <c r="C417" s="5">
        <v>1.3</v>
      </c>
    </row>
    <row r="418" spans="1:3" x14ac:dyDescent="0.3">
      <c r="A418" s="4">
        <v>44399</v>
      </c>
      <c r="B418" s="5">
        <v>2.9283999999999999</v>
      </c>
      <c r="C418" s="5">
        <v>1.27</v>
      </c>
    </row>
    <row r="419" spans="1:3" x14ac:dyDescent="0.3">
      <c r="A419" s="4">
        <v>44400</v>
      </c>
      <c r="B419" s="5">
        <v>2.9134000000000002</v>
      </c>
      <c r="C419" s="5">
        <v>1.3</v>
      </c>
    </row>
    <row r="420" spans="1:3" x14ac:dyDescent="0.3">
      <c r="A420" s="4">
        <v>44403</v>
      </c>
      <c r="B420" s="5">
        <v>2.8711000000000002</v>
      </c>
      <c r="C420" s="5">
        <v>1.29</v>
      </c>
    </row>
    <row r="421" spans="1:3" x14ac:dyDescent="0.3">
      <c r="A421" s="4">
        <v>44404</v>
      </c>
      <c r="B421" s="5">
        <v>2.911</v>
      </c>
      <c r="C421" s="5">
        <v>1.25</v>
      </c>
    </row>
    <row r="422" spans="1:3" x14ac:dyDescent="0.3">
      <c r="A422" s="4">
        <v>44405</v>
      </c>
      <c r="B422" s="5">
        <v>2.9312</v>
      </c>
      <c r="C422" s="5">
        <v>1.26</v>
      </c>
    </row>
    <row r="423" spans="1:3" x14ac:dyDescent="0.3">
      <c r="A423" s="4">
        <v>44406</v>
      </c>
      <c r="B423" s="5">
        <v>2.8839999999999999</v>
      </c>
      <c r="C423" s="5">
        <v>1.28</v>
      </c>
    </row>
    <row r="424" spans="1:3" x14ac:dyDescent="0.3">
      <c r="A424" s="4">
        <v>44407</v>
      </c>
      <c r="B424" s="5">
        <v>2.8363</v>
      </c>
      <c r="C424" s="5">
        <v>1.24</v>
      </c>
    </row>
    <row r="425" spans="1:3" x14ac:dyDescent="0.3">
      <c r="A425" s="4">
        <v>44410</v>
      </c>
      <c r="B425" s="5">
        <v>2.8212000000000002</v>
      </c>
      <c r="C425" s="5">
        <v>1.2</v>
      </c>
    </row>
    <row r="426" spans="1:3" x14ac:dyDescent="0.3">
      <c r="A426" s="4">
        <v>44411</v>
      </c>
      <c r="B426" s="5">
        <v>2.8336999999999999</v>
      </c>
      <c r="C426" s="5">
        <v>1.19</v>
      </c>
    </row>
    <row r="427" spans="1:3" x14ac:dyDescent="0.3">
      <c r="A427" s="4">
        <v>44412</v>
      </c>
      <c r="B427" s="5">
        <v>2.8338000000000001</v>
      </c>
      <c r="C427" s="5">
        <v>1.19</v>
      </c>
    </row>
    <row r="428" spans="1:3" x14ac:dyDescent="0.3">
      <c r="A428" s="4">
        <v>44413</v>
      </c>
      <c r="B428" s="5">
        <v>2.7988</v>
      </c>
      <c r="C428" s="5">
        <v>1.23</v>
      </c>
    </row>
    <row r="429" spans="1:3" x14ac:dyDescent="0.3">
      <c r="A429" s="4">
        <v>44414</v>
      </c>
      <c r="B429" s="5">
        <v>2.8138999999999998</v>
      </c>
      <c r="C429" s="5">
        <v>1.31</v>
      </c>
    </row>
    <row r="430" spans="1:3" x14ac:dyDescent="0.3">
      <c r="A430" s="6">
        <v>44417</v>
      </c>
      <c r="B430" s="16">
        <v>2.8614999999999999</v>
      </c>
      <c r="C430" s="16">
        <v>1.33</v>
      </c>
    </row>
    <row r="431" spans="1:3" x14ac:dyDescent="0.3">
      <c r="A431" s="6">
        <v>44418</v>
      </c>
      <c r="B431" s="16">
        <v>2.8765999999999998</v>
      </c>
      <c r="C431" s="16">
        <v>1.36</v>
      </c>
    </row>
    <row r="432" spans="1:3" x14ac:dyDescent="0.3">
      <c r="A432" s="6">
        <v>44419</v>
      </c>
      <c r="B432" s="16">
        <v>2.8841000000000001</v>
      </c>
      <c r="C432" s="16">
        <v>1.35</v>
      </c>
    </row>
    <row r="433" spans="1:3" x14ac:dyDescent="0.3">
      <c r="A433" s="6">
        <v>44420</v>
      </c>
      <c r="B433" s="16">
        <v>2.8565999999999998</v>
      </c>
      <c r="C433" s="16">
        <v>1.36</v>
      </c>
    </row>
    <row r="434" spans="1:3" x14ac:dyDescent="0.3">
      <c r="A434" s="6">
        <v>44421</v>
      </c>
      <c r="B434" s="16">
        <v>2.8792</v>
      </c>
      <c r="C434" s="16">
        <v>1.29</v>
      </c>
    </row>
    <row r="435" spans="1:3" x14ac:dyDescent="0.3">
      <c r="A435" s="4">
        <v>44424</v>
      </c>
      <c r="B435" s="5">
        <v>2.8942999999999999</v>
      </c>
      <c r="C435" s="5">
        <v>1.26</v>
      </c>
    </row>
    <row r="436" spans="1:3" x14ac:dyDescent="0.3">
      <c r="A436" s="4">
        <v>44425</v>
      </c>
      <c r="B436" s="5">
        <v>2.8818999999999999</v>
      </c>
      <c r="C436" s="5">
        <v>1.26</v>
      </c>
    </row>
    <row r="437" spans="1:3" x14ac:dyDescent="0.3">
      <c r="A437" s="4">
        <v>44426</v>
      </c>
      <c r="B437" s="5">
        <v>2.8494000000000002</v>
      </c>
      <c r="C437" s="5">
        <v>1.27</v>
      </c>
    </row>
    <row r="438" spans="1:3" x14ac:dyDescent="0.3">
      <c r="A438" s="4">
        <v>44427</v>
      </c>
      <c r="B438" s="5">
        <v>2.8395000000000001</v>
      </c>
      <c r="C438" s="5">
        <v>1.24</v>
      </c>
    </row>
    <row r="439" spans="1:3" x14ac:dyDescent="0.3">
      <c r="A439" s="4">
        <v>44428</v>
      </c>
      <c r="B439" s="5">
        <v>2.8519999999999999</v>
      </c>
      <c r="C439" s="5">
        <v>1.26</v>
      </c>
    </row>
    <row r="440" spans="1:3" x14ac:dyDescent="0.3">
      <c r="A440" s="4">
        <v>44431</v>
      </c>
      <c r="B440" s="5">
        <v>2.8672</v>
      </c>
      <c r="C440" s="5">
        <v>1.25</v>
      </c>
    </row>
    <row r="441" spans="1:3" x14ac:dyDescent="0.3">
      <c r="A441" s="4">
        <v>44432</v>
      </c>
      <c r="B441" s="5">
        <v>2.8521999999999998</v>
      </c>
      <c r="C441" s="5">
        <v>1.29</v>
      </c>
    </row>
    <row r="442" spans="1:3" x14ac:dyDescent="0.3">
      <c r="A442" s="4">
        <v>44433</v>
      </c>
      <c r="B442" s="5">
        <v>2.8546999999999998</v>
      </c>
      <c r="C442" s="5">
        <v>1.35</v>
      </c>
    </row>
    <row r="443" spans="1:3" x14ac:dyDescent="0.3">
      <c r="A443" s="4">
        <v>44434</v>
      </c>
      <c r="B443" s="5">
        <v>2.8847999999999998</v>
      </c>
      <c r="C443" s="5">
        <v>1.34</v>
      </c>
    </row>
    <row r="444" spans="1:3" x14ac:dyDescent="0.3">
      <c r="A444" s="4">
        <v>44435</v>
      </c>
      <c r="B444" s="5">
        <v>2.8698000000000001</v>
      </c>
      <c r="C444" s="5">
        <v>1.31</v>
      </c>
    </row>
    <row r="445" spans="1:3" x14ac:dyDescent="0.3">
      <c r="A445" s="4">
        <v>44438</v>
      </c>
      <c r="B445" s="5">
        <v>2.8504999999999998</v>
      </c>
      <c r="C445" s="5">
        <v>1.29</v>
      </c>
    </row>
    <row r="446" spans="1:3" x14ac:dyDescent="0.3">
      <c r="A446" s="4">
        <v>44439</v>
      </c>
      <c r="B446" s="5">
        <v>2.8450000000000002</v>
      </c>
      <c r="C446" s="5">
        <v>1.3</v>
      </c>
    </row>
    <row r="447" spans="1:3" x14ac:dyDescent="0.3">
      <c r="A447" s="4">
        <v>44440</v>
      </c>
      <c r="B447" s="5">
        <v>2.8226</v>
      </c>
      <c r="C447" s="5">
        <v>1.31</v>
      </c>
    </row>
    <row r="448" spans="1:3" x14ac:dyDescent="0.3">
      <c r="A448" s="4">
        <v>44441</v>
      </c>
      <c r="B448" s="5">
        <v>2.8300999999999998</v>
      </c>
      <c r="C448" s="5">
        <v>1.29</v>
      </c>
    </row>
    <row r="449" spans="1:3" x14ac:dyDescent="0.3">
      <c r="A449" s="4">
        <v>44442</v>
      </c>
      <c r="B449" s="5">
        <v>2.8327</v>
      </c>
      <c r="C449" s="5">
        <v>1.33</v>
      </c>
    </row>
    <row r="450" spans="1:3" x14ac:dyDescent="0.3">
      <c r="A450" s="4">
        <v>44445</v>
      </c>
      <c r="B450" s="5">
        <v>2.8353999999999999</v>
      </c>
      <c r="C450" s="5"/>
    </row>
    <row r="451" spans="1:3" x14ac:dyDescent="0.3">
      <c r="A451" s="4">
        <v>44446</v>
      </c>
      <c r="B451" s="5">
        <v>2.8603999999999998</v>
      </c>
      <c r="C451" s="5">
        <v>1.38</v>
      </c>
    </row>
    <row r="452" spans="1:3" x14ac:dyDescent="0.3">
      <c r="A452" s="4">
        <v>44447</v>
      </c>
      <c r="B452" s="5">
        <v>2.8704999999999998</v>
      </c>
      <c r="C452" s="5">
        <v>1.35</v>
      </c>
    </row>
    <row r="453" spans="1:3" x14ac:dyDescent="0.3">
      <c r="A453" s="4">
        <v>44448</v>
      </c>
      <c r="B453" s="5">
        <v>2.8730000000000002</v>
      </c>
      <c r="C453" s="5">
        <v>1.3</v>
      </c>
    </row>
    <row r="454" spans="1:3" x14ac:dyDescent="0.3">
      <c r="A454" s="4">
        <v>44449</v>
      </c>
      <c r="B454" s="5">
        <v>2.8656000000000001</v>
      </c>
      <c r="C454" s="5">
        <v>1.35</v>
      </c>
    </row>
    <row r="455" spans="1:3" x14ac:dyDescent="0.3">
      <c r="A455" s="4">
        <v>44452</v>
      </c>
      <c r="B455" s="5">
        <v>2.8908</v>
      </c>
      <c r="C455" s="5">
        <v>1.33</v>
      </c>
    </row>
    <row r="456" spans="1:3" x14ac:dyDescent="0.3">
      <c r="A456" s="4">
        <v>44453</v>
      </c>
      <c r="B456" s="5">
        <v>2.8858000000000001</v>
      </c>
      <c r="C456" s="5">
        <v>1.28</v>
      </c>
    </row>
    <row r="457" spans="1:3" x14ac:dyDescent="0.3">
      <c r="A457" s="4">
        <v>44454</v>
      </c>
      <c r="B457" s="5">
        <v>2.9009</v>
      </c>
      <c r="C457" s="5">
        <v>1.31</v>
      </c>
    </row>
    <row r="458" spans="1:3" x14ac:dyDescent="0.3">
      <c r="A458" s="4">
        <v>44455</v>
      </c>
      <c r="B458" s="5">
        <v>2.8885000000000001</v>
      </c>
      <c r="C458" s="5">
        <v>1.34</v>
      </c>
    </row>
    <row r="459" spans="1:3" x14ac:dyDescent="0.3">
      <c r="A459" s="4">
        <v>44456</v>
      </c>
      <c r="B459" s="5">
        <v>2.8784999999999998</v>
      </c>
      <c r="C459" s="5">
        <v>1.37</v>
      </c>
    </row>
    <row r="460" spans="1:3" x14ac:dyDescent="0.3">
      <c r="A460" s="4">
        <v>44457</v>
      </c>
      <c r="B460" s="5">
        <v>2.8717000000000001</v>
      </c>
      <c r="C460" s="5"/>
    </row>
    <row r="461" spans="1:3" x14ac:dyDescent="0.3">
      <c r="A461" s="4">
        <v>44459</v>
      </c>
      <c r="B461" s="5"/>
      <c r="C461" s="5">
        <v>1.31</v>
      </c>
    </row>
    <row r="462" spans="1:3" x14ac:dyDescent="0.3">
      <c r="A462" s="4">
        <v>44460</v>
      </c>
      <c r="B462" s="5"/>
      <c r="C462" s="5">
        <v>1.33</v>
      </c>
    </row>
    <row r="463" spans="1:3" x14ac:dyDescent="0.3">
      <c r="A463" s="4">
        <v>44461</v>
      </c>
      <c r="B463" s="5">
        <v>2.8639000000000001</v>
      </c>
      <c r="C463" s="5">
        <v>1.32</v>
      </c>
    </row>
    <row r="464" spans="1:3" x14ac:dyDescent="0.3">
      <c r="A464" s="4">
        <v>44462</v>
      </c>
      <c r="B464" s="5">
        <v>2.8565</v>
      </c>
      <c r="C464" s="5">
        <v>1.41</v>
      </c>
    </row>
    <row r="465" spans="1:3" x14ac:dyDescent="0.3">
      <c r="A465" s="4">
        <v>44463</v>
      </c>
      <c r="B465" s="5">
        <v>2.8719000000000001</v>
      </c>
      <c r="C465" s="5">
        <v>1.47</v>
      </c>
    </row>
    <row r="466" spans="1:3" x14ac:dyDescent="0.3">
      <c r="A466" s="4">
        <v>44465</v>
      </c>
      <c r="B466" s="5">
        <v>2.8797000000000001</v>
      </c>
      <c r="C466" s="5"/>
    </row>
    <row r="467" spans="1:3" x14ac:dyDescent="0.3">
      <c r="A467" s="4">
        <v>44466</v>
      </c>
      <c r="B467" s="5">
        <v>2.8824999999999998</v>
      </c>
      <c r="C467" s="5">
        <v>1.48</v>
      </c>
    </row>
    <row r="468" spans="1:3" x14ac:dyDescent="0.3">
      <c r="A468" s="4">
        <v>44467</v>
      </c>
      <c r="B468" s="5">
        <v>2.8769</v>
      </c>
      <c r="C468" s="5">
        <v>1.54</v>
      </c>
    </row>
    <row r="469" spans="1:3" x14ac:dyDescent="0.3">
      <c r="A469" s="4">
        <v>44468</v>
      </c>
      <c r="B469" s="5">
        <v>2.8645999999999998</v>
      </c>
      <c r="C469" s="5">
        <v>1.55</v>
      </c>
    </row>
    <row r="470" spans="1:3" x14ac:dyDescent="0.3">
      <c r="A470" s="4">
        <v>44469</v>
      </c>
      <c r="B470" s="5">
        <v>2.8776000000000002</v>
      </c>
      <c r="C470" s="5">
        <v>1.52</v>
      </c>
    </row>
    <row r="471" spans="1:3" x14ac:dyDescent="0.3">
      <c r="A471" s="4">
        <v>44470</v>
      </c>
      <c r="B471" s="5"/>
      <c r="C471" s="5">
        <v>1.48</v>
      </c>
    </row>
    <row r="472" spans="1:3" x14ac:dyDescent="0.3">
      <c r="A472" s="4">
        <v>44473</v>
      </c>
      <c r="B472" s="5"/>
      <c r="C472" s="5">
        <v>1.49</v>
      </c>
    </row>
    <row r="473" spans="1:3" x14ac:dyDescent="0.3">
      <c r="A473" s="4">
        <v>44474</v>
      </c>
      <c r="B473" s="5"/>
      <c r="C473" s="5">
        <v>1.54</v>
      </c>
    </row>
    <row r="474" spans="1:3" x14ac:dyDescent="0.3">
      <c r="A474" s="4">
        <v>44475</v>
      </c>
      <c r="B474" s="5"/>
      <c r="C474" s="5">
        <v>1.53</v>
      </c>
    </row>
    <row r="475" spans="1:3" x14ac:dyDescent="0.3">
      <c r="A475" s="4">
        <v>44476</v>
      </c>
      <c r="B475" s="5"/>
      <c r="C475" s="5">
        <v>1.58</v>
      </c>
    </row>
    <row r="476" spans="1:3" x14ac:dyDescent="0.3">
      <c r="A476" s="4">
        <v>44477</v>
      </c>
      <c r="B476" s="5">
        <v>2.9131</v>
      </c>
      <c r="C476" s="5">
        <v>1.61</v>
      </c>
    </row>
    <row r="477" spans="1:3" x14ac:dyDescent="0.3">
      <c r="A477" s="4">
        <v>44478</v>
      </c>
      <c r="B477" s="5">
        <v>2.9186000000000001</v>
      </c>
      <c r="C477" s="5"/>
    </row>
    <row r="478" spans="1:3" x14ac:dyDescent="0.3">
      <c r="A478" s="4">
        <v>44480</v>
      </c>
      <c r="B478" s="5">
        <v>2.9580000000000002</v>
      </c>
      <c r="C478" s="5"/>
    </row>
    <row r="479" spans="1:3" x14ac:dyDescent="0.3">
      <c r="A479" s="4">
        <v>44481</v>
      </c>
      <c r="B479" s="5">
        <v>2.9657</v>
      </c>
      <c r="C479" s="5">
        <v>1.59</v>
      </c>
    </row>
    <row r="480" spans="1:3" x14ac:dyDescent="0.3">
      <c r="A480" s="4">
        <v>44482</v>
      </c>
      <c r="B480" s="5">
        <v>2.9578000000000002</v>
      </c>
      <c r="C480" s="5">
        <v>1.56</v>
      </c>
    </row>
    <row r="481" spans="1:3" x14ac:dyDescent="0.3">
      <c r="A481" s="4">
        <v>44483</v>
      </c>
      <c r="B481" s="5">
        <v>2.9581</v>
      </c>
      <c r="C481" s="5">
        <v>1.52</v>
      </c>
    </row>
    <row r="482" spans="1:3" x14ac:dyDescent="0.3">
      <c r="A482" s="4">
        <v>44484</v>
      </c>
      <c r="B482" s="5">
        <v>2.9683000000000002</v>
      </c>
      <c r="C482" s="5">
        <v>1.59</v>
      </c>
    </row>
    <row r="483" spans="1:3" x14ac:dyDescent="0.3">
      <c r="A483" s="4">
        <v>44487</v>
      </c>
      <c r="B483" s="5">
        <v>3.0426000000000002</v>
      </c>
      <c r="C483" s="5">
        <v>1.59</v>
      </c>
    </row>
    <row r="484" spans="1:3" x14ac:dyDescent="0.3">
      <c r="A484" s="4">
        <v>44488</v>
      </c>
      <c r="B484" s="5">
        <v>3.0102000000000002</v>
      </c>
      <c r="C484" s="5">
        <v>1.65</v>
      </c>
    </row>
    <row r="485" spans="1:3" x14ac:dyDescent="0.3">
      <c r="A485" s="4">
        <v>44489</v>
      </c>
      <c r="B485" s="5">
        <v>2.9977999999999998</v>
      </c>
      <c r="C485" s="5">
        <v>1.65</v>
      </c>
    </row>
    <row r="486" spans="1:3" x14ac:dyDescent="0.3">
      <c r="A486" s="4">
        <v>44490</v>
      </c>
      <c r="B486" s="5">
        <v>2.9702000000000002</v>
      </c>
      <c r="C486" s="5">
        <v>1.68</v>
      </c>
    </row>
    <row r="487" spans="1:3" x14ac:dyDescent="0.3">
      <c r="A487" s="4">
        <v>44491</v>
      </c>
      <c r="B487" s="5">
        <v>2.9952999999999999</v>
      </c>
      <c r="C487" s="5">
        <v>1.66</v>
      </c>
    </row>
    <row r="488" spans="1:3" x14ac:dyDescent="0.3">
      <c r="A488" s="4">
        <v>44494</v>
      </c>
      <c r="B488" s="5">
        <v>2.9878999999999998</v>
      </c>
      <c r="C488" s="5">
        <v>1.64</v>
      </c>
    </row>
    <row r="489" spans="1:3" x14ac:dyDescent="0.3">
      <c r="A489" s="4">
        <v>44495</v>
      </c>
      <c r="B489" s="5">
        <v>2.9780000000000002</v>
      </c>
      <c r="C489" s="5">
        <v>1.63</v>
      </c>
    </row>
    <row r="490" spans="1:3" x14ac:dyDescent="0.3">
      <c r="A490" s="4">
        <v>44496</v>
      </c>
      <c r="B490" s="5">
        <v>2.9781</v>
      </c>
      <c r="C490" s="5">
        <v>1.54</v>
      </c>
    </row>
    <row r="491" spans="1:3" x14ac:dyDescent="0.3">
      <c r="A491" s="4">
        <v>44497</v>
      </c>
      <c r="B491" s="5">
        <v>2.9681999999999999</v>
      </c>
      <c r="C491" s="5">
        <v>1.57</v>
      </c>
    </row>
    <row r="492" spans="1:3" x14ac:dyDescent="0.3">
      <c r="A492" s="4">
        <v>44498</v>
      </c>
      <c r="B492" s="5">
        <v>2.9731999999999998</v>
      </c>
      <c r="C492" s="5">
        <v>1.55</v>
      </c>
    </row>
    <row r="493" spans="1:3" x14ac:dyDescent="0.3">
      <c r="A493" s="4">
        <v>44501</v>
      </c>
      <c r="B493" s="5">
        <v>2.9434999999999998</v>
      </c>
      <c r="C493" s="5">
        <v>1.58</v>
      </c>
    </row>
    <row r="494" spans="1:3" x14ac:dyDescent="0.3">
      <c r="A494" s="4">
        <v>44502</v>
      </c>
      <c r="B494" s="5">
        <v>2.9258999999999999</v>
      </c>
      <c r="C494" s="5">
        <v>1.56</v>
      </c>
    </row>
    <row r="495" spans="1:3" x14ac:dyDescent="0.3">
      <c r="A495" s="4">
        <v>44503</v>
      </c>
      <c r="B495" s="5">
        <v>2.9384999999999999</v>
      </c>
      <c r="C495" s="5">
        <v>1.6</v>
      </c>
    </row>
    <row r="496" spans="1:3" x14ac:dyDescent="0.3">
      <c r="A496" s="4">
        <v>44504</v>
      </c>
      <c r="B496" s="5">
        <v>2.9260999999999999</v>
      </c>
      <c r="C496" s="5">
        <v>1.53</v>
      </c>
    </row>
    <row r="497" spans="1:3" x14ac:dyDescent="0.3">
      <c r="A497" s="4">
        <v>44505</v>
      </c>
      <c r="B497" s="5">
        <v>2.8910999999999998</v>
      </c>
      <c r="C497" s="5">
        <v>1.45</v>
      </c>
    </row>
    <row r="498" spans="1:3" x14ac:dyDescent="0.3">
      <c r="A498" s="4">
        <v>44508</v>
      </c>
      <c r="B498" s="5">
        <v>2.9013</v>
      </c>
      <c r="C498" s="5">
        <v>1.51</v>
      </c>
    </row>
    <row r="499" spans="1:3" x14ac:dyDescent="0.3">
      <c r="A499" s="4">
        <v>44509</v>
      </c>
      <c r="B499" s="5">
        <v>2.8988</v>
      </c>
      <c r="C499" s="5">
        <v>1.46</v>
      </c>
    </row>
    <row r="500" spans="1:3" x14ac:dyDescent="0.3">
      <c r="A500" s="4">
        <v>44510</v>
      </c>
      <c r="B500" s="5">
        <v>2.9138999999999999</v>
      </c>
      <c r="C500" s="5">
        <v>1.56</v>
      </c>
    </row>
    <row r="501" spans="1:3" x14ac:dyDescent="0.3">
      <c r="A501" s="4">
        <v>44511</v>
      </c>
      <c r="B501" s="5">
        <v>2.9365000000000001</v>
      </c>
      <c r="C501" s="5"/>
    </row>
    <row r="502" spans="1:3" x14ac:dyDescent="0.3">
      <c r="A502" s="4">
        <v>44512</v>
      </c>
      <c r="B502" s="5">
        <v>2.9390999999999998</v>
      </c>
      <c r="C502" s="5">
        <v>1.58</v>
      </c>
    </row>
    <row r="503" spans="1:3" x14ac:dyDescent="0.3">
      <c r="A503" s="4">
        <v>44515</v>
      </c>
      <c r="B503" s="5">
        <v>2.9268999999999998</v>
      </c>
      <c r="C503" s="5">
        <v>1.63</v>
      </c>
    </row>
    <row r="504" spans="1:3" x14ac:dyDescent="0.3">
      <c r="A504" s="4">
        <v>44516</v>
      </c>
      <c r="B504" s="5">
        <v>2.9243999999999999</v>
      </c>
      <c r="C504" s="5">
        <v>1.63</v>
      </c>
    </row>
    <row r="505" spans="1:3" x14ac:dyDescent="0.3">
      <c r="A505" s="4">
        <v>44517</v>
      </c>
      <c r="B505" s="5">
        <v>2.9295</v>
      </c>
      <c r="C505" s="5">
        <v>1.6</v>
      </c>
    </row>
    <row r="506" spans="1:3" x14ac:dyDescent="0.3">
      <c r="A506" s="4">
        <v>44518</v>
      </c>
      <c r="B506" s="5">
        <v>2.9146000000000001</v>
      </c>
      <c r="C506" s="5">
        <v>1.59</v>
      </c>
    </row>
    <row r="507" spans="1:3" x14ac:dyDescent="0.3">
      <c r="A507" s="4">
        <v>44519</v>
      </c>
      <c r="B507" s="5">
        <v>2.9302000000000001</v>
      </c>
      <c r="C507" s="5">
        <v>1.54</v>
      </c>
    </row>
    <row r="508" spans="1:3" x14ac:dyDescent="0.3">
      <c r="A508" s="4">
        <v>44522</v>
      </c>
      <c r="B508" s="5">
        <v>2.8875999999999999</v>
      </c>
      <c r="C508" s="5">
        <v>1.63</v>
      </c>
    </row>
    <row r="509" spans="1:3" x14ac:dyDescent="0.3">
      <c r="A509" s="4">
        <v>44523</v>
      </c>
      <c r="B509" s="5">
        <v>2.8875000000000002</v>
      </c>
      <c r="C509" s="5">
        <v>1.67</v>
      </c>
    </row>
    <row r="510" spans="1:3" x14ac:dyDescent="0.3">
      <c r="A510" s="4">
        <v>44524</v>
      </c>
      <c r="B510" s="5">
        <v>2.86</v>
      </c>
      <c r="C510" s="5">
        <v>1.64</v>
      </c>
    </row>
    <row r="511" spans="1:3" x14ac:dyDescent="0.3">
      <c r="A511" s="4">
        <v>44525</v>
      </c>
      <c r="B511" s="5">
        <v>2.855</v>
      </c>
      <c r="C511" s="5"/>
    </row>
    <row r="512" spans="1:3" x14ac:dyDescent="0.3">
      <c r="A512" s="4">
        <v>44526</v>
      </c>
      <c r="B512" s="5">
        <v>2.82</v>
      </c>
      <c r="C512" s="5">
        <v>1.48</v>
      </c>
    </row>
    <row r="513" spans="1:3" x14ac:dyDescent="0.3">
      <c r="A513" s="4">
        <v>44529</v>
      </c>
      <c r="B513" s="5">
        <v>2.8250000000000002</v>
      </c>
      <c r="C513" s="5">
        <v>1.52</v>
      </c>
    </row>
    <row r="514" spans="1:3" x14ac:dyDescent="0.3">
      <c r="A514" s="4">
        <v>44530</v>
      </c>
      <c r="B514" s="5">
        <v>2.8250000000000002</v>
      </c>
      <c r="C514" s="5">
        <v>1.43</v>
      </c>
    </row>
    <row r="515" spans="1:3" x14ac:dyDescent="0.3">
      <c r="A515" s="4">
        <v>44531</v>
      </c>
      <c r="B515" s="5">
        <v>2.8401000000000001</v>
      </c>
      <c r="C515" s="5">
        <v>1.43</v>
      </c>
    </row>
    <row r="516" spans="1:3" x14ac:dyDescent="0.3">
      <c r="A516" s="4">
        <v>44532</v>
      </c>
      <c r="B516" s="5">
        <v>2.8601000000000001</v>
      </c>
      <c r="C516" s="5">
        <v>1.44</v>
      </c>
    </row>
    <row r="517" spans="1:3" x14ac:dyDescent="0.3">
      <c r="A517" s="4">
        <v>44533</v>
      </c>
      <c r="B517" s="5">
        <v>2.8700999999999999</v>
      </c>
      <c r="C517" s="5">
        <v>1.35</v>
      </c>
    </row>
    <row r="518" spans="1:3" x14ac:dyDescent="0.3">
      <c r="A518" s="4">
        <v>44536</v>
      </c>
      <c r="B518" s="5">
        <v>2.8176000000000001</v>
      </c>
      <c r="C518" s="5">
        <v>1.43</v>
      </c>
    </row>
    <row r="519" spans="1:3" x14ac:dyDescent="0.3">
      <c r="A519" s="4">
        <v>44537</v>
      </c>
      <c r="B519" s="5">
        <v>2.8451</v>
      </c>
      <c r="C519" s="5">
        <v>1.48</v>
      </c>
    </row>
    <row r="520" spans="1:3" x14ac:dyDescent="0.3">
      <c r="A520" s="4">
        <v>44538</v>
      </c>
      <c r="B520" s="5">
        <v>2.8551000000000002</v>
      </c>
      <c r="C520" s="5">
        <v>1.52</v>
      </c>
    </row>
    <row r="521" spans="1:3" x14ac:dyDescent="0.3">
      <c r="A521" s="4">
        <v>44539</v>
      </c>
      <c r="B521" s="5">
        <v>2.8525999999999998</v>
      </c>
      <c r="C521" s="5">
        <v>1.49</v>
      </c>
    </row>
    <row r="522" spans="1:3" x14ac:dyDescent="0.3">
      <c r="A522" s="4">
        <v>44540</v>
      </c>
      <c r="B522" s="5">
        <v>2.8426</v>
      </c>
      <c r="C522" s="5">
        <v>1.48</v>
      </c>
    </row>
    <row r="523" spans="1:3" x14ac:dyDescent="0.3">
      <c r="A523" s="4">
        <v>44543</v>
      </c>
      <c r="B523" s="5">
        <v>2.8552</v>
      </c>
      <c r="C523" s="5">
        <v>1.42</v>
      </c>
    </row>
    <row r="524" spans="1:3" x14ac:dyDescent="0.3">
      <c r="A524" s="4">
        <v>44544</v>
      </c>
      <c r="B524" s="5">
        <v>2.8477000000000001</v>
      </c>
      <c r="C524" s="5">
        <v>1.44</v>
      </c>
    </row>
    <row r="525" spans="1:3" x14ac:dyDescent="0.3">
      <c r="A525" s="4">
        <v>44545</v>
      </c>
      <c r="B525" s="5">
        <v>2.8502000000000001</v>
      </c>
      <c r="C525" s="5">
        <v>1.47</v>
      </c>
    </row>
    <row r="526" spans="1:3" x14ac:dyDescent="0.3">
      <c r="A526" s="4">
        <v>44546</v>
      </c>
      <c r="B526" s="5">
        <v>2.8576999999999999</v>
      </c>
      <c r="C526" s="5">
        <v>1.44</v>
      </c>
    </row>
    <row r="527" spans="1:3" x14ac:dyDescent="0.3">
      <c r="A527" s="4">
        <v>44547</v>
      </c>
      <c r="B527" s="5">
        <v>2.8512</v>
      </c>
      <c r="C527" s="5">
        <v>1.41</v>
      </c>
    </row>
    <row r="528" spans="1:3" x14ac:dyDescent="0.3">
      <c r="A528" s="4">
        <v>44550</v>
      </c>
      <c r="B528" s="5">
        <v>2.8532999999999999</v>
      </c>
      <c r="C528" s="5">
        <v>1.43</v>
      </c>
    </row>
    <row r="529" spans="1:3" x14ac:dyDescent="0.3">
      <c r="A529" s="4">
        <v>44551</v>
      </c>
      <c r="B529" s="5">
        <v>2.8508</v>
      </c>
      <c r="C529" s="5">
        <v>1.48</v>
      </c>
    </row>
    <row r="530" spans="1:3" x14ac:dyDescent="0.3">
      <c r="A530" s="4">
        <v>44552</v>
      </c>
      <c r="B530" s="5">
        <v>2.8302999999999998</v>
      </c>
      <c r="C530" s="5">
        <v>1.46</v>
      </c>
    </row>
    <row r="531" spans="1:3" x14ac:dyDescent="0.3">
      <c r="A531" s="4">
        <v>44553</v>
      </c>
      <c r="B531" s="5">
        <v>2.8142999999999998</v>
      </c>
      <c r="C531" s="5">
        <v>1.5</v>
      </c>
    </row>
    <row r="532" spans="1:3" x14ac:dyDescent="0.3">
      <c r="A532" s="4">
        <v>44554</v>
      </c>
      <c r="B532" s="5">
        <v>2.8203</v>
      </c>
      <c r="C532" s="5"/>
    </row>
    <row r="533" spans="1:3" x14ac:dyDescent="0.3">
      <c r="A533" s="4">
        <v>44557</v>
      </c>
      <c r="B533" s="5">
        <v>2.8128000000000002</v>
      </c>
      <c r="C533" s="5">
        <v>1.48</v>
      </c>
    </row>
    <row r="534" spans="1:3" x14ac:dyDescent="0.3">
      <c r="A534" s="4">
        <v>44558</v>
      </c>
      <c r="B534" s="5">
        <v>2.8003999999999998</v>
      </c>
      <c r="C534" s="5">
        <v>1.49</v>
      </c>
    </row>
    <row r="535" spans="1:3" x14ac:dyDescent="0.3">
      <c r="A535" s="4">
        <v>44559</v>
      </c>
      <c r="B535" s="5">
        <v>2.7854000000000001</v>
      </c>
      <c r="C535" s="5">
        <v>1.55</v>
      </c>
    </row>
    <row r="536" spans="1:3" x14ac:dyDescent="0.3">
      <c r="A536" s="4">
        <v>44560</v>
      </c>
      <c r="B536" s="5">
        <v>2.7654000000000001</v>
      </c>
      <c r="C536" s="5">
        <v>1.52</v>
      </c>
    </row>
    <row r="537" spans="1:3" x14ac:dyDescent="0.3">
      <c r="A537" s="4">
        <v>44561</v>
      </c>
      <c r="B537" s="5">
        <v>2.7753999999999999</v>
      </c>
      <c r="C537" s="5">
        <v>1.52</v>
      </c>
    </row>
    <row r="538" spans="1:3" x14ac:dyDescent="0.3">
      <c r="A538" s="4">
        <v>44564</v>
      </c>
      <c r="B538" s="5"/>
      <c r="C538" s="5">
        <v>1.63</v>
      </c>
    </row>
    <row r="539" spans="1:3" x14ac:dyDescent="0.3">
      <c r="A539" s="4">
        <v>44565</v>
      </c>
      <c r="B539" s="5">
        <v>2.7854999999999999</v>
      </c>
      <c r="C539" s="5">
        <v>1.66</v>
      </c>
    </row>
    <row r="540" spans="1:3" x14ac:dyDescent="0.3">
      <c r="A540" s="4">
        <v>44566</v>
      </c>
      <c r="B540" s="5">
        <v>2.8045</v>
      </c>
      <c r="C540" s="5">
        <v>1.71</v>
      </c>
    </row>
    <row r="541" spans="1:3" x14ac:dyDescent="0.3">
      <c r="A541" s="4">
        <v>44567</v>
      </c>
      <c r="B541" s="5">
        <v>2.8205</v>
      </c>
      <c r="C541" s="5">
        <v>1.73</v>
      </c>
    </row>
    <row r="542" spans="1:3" x14ac:dyDescent="0.3">
      <c r="A542" s="4">
        <v>44568</v>
      </c>
      <c r="B542" s="5">
        <v>2.8180999999999998</v>
      </c>
      <c r="C542" s="5">
        <v>1.76</v>
      </c>
    </row>
    <row r="543" spans="1:3" x14ac:dyDescent="0.3">
      <c r="A543" s="4">
        <v>44571</v>
      </c>
      <c r="B543" s="5">
        <v>2.8056000000000001</v>
      </c>
      <c r="C543" s="5">
        <v>1.78</v>
      </c>
    </row>
    <row r="544" spans="1:3" x14ac:dyDescent="0.3">
      <c r="A544" s="4">
        <v>44572</v>
      </c>
      <c r="B544" s="5">
        <v>2.7957000000000001</v>
      </c>
      <c r="C544" s="5">
        <v>1.75</v>
      </c>
    </row>
    <row r="545" spans="1:3" x14ac:dyDescent="0.3">
      <c r="A545" s="4">
        <v>44573</v>
      </c>
      <c r="B545" s="5">
        <v>2.7957000000000001</v>
      </c>
      <c r="C545" s="5">
        <v>1.74</v>
      </c>
    </row>
    <row r="546" spans="1:3" x14ac:dyDescent="0.3">
      <c r="A546" s="4">
        <v>44574</v>
      </c>
      <c r="B546" s="5">
        <v>2.7858000000000001</v>
      </c>
      <c r="C546" s="5">
        <v>1.7</v>
      </c>
    </row>
    <row r="547" spans="1:3" x14ac:dyDescent="0.3">
      <c r="A547" s="4">
        <v>44575</v>
      </c>
      <c r="B547" s="5">
        <v>2.7934999999999999</v>
      </c>
      <c r="C547" s="5">
        <v>1.78</v>
      </c>
    </row>
    <row r="548" spans="1:3" x14ac:dyDescent="0.3">
      <c r="A548" s="4">
        <v>44578</v>
      </c>
      <c r="B548" s="5">
        <v>2.786</v>
      </c>
      <c r="C548" s="5"/>
    </row>
    <row r="549" spans="1:3" x14ac:dyDescent="0.3">
      <c r="A549" s="4">
        <v>44579</v>
      </c>
      <c r="B549" s="5">
        <v>2.7414999999999998</v>
      </c>
      <c r="C549" s="5">
        <v>1.87</v>
      </c>
    </row>
    <row r="550" spans="1:3" x14ac:dyDescent="0.3">
      <c r="A550" s="4">
        <v>44580</v>
      </c>
      <c r="B550" s="5">
        <v>2.7313999999999998</v>
      </c>
      <c r="C550" s="5">
        <v>1.83</v>
      </c>
    </row>
    <row r="551" spans="1:3" x14ac:dyDescent="0.3">
      <c r="A551" s="4">
        <v>44581</v>
      </c>
      <c r="B551" s="5">
        <v>2.7271000000000001</v>
      </c>
      <c r="C551" s="5">
        <v>1.83</v>
      </c>
    </row>
    <row r="552" spans="1:3" x14ac:dyDescent="0.3">
      <c r="A552" s="4">
        <v>44582</v>
      </c>
      <c r="B552" s="5">
        <v>2.71</v>
      </c>
      <c r="C552" s="5">
        <v>1.75</v>
      </c>
    </row>
    <row r="553" spans="1:3" x14ac:dyDescent="0.3">
      <c r="A553" s="4">
        <v>44585</v>
      </c>
      <c r="B553" s="5">
        <v>2.6751</v>
      </c>
      <c r="C553" s="5">
        <v>1.75</v>
      </c>
    </row>
    <row r="554" spans="1:3" x14ac:dyDescent="0.3">
      <c r="A554" s="4">
        <v>44586</v>
      </c>
      <c r="B554" s="5">
        <v>2.6979000000000002</v>
      </c>
      <c r="C554" s="5">
        <v>1.78</v>
      </c>
    </row>
    <row r="555" spans="1:3" x14ac:dyDescent="0.3">
      <c r="A555" s="4">
        <v>44587</v>
      </c>
      <c r="B555" s="5">
        <v>2.7145999999999999</v>
      </c>
      <c r="C555" s="5">
        <v>1.85</v>
      </c>
    </row>
    <row r="556" spans="1:3" x14ac:dyDescent="0.3">
      <c r="A556" s="4">
        <v>44588</v>
      </c>
      <c r="B556" s="5">
        <v>2.7347999999999999</v>
      </c>
      <c r="C556" s="5">
        <v>1.81</v>
      </c>
    </row>
    <row r="557" spans="1:3" x14ac:dyDescent="0.3">
      <c r="A557" s="4">
        <v>44589</v>
      </c>
      <c r="B557" s="5">
        <v>2.7021000000000002</v>
      </c>
      <c r="C557" s="5">
        <v>1.78</v>
      </c>
    </row>
    <row r="558" spans="1:3" x14ac:dyDescent="0.3">
      <c r="A558" s="4">
        <v>44590</v>
      </c>
      <c r="B558" s="5">
        <v>2.7012999999999998</v>
      </c>
      <c r="C558" s="5"/>
    </row>
    <row r="559" spans="1:3" x14ac:dyDescent="0.3">
      <c r="A559" s="4">
        <v>44591</v>
      </c>
      <c r="B559" s="5">
        <v>2.6997</v>
      </c>
      <c r="C559" s="5"/>
    </row>
    <row r="560" spans="1:3" x14ac:dyDescent="0.3">
      <c r="A560" s="4">
        <v>44592</v>
      </c>
      <c r="B560" s="5"/>
      <c r="C560" s="5">
        <v>1.79</v>
      </c>
    </row>
    <row r="561" spans="1:3" x14ac:dyDescent="0.3">
      <c r="A561" s="4">
        <v>44593</v>
      </c>
      <c r="B561" s="5"/>
      <c r="C561" s="5">
        <v>1.81</v>
      </c>
    </row>
    <row r="562" spans="1:3" x14ac:dyDescent="0.3">
      <c r="A562" s="4">
        <v>44594</v>
      </c>
      <c r="B562" s="5"/>
      <c r="C562" s="5">
        <v>1.78</v>
      </c>
    </row>
    <row r="563" spans="1:3" x14ac:dyDescent="0.3">
      <c r="A563" s="4">
        <v>44595</v>
      </c>
      <c r="B563" s="5"/>
      <c r="C563" s="5">
        <v>1.82</v>
      </c>
    </row>
    <row r="564" spans="1:3" x14ac:dyDescent="0.3">
      <c r="A564" s="4">
        <v>44596</v>
      </c>
      <c r="B564" s="5"/>
      <c r="C564" s="5">
        <v>1.93</v>
      </c>
    </row>
    <row r="565" spans="1:3" x14ac:dyDescent="0.3">
      <c r="A565" s="4">
        <v>44599</v>
      </c>
      <c r="B565" s="5">
        <v>2.7256</v>
      </c>
      <c r="C565" s="5">
        <v>1.92</v>
      </c>
    </row>
    <row r="566" spans="1:3" x14ac:dyDescent="0.3">
      <c r="A566" s="4">
        <v>44600</v>
      </c>
      <c r="B566" s="5">
        <v>2.7227000000000001</v>
      </c>
      <c r="C566" s="5">
        <v>1.96</v>
      </c>
    </row>
    <row r="567" spans="1:3" x14ac:dyDescent="0.3">
      <c r="A567" s="4">
        <v>44601</v>
      </c>
      <c r="B567" s="5">
        <v>2.7328000000000001</v>
      </c>
      <c r="C567" s="5">
        <v>1.94</v>
      </c>
    </row>
    <row r="568" spans="1:3" x14ac:dyDescent="0.3">
      <c r="A568" s="4">
        <v>44602</v>
      </c>
      <c r="B568" s="5">
        <v>2.7328000000000001</v>
      </c>
      <c r="C568" s="5">
        <v>2.0299999999999998</v>
      </c>
    </row>
    <row r="569" spans="1:3" x14ac:dyDescent="0.3">
      <c r="A569" s="4">
        <v>44603</v>
      </c>
      <c r="B569" s="5">
        <v>2.7890999999999999</v>
      </c>
      <c r="C569" s="5">
        <v>1.92</v>
      </c>
    </row>
    <row r="570" spans="1:3" x14ac:dyDescent="0.3">
      <c r="A570" s="4">
        <v>44606</v>
      </c>
      <c r="B570" s="5">
        <v>2.8018000000000001</v>
      </c>
      <c r="C570" s="5">
        <v>1.98</v>
      </c>
    </row>
    <row r="571" spans="1:3" x14ac:dyDescent="0.3">
      <c r="A571" s="4">
        <v>44607</v>
      </c>
      <c r="B571" s="5">
        <v>2.7968000000000002</v>
      </c>
      <c r="C571" s="5">
        <v>2.0499999999999998</v>
      </c>
    </row>
    <row r="572" spans="1:3" x14ac:dyDescent="0.3">
      <c r="A572" s="4">
        <v>44608</v>
      </c>
      <c r="B572" s="5">
        <v>2.7892000000000001</v>
      </c>
      <c r="C572" s="5">
        <v>2.0299999999999998</v>
      </c>
    </row>
    <row r="573" spans="1:3" x14ac:dyDescent="0.3">
      <c r="A573" s="4">
        <v>44609</v>
      </c>
      <c r="B573" s="5">
        <v>2.7799</v>
      </c>
      <c r="C573" s="5">
        <v>1.97</v>
      </c>
    </row>
    <row r="574" spans="1:3" x14ac:dyDescent="0.3">
      <c r="A574" s="4">
        <v>44610</v>
      </c>
      <c r="B574" s="5">
        <v>2.7974999999999999</v>
      </c>
      <c r="C574" s="5">
        <v>1.92</v>
      </c>
    </row>
    <row r="575" spans="1:3" x14ac:dyDescent="0.3">
      <c r="A575" s="4">
        <v>44613</v>
      </c>
      <c r="B575" s="5">
        <v>2.83</v>
      </c>
      <c r="C575" s="5"/>
    </row>
    <row r="576" spans="1:3" x14ac:dyDescent="0.3">
      <c r="A576" s="4">
        <v>44614</v>
      </c>
      <c r="B576" s="5">
        <v>2.82</v>
      </c>
      <c r="C576" s="5">
        <v>1.94</v>
      </c>
    </row>
    <row r="577" spans="1:3" x14ac:dyDescent="0.3">
      <c r="A577" s="4">
        <v>44615</v>
      </c>
      <c r="B577" s="5">
        <v>2.79</v>
      </c>
      <c r="C577" s="5">
        <v>1.99</v>
      </c>
    </row>
    <row r="578" spans="1:3" x14ac:dyDescent="0.3">
      <c r="A578" s="4">
        <v>44616</v>
      </c>
      <c r="B578" s="5">
        <v>2.7875000000000001</v>
      </c>
      <c r="C578" s="5">
        <v>1.96</v>
      </c>
    </row>
    <row r="579" spans="1:3" x14ac:dyDescent="0.3">
      <c r="A579" s="4">
        <v>44617</v>
      </c>
      <c r="B579" s="5">
        <v>2.7749999999999999</v>
      </c>
      <c r="C579" s="5">
        <v>1.97</v>
      </c>
    </row>
    <row r="580" spans="1:3" x14ac:dyDescent="0.3">
      <c r="A580" s="4">
        <v>44620</v>
      </c>
      <c r="B580" s="5">
        <v>2.7749999999999999</v>
      </c>
      <c r="C580" s="5">
        <v>1.83</v>
      </c>
    </row>
    <row r="581" spans="1:3" x14ac:dyDescent="0.3">
      <c r="A581" s="4">
        <v>44621</v>
      </c>
      <c r="B581" s="5">
        <v>2.8025000000000002</v>
      </c>
      <c r="C581" s="5">
        <v>1.72</v>
      </c>
    </row>
    <row r="582" spans="1:3" x14ac:dyDescent="0.3">
      <c r="A582" s="4">
        <v>44622</v>
      </c>
      <c r="B582" s="5">
        <v>2.8174999999999999</v>
      </c>
      <c r="C582" s="5">
        <v>1.86</v>
      </c>
    </row>
    <row r="583" spans="1:3" x14ac:dyDescent="0.3">
      <c r="A583" s="4">
        <v>44623</v>
      </c>
      <c r="B583" s="5">
        <v>2.83</v>
      </c>
      <c r="C583" s="5">
        <v>1.86</v>
      </c>
    </row>
    <row r="584" spans="1:3" x14ac:dyDescent="0.3">
      <c r="A584" s="4">
        <v>44624</v>
      </c>
      <c r="B584" s="5">
        <v>2.8125</v>
      </c>
      <c r="C584" s="5">
        <v>1.74</v>
      </c>
    </row>
    <row r="585" spans="1:3" x14ac:dyDescent="0.3">
      <c r="A585" s="4">
        <v>44627</v>
      </c>
      <c r="B585" s="5">
        <v>2.8126000000000002</v>
      </c>
      <c r="C585" s="5">
        <v>1.78</v>
      </c>
    </row>
    <row r="586" spans="1:3" x14ac:dyDescent="0.3">
      <c r="A586" s="4">
        <v>44628</v>
      </c>
      <c r="B586" s="5">
        <v>2.8275999999999999</v>
      </c>
      <c r="C586" s="5">
        <v>1.86</v>
      </c>
    </row>
    <row r="587" spans="1:3" x14ac:dyDescent="0.3">
      <c r="A587" s="4">
        <v>44629</v>
      </c>
      <c r="B587" s="5">
        <v>2.8426</v>
      </c>
      <c r="C587" s="5">
        <v>1.94</v>
      </c>
    </row>
    <row r="588" spans="1:3" x14ac:dyDescent="0.3">
      <c r="A588" s="4">
        <v>44630</v>
      </c>
      <c r="B588" s="5">
        <v>2.8502000000000001</v>
      </c>
      <c r="C588" s="5">
        <v>1.98</v>
      </c>
    </row>
    <row r="589" spans="1:3" x14ac:dyDescent="0.3">
      <c r="A589" s="4">
        <v>44631</v>
      </c>
      <c r="B589" s="5">
        <v>2.7902</v>
      </c>
      <c r="C589" s="5">
        <v>2</v>
      </c>
    </row>
    <row r="590" spans="1:3" x14ac:dyDescent="0.3">
      <c r="A590" s="4">
        <v>44634</v>
      </c>
      <c r="B590" s="5">
        <v>2.7677</v>
      </c>
      <c r="C590" s="5">
        <v>2.14</v>
      </c>
    </row>
    <row r="591" spans="1:3" x14ac:dyDescent="0.3">
      <c r="A591" s="4">
        <v>44635</v>
      </c>
      <c r="B591" s="5">
        <v>2.8176999999999999</v>
      </c>
      <c r="C591" s="5">
        <v>2.15</v>
      </c>
    </row>
    <row r="592" spans="1:3" x14ac:dyDescent="0.3">
      <c r="A592" s="4">
        <v>44636</v>
      </c>
      <c r="B592" s="5">
        <v>2.7951999999999999</v>
      </c>
      <c r="C592" s="5">
        <v>2.19</v>
      </c>
    </row>
    <row r="593" spans="1:3" x14ac:dyDescent="0.3">
      <c r="A593" s="4">
        <v>44637</v>
      </c>
      <c r="B593" s="5">
        <v>2.7875999999999999</v>
      </c>
      <c r="C593" s="5">
        <v>2.2000000000000002</v>
      </c>
    </row>
    <row r="594" spans="1:3" x14ac:dyDescent="0.3">
      <c r="A594" s="4">
        <v>44638</v>
      </c>
      <c r="B594" s="5">
        <v>2.7927</v>
      </c>
      <c r="C594" s="5">
        <v>2.14</v>
      </c>
    </row>
    <row r="595" spans="1:3" x14ac:dyDescent="0.3">
      <c r="A595" s="4">
        <v>44641</v>
      </c>
      <c r="B595" s="5">
        <v>2.8127</v>
      </c>
      <c r="C595" s="5">
        <v>2.3199999999999998</v>
      </c>
    </row>
    <row r="596" spans="1:3" x14ac:dyDescent="0.3">
      <c r="A596" s="4">
        <v>44642</v>
      </c>
      <c r="B596" s="5">
        <v>2.8302</v>
      </c>
      <c r="C596" s="5">
        <v>2.38</v>
      </c>
    </row>
    <row r="597" spans="1:3" x14ac:dyDescent="0.3">
      <c r="A597" s="4">
        <v>44643</v>
      </c>
      <c r="B597" s="5">
        <v>2.8302</v>
      </c>
      <c r="C597" s="5">
        <v>2.3199999999999998</v>
      </c>
    </row>
    <row r="598" spans="1:3" x14ac:dyDescent="0.3">
      <c r="A598" s="4">
        <v>44644</v>
      </c>
      <c r="B598" s="5">
        <v>2.8052000000000001</v>
      </c>
      <c r="C598" s="5">
        <v>2.34</v>
      </c>
    </row>
    <row r="599" spans="1:3" x14ac:dyDescent="0.3">
      <c r="A599" s="4">
        <v>44645</v>
      </c>
      <c r="B599" s="5">
        <v>2.7972000000000001</v>
      </c>
      <c r="C599" s="5">
        <v>2.48</v>
      </c>
    </row>
    <row r="600" spans="1:3" x14ac:dyDescent="0.3">
      <c r="A600" s="4">
        <v>44648</v>
      </c>
      <c r="B600" s="5">
        <v>2.7902999999999998</v>
      </c>
      <c r="C600" s="5">
        <v>2.46</v>
      </c>
    </row>
    <row r="601" spans="1:3" x14ac:dyDescent="0.3">
      <c r="A601" s="4">
        <v>44649</v>
      </c>
      <c r="B601" s="5">
        <v>2.7852999999999999</v>
      </c>
      <c r="C601" s="5">
        <v>2.41</v>
      </c>
    </row>
    <row r="602" spans="1:3" x14ac:dyDescent="0.3">
      <c r="A602" s="4">
        <v>44650</v>
      </c>
      <c r="B602" s="5">
        <v>2.7703000000000002</v>
      </c>
      <c r="C602" s="5">
        <v>2.35</v>
      </c>
    </row>
    <row r="603" spans="1:3" x14ac:dyDescent="0.3">
      <c r="A603" s="4">
        <v>44651</v>
      </c>
      <c r="B603" s="5">
        <v>2.7877999999999998</v>
      </c>
      <c r="C603" s="5">
        <v>2.3199999999999998</v>
      </c>
    </row>
    <row r="604" spans="1:3" x14ac:dyDescent="0.3">
      <c r="A604" s="4">
        <v>44652</v>
      </c>
      <c r="B604" s="5">
        <v>2.7743000000000002</v>
      </c>
      <c r="C604" s="5">
        <v>2.39</v>
      </c>
    </row>
    <row r="605" spans="1:3" x14ac:dyDescent="0.3">
      <c r="A605" s="4">
        <v>44653</v>
      </c>
      <c r="B605" s="5">
        <v>2.7713999999999999</v>
      </c>
      <c r="C605" s="5"/>
    </row>
    <row r="606" spans="1:3" x14ac:dyDescent="0.3">
      <c r="A606" s="4">
        <v>44655</v>
      </c>
      <c r="B606" s="5"/>
      <c r="C606" s="5">
        <v>2.42</v>
      </c>
    </row>
    <row r="607" spans="1:3" x14ac:dyDescent="0.3">
      <c r="A607" s="4">
        <v>44656</v>
      </c>
      <c r="B607" s="5"/>
      <c r="C607" s="5">
        <v>2.54</v>
      </c>
    </row>
    <row r="608" spans="1:3" x14ac:dyDescent="0.3">
      <c r="A608" s="4">
        <v>44657</v>
      </c>
      <c r="B608" s="5">
        <v>2.7604000000000002</v>
      </c>
      <c r="C608" s="5">
        <v>2.61</v>
      </c>
    </row>
    <row r="609" spans="1:3" x14ac:dyDescent="0.3">
      <c r="A609" s="4">
        <v>44658</v>
      </c>
      <c r="B609" s="5">
        <v>2.7393999999999998</v>
      </c>
      <c r="C609" s="5">
        <v>2.66</v>
      </c>
    </row>
    <row r="610" spans="1:3" x14ac:dyDescent="0.3">
      <c r="A610" s="4">
        <v>44659</v>
      </c>
      <c r="B610" s="5">
        <v>2.7528999999999999</v>
      </c>
      <c r="C610" s="5">
        <v>2.72</v>
      </c>
    </row>
    <row r="611" spans="1:3" x14ac:dyDescent="0.3">
      <c r="A611" s="4">
        <v>44662</v>
      </c>
      <c r="B611" s="5">
        <v>2.7679999999999998</v>
      </c>
      <c r="C611" s="5">
        <v>2.79</v>
      </c>
    </row>
    <row r="612" spans="1:3" x14ac:dyDescent="0.3">
      <c r="A612" s="4">
        <v>44663</v>
      </c>
      <c r="B612" s="5">
        <v>2.7705000000000002</v>
      </c>
      <c r="C612" s="5">
        <v>2.72</v>
      </c>
    </row>
    <row r="613" spans="1:3" x14ac:dyDescent="0.3">
      <c r="A613" s="4">
        <v>44664</v>
      </c>
      <c r="B613" s="5">
        <v>2.7631000000000001</v>
      </c>
      <c r="C613" s="5">
        <v>2.7</v>
      </c>
    </row>
    <row r="614" spans="1:3" x14ac:dyDescent="0.3">
      <c r="A614" s="4">
        <v>44665</v>
      </c>
      <c r="B614" s="5">
        <v>2.7656000000000001</v>
      </c>
      <c r="C614" s="5">
        <v>2.83</v>
      </c>
    </row>
    <row r="615" spans="1:3" x14ac:dyDescent="0.3">
      <c r="A615" s="4">
        <v>44666</v>
      </c>
      <c r="B615" s="5">
        <v>2.7578</v>
      </c>
      <c r="C615" s="5"/>
    </row>
    <row r="616" spans="1:3" x14ac:dyDescent="0.3">
      <c r="A616" s="4">
        <v>44669</v>
      </c>
      <c r="B616" s="5">
        <v>2.8107000000000002</v>
      </c>
      <c r="C616" s="5">
        <v>2.85</v>
      </c>
    </row>
    <row r="617" spans="1:3" x14ac:dyDescent="0.3">
      <c r="A617" s="4">
        <v>44670</v>
      </c>
      <c r="B617" s="5">
        <v>2.8208000000000002</v>
      </c>
      <c r="C617" s="5">
        <v>2.93</v>
      </c>
    </row>
    <row r="618" spans="1:3" x14ac:dyDescent="0.3">
      <c r="A618" s="4">
        <v>44671</v>
      </c>
      <c r="B618" s="5">
        <v>2.8330000000000002</v>
      </c>
      <c r="C618" s="5">
        <v>2.85</v>
      </c>
    </row>
    <row r="619" spans="1:3" x14ac:dyDescent="0.3">
      <c r="A619" s="4">
        <v>44672</v>
      </c>
      <c r="B619" s="5">
        <v>2.8258999999999999</v>
      </c>
      <c r="C619" s="5">
        <v>2.9</v>
      </c>
    </row>
    <row r="620" spans="1:3" x14ac:dyDescent="0.3">
      <c r="A620" s="4">
        <v>44673</v>
      </c>
      <c r="B620" s="5">
        <v>2.8409</v>
      </c>
      <c r="C620" s="5">
        <v>2.9</v>
      </c>
    </row>
    <row r="621" spans="1:3" x14ac:dyDescent="0.3">
      <c r="A621" s="4">
        <v>44675</v>
      </c>
      <c r="B621" s="5">
        <v>2.8334999999999999</v>
      </c>
      <c r="C621" s="5"/>
    </row>
    <row r="622" spans="1:3" x14ac:dyDescent="0.3">
      <c r="A622" s="4">
        <v>44676</v>
      </c>
      <c r="B622" s="5">
        <v>2.8159999999999998</v>
      </c>
      <c r="C622" s="5">
        <v>2.81</v>
      </c>
    </row>
    <row r="623" spans="1:3" x14ac:dyDescent="0.3">
      <c r="A623" s="4">
        <v>44677</v>
      </c>
      <c r="B623" s="5">
        <v>2.8260000000000001</v>
      </c>
      <c r="C623" s="5">
        <v>2.77</v>
      </c>
    </row>
    <row r="624" spans="1:3" x14ac:dyDescent="0.3">
      <c r="A624" s="4">
        <v>44678</v>
      </c>
      <c r="B624" s="5">
        <v>2.8411</v>
      </c>
      <c r="C624" s="5">
        <v>2.82</v>
      </c>
    </row>
    <row r="625" spans="1:3" x14ac:dyDescent="0.3">
      <c r="A625" s="4">
        <v>44679</v>
      </c>
      <c r="B625" s="5">
        <v>2.8485999999999998</v>
      </c>
      <c r="C625" s="5">
        <v>2.85</v>
      </c>
    </row>
    <row r="626" spans="1:3" x14ac:dyDescent="0.3">
      <c r="A626" s="4">
        <v>44680</v>
      </c>
      <c r="B626" s="5">
        <v>2.8386</v>
      </c>
      <c r="C626" s="5">
        <v>2.89</v>
      </c>
    </row>
    <row r="627" spans="1:3" x14ac:dyDescent="0.3">
      <c r="A627" s="4">
        <v>44683</v>
      </c>
      <c r="B627" s="5"/>
      <c r="C627" s="5">
        <v>2.99</v>
      </c>
    </row>
    <row r="628" spans="1:3" x14ac:dyDescent="0.3">
      <c r="A628" s="4">
        <v>44684</v>
      </c>
      <c r="B628" s="5"/>
      <c r="C628" s="5">
        <v>2.97</v>
      </c>
    </row>
    <row r="629" spans="1:3" x14ac:dyDescent="0.3">
      <c r="A629" s="4">
        <v>44685</v>
      </c>
      <c r="B629" s="5"/>
      <c r="C629" s="5">
        <v>2.93</v>
      </c>
    </row>
    <row r="630" spans="1:3" x14ac:dyDescent="0.3">
      <c r="A630" s="4">
        <v>44686</v>
      </c>
      <c r="B630" s="5">
        <v>2.8281999999999998</v>
      </c>
      <c r="C630" s="5">
        <v>3.05</v>
      </c>
    </row>
    <row r="631" spans="1:3" x14ac:dyDescent="0.3">
      <c r="A631" s="4">
        <v>44687</v>
      </c>
      <c r="B631" s="5">
        <v>2.8273000000000001</v>
      </c>
      <c r="C631" s="5">
        <v>3.12</v>
      </c>
    </row>
    <row r="632" spans="1:3" x14ac:dyDescent="0.3">
      <c r="A632" s="4">
        <v>44688</v>
      </c>
      <c r="B632" s="5">
        <v>2.8262999999999998</v>
      </c>
      <c r="C632" s="5"/>
    </row>
    <row r="633" spans="1:3" x14ac:dyDescent="0.3">
      <c r="A633" s="4">
        <v>44690</v>
      </c>
      <c r="B633" s="5">
        <v>2.8153999999999999</v>
      </c>
      <c r="C633" s="5">
        <v>3.05</v>
      </c>
    </row>
    <row r="634" spans="1:3" x14ac:dyDescent="0.3">
      <c r="A634" s="4">
        <v>44691</v>
      </c>
      <c r="B634" s="5">
        <v>2.8089</v>
      </c>
      <c r="C634" s="5">
        <v>2.99</v>
      </c>
    </row>
    <row r="635" spans="1:3" x14ac:dyDescent="0.3">
      <c r="A635" s="4">
        <v>44692</v>
      </c>
      <c r="B635" s="5">
        <v>2.8239999999999998</v>
      </c>
      <c r="C635" s="5">
        <v>2.91</v>
      </c>
    </row>
    <row r="636" spans="1:3" x14ac:dyDescent="0.3">
      <c r="A636" s="4">
        <v>44693</v>
      </c>
      <c r="B636" s="5">
        <v>2.8054999999999999</v>
      </c>
      <c r="C636" s="5">
        <v>2.84</v>
      </c>
    </row>
    <row r="637" spans="1:3" x14ac:dyDescent="0.3">
      <c r="A637" s="4">
        <v>44694</v>
      </c>
      <c r="B637" s="5">
        <v>2.8140000000000001</v>
      </c>
      <c r="C637" s="5">
        <v>2.93</v>
      </c>
    </row>
    <row r="638" spans="1:3" x14ac:dyDescent="0.3">
      <c r="A638" s="4">
        <v>44697</v>
      </c>
      <c r="B638" s="5">
        <v>2.8216000000000001</v>
      </c>
      <c r="C638" s="5">
        <v>2.88</v>
      </c>
    </row>
    <row r="639" spans="1:3" x14ac:dyDescent="0.3">
      <c r="A639" s="4">
        <v>44698</v>
      </c>
      <c r="B639" s="5">
        <v>2.8178000000000001</v>
      </c>
      <c r="C639" s="5">
        <v>2.98</v>
      </c>
    </row>
    <row r="640" spans="1:3" x14ac:dyDescent="0.3">
      <c r="A640" s="4">
        <v>44699</v>
      </c>
      <c r="B640" s="5">
        <v>2.7801</v>
      </c>
      <c r="C640" s="5">
        <v>2.89</v>
      </c>
    </row>
    <row r="641" spans="1:3" x14ac:dyDescent="0.3">
      <c r="A641" s="4">
        <v>44700</v>
      </c>
      <c r="B641" s="5">
        <v>2.7774000000000001</v>
      </c>
      <c r="C641" s="5">
        <v>2.84</v>
      </c>
    </row>
    <row r="642" spans="1:3" x14ac:dyDescent="0.3">
      <c r="A642" s="4">
        <v>44701</v>
      </c>
      <c r="B642" s="5">
        <v>2.79</v>
      </c>
      <c r="C642" s="5">
        <v>2.78</v>
      </c>
    </row>
    <row r="643" spans="1:3" x14ac:dyDescent="0.3">
      <c r="A643" s="4">
        <v>44704</v>
      </c>
      <c r="B643" s="5">
        <v>2.7675000000000001</v>
      </c>
      <c r="C643" s="5">
        <v>2.86</v>
      </c>
    </row>
    <row r="644" spans="1:3" x14ac:dyDescent="0.3">
      <c r="A644" s="4">
        <v>44705</v>
      </c>
      <c r="B644" s="5">
        <v>2.7650000000000001</v>
      </c>
      <c r="C644" s="5">
        <v>2.76</v>
      </c>
    </row>
    <row r="645" spans="1:3" x14ac:dyDescent="0.3">
      <c r="A645" s="4">
        <v>44706</v>
      </c>
      <c r="B645" s="5">
        <v>2.7574999999999998</v>
      </c>
      <c r="C645" s="5">
        <v>2.75</v>
      </c>
    </row>
    <row r="646" spans="1:3" x14ac:dyDescent="0.3">
      <c r="A646" s="4">
        <v>44707</v>
      </c>
      <c r="B646" s="5">
        <v>2.71</v>
      </c>
      <c r="C646" s="5">
        <v>2.75</v>
      </c>
    </row>
    <row r="647" spans="1:3" x14ac:dyDescent="0.3">
      <c r="A647" s="4">
        <v>44708</v>
      </c>
      <c r="B647" s="5">
        <v>2.6974</v>
      </c>
      <c r="C647" s="5">
        <v>2.74</v>
      </c>
    </row>
    <row r="648" spans="1:3" x14ac:dyDescent="0.3">
      <c r="A648" s="4">
        <v>44711</v>
      </c>
      <c r="B648" s="5">
        <v>2.7225000000000001</v>
      </c>
      <c r="C648" s="5"/>
    </row>
    <row r="649" spans="1:3" x14ac:dyDescent="0.3">
      <c r="A649" s="4">
        <v>44712</v>
      </c>
      <c r="B649" s="5">
        <v>2.7425999999999999</v>
      </c>
      <c r="C649" s="5">
        <v>2.85</v>
      </c>
    </row>
    <row r="650" spans="1:3" x14ac:dyDescent="0.3">
      <c r="A650" s="4">
        <v>44713</v>
      </c>
      <c r="B650" s="5">
        <v>2.7551000000000001</v>
      </c>
      <c r="C650" s="5">
        <v>2.94</v>
      </c>
    </row>
    <row r="651" spans="1:3" x14ac:dyDescent="0.3">
      <c r="A651" s="4">
        <v>44714</v>
      </c>
      <c r="B651" s="5">
        <v>2.7601</v>
      </c>
      <c r="C651" s="5">
        <v>2.92</v>
      </c>
    </row>
    <row r="652" spans="1:3" x14ac:dyDescent="0.3">
      <c r="A652" s="4">
        <v>44715</v>
      </c>
      <c r="B652" s="5"/>
      <c r="C652" s="5">
        <v>2.96</v>
      </c>
    </row>
    <row r="653" spans="1:3" x14ac:dyDescent="0.3">
      <c r="A653" s="4">
        <v>44718</v>
      </c>
      <c r="B653" s="5">
        <v>2.7776000000000001</v>
      </c>
      <c r="C653" s="5">
        <v>3.04</v>
      </c>
    </row>
    <row r="654" spans="1:3" x14ac:dyDescent="0.3">
      <c r="A654" s="4">
        <v>44719</v>
      </c>
      <c r="B654" s="5">
        <v>2.7576000000000001</v>
      </c>
      <c r="C654" s="5">
        <v>2.98</v>
      </c>
    </row>
    <row r="655" spans="1:3" x14ac:dyDescent="0.3">
      <c r="A655" s="4">
        <v>44720</v>
      </c>
      <c r="B655" s="5">
        <v>2.7660999999999998</v>
      </c>
      <c r="C655" s="5">
        <v>3.03</v>
      </c>
    </row>
    <row r="656" spans="1:3" x14ac:dyDescent="0.3">
      <c r="A656" s="4">
        <v>44721</v>
      </c>
      <c r="B656" s="5">
        <v>2.7576000000000001</v>
      </c>
      <c r="C656" s="5">
        <v>3.04</v>
      </c>
    </row>
    <row r="657" spans="1:3" x14ac:dyDescent="0.3">
      <c r="A657" s="4">
        <v>44722</v>
      </c>
      <c r="B657" s="5">
        <v>2.7526000000000002</v>
      </c>
      <c r="C657" s="5">
        <v>3.15</v>
      </c>
    </row>
    <row r="658" spans="1:3" x14ac:dyDescent="0.3">
      <c r="A658" s="4">
        <v>44725</v>
      </c>
      <c r="B658" s="5">
        <v>2.7652000000000001</v>
      </c>
      <c r="C658" s="5">
        <v>3.43</v>
      </c>
    </row>
    <row r="659" spans="1:3" x14ac:dyDescent="0.3">
      <c r="A659" s="4">
        <v>44726</v>
      </c>
      <c r="B659" s="5">
        <v>2.7702</v>
      </c>
      <c r="C659" s="5">
        <v>3.49</v>
      </c>
    </row>
    <row r="660" spans="1:3" x14ac:dyDescent="0.3">
      <c r="A660" s="4">
        <v>44727</v>
      </c>
      <c r="B660" s="5">
        <v>2.7827000000000002</v>
      </c>
      <c r="C660" s="5">
        <v>3.33</v>
      </c>
    </row>
    <row r="661" spans="1:3" x14ac:dyDescent="0.3">
      <c r="A661" s="4">
        <v>44728</v>
      </c>
      <c r="B661" s="5">
        <v>2.7728000000000002</v>
      </c>
      <c r="C661" s="5">
        <v>3.28</v>
      </c>
    </row>
    <row r="662" spans="1:3" x14ac:dyDescent="0.3">
      <c r="A662" s="4">
        <v>44729</v>
      </c>
      <c r="B662" s="5">
        <v>2.7751999999999999</v>
      </c>
      <c r="C662" s="5">
        <v>3.25</v>
      </c>
    </row>
    <row r="663" spans="1:3" x14ac:dyDescent="0.3">
      <c r="A663" s="4">
        <v>44732</v>
      </c>
      <c r="B663" s="5">
        <v>2.7852999999999999</v>
      </c>
      <c r="C663" s="5"/>
    </row>
    <row r="664" spans="1:3" x14ac:dyDescent="0.3">
      <c r="A664" s="4">
        <v>44733</v>
      </c>
      <c r="B664" s="5">
        <v>2.7852999999999999</v>
      </c>
      <c r="C664" s="5">
        <v>3.31</v>
      </c>
    </row>
    <row r="665" spans="1:3" x14ac:dyDescent="0.3">
      <c r="A665" s="4">
        <v>44734</v>
      </c>
      <c r="B665" s="5">
        <v>2.7772999999999999</v>
      </c>
      <c r="C665" s="5">
        <v>3.16</v>
      </c>
    </row>
    <row r="666" spans="1:3" x14ac:dyDescent="0.3">
      <c r="A666" s="4">
        <v>44735</v>
      </c>
      <c r="B666" s="5">
        <v>2.7803</v>
      </c>
      <c r="C666" s="5">
        <v>3.09</v>
      </c>
    </row>
    <row r="667" spans="1:3" x14ac:dyDescent="0.3">
      <c r="A667" s="4">
        <v>44736</v>
      </c>
      <c r="B667" s="5">
        <v>2.7978000000000001</v>
      </c>
      <c r="C667" s="5">
        <v>3.13</v>
      </c>
    </row>
    <row r="668" spans="1:3" x14ac:dyDescent="0.3">
      <c r="A668" s="4">
        <v>44739</v>
      </c>
      <c r="B668" s="5">
        <v>2.8329</v>
      </c>
      <c r="C668" s="5">
        <v>3.2</v>
      </c>
    </row>
    <row r="669" spans="1:3" x14ac:dyDescent="0.3">
      <c r="A669" s="4">
        <v>44740</v>
      </c>
      <c r="B669" s="5">
        <v>2.8414000000000001</v>
      </c>
      <c r="C669" s="5">
        <v>3.2</v>
      </c>
    </row>
    <row r="670" spans="1:3" x14ac:dyDescent="0.3">
      <c r="A670" s="4">
        <v>44741</v>
      </c>
      <c r="B670" s="5">
        <v>2.8294000000000001</v>
      </c>
      <c r="C670" s="5">
        <v>3.1</v>
      </c>
    </row>
    <row r="671" spans="1:3" x14ac:dyDescent="0.3">
      <c r="A671" s="4">
        <v>44742</v>
      </c>
      <c r="B671" s="5">
        <v>2.8205</v>
      </c>
      <c r="C671" s="5">
        <v>2.98</v>
      </c>
    </row>
    <row r="672" spans="1:3" x14ac:dyDescent="0.3">
      <c r="A672" s="4">
        <v>44743</v>
      </c>
      <c r="B672" s="5">
        <v>2.8254999999999999</v>
      </c>
      <c r="C672" s="5">
        <v>2.88</v>
      </c>
    </row>
    <row r="673" spans="1:3" x14ac:dyDescent="0.3">
      <c r="A673" s="4">
        <v>44746</v>
      </c>
      <c r="B673" s="5">
        <v>2.8445</v>
      </c>
      <c r="C673" s="5"/>
    </row>
    <row r="674" spans="1:3" x14ac:dyDescent="0.3">
      <c r="A674" s="4">
        <v>44747</v>
      </c>
      <c r="B674" s="5">
        <v>2.8332999999999999</v>
      </c>
      <c r="C674" s="5">
        <v>2.82</v>
      </c>
    </row>
    <row r="675" spans="1:3" x14ac:dyDescent="0.3">
      <c r="A675" s="4">
        <v>44748</v>
      </c>
      <c r="B675" s="5">
        <v>2.8355999999999999</v>
      </c>
      <c r="C675" s="5">
        <v>2.93</v>
      </c>
    </row>
    <row r="676" spans="1:3" x14ac:dyDescent="0.3">
      <c r="A676" s="4">
        <v>44749</v>
      </c>
      <c r="B676" s="5">
        <v>2.8355999999999999</v>
      </c>
      <c r="C676" s="5">
        <v>3.01</v>
      </c>
    </row>
    <row r="677" spans="1:3" x14ac:dyDescent="0.3">
      <c r="A677" s="4">
        <v>44750</v>
      </c>
      <c r="B677" s="5">
        <v>2.8384</v>
      </c>
      <c r="C677" s="5">
        <v>3.09</v>
      </c>
    </row>
    <row r="678" spans="1:3" x14ac:dyDescent="0.3">
      <c r="A678" s="4">
        <v>44753</v>
      </c>
      <c r="B678" s="5">
        <v>2.8266</v>
      </c>
      <c r="C678" s="5">
        <v>2.99</v>
      </c>
    </row>
    <row r="679" spans="1:3" x14ac:dyDescent="0.3">
      <c r="A679" s="4">
        <v>44754</v>
      </c>
      <c r="B679" s="5">
        <v>2.8117000000000001</v>
      </c>
      <c r="C679" s="5">
        <v>2.96</v>
      </c>
    </row>
    <row r="680" spans="1:3" x14ac:dyDescent="0.3">
      <c r="A680" s="4">
        <v>44755</v>
      </c>
      <c r="B680" s="5">
        <v>2.8067000000000002</v>
      </c>
      <c r="C680" s="5">
        <v>2.91</v>
      </c>
    </row>
    <row r="681" spans="1:3" x14ac:dyDescent="0.3">
      <c r="A681" s="4">
        <v>44756</v>
      </c>
      <c r="B681" s="5">
        <v>2.7907000000000002</v>
      </c>
      <c r="C681" s="5">
        <v>2.96</v>
      </c>
    </row>
    <row r="682" spans="1:3" x14ac:dyDescent="0.3">
      <c r="A682" s="4">
        <v>44757</v>
      </c>
      <c r="B682" s="5">
        <v>2.7856999999999998</v>
      </c>
      <c r="C682" s="5">
        <v>2.93</v>
      </c>
    </row>
    <row r="683" spans="1:3" x14ac:dyDescent="0.3">
      <c r="A683" s="4">
        <v>44760</v>
      </c>
      <c r="B683" s="5">
        <v>2.7837000000000001</v>
      </c>
      <c r="C683" s="5">
        <v>2.96</v>
      </c>
    </row>
    <row r="684" spans="1:3" x14ac:dyDescent="0.3">
      <c r="A684" s="4">
        <v>44761</v>
      </c>
      <c r="B684" s="5">
        <v>2.7858999999999998</v>
      </c>
      <c r="C684" s="5">
        <v>3.01</v>
      </c>
    </row>
    <row r="685" spans="1:3" x14ac:dyDescent="0.3">
      <c r="A685" s="4">
        <v>44762</v>
      </c>
      <c r="B685" s="5">
        <v>2.7709999999999999</v>
      </c>
      <c r="C685" s="5">
        <v>3.04</v>
      </c>
    </row>
    <row r="686" spans="1:3" x14ac:dyDescent="0.3">
      <c r="A686" s="4">
        <v>44763</v>
      </c>
      <c r="B686" s="5">
        <v>2.7635000000000001</v>
      </c>
      <c r="C686" s="5">
        <v>2.91</v>
      </c>
    </row>
    <row r="687" spans="1:3" x14ac:dyDescent="0.3">
      <c r="A687" s="4">
        <v>44764</v>
      </c>
      <c r="B687" s="5">
        <v>2.7869999999999999</v>
      </c>
      <c r="C687" s="5">
        <v>2.77</v>
      </c>
    </row>
    <row r="688" spans="1:3" x14ac:dyDescent="0.3">
      <c r="A688" s="4">
        <v>44767</v>
      </c>
      <c r="B688" s="5">
        <v>2.7789999999999999</v>
      </c>
      <c r="C688" s="5">
        <v>2.81</v>
      </c>
    </row>
    <row r="689" spans="1:3" x14ac:dyDescent="0.3">
      <c r="A689" s="4">
        <v>44768</v>
      </c>
      <c r="B689" s="5">
        <v>2.77</v>
      </c>
      <c r="C689" s="5">
        <v>2.81</v>
      </c>
    </row>
    <row r="690" spans="1:3" x14ac:dyDescent="0.3">
      <c r="A690" s="4">
        <v>44769</v>
      </c>
      <c r="B690" s="5">
        <v>2.7700999999999998</v>
      </c>
      <c r="C690" s="5">
        <v>2.78</v>
      </c>
    </row>
    <row r="691" spans="1:3" x14ac:dyDescent="0.3">
      <c r="A691" s="4">
        <v>44770</v>
      </c>
      <c r="B691" s="5">
        <v>2.7850000000000001</v>
      </c>
      <c r="C691" s="5">
        <v>2.68</v>
      </c>
    </row>
    <row r="692" spans="1:3" x14ac:dyDescent="0.3">
      <c r="A692" s="4">
        <v>44771</v>
      </c>
      <c r="B692" s="5">
        <v>2.7559999999999998</v>
      </c>
      <c r="C692" s="5">
        <v>2.67</v>
      </c>
    </row>
    <row r="693" spans="1:3" x14ac:dyDescent="0.3">
      <c r="A693" s="4">
        <v>44774</v>
      </c>
      <c r="B693" s="5">
        <v>2.7292000000000001</v>
      </c>
      <c r="C693" s="5">
        <v>2.6</v>
      </c>
    </row>
    <row r="694" spans="1:3" x14ac:dyDescent="0.3">
      <c r="A694" s="4">
        <v>44775</v>
      </c>
      <c r="B694" s="5">
        <v>2.7313999999999998</v>
      </c>
      <c r="C694" s="5">
        <v>2.75</v>
      </c>
    </row>
    <row r="695" spans="1:3" x14ac:dyDescent="0.3">
      <c r="A695" s="4">
        <v>44776</v>
      </c>
      <c r="B695" s="5">
        <v>2.7218</v>
      </c>
      <c r="C695" s="5">
        <v>2.73</v>
      </c>
    </row>
    <row r="696" spans="1:3" x14ac:dyDescent="0.3">
      <c r="A696" s="4">
        <v>44777</v>
      </c>
      <c r="B696" s="5">
        <v>2.7191999999999998</v>
      </c>
      <c r="C696" s="5">
        <v>2.68</v>
      </c>
    </row>
    <row r="697" spans="1:3" x14ac:dyDescent="0.3">
      <c r="A697" s="4">
        <v>44778</v>
      </c>
      <c r="B697" s="5">
        <v>2.7339000000000002</v>
      </c>
      <c r="C697" s="5">
        <v>2.83</v>
      </c>
    </row>
    <row r="698" spans="1:3" x14ac:dyDescent="0.3">
      <c r="A698" s="4">
        <v>44781</v>
      </c>
      <c r="B698" s="5">
        <v>2.7408999999999999</v>
      </c>
      <c r="C698" s="5">
        <v>2.77</v>
      </c>
    </row>
    <row r="699" spans="1:3" x14ac:dyDescent="0.3">
      <c r="A699" s="4">
        <v>44782</v>
      </c>
      <c r="B699" s="5">
        <v>2.74</v>
      </c>
      <c r="C699" s="5">
        <v>2.8</v>
      </c>
    </row>
    <row r="700" spans="1:3" x14ac:dyDescent="0.3">
      <c r="A700" s="4">
        <v>44783</v>
      </c>
      <c r="B700" s="5">
        <v>2.7366000000000001</v>
      </c>
      <c r="C700" s="5">
        <v>2.78</v>
      </c>
    </row>
    <row r="701" spans="1:3" x14ac:dyDescent="0.3">
      <c r="A701" s="4">
        <v>44784</v>
      </c>
      <c r="B701" s="5">
        <v>2.7317</v>
      </c>
      <c r="C701" s="5">
        <v>2.87</v>
      </c>
    </row>
    <row r="702" spans="1:3" x14ac:dyDescent="0.3">
      <c r="A702" s="4">
        <v>44785</v>
      </c>
      <c r="B702" s="5">
        <v>2.7347000000000001</v>
      </c>
      <c r="C702" s="5">
        <v>2.84</v>
      </c>
    </row>
    <row r="703" spans="1:3" x14ac:dyDescent="0.3">
      <c r="A703" s="4">
        <v>44788</v>
      </c>
      <c r="B703" s="5">
        <v>2.6581999999999999</v>
      </c>
      <c r="C703" s="5">
        <v>2.79</v>
      </c>
    </row>
    <row r="704" spans="1:3" x14ac:dyDescent="0.3">
      <c r="A704" s="4">
        <v>44789</v>
      </c>
      <c r="B704" s="5">
        <v>2.6345999999999998</v>
      </c>
      <c r="C704" s="5">
        <v>2.82</v>
      </c>
    </row>
    <row r="705" spans="1:3" x14ac:dyDescent="0.3">
      <c r="A705" s="4">
        <v>44790</v>
      </c>
      <c r="B705" s="5">
        <v>2.6124000000000001</v>
      </c>
      <c r="C705" s="5">
        <v>2.89</v>
      </c>
    </row>
    <row r="706" spans="1:3" x14ac:dyDescent="0.3">
      <c r="A706" s="4">
        <v>44791</v>
      </c>
      <c r="B706" s="5">
        <v>2.58</v>
      </c>
      <c r="C706" s="5">
        <v>2.88</v>
      </c>
    </row>
    <row r="707" spans="1:3" x14ac:dyDescent="0.3">
      <c r="A707" s="4">
        <v>44792</v>
      </c>
      <c r="B707" s="5">
        <v>2.5874999999999999</v>
      </c>
      <c r="C707" s="5">
        <v>2.98</v>
      </c>
    </row>
    <row r="708" spans="1:3" x14ac:dyDescent="0.3">
      <c r="A708" s="4">
        <v>44795</v>
      </c>
      <c r="B708" s="5">
        <v>2.5924999999999998</v>
      </c>
      <c r="C708" s="5">
        <v>3.03</v>
      </c>
    </row>
    <row r="709" spans="1:3" x14ac:dyDescent="0.3">
      <c r="A709" s="4">
        <v>44796</v>
      </c>
      <c r="B709" s="5">
        <v>2.6074999999999999</v>
      </c>
      <c r="C709" s="5">
        <v>3.05</v>
      </c>
    </row>
    <row r="710" spans="1:3" x14ac:dyDescent="0.3">
      <c r="A710" s="4">
        <v>44797</v>
      </c>
      <c r="B710" s="5">
        <v>2.61</v>
      </c>
      <c r="C710" s="5">
        <v>3.11</v>
      </c>
    </row>
    <row r="711" spans="1:3" x14ac:dyDescent="0.3">
      <c r="A711" s="4">
        <v>44798</v>
      </c>
      <c r="B711" s="5">
        <v>2.6389999999999998</v>
      </c>
      <c r="C711" s="5">
        <v>3.03</v>
      </c>
    </row>
    <row r="712" spans="1:3" x14ac:dyDescent="0.3">
      <c r="A712" s="4">
        <v>44799</v>
      </c>
      <c r="B712" s="5">
        <v>2.6429999999999998</v>
      </c>
      <c r="C712" s="5">
        <v>3.04</v>
      </c>
    </row>
    <row r="713" spans="1:3" x14ac:dyDescent="0.3">
      <c r="A713" s="4">
        <v>44802</v>
      </c>
      <c r="B713" s="5">
        <v>2.6225000000000001</v>
      </c>
      <c r="C713" s="5">
        <v>3.12</v>
      </c>
    </row>
    <row r="714" spans="1:3" x14ac:dyDescent="0.3">
      <c r="A714" s="4">
        <v>44803</v>
      </c>
      <c r="B714" s="5">
        <v>2.613</v>
      </c>
      <c r="C714" s="5">
        <v>3.11</v>
      </c>
    </row>
    <row r="715" spans="1:3" x14ac:dyDescent="0.3">
      <c r="A715" s="4">
        <v>44804</v>
      </c>
      <c r="B715" s="5">
        <v>2.6225000000000001</v>
      </c>
      <c r="C715" s="5">
        <v>3.15</v>
      </c>
    </row>
    <row r="716" spans="1:3" x14ac:dyDescent="0.3">
      <c r="A716" s="4">
        <v>44805</v>
      </c>
      <c r="B716" s="5">
        <v>2.6124999999999998</v>
      </c>
      <c r="C716" s="5">
        <v>3.26</v>
      </c>
    </row>
    <row r="717" spans="1:3" x14ac:dyDescent="0.3">
      <c r="A717" s="4">
        <v>44806</v>
      </c>
      <c r="B717" s="5">
        <v>2.6225999999999998</v>
      </c>
      <c r="C717" s="5">
        <v>3.2</v>
      </c>
    </row>
    <row r="718" spans="1:3" x14ac:dyDescent="0.3">
      <c r="A718" s="4">
        <v>44809</v>
      </c>
      <c r="B718" s="5">
        <v>2.6179999999999999</v>
      </c>
      <c r="C718" s="5"/>
    </row>
    <row r="719" spans="1:3" x14ac:dyDescent="0.3">
      <c r="A719" s="4">
        <v>44810</v>
      </c>
      <c r="B719" s="5">
        <v>2.6139999999999999</v>
      </c>
      <c r="C719" s="5">
        <v>3.33</v>
      </c>
    </row>
    <row r="720" spans="1:3" x14ac:dyDescent="0.3">
      <c r="A720" s="4">
        <v>44811</v>
      </c>
      <c r="B720" s="5">
        <v>2.6215000000000002</v>
      </c>
      <c r="C720" s="5">
        <v>3.27</v>
      </c>
    </row>
    <row r="721" spans="1:3" x14ac:dyDescent="0.3">
      <c r="A721" s="4">
        <v>44812</v>
      </c>
      <c r="B721" s="5">
        <v>2.6255999999999999</v>
      </c>
      <c r="C721" s="5">
        <v>3.29</v>
      </c>
    </row>
    <row r="722" spans="1:3" x14ac:dyDescent="0.3">
      <c r="A722" s="4">
        <v>44813</v>
      </c>
      <c r="B722" s="5">
        <v>2.6349999999999998</v>
      </c>
      <c r="C722" s="5">
        <v>3.33</v>
      </c>
    </row>
    <row r="723" spans="1:3" x14ac:dyDescent="0.3">
      <c r="A723" s="4">
        <v>44816</v>
      </c>
      <c r="B723" s="5"/>
      <c r="C723" s="5">
        <v>3.37</v>
      </c>
    </row>
    <row r="724" spans="1:3" x14ac:dyDescent="0.3">
      <c r="A724" s="4">
        <v>44817</v>
      </c>
      <c r="B724" s="5">
        <v>2.6427</v>
      </c>
      <c r="C724" s="5">
        <v>3.42</v>
      </c>
    </row>
    <row r="725" spans="1:3" x14ac:dyDescent="0.3">
      <c r="A725" s="4">
        <v>44818</v>
      </c>
      <c r="B725" s="5">
        <v>2.6625000000000001</v>
      </c>
      <c r="C725" s="5">
        <v>3.41</v>
      </c>
    </row>
    <row r="726" spans="1:3" x14ac:dyDescent="0.3">
      <c r="A726" s="4">
        <v>44819</v>
      </c>
      <c r="B726" s="5">
        <v>2.6625000000000001</v>
      </c>
      <c r="C726" s="5">
        <v>3.45</v>
      </c>
    </row>
    <row r="727" spans="1:3" x14ac:dyDescent="0.3">
      <c r="A727" s="4">
        <v>44820</v>
      </c>
      <c r="B727" s="5">
        <v>2.673</v>
      </c>
      <c r="C727" s="5">
        <v>3.45</v>
      </c>
    </row>
    <row r="728" spans="1:3" x14ac:dyDescent="0.3">
      <c r="A728" s="4">
        <v>44823</v>
      </c>
      <c r="B728" s="5">
        <v>2.6749999999999998</v>
      </c>
      <c r="C728" s="5">
        <v>3.49</v>
      </c>
    </row>
    <row r="729" spans="1:3" x14ac:dyDescent="0.3">
      <c r="A729" s="4">
        <v>44824</v>
      </c>
      <c r="B729" s="5">
        <v>2.6640000000000001</v>
      </c>
      <c r="C729" s="5">
        <v>3.57</v>
      </c>
    </row>
    <row r="730" spans="1:3" x14ac:dyDescent="0.3">
      <c r="A730" s="4">
        <v>44825</v>
      </c>
      <c r="B730" s="5">
        <v>2.6450999999999998</v>
      </c>
      <c r="C730" s="5">
        <v>3.51</v>
      </c>
    </row>
    <row r="731" spans="1:3" x14ac:dyDescent="0.3">
      <c r="A731" s="4">
        <v>44826</v>
      </c>
      <c r="B731" s="5">
        <v>2.6501000000000001</v>
      </c>
      <c r="C731" s="5">
        <v>3.7</v>
      </c>
    </row>
    <row r="732" spans="1:3" x14ac:dyDescent="0.3">
      <c r="A732" s="4">
        <v>44827</v>
      </c>
      <c r="B732" s="5">
        <v>2.6802000000000001</v>
      </c>
      <c r="C732" s="5">
        <v>3.69</v>
      </c>
    </row>
    <row r="733" spans="1:3" x14ac:dyDescent="0.3">
      <c r="A733" s="4">
        <v>44830</v>
      </c>
      <c r="B733" s="5">
        <v>2.7153999999999998</v>
      </c>
      <c r="C733" s="5">
        <v>3.88</v>
      </c>
    </row>
    <row r="734" spans="1:3" x14ac:dyDescent="0.3">
      <c r="A734" s="4">
        <v>44831</v>
      </c>
      <c r="B734" s="5">
        <v>2.7050999999999998</v>
      </c>
      <c r="C734" s="5">
        <v>3.97</v>
      </c>
    </row>
    <row r="735" spans="1:3" x14ac:dyDescent="0.3">
      <c r="A735" s="4">
        <v>44832</v>
      </c>
      <c r="B735" s="5">
        <v>2.7401</v>
      </c>
      <c r="C735" s="5">
        <v>3.72</v>
      </c>
    </row>
    <row r="736" spans="1:3" x14ac:dyDescent="0.3">
      <c r="A736" s="4">
        <v>44833</v>
      </c>
      <c r="B736" s="5">
        <v>2.7501000000000002</v>
      </c>
      <c r="C736" s="5">
        <v>3.76</v>
      </c>
    </row>
    <row r="737" spans="1:3" x14ac:dyDescent="0.3">
      <c r="A737" s="4">
        <v>44834</v>
      </c>
      <c r="B737" s="5">
        <v>2.7601</v>
      </c>
      <c r="C737" s="5">
        <v>3.83</v>
      </c>
    </row>
    <row r="738" spans="1:3" x14ac:dyDescent="0.3">
      <c r="A738" s="4">
        <v>44837</v>
      </c>
      <c r="B738" s="5"/>
      <c r="C738" s="5">
        <v>3.67</v>
      </c>
    </row>
    <row r="739" spans="1:3" x14ac:dyDescent="0.3">
      <c r="A739" s="4">
        <v>44838</v>
      </c>
      <c r="B739" s="5"/>
      <c r="C739" s="5">
        <v>3.62</v>
      </c>
    </row>
    <row r="740" spans="1:3" x14ac:dyDescent="0.3">
      <c r="A740" s="4">
        <v>44839</v>
      </c>
      <c r="B740" s="5"/>
      <c r="C740" s="5">
        <v>3.76</v>
      </c>
    </row>
    <row r="741" spans="1:3" x14ac:dyDescent="0.3">
      <c r="A741" s="4">
        <v>44840</v>
      </c>
      <c r="B741" s="5"/>
      <c r="C741" s="5">
        <v>3.83</v>
      </c>
    </row>
    <row r="742" spans="1:3" x14ac:dyDescent="0.3">
      <c r="A742" s="4">
        <v>44841</v>
      </c>
      <c r="B742" s="5"/>
      <c r="C742" s="5">
        <v>3.89</v>
      </c>
    </row>
    <row r="743" spans="1:3" x14ac:dyDescent="0.3">
      <c r="A743" s="4">
        <v>44842</v>
      </c>
      <c r="B743" s="5">
        <v>2.7625999999999999</v>
      </c>
      <c r="C743" s="5"/>
    </row>
    <row r="744" spans="1:3" x14ac:dyDescent="0.3">
      <c r="A744" s="4">
        <v>44843</v>
      </c>
      <c r="B744" s="5">
        <v>2.7452000000000001</v>
      </c>
      <c r="C744" s="5"/>
    </row>
    <row r="745" spans="1:3" x14ac:dyDescent="0.3">
      <c r="A745" s="4">
        <v>44844</v>
      </c>
      <c r="B745" s="5">
        <v>2.7402000000000002</v>
      </c>
      <c r="C745" s="5"/>
    </row>
    <row r="746" spans="1:3" x14ac:dyDescent="0.3">
      <c r="A746" s="4">
        <v>44845</v>
      </c>
      <c r="B746" s="5">
        <v>2.7425999999999999</v>
      </c>
      <c r="C746" s="5">
        <v>3.93</v>
      </c>
    </row>
    <row r="747" spans="1:3" x14ac:dyDescent="0.3">
      <c r="A747" s="4">
        <v>44846</v>
      </c>
      <c r="B747" s="5">
        <v>2.7351999999999999</v>
      </c>
      <c r="C747" s="5">
        <v>3.91</v>
      </c>
    </row>
    <row r="748" spans="1:3" x14ac:dyDescent="0.3">
      <c r="A748" s="4">
        <v>44847</v>
      </c>
      <c r="B748" s="5">
        <v>2.7252000000000001</v>
      </c>
      <c r="C748" s="5">
        <v>3.97</v>
      </c>
    </row>
    <row r="749" spans="1:3" x14ac:dyDescent="0.3">
      <c r="A749" s="4">
        <v>44848</v>
      </c>
      <c r="B749" s="5">
        <v>2.6977000000000002</v>
      </c>
      <c r="C749" s="5">
        <v>4</v>
      </c>
    </row>
    <row r="750" spans="1:3" x14ac:dyDescent="0.3">
      <c r="A750" s="4">
        <v>44851</v>
      </c>
      <c r="B750" s="5">
        <v>2.7002000000000002</v>
      </c>
      <c r="C750" s="5">
        <v>4.0199999999999996</v>
      </c>
    </row>
    <row r="751" spans="1:3" x14ac:dyDescent="0.3">
      <c r="A751" s="4">
        <v>44852</v>
      </c>
      <c r="B751" s="5">
        <v>2.7002000000000002</v>
      </c>
      <c r="C751" s="5">
        <v>4.01</v>
      </c>
    </row>
    <row r="752" spans="1:3" x14ac:dyDescent="0.3">
      <c r="A752" s="4">
        <v>44853</v>
      </c>
      <c r="B752" s="5">
        <v>2.7052</v>
      </c>
      <c r="C752" s="5">
        <v>4.1399999999999997</v>
      </c>
    </row>
    <row r="753" spans="1:3" x14ac:dyDescent="0.3">
      <c r="A753" s="4">
        <v>44854</v>
      </c>
      <c r="B753" s="5">
        <v>2.7174999999999998</v>
      </c>
      <c r="C753" s="5">
        <v>4.24</v>
      </c>
    </row>
    <row r="754" spans="1:3" x14ac:dyDescent="0.3">
      <c r="A754" s="4">
        <v>44855</v>
      </c>
      <c r="B754" s="5">
        <v>2.7277999999999998</v>
      </c>
      <c r="C754" s="5">
        <v>4.21</v>
      </c>
    </row>
    <row r="755" spans="1:3" x14ac:dyDescent="0.3">
      <c r="A755" s="4">
        <v>44858</v>
      </c>
      <c r="B755" s="5">
        <v>2.7153</v>
      </c>
      <c r="C755" s="5">
        <v>4.25</v>
      </c>
    </row>
    <row r="756" spans="1:3" x14ac:dyDescent="0.3">
      <c r="A756" s="4">
        <v>44859</v>
      </c>
      <c r="B756" s="5">
        <v>2.7277999999999998</v>
      </c>
      <c r="C756" s="5">
        <v>4.0999999999999996</v>
      </c>
    </row>
    <row r="757" spans="1:3" x14ac:dyDescent="0.3">
      <c r="A757" s="4">
        <v>44860</v>
      </c>
      <c r="B757" s="5">
        <v>2.7025000000000001</v>
      </c>
      <c r="C757" s="5">
        <v>4.04</v>
      </c>
    </row>
    <row r="758" spans="1:3" x14ac:dyDescent="0.3">
      <c r="A758" s="4">
        <v>44861</v>
      </c>
      <c r="B758" s="5">
        <v>2.6953</v>
      </c>
      <c r="C758" s="5">
        <v>3.96</v>
      </c>
    </row>
    <row r="759" spans="1:3" x14ac:dyDescent="0.3">
      <c r="A759" s="4">
        <v>44862</v>
      </c>
      <c r="B759" s="5">
        <v>2.6652999999999998</v>
      </c>
      <c r="C759" s="5">
        <v>4.0199999999999996</v>
      </c>
    </row>
    <row r="760" spans="1:3" x14ac:dyDescent="0.3">
      <c r="A760" s="4">
        <v>44865</v>
      </c>
      <c r="B760" s="5">
        <v>2.6433</v>
      </c>
      <c r="C760" s="5">
        <v>4.0999999999999996</v>
      </c>
    </row>
    <row r="761" spans="1:3" x14ac:dyDescent="0.3">
      <c r="A761" s="4">
        <v>44866</v>
      </c>
      <c r="B761" s="5">
        <v>2.6629</v>
      </c>
      <c r="C761" s="5">
        <v>4.07</v>
      </c>
    </row>
    <row r="762" spans="1:3" x14ac:dyDescent="0.3">
      <c r="A762" s="4">
        <v>44867</v>
      </c>
      <c r="B762" s="5">
        <v>2.6854</v>
      </c>
      <c r="C762" s="5">
        <v>4.0999999999999996</v>
      </c>
    </row>
    <row r="763" spans="1:3" x14ac:dyDescent="0.3">
      <c r="A763" s="4">
        <v>44868</v>
      </c>
      <c r="B763" s="5">
        <v>2.6776</v>
      </c>
      <c r="C763" s="5">
        <v>4.1399999999999997</v>
      </c>
    </row>
    <row r="764" spans="1:3" x14ac:dyDescent="0.3">
      <c r="A764" s="4">
        <v>44869</v>
      </c>
      <c r="B764" s="5">
        <v>2.7023000000000001</v>
      </c>
      <c r="C764" s="5">
        <v>4.17</v>
      </c>
    </row>
    <row r="765" spans="1:3" x14ac:dyDescent="0.3">
      <c r="A765" s="4">
        <v>44872</v>
      </c>
      <c r="B765" s="5">
        <v>2.7002999999999999</v>
      </c>
      <c r="C765" s="5">
        <v>4.22</v>
      </c>
    </row>
    <row r="766" spans="1:3" x14ac:dyDescent="0.3">
      <c r="A766" s="4">
        <v>44873</v>
      </c>
      <c r="B766" s="5">
        <v>2.6852999999999998</v>
      </c>
      <c r="C766" s="5">
        <v>4.1399999999999997</v>
      </c>
    </row>
    <row r="767" spans="1:3" x14ac:dyDescent="0.3">
      <c r="A767" s="4">
        <v>44874</v>
      </c>
      <c r="B767" s="5">
        <v>2.6953</v>
      </c>
      <c r="C767" s="5">
        <v>4.12</v>
      </c>
    </row>
    <row r="768" spans="1:3" x14ac:dyDescent="0.3">
      <c r="A768" s="4">
        <v>44875</v>
      </c>
      <c r="B768" s="5">
        <v>2.7027999999999999</v>
      </c>
      <c r="C768" s="5">
        <v>3.82</v>
      </c>
    </row>
    <row r="769" spans="1:3" x14ac:dyDescent="0.3">
      <c r="A769" s="4">
        <v>44876</v>
      </c>
      <c r="B769" s="5">
        <v>2.7353999999999998</v>
      </c>
      <c r="C769" s="5"/>
    </row>
    <row r="770" spans="1:3" x14ac:dyDescent="0.3">
      <c r="A770" s="4">
        <v>44879</v>
      </c>
      <c r="B770" s="5">
        <v>2.8353999999999999</v>
      </c>
      <c r="C770" s="5">
        <v>3.88</v>
      </c>
    </row>
    <row r="771" spans="1:3" x14ac:dyDescent="0.3">
      <c r="A771" s="4">
        <v>44880</v>
      </c>
      <c r="B771" s="5">
        <v>2.8155000000000001</v>
      </c>
      <c r="C771" s="5">
        <v>3.8</v>
      </c>
    </row>
    <row r="772" spans="1:3" x14ac:dyDescent="0.3">
      <c r="A772" s="4">
        <v>44881</v>
      </c>
      <c r="B772" s="5">
        <v>2.8329</v>
      </c>
      <c r="C772" s="5">
        <v>3.67</v>
      </c>
    </row>
    <row r="773" spans="1:3" x14ac:dyDescent="0.3">
      <c r="A773" s="4">
        <v>44882</v>
      </c>
      <c r="B773" s="5">
        <v>2.8026</v>
      </c>
      <c r="C773" s="5">
        <v>3.77</v>
      </c>
    </row>
    <row r="774" spans="1:3" x14ac:dyDescent="0.3">
      <c r="A774" s="4">
        <v>44883</v>
      </c>
      <c r="B774" s="5">
        <v>2.8250000000000002</v>
      </c>
      <c r="C774" s="5">
        <v>3.82</v>
      </c>
    </row>
    <row r="775" spans="1:3" x14ac:dyDescent="0.3">
      <c r="A775" s="4">
        <v>44886</v>
      </c>
      <c r="B775" s="5">
        <v>2.8180000000000001</v>
      </c>
      <c r="C775" s="5">
        <v>3.83</v>
      </c>
    </row>
    <row r="776" spans="1:3" x14ac:dyDescent="0.3">
      <c r="A776" s="4">
        <v>44887</v>
      </c>
      <c r="B776" s="5">
        <v>2.8275999999999999</v>
      </c>
      <c r="C776" s="5">
        <v>3.76</v>
      </c>
    </row>
    <row r="777" spans="1:3" x14ac:dyDescent="0.3">
      <c r="A777" s="4">
        <v>44888</v>
      </c>
      <c r="B777" s="5">
        <v>2.7974999999999999</v>
      </c>
      <c r="C777" s="5">
        <v>3.71</v>
      </c>
    </row>
    <row r="778" spans="1:3" x14ac:dyDescent="0.3">
      <c r="A778" s="4">
        <v>44889</v>
      </c>
      <c r="B778" s="5">
        <v>2.7949999999999999</v>
      </c>
      <c r="C778" s="5"/>
    </row>
    <row r="779" spans="1:3" x14ac:dyDescent="0.3">
      <c r="A779" s="4">
        <v>44890</v>
      </c>
      <c r="B779" s="5">
        <v>2.83</v>
      </c>
      <c r="C779" s="5">
        <v>3.68</v>
      </c>
    </row>
    <row r="780" spans="1:3" x14ac:dyDescent="0.3">
      <c r="A780" s="4">
        <v>44893</v>
      </c>
      <c r="B780" s="5">
        <v>2.86</v>
      </c>
      <c r="C780" s="5">
        <v>3.69</v>
      </c>
    </row>
    <row r="781" spans="1:3" x14ac:dyDescent="0.3">
      <c r="A781" s="4">
        <v>44894</v>
      </c>
      <c r="B781" s="5">
        <v>2.88</v>
      </c>
      <c r="C781" s="5">
        <v>3.75</v>
      </c>
    </row>
    <row r="782" spans="1:3" x14ac:dyDescent="0.3">
      <c r="A782" s="4">
        <v>44895</v>
      </c>
      <c r="B782" s="5">
        <v>2.8849999999999998</v>
      </c>
      <c r="C782" s="5">
        <v>3.68</v>
      </c>
    </row>
    <row r="783" spans="1:3" x14ac:dyDescent="0.3">
      <c r="A783" s="4">
        <v>44896</v>
      </c>
      <c r="B783" s="5">
        <v>2.86</v>
      </c>
      <c r="C783" s="5">
        <v>3.53</v>
      </c>
    </row>
    <row r="784" spans="1:3" x14ac:dyDescent="0.3">
      <c r="A784" s="4">
        <v>44897</v>
      </c>
      <c r="B784" s="5">
        <v>2.8675999999999999</v>
      </c>
      <c r="C784" s="5">
        <v>3.51</v>
      </c>
    </row>
    <row r="785" spans="1:3" x14ac:dyDescent="0.3">
      <c r="A785" s="4">
        <v>44900</v>
      </c>
      <c r="B785" s="5">
        <v>2.8902000000000001</v>
      </c>
      <c r="C785" s="5">
        <v>3.6</v>
      </c>
    </row>
    <row r="786" spans="1:3" x14ac:dyDescent="0.3">
      <c r="A786" s="4">
        <v>44901</v>
      </c>
      <c r="B786" s="5">
        <v>2.9152</v>
      </c>
      <c r="C786" s="5">
        <v>3.51</v>
      </c>
    </row>
    <row r="787" spans="1:3" x14ac:dyDescent="0.3">
      <c r="A787" s="4">
        <v>44902</v>
      </c>
      <c r="B787" s="5">
        <v>2.8702000000000001</v>
      </c>
      <c r="C787" s="5">
        <v>3.42</v>
      </c>
    </row>
    <row r="788" spans="1:3" x14ac:dyDescent="0.3">
      <c r="A788" s="4">
        <v>44903</v>
      </c>
      <c r="B788" s="5">
        <v>2.8853</v>
      </c>
      <c r="C788" s="5">
        <v>3.48</v>
      </c>
    </row>
    <row r="789" spans="1:3" x14ac:dyDescent="0.3">
      <c r="A789" s="4">
        <v>44904</v>
      </c>
      <c r="B789" s="5">
        <v>2.8902999999999999</v>
      </c>
      <c r="C789" s="5">
        <v>3.57</v>
      </c>
    </row>
    <row r="790" spans="1:3" x14ac:dyDescent="0.3">
      <c r="A790" s="4">
        <v>44907</v>
      </c>
      <c r="B790" s="5">
        <v>2.8902000000000001</v>
      </c>
      <c r="C790" s="5">
        <v>3.61</v>
      </c>
    </row>
    <row r="791" spans="1:3" x14ac:dyDescent="0.3">
      <c r="A791" s="4">
        <v>44908</v>
      </c>
      <c r="B791" s="5">
        <v>2.8952</v>
      </c>
      <c r="C791" s="5">
        <v>3.51</v>
      </c>
    </row>
    <row r="792" spans="1:3" x14ac:dyDescent="0.3">
      <c r="A792" s="4">
        <v>44909</v>
      </c>
      <c r="B792" s="5">
        <v>2.8654999999999999</v>
      </c>
      <c r="C792" s="5">
        <v>3.49</v>
      </c>
    </row>
    <row r="793" spans="1:3" x14ac:dyDescent="0.3">
      <c r="A793" s="4">
        <v>44910</v>
      </c>
      <c r="B793" s="5">
        <v>2.8828999999999998</v>
      </c>
      <c r="C793" s="5">
        <v>3.44</v>
      </c>
    </row>
    <row r="794" spans="1:3" x14ac:dyDescent="0.3">
      <c r="A794" s="4">
        <v>44911</v>
      </c>
      <c r="B794" s="5">
        <v>2.8856000000000002</v>
      </c>
      <c r="C794" s="5">
        <v>3.48</v>
      </c>
    </row>
    <row r="795" spans="1:3" x14ac:dyDescent="0.3">
      <c r="A795" s="4">
        <v>44914</v>
      </c>
      <c r="B795" s="5">
        <v>2.8632</v>
      </c>
      <c r="C795" s="5">
        <v>3.57</v>
      </c>
    </row>
    <row r="796" spans="1:3" x14ac:dyDescent="0.3">
      <c r="A796" s="4">
        <v>44915</v>
      </c>
      <c r="B796" s="5">
        <v>2.8732000000000002</v>
      </c>
      <c r="C796" s="5">
        <v>3.69</v>
      </c>
    </row>
    <row r="797" spans="1:3" x14ac:dyDescent="0.3">
      <c r="A797" s="4">
        <v>44916</v>
      </c>
      <c r="B797" s="5">
        <v>2.8605999999999998</v>
      </c>
      <c r="C797" s="5">
        <v>3.68</v>
      </c>
    </row>
    <row r="798" spans="1:3" x14ac:dyDescent="0.3">
      <c r="A798" s="4">
        <v>44917</v>
      </c>
      <c r="B798" s="5">
        <v>2.8502999999999998</v>
      </c>
      <c r="C798" s="5">
        <v>3.67</v>
      </c>
    </row>
    <row r="799" spans="1:3" x14ac:dyDescent="0.3">
      <c r="A799" s="4">
        <v>44918</v>
      </c>
      <c r="B799" s="5">
        <v>2.8250999999999999</v>
      </c>
      <c r="C799" s="5">
        <v>3.75</v>
      </c>
    </row>
    <row r="800" spans="1:3" x14ac:dyDescent="0.3">
      <c r="A800" s="4">
        <v>44921</v>
      </c>
      <c r="B800" s="5">
        <v>2.8378000000000001</v>
      </c>
      <c r="C800" s="5"/>
    </row>
    <row r="801" spans="1:3" x14ac:dyDescent="0.3">
      <c r="A801" s="4">
        <v>44922</v>
      </c>
      <c r="B801" s="5">
        <v>2.8656999999999999</v>
      </c>
      <c r="C801" s="5">
        <v>3.84</v>
      </c>
    </row>
    <row r="802" spans="1:3" x14ac:dyDescent="0.3">
      <c r="A802" s="4">
        <v>44923</v>
      </c>
      <c r="B802" s="5">
        <v>2.8502999999999998</v>
      </c>
      <c r="C802" s="5">
        <v>3.88</v>
      </c>
    </row>
    <row r="803" spans="1:3" x14ac:dyDescent="0.3">
      <c r="A803" s="4">
        <v>44924</v>
      </c>
      <c r="B803" s="5">
        <v>2.8376000000000001</v>
      </c>
      <c r="C803" s="5">
        <v>3.83</v>
      </c>
    </row>
    <row r="804" spans="1:3" x14ac:dyDescent="0.3">
      <c r="A804" s="4">
        <v>44925</v>
      </c>
      <c r="B804" s="5">
        <v>2.8353000000000002</v>
      </c>
      <c r="C804" s="5">
        <v>3.88</v>
      </c>
    </row>
    <row r="805" spans="1:3" x14ac:dyDescent="0.3">
      <c r="A805" s="4">
        <v>44926</v>
      </c>
      <c r="B805" s="5">
        <v>2.8353000000000002</v>
      </c>
      <c r="C805" s="5"/>
    </row>
    <row r="806" spans="1:3" x14ac:dyDescent="0.3">
      <c r="A806" s="4">
        <v>44929</v>
      </c>
      <c r="B806" s="5">
        <v>2.8228</v>
      </c>
      <c r="C806" s="5">
        <v>3.79</v>
      </c>
    </row>
    <row r="807" spans="1:3" x14ac:dyDescent="0.3">
      <c r="A807" s="4">
        <v>44930</v>
      </c>
      <c r="B807" s="5">
        <v>2.8102999999999998</v>
      </c>
      <c r="C807" s="5">
        <v>3.69</v>
      </c>
    </row>
    <row r="808" spans="1:3" x14ac:dyDescent="0.3">
      <c r="A808" s="4">
        <v>44931</v>
      </c>
      <c r="B808" s="5">
        <v>2.8304</v>
      </c>
      <c r="C808" s="5">
        <v>3.71</v>
      </c>
    </row>
    <row r="809" spans="1:3" x14ac:dyDescent="0.3">
      <c r="A809" s="4">
        <v>44932</v>
      </c>
      <c r="B809" s="5">
        <v>2.8328000000000002</v>
      </c>
      <c r="C809" s="5">
        <v>3.55</v>
      </c>
    </row>
    <row r="810" spans="1:3" x14ac:dyDescent="0.3">
      <c r="A810" s="4">
        <v>44935</v>
      </c>
      <c r="B810" s="5">
        <v>2.8428</v>
      </c>
      <c r="C810" s="5">
        <v>3.53</v>
      </c>
    </row>
    <row r="811" spans="1:3" x14ac:dyDescent="0.3">
      <c r="A811" s="4">
        <v>44936</v>
      </c>
      <c r="B811" s="5">
        <v>2.8601999999999999</v>
      </c>
      <c r="C811" s="5">
        <v>3.61</v>
      </c>
    </row>
    <row r="812" spans="1:3" x14ac:dyDescent="0.3">
      <c r="A812" s="4">
        <v>44937</v>
      </c>
      <c r="B812" s="5">
        <v>2.8603000000000001</v>
      </c>
      <c r="C812" s="5">
        <v>3.54</v>
      </c>
    </row>
    <row r="813" spans="1:3" x14ac:dyDescent="0.3">
      <c r="A813" s="4">
        <v>44938</v>
      </c>
      <c r="B813" s="5">
        <v>2.8778000000000001</v>
      </c>
      <c r="C813" s="5">
        <v>3.43</v>
      </c>
    </row>
    <row r="814" spans="1:3" x14ac:dyDescent="0.3">
      <c r="A814" s="4">
        <v>44939</v>
      </c>
      <c r="B814" s="5">
        <v>2.9009999999999998</v>
      </c>
      <c r="C814" s="5">
        <v>3.49</v>
      </c>
    </row>
    <row r="815" spans="1:3" x14ac:dyDescent="0.3">
      <c r="A815" s="4">
        <v>44942</v>
      </c>
      <c r="B815" s="5">
        <v>2.9167000000000001</v>
      </c>
      <c r="C815" s="5"/>
    </row>
    <row r="816" spans="1:3" x14ac:dyDescent="0.3">
      <c r="A816" s="4">
        <v>44943</v>
      </c>
      <c r="B816" s="5">
        <v>2.9016999999999999</v>
      </c>
      <c r="C816" s="5">
        <v>3.53</v>
      </c>
    </row>
    <row r="817" spans="1:3" x14ac:dyDescent="0.3">
      <c r="A817" s="4">
        <v>44944</v>
      </c>
      <c r="B817" s="5">
        <v>2.9222000000000001</v>
      </c>
      <c r="C817" s="5">
        <v>3.37</v>
      </c>
    </row>
    <row r="818" spans="1:3" x14ac:dyDescent="0.3">
      <c r="A818" s="4">
        <v>44945</v>
      </c>
      <c r="B818" s="5">
        <v>2.9144999999999999</v>
      </c>
      <c r="C818" s="5">
        <v>3.39</v>
      </c>
    </row>
    <row r="819" spans="1:3" x14ac:dyDescent="0.3">
      <c r="A819" s="4">
        <v>44946</v>
      </c>
      <c r="B819" s="5">
        <v>2.9331</v>
      </c>
      <c r="C819" s="5">
        <v>3.48</v>
      </c>
    </row>
    <row r="820" spans="1:3" x14ac:dyDescent="0.3">
      <c r="A820" s="4">
        <v>44949</v>
      </c>
      <c r="B820" s="5"/>
      <c r="C820" s="5">
        <v>3.52</v>
      </c>
    </row>
    <row r="821" spans="1:3" x14ac:dyDescent="0.3">
      <c r="A821" s="4">
        <v>44950</v>
      </c>
      <c r="B821" s="5"/>
      <c r="C821" s="5">
        <v>3.46</v>
      </c>
    </row>
    <row r="822" spans="1:3" x14ac:dyDescent="0.3">
      <c r="A822" s="4">
        <v>44951</v>
      </c>
      <c r="B822" s="5"/>
      <c r="C822" s="5">
        <v>3.46</v>
      </c>
    </row>
    <row r="823" spans="1:3" x14ac:dyDescent="0.3">
      <c r="A823" s="4">
        <v>44952</v>
      </c>
      <c r="B823" s="5"/>
      <c r="C823" s="5">
        <v>3.49</v>
      </c>
    </row>
    <row r="824" spans="1:3" x14ac:dyDescent="0.3">
      <c r="A824" s="4">
        <v>44953</v>
      </c>
      <c r="B824" s="5"/>
      <c r="C824" s="5">
        <v>3.52</v>
      </c>
    </row>
    <row r="825" spans="1:3" x14ac:dyDescent="0.3">
      <c r="A825" s="4">
        <v>44954</v>
      </c>
      <c r="B825" s="5">
        <v>2.9340999999999999</v>
      </c>
      <c r="C825" s="5"/>
    </row>
    <row r="826" spans="1:3" x14ac:dyDescent="0.3">
      <c r="A826" s="4">
        <v>44955</v>
      </c>
      <c r="B826" s="5">
        <v>2.9218999999999999</v>
      </c>
      <c r="C826" s="5"/>
    </row>
    <row r="827" spans="1:3" x14ac:dyDescent="0.3">
      <c r="A827" s="4">
        <v>44956</v>
      </c>
      <c r="B827" s="5">
        <v>2.9133</v>
      </c>
      <c r="C827" s="5">
        <v>3.55</v>
      </c>
    </row>
    <row r="828" spans="1:3" x14ac:dyDescent="0.3">
      <c r="A828" s="4">
        <v>44957</v>
      </c>
      <c r="B828" s="5">
        <v>2.8976999999999999</v>
      </c>
      <c r="C828" s="5">
        <v>3.52</v>
      </c>
    </row>
    <row r="829" spans="1:3" x14ac:dyDescent="0.3">
      <c r="A829" s="4">
        <v>44958</v>
      </c>
      <c r="B829" s="5">
        <v>2.9100999999999999</v>
      </c>
      <c r="C829" s="5">
        <v>3.39</v>
      </c>
    </row>
    <row r="830" spans="1:3" x14ac:dyDescent="0.3">
      <c r="A830" s="4">
        <v>44959</v>
      </c>
      <c r="B830" s="5">
        <v>2.8969999999999998</v>
      </c>
      <c r="C830" s="5">
        <v>3.4</v>
      </c>
    </row>
    <row r="831" spans="1:3" x14ac:dyDescent="0.3">
      <c r="A831" s="4">
        <v>44960</v>
      </c>
      <c r="B831" s="5">
        <v>2.8942999999999999</v>
      </c>
      <c r="C831" s="5">
        <v>3.53</v>
      </c>
    </row>
    <row r="832" spans="1:3" x14ac:dyDescent="0.3">
      <c r="A832" s="4">
        <v>44963</v>
      </c>
      <c r="B832" s="5">
        <v>2.9016999999999999</v>
      </c>
      <c r="C832" s="5">
        <v>3.63</v>
      </c>
    </row>
    <row r="833" spans="1:3" x14ac:dyDescent="0.3">
      <c r="A833" s="4">
        <v>44964</v>
      </c>
      <c r="B833" s="5">
        <v>2.8963999999999999</v>
      </c>
      <c r="C833" s="5">
        <v>3.67</v>
      </c>
    </row>
    <row r="834" spans="1:3" x14ac:dyDescent="0.3">
      <c r="A834" s="4">
        <v>44965</v>
      </c>
      <c r="B834" s="5">
        <v>2.8973</v>
      </c>
      <c r="C834" s="5">
        <v>3.63</v>
      </c>
    </row>
    <row r="835" spans="1:3" x14ac:dyDescent="0.3">
      <c r="A835" s="4">
        <v>44966</v>
      </c>
      <c r="B835" s="5">
        <v>2.8912</v>
      </c>
      <c r="C835" s="5">
        <v>3.67</v>
      </c>
    </row>
    <row r="836" spans="1:3" x14ac:dyDescent="0.3">
      <c r="A836" s="4">
        <v>44967</v>
      </c>
      <c r="B836" s="5">
        <v>2.9003000000000001</v>
      </c>
      <c r="C836" s="5">
        <v>3.74</v>
      </c>
    </row>
    <row r="837" spans="1:3" x14ac:dyDescent="0.3">
      <c r="A837" s="4">
        <v>44970</v>
      </c>
      <c r="B837" s="5">
        <v>2.8942999999999999</v>
      </c>
      <c r="C837" s="5">
        <v>3.72</v>
      </c>
    </row>
    <row r="838" spans="1:3" x14ac:dyDescent="0.3">
      <c r="A838" s="4">
        <v>44971</v>
      </c>
      <c r="B838" s="5">
        <v>2.8914</v>
      </c>
      <c r="C838" s="5">
        <v>3.77</v>
      </c>
    </row>
    <row r="839" spans="1:3" x14ac:dyDescent="0.3">
      <c r="A839" s="4">
        <v>44972</v>
      </c>
      <c r="B839" s="5">
        <v>2.8917999999999999</v>
      </c>
      <c r="C839" s="5">
        <v>3.81</v>
      </c>
    </row>
    <row r="840" spans="1:3" x14ac:dyDescent="0.3">
      <c r="A840" s="4">
        <v>44973</v>
      </c>
      <c r="B840" s="5">
        <v>2.8906999999999998</v>
      </c>
      <c r="C840" s="5">
        <v>3.86</v>
      </c>
    </row>
    <row r="841" spans="1:3" x14ac:dyDescent="0.3">
      <c r="A841" s="4">
        <v>44974</v>
      </c>
      <c r="B841" s="5">
        <v>2.8919999999999999</v>
      </c>
      <c r="C841" s="5">
        <v>3.82</v>
      </c>
    </row>
    <row r="842" spans="1:3" x14ac:dyDescent="0.3">
      <c r="A842" s="4">
        <v>44977</v>
      </c>
      <c r="B842" s="5">
        <v>2.9169999999999998</v>
      </c>
      <c r="C842" s="5"/>
    </row>
    <row r="843" spans="1:3" x14ac:dyDescent="0.3">
      <c r="A843" s="4">
        <v>44978</v>
      </c>
      <c r="B843" s="5">
        <v>2.919</v>
      </c>
      <c r="C843" s="5">
        <v>3.95</v>
      </c>
    </row>
    <row r="844" spans="1:3" x14ac:dyDescent="0.3">
      <c r="A844" s="4">
        <v>44979</v>
      </c>
      <c r="B844" s="5">
        <v>2.9175</v>
      </c>
      <c r="C844" s="5">
        <v>3.93</v>
      </c>
    </row>
    <row r="845" spans="1:3" x14ac:dyDescent="0.3">
      <c r="A845" s="4">
        <v>44980</v>
      </c>
      <c r="B845" s="5">
        <v>2.9220000000000002</v>
      </c>
      <c r="C845" s="5">
        <v>3.88</v>
      </c>
    </row>
    <row r="846" spans="1:3" x14ac:dyDescent="0.3">
      <c r="A846" s="4">
        <v>44981</v>
      </c>
      <c r="B846" s="5">
        <v>2.9125999999999999</v>
      </c>
      <c r="C846" s="5">
        <v>3.95</v>
      </c>
    </row>
    <row r="847" spans="1:3" x14ac:dyDescent="0.3">
      <c r="A847" s="4">
        <v>44984</v>
      </c>
      <c r="B847" s="5">
        <v>2.9117000000000002</v>
      </c>
      <c r="C847" s="5">
        <v>3.92</v>
      </c>
    </row>
    <row r="848" spans="1:3" x14ac:dyDescent="0.3">
      <c r="A848" s="4">
        <v>44985</v>
      </c>
      <c r="B848" s="5">
        <v>2.9016999999999999</v>
      </c>
      <c r="C848" s="5">
        <v>3.92</v>
      </c>
    </row>
    <row r="849" spans="1:3" x14ac:dyDescent="0.3">
      <c r="A849" s="4">
        <v>44986</v>
      </c>
      <c r="B849" s="5">
        <v>2.8976999999999999</v>
      </c>
      <c r="C849" s="5">
        <v>4.01</v>
      </c>
    </row>
    <row r="850" spans="1:3" x14ac:dyDescent="0.3">
      <c r="A850" s="4">
        <v>44987</v>
      </c>
      <c r="B850" s="5">
        <v>2.9110999999999998</v>
      </c>
      <c r="C850" s="5">
        <v>4.08</v>
      </c>
    </row>
    <row r="851" spans="1:3" x14ac:dyDescent="0.3">
      <c r="A851" s="4">
        <v>44988</v>
      </c>
      <c r="B851" s="5">
        <v>2.9026000000000001</v>
      </c>
      <c r="C851" s="5">
        <v>3.97</v>
      </c>
    </row>
    <row r="852" spans="1:3" x14ac:dyDescent="0.3">
      <c r="A852" s="4">
        <v>44991</v>
      </c>
      <c r="B852" s="5">
        <v>2.8826000000000001</v>
      </c>
      <c r="C852" s="5">
        <v>3.98</v>
      </c>
    </row>
    <row r="853" spans="1:3" x14ac:dyDescent="0.3">
      <c r="A853" s="4">
        <v>44992</v>
      </c>
      <c r="B853" s="5">
        <v>2.8725999999999998</v>
      </c>
      <c r="C853" s="5">
        <v>3.97</v>
      </c>
    </row>
    <row r="854" spans="1:3" x14ac:dyDescent="0.3">
      <c r="A854" s="4">
        <v>44993</v>
      </c>
      <c r="B854" s="5">
        <v>2.8828</v>
      </c>
      <c r="C854" s="5">
        <v>3.98</v>
      </c>
    </row>
    <row r="855" spans="1:3" x14ac:dyDescent="0.3">
      <c r="A855" s="4">
        <v>44994</v>
      </c>
      <c r="B855" s="5">
        <v>2.8752</v>
      </c>
      <c r="C855" s="5">
        <v>3.93</v>
      </c>
    </row>
    <row r="856" spans="1:3" x14ac:dyDescent="0.3">
      <c r="A856" s="4">
        <v>44995</v>
      </c>
      <c r="B856" s="5">
        <v>2.8626999999999998</v>
      </c>
      <c r="C856" s="5">
        <v>3.7</v>
      </c>
    </row>
    <row r="857" spans="1:3" x14ac:dyDescent="0.3">
      <c r="A857" s="4">
        <v>44998</v>
      </c>
      <c r="B857" s="5">
        <v>2.8702999999999999</v>
      </c>
      <c r="C857" s="5">
        <v>3.55</v>
      </c>
    </row>
    <row r="858" spans="1:3" x14ac:dyDescent="0.3">
      <c r="A858" s="4">
        <v>44999</v>
      </c>
      <c r="B858" s="5">
        <v>2.8652000000000002</v>
      </c>
      <c r="C858" s="5">
        <v>3.64</v>
      </c>
    </row>
    <row r="859" spans="1:3" x14ac:dyDescent="0.3">
      <c r="A859" s="4">
        <v>45000</v>
      </c>
      <c r="B859" s="5">
        <v>2.8652000000000002</v>
      </c>
      <c r="C859" s="5">
        <v>3.51</v>
      </c>
    </row>
    <row r="860" spans="1:3" x14ac:dyDescent="0.3">
      <c r="A860" s="4">
        <v>45001</v>
      </c>
      <c r="B860" s="5">
        <v>2.8552</v>
      </c>
      <c r="C860" s="5">
        <v>3.56</v>
      </c>
    </row>
    <row r="861" spans="1:3" x14ac:dyDescent="0.3">
      <c r="A861" s="4">
        <v>45002</v>
      </c>
      <c r="B861" s="5">
        <v>2.8601999999999999</v>
      </c>
      <c r="C861" s="5">
        <v>3.39</v>
      </c>
    </row>
    <row r="862" spans="1:3" x14ac:dyDescent="0.3">
      <c r="A862" s="4">
        <v>45005</v>
      </c>
      <c r="B862" s="5">
        <v>2.8504</v>
      </c>
      <c r="C862" s="5">
        <v>3.47</v>
      </c>
    </row>
    <row r="863" spans="1:3" x14ac:dyDescent="0.3">
      <c r="A863" s="4">
        <v>45006</v>
      </c>
      <c r="B863" s="5">
        <v>2.8603999999999998</v>
      </c>
      <c r="C863" s="5">
        <v>3.59</v>
      </c>
    </row>
    <row r="864" spans="1:3" x14ac:dyDescent="0.3">
      <c r="A864" s="4">
        <v>45007</v>
      </c>
      <c r="B864" s="5">
        <v>2.8576999999999999</v>
      </c>
      <c r="C864" s="5">
        <v>3.48</v>
      </c>
    </row>
    <row r="865" spans="1:3" x14ac:dyDescent="0.3">
      <c r="A865" s="4">
        <v>45008</v>
      </c>
      <c r="B865" s="5">
        <v>2.8652000000000002</v>
      </c>
      <c r="C865" s="5">
        <v>3.38</v>
      </c>
    </row>
    <row r="866" spans="1:3" x14ac:dyDescent="0.3">
      <c r="A866" s="4">
        <v>45009</v>
      </c>
      <c r="B866" s="5">
        <v>2.8675999999999999</v>
      </c>
      <c r="C866" s="5">
        <v>3.38</v>
      </c>
    </row>
    <row r="867" spans="1:3" x14ac:dyDescent="0.3">
      <c r="A867" s="4">
        <v>45012</v>
      </c>
      <c r="B867" s="5">
        <v>2.8551000000000002</v>
      </c>
      <c r="C867" s="5">
        <v>3.53</v>
      </c>
    </row>
    <row r="868" spans="1:3" x14ac:dyDescent="0.3">
      <c r="A868" s="4">
        <v>45013</v>
      </c>
      <c r="B868" s="5">
        <v>2.8555999999999999</v>
      </c>
      <c r="C868" s="5">
        <v>3.55</v>
      </c>
    </row>
    <row r="869" spans="1:3" x14ac:dyDescent="0.3">
      <c r="A869" s="4">
        <v>45014</v>
      </c>
      <c r="B869" s="5">
        <v>2.8532000000000002</v>
      </c>
      <c r="C869" s="5">
        <v>3.57</v>
      </c>
    </row>
    <row r="870" spans="1:3" x14ac:dyDescent="0.3">
      <c r="A870" s="4">
        <v>45015</v>
      </c>
      <c r="B870" s="5">
        <v>2.8603000000000001</v>
      </c>
      <c r="C870" s="5">
        <v>3.55</v>
      </c>
    </row>
    <row r="871" spans="1:3" x14ac:dyDescent="0.3">
      <c r="A871" s="4">
        <v>45016</v>
      </c>
      <c r="B871" s="5">
        <v>2.8527999999999998</v>
      </c>
      <c r="C871" s="5">
        <v>3.48</v>
      </c>
    </row>
    <row r="872" spans="1:3" x14ac:dyDescent="0.3">
      <c r="A872" s="4">
        <v>45019</v>
      </c>
      <c r="B872" s="5">
        <v>2.8603999999999998</v>
      </c>
      <c r="C872" s="5">
        <v>3.43</v>
      </c>
    </row>
    <row r="873" spans="1:3" x14ac:dyDescent="0.3">
      <c r="A873" s="4">
        <v>45020</v>
      </c>
      <c r="B873" s="5">
        <v>2.8584000000000001</v>
      </c>
      <c r="C873" s="5">
        <v>3.35</v>
      </c>
    </row>
    <row r="874" spans="1:3" x14ac:dyDescent="0.3">
      <c r="A874" s="4">
        <v>45021</v>
      </c>
      <c r="B874" s="5"/>
      <c r="C874" s="5">
        <v>3.3</v>
      </c>
    </row>
    <row r="875" spans="1:3" x14ac:dyDescent="0.3">
      <c r="A875" s="4">
        <v>45022</v>
      </c>
      <c r="B875" s="5">
        <v>2.8605</v>
      </c>
      <c r="C875" s="5">
        <v>3.3</v>
      </c>
    </row>
    <row r="876" spans="1:3" x14ac:dyDescent="0.3">
      <c r="A876" s="4">
        <v>45023</v>
      </c>
      <c r="B876" s="5">
        <v>2.8464</v>
      </c>
      <c r="C876" s="5">
        <v>3.39</v>
      </c>
    </row>
    <row r="877" spans="1:3" x14ac:dyDescent="0.3">
      <c r="A877" s="4">
        <v>45026</v>
      </c>
      <c r="B877" s="5">
        <v>2.8454999999999999</v>
      </c>
      <c r="C877" s="5">
        <v>3.41</v>
      </c>
    </row>
    <row r="878" spans="1:3" x14ac:dyDescent="0.3">
      <c r="A878" s="4">
        <v>45027</v>
      </c>
      <c r="B878" s="5">
        <v>2.8203</v>
      </c>
      <c r="C878" s="5">
        <v>3.43</v>
      </c>
    </row>
    <row r="879" spans="1:3" x14ac:dyDescent="0.3">
      <c r="A879" s="4">
        <v>45028</v>
      </c>
      <c r="B879" s="5">
        <v>2.8157999999999999</v>
      </c>
      <c r="C879" s="5">
        <v>3.41</v>
      </c>
    </row>
    <row r="880" spans="1:3" x14ac:dyDescent="0.3">
      <c r="A880" s="4">
        <v>45029</v>
      </c>
      <c r="B880" s="5">
        <v>2.8277000000000001</v>
      </c>
      <c r="C880" s="5">
        <v>3.45</v>
      </c>
    </row>
    <row r="881" spans="1:3" x14ac:dyDescent="0.3">
      <c r="A881" s="4">
        <v>45030</v>
      </c>
      <c r="B881" s="5">
        <v>2.8281000000000001</v>
      </c>
      <c r="C881" s="5">
        <v>3.52</v>
      </c>
    </row>
    <row r="882" spans="1:3" x14ac:dyDescent="0.3">
      <c r="A882" s="4">
        <v>45033</v>
      </c>
      <c r="B882" s="5">
        <v>2.8431999999999999</v>
      </c>
      <c r="C882" s="5">
        <v>3.6</v>
      </c>
    </row>
    <row r="883" spans="1:3" x14ac:dyDescent="0.3">
      <c r="A883" s="4">
        <v>45034</v>
      </c>
      <c r="B883" s="5">
        <v>2.8319000000000001</v>
      </c>
      <c r="C883" s="5">
        <v>3.58</v>
      </c>
    </row>
    <row r="884" spans="1:3" x14ac:dyDescent="0.3">
      <c r="A884" s="4">
        <v>45035</v>
      </c>
      <c r="B884" s="5">
        <v>2.8332999999999999</v>
      </c>
      <c r="C884" s="5">
        <v>3.6</v>
      </c>
    </row>
    <row r="885" spans="1:3" x14ac:dyDescent="0.3">
      <c r="A885" s="4">
        <v>45036</v>
      </c>
      <c r="B885" s="5">
        <v>2.8332000000000002</v>
      </c>
      <c r="C885" s="5">
        <v>3.54</v>
      </c>
    </row>
    <row r="886" spans="1:3" x14ac:dyDescent="0.3">
      <c r="A886" s="4">
        <v>45037</v>
      </c>
      <c r="B886" s="5">
        <v>2.8258000000000001</v>
      </c>
      <c r="C886" s="5">
        <v>3.57</v>
      </c>
    </row>
    <row r="887" spans="1:3" x14ac:dyDescent="0.3">
      <c r="A887" s="4">
        <v>45039</v>
      </c>
      <c r="B887" s="5">
        <v>2.8220000000000001</v>
      </c>
      <c r="C887" s="5"/>
    </row>
    <row r="888" spans="1:3" x14ac:dyDescent="0.3">
      <c r="A888" s="4">
        <v>45040</v>
      </c>
      <c r="B888" s="5">
        <v>2.8176000000000001</v>
      </c>
      <c r="C888" s="5">
        <v>3.52</v>
      </c>
    </row>
    <row r="889" spans="1:3" x14ac:dyDescent="0.3">
      <c r="A889" s="4">
        <v>45041</v>
      </c>
      <c r="B889" s="5">
        <v>2.8157000000000001</v>
      </c>
      <c r="C889" s="5">
        <v>3.4</v>
      </c>
    </row>
    <row r="890" spans="1:3" x14ac:dyDescent="0.3">
      <c r="A890" s="4">
        <v>45042</v>
      </c>
      <c r="B890" s="5">
        <v>2.8058000000000001</v>
      </c>
      <c r="C890" s="5">
        <v>3.43</v>
      </c>
    </row>
    <row r="891" spans="1:3" x14ac:dyDescent="0.3">
      <c r="A891" s="4">
        <v>45043</v>
      </c>
      <c r="B891" s="5">
        <v>2.7852000000000001</v>
      </c>
      <c r="C891" s="5">
        <v>3.53</v>
      </c>
    </row>
    <row r="892" spans="1:3" x14ac:dyDescent="0.3">
      <c r="A892" s="4">
        <v>45044</v>
      </c>
      <c r="B892" s="5">
        <v>2.7787999999999999</v>
      </c>
      <c r="C892" s="5">
        <v>3.44</v>
      </c>
    </row>
    <row r="893" spans="1:3" x14ac:dyDescent="0.3">
      <c r="A893" s="4">
        <v>45047</v>
      </c>
      <c r="B893" s="5"/>
      <c r="C893" s="5">
        <v>3.59</v>
      </c>
    </row>
    <row r="894" spans="1:3" x14ac:dyDescent="0.3">
      <c r="A894" s="4">
        <v>45048</v>
      </c>
      <c r="B894" s="5"/>
      <c r="C894" s="5">
        <v>3.44</v>
      </c>
    </row>
    <row r="895" spans="1:3" x14ac:dyDescent="0.3">
      <c r="A895" s="4">
        <v>45049</v>
      </c>
      <c r="B895" s="5"/>
      <c r="C895" s="5">
        <v>3.38</v>
      </c>
    </row>
    <row r="896" spans="1:3" x14ac:dyDescent="0.3">
      <c r="A896" s="4">
        <v>45050</v>
      </c>
      <c r="B896" s="5">
        <v>2.7612999999999999</v>
      </c>
      <c r="C896" s="5">
        <v>3.37</v>
      </c>
    </row>
    <row r="897" spans="1:3" x14ac:dyDescent="0.3">
      <c r="A897" s="4">
        <v>45051</v>
      </c>
      <c r="B897" s="5">
        <v>2.7338</v>
      </c>
      <c r="C897" s="5">
        <v>3.44</v>
      </c>
    </row>
    <row r="898" spans="1:3" x14ac:dyDescent="0.3">
      <c r="A898" s="4">
        <v>45052</v>
      </c>
      <c r="B898" s="5">
        <v>2.7311000000000001</v>
      </c>
      <c r="C898" s="5"/>
    </row>
    <row r="899" spans="1:3" x14ac:dyDescent="0.3">
      <c r="A899" s="4">
        <v>45054</v>
      </c>
      <c r="B899" s="5">
        <v>2.7484000000000002</v>
      </c>
      <c r="C899" s="5">
        <v>3.52</v>
      </c>
    </row>
    <row r="900" spans="1:3" x14ac:dyDescent="0.3">
      <c r="A900" s="4">
        <v>45055</v>
      </c>
      <c r="B900" s="5">
        <v>2.7383000000000002</v>
      </c>
      <c r="C900" s="5">
        <v>3.53</v>
      </c>
    </row>
    <row r="901" spans="1:3" x14ac:dyDescent="0.3">
      <c r="A901" s="4">
        <v>45056</v>
      </c>
      <c r="B901" s="5">
        <v>2.7210000000000001</v>
      </c>
      <c r="C901" s="5">
        <v>3.43</v>
      </c>
    </row>
    <row r="902" spans="1:3" x14ac:dyDescent="0.3">
      <c r="A902" s="4">
        <v>45057</v>
      </c>
      <c r="B902" s="5">
        <v>2.7010000000000001</v>
      </c>
      <c r="C902" s="5">
        <v>3.39</v>
      </c>
    </row>
    <row r="903" spans="1:3" x14ac:dyDescent="0.3">
      <c r="A903" s="4">
        <v>45058</v>
      </c>
      <c r="B903" s="5">
        <v>2.7058</v>
      </c>
      <c r="C903" s="5">
        <v>3.46</v>
      </c>
    </row>
    <row r="904" spans="1:3" x14ac:dyDescent="0.3">
      <c r="A904" s="4">
        <v>45061</v>
      </c>
      <c r="B904" s="5">
        <v>2.7189999999999999</v>
      </c>
      <c r="C904" s="5">
        <v>3.5</v>
      </c>
    </row>
    <row r="905" spans="1:3" x14ac:dyDescent="0.3">
      <c r="A905" s="4">
        <v>45062</v>
      </c>
      <c r="B905" s="5">
        <v>2.7128999999999999</v>
      </c>
      <c r="C905" s="5">
        <v>3.54</v>
      </c>
    </row>
    <row r="906" spans="1:3" x14ac:dyDescent="0.3">
      <c r="A906" s="4">
        <v>45063</v>
      </c>
      <c r="B906" s="5">
        <v>2.7210000000000001</v>
      </c>
      <c r="C906" s="5">
        <v>3.57</v>
      </c>
    </row>
    <row r="907" spans="1:3" x14ac:dyDescent="0.3">
      <c r="A907" s="4">
        <v>45064</v>
      </c>
      <c r="B907" s="5">
        <v>2.7183999999999999</v>
      </c>
      <c r="C907" s="5">
        <v>3.65</v>
      </c>
    </row>
    <row r="908" spans="1:3" x14ac:dyDescent="0.3">
      <c r="A908" s="4">
        <v>45065</v>
      </c>
      <c r="B908" s="5">
        <v>2.7151000000000001</v>
      </c>
      <c r="C908" s="5">
        <v>3.7</v>
      </c>
    </row>
    <row r="909" spans="1:3" x14ac:dyDescent="0.3">
      <c r="A909" s="4">
        <v>45068</v>
      </c>
      <c r="B909" s="5">
        <v>2.7132000000000001</v>
      </c>
      <c r="C909" s="5">
        <v>3.72</v>
      </c>
    </row>
    <row r="910" spans="1:3" x14ac:dyDescent="0.3">
      <c r="A910" s="4">
        <v>45069</v>
      </c>
      <c r="B910" s="5">
        <v>2.6962000000000002</v>
      </c>
      <c r="C910" s="5">
        <v>3.7</v>
      </c>
    </row>
    <row r="911" spans="1:3" x14ac:dyDescent="0.3">
      <c r="A911" s="4">
        <v>45070</v>
      </c>
      <c r="B911" s="5">
        <v>2.7037</v>
      </c>
      <c r="C911" s="5">
        <v>3.73</v>
      </c>
    </row>
    <row r="912" spans="1:3" x14ac:dyDescent="0.3">
      <c r="A912" s="4">
        <v>45071</v>
      </c>
      <c r="B912" s="5">
        <v>2.7065000000000001</v>
      </c>
      <c r="C912" s="5">
        <v>3.83</v>
      </c>
    </row>
    <row r="913" spans="1:3" x14ac:dyDescent="0.3">
      <c r="A913" s="4">
        <v>45072</v>
      </c>
      <c r="B913" s="5">
        <v>2.7204999999999999</v>
      </c>
      <c r="C913" s="5">
        <v>3.8</v>
      </c>
    </row>
    <row r="914" spans="1:3" x14ac:dyDescent="0.3">
      <c r="A914" s="4">
        <v>45075</v>
      </c>
      <c r="B914" s="5">
        <v>2.6949999999999998</v>
      </c>
      <c r="C914" s="5"/>
    </row>
    <row r="915" spans="1:3" x14ac:dyDescent="0.3">
      <c r="A915" s="4">
        <v>45076</v>
      </c>
      <c r="B915" s="5">
        <v>2.7</v>
      </c>
      <c r="C915" s="5">
        <v>3.69</v>
      </c>
    </row>
    <row r="916" spans="1:3" x14ac:dyDescent="0.3">
      <c r="A916" s="4">
        <v>45077</v>
      </c>
      <c r="B916" s="5">
        <v>2.6850000000000001</v>
      </c>
      <c r="C916" s="5">
        <v>3.64</v>
      </c>
    </row>
    <row r="917" spans="1:3" x14ac:dyDescent="0.3">
      <c r="A917" s="4">
        <v>45078</v>
      </c>
      <c r="B917" s="5">
        <v>2.6825000000000001</v>
      </c>
      <c r="C917" s="5">
        <v>3.61</v>
      </c>
    </row>
    <row r="918" spans="1:3" x14ac:dyDescent="0.3">
      <c r="A918" s="4">
        <v>45079</v>
      </c>
      <c r="B918" s="5">
        <v>2.6951000000000001</v>
      </c>
      <c r="C918" s="5">
        <v>3.69</v>
      </c>
    </row>
    <row r="919" spans="1:3" x14ac:dyDescent="0.3">
      <c r="A919" s="4">
        <v>45082</v>
      </c>
      <c r="B919" s="5">
        <v>2.6926000000000001</v>
      </c>
      <c r="C919" s="5">
        <v>3.69</v>
      </c>
    </row>
    <row r="920" spans="1:3" x14ac:dyDescent="0.3">
      <c r="A920" s="4">
        <v>45083</v>
      </c>
      <c r="B920" s="5">
        <v>2.6825999999999999</v>
      </c>
      <c r="C920" s="5">
        <v>3.7</v>
      </c>
    </row>
    <row r="921" spans="1:3" x14ac:dyDescent="0.3">
      <c r="A921" s="4">
        <v>45084</v>
      </c>
      <c r="B921" s="5">
        <v>2.6827000000000001</v>
      </c>
      <c r="C921" s="5">
        <v>3.79</v>
      </c>
    </row>
    <row r="922" spans="1:3" x14ac:dyDescent="0.3">
      <c r="A922" s="4">
        <v>45085</v>
      </c>
      <c r="B922" s="5">
        <v>2.6821999999999999</v>
      </c>
      <c r="C922" s="5">
        <v>3.73</v>
      </c>
    </row>
    <row r="923" spans="1:3" x14ac:dyDescent="0.3">
      <c r="A923" s="4">
        <v>45086</v>
      </c>
      <c r="B923" s="5">
        <v>2.6703000000000001</v>
      </c>
      <c r="C923" s="5">
        <v>3.75</v>
      </c>
    </row>
    <row r="924" spans="1:3" x14ac:dyDescent="0.3">
      <c r="A924" s="4">
        <v>45089</v>
      </c>
      <c r="B924" s="5">
        <v>2.6703999999999999</v>
      </c>
      <c r="C924" s="5">
        <v>3.73</v>
      </c>
    </row>
    <row r="925" spans="1:3" x14ac:dyDescent="0.3">
      <c r="A925" s="4">
        <v>45090</v>
      </c>
      <c r="B925" s="5">
        <v>2.6227</v>
      </c>
      <c r="C925" s="5">
        <v>3.84</v>
      </c>
    </row>
    <row r="926" spans="1:3" x14ac:dyDescent="0.3">
      <c r="A926" s="4">
        <v>45091</v>
      </c>
      <c r="B926" s="5">
        <v>2.6177999999999999</v>
      </c>
      <c r="C926" s="5">
        <v>3.83</v>
      </c>
    </row>
    <row r="927" spans="1:3" x14ac:dyDescent="0.3">
      <c r="A927" s="4">
        <v>45092</v>
      </c>
      <c r="B927" s="5">
        <v>2.6482000000000001</v>
      </c>
      <c r="C927" s="5">
        <v>3.72</v>
      </c>
    </row>
    <row r="928" spans="1:3" x14ac:dyDescent="0.3">
      <c r="A928" s="4">
        <v>45093</v>
      </c>
      <c r="B928" s="5">
        <v>2.6625999999999999</v>
      </c>
      <c r="C928" s="5">
        <v>3.77</v>
      </c>
    </row>
    <row r="929" spans="1:3" x14ac:dyDescent="0.3">
      <c r="A929" s="4">
        <v>45096</v>
      </c>
      <c r="B929" s="5">
        <v>2.6876000000000002</v>
      </c>
      <c r="C929" s="5"/>
    </row>
    <row r="930" spans="1:3" x14ac:dyDescent="0.3">
      <c r="A930" s="4">
        <v>45097</v>
      </c>
      <c r="B930" s="5">
        <v>2.6751</v>
      </c>
      <c r="C930" s="5">
        <v>3.74</v>
      </c>
    </row>
    <row r="931" spans="1:3" x14ac:dyDescent="0.3">
      <c r="A931" s="4">
        <v>45098</v>
      </c>
      <c r="B931" s="5">
        <v>2.6701000000000001</v>
      </c>
      <c r="C931" s="5">
        <v>3.72</v>
      </c>
    </row>
    <row r="932" spans="1:3" x14ac:dyDescent="0.3">
      <c r="A932" s="4">
        <v>45099</v>
      </c>
      <c r="B932" s="5"/>
      <c r="C932" s="5">
        <v>3.8</v>
      </c>
    </row>
    <row r="933" spans="1:3" x14ac:dyDescent="0.3">
      <c r="A933" s="4">
        <v>45100</v>
      </c>
      <c r="B933" s="5"/>
      <c r="C933" s="5">
        <v>3.74</v>
      </c>
    </row>
    <row r="934" spans="1:3" x14ac:dyDescent="0.3">
      <c r="A934" s="4">
        <v>45102</v>
      </c>
      <c r="B934" s="5">
        <v>2.6576</v>
      </c>
      <c r="C934" s="5"/>
    </row>
    <row r="935" spans="1:3" x14ac:dyDescent="0.3">
      <c r="A935" s="4">
        <v>45103</v>
      </c>
      <c r="B935" s="5">
        <v>2.6677</v>
      </c>
      <c r="C935" s="5">
        <v>3.72</v>
      </c>
    </row>
    <row r="936" spans="1:3" x14ac:dyDescent="0.3">
      <c r="A936" s="4">
        <v>45104</v>
      </c>
      <c r="B936" s="5">
        <v>2.6676000000000002</v>
      </c>
      <c r="C936" s="5">
        <v>3.77</v>
      </c>
    </row>
    <row r="937" spans="1:3" x14ac:dyDescent="0.3">
      <c r="A937" s="4">
        <v>45105</v>
      </c>
      <c r="B937" s="5">
        <v>2.6650999999999998</v>
      </c>
      <c r="C937" s="5">
        <v>3.71</v>
      </c>
    </row>
    <row r="938" spans="1:3" x14ac:dyDescent="0.3">
      <c r="A938" s="4">
        <v>45106</v>
      </c>
      <c r="B938" s="5">
        <v>2.6526000000000001</v>
      </c>
      <c r="C938" s="5">
        <v>3.85</v>
      </c>
    </row>
    <row r="939" spans="1:3" x14ac:dyDescent="0.3">
      <c r="A939" s="4">
        <v>45107</v>
      </c>
      <c r="B939" s="5">
        <v>2.6351</v>
      </c>
      <c r="C939" s="5">
        <v>3.81</v>
      </c>
    </row>
    <row r="940" spans="1:3" x14ac:dyDescent="0.3">
      <c r="A940" s="4">
        <v>45110</v>
      </c>
      <c r="B940" s="5">
        <v>2.6402000000000001</v>
      </c>
      <c r="C940" s="5">
        <v>3.86</v>
      </c>
    </row>
    <row r="941" spans="1:3" x14ac:dyDescent="0.3">
      <c r="A941" s="4">
        <v>45111</v>
      </c>
      <c r="B941" s="5">
        <v>2.6476999999999999</v>
      </c>
      <c r="C941" s="5"/>
    </row>
    <row r="942" spans="1:3" x14ac:dyDescent="0.3">
      <c r="A942" s="4">
        <v>45112</v>
      </c>
      <c r="B942" s="5">
        <v>2.6402000000000001</v>
      </c>
      <c r="C942" s="5">
        <v>3.95</v>
      </c>
    </row>
    <row r="943" spans="1:3" x14ac:dyDescent="0.3">
      <c r="A943" s="4">
        <v>45113</v>
      </c>
      <c r="B943" s="5">
        <v>2.6392000000000002</v>
      </c>
      <c r="C943" s="5">
        <v>4.05</v>
      </c>
    </row>
    <row r="944" spans="1:3" x14ac:dyDescent="0.3">
      <c r="A944" s="4">
        <v>45114</v>
      </c>
      <c r="B944" s="5">
        <v>2.6402999999999999</v>
      </c>
      <c r="C944" s="5">
        <v>4.0599999999999996</v>
      </c>
    </row>
    <row r="945" spans="1:3" x14ac:dyDescent="0.3">
      <c r="A945" s="4">
        <v>45117</v>
      </c>
      <c r="B945" s="5">
        <v>2.6402999999999999</v>
      </c>
      <c r="C945" s="5">
        <v>4.01</v>
      </c>
    </row>
    <row r="946" spans="1:3" x14ac:dyDescent="0.3">
      <c r="A946" s="4">
        <v>45118</v>
      </c>
      <c r="B946" s="5">
        <v>2.6353</v>
      </c>
      <c r="C946" s="5">
        <v>3.99</v>
      </c>
    </row>
    <row r="947" spans="1:3" x14ac:dyDescent="0.3">
      <c r="A947" s="4">
        <v>45119</v>
      </c>
      <c r="B947" s="5">
        <v>2.6377999999999999</v>
      </c>
      <c r="C947" s="5">
        <v>3.86</v>
      </c>
    </row>
    <row r="948" spans="1:3" x14ac:dyDescent="0.3">
      <c r="A948" s="4">
        <v>45120</v>
      </c>
      <c r="B948" s="5">
        <v>2.6413000000000002</v>
      </c>
      <c r="C948" s="5">
        <v>3.76</v>
      </c>
    </row>
    <row r="949" spans="1:3" x14ac:dyDescent="0.3">
      <c r="A949" s="4">
        <v>45121</v>
      </c>
      <c r="B949" s="5">
        <v>2.6444000000000001</v>
      </c>
      <c r="C949" s="5">
        <v>3.83</v>
      </c>
    </row>
    <row r="950" spans="1:3" x14ac:dyDescent="0.3">
      <c r="A950" s="4">
        <v>45124</v>
      </c>
      <c r="B950" s="5">
        <v>2.6364000000000001</v>
      </c>
      <c r="C950" s="5">
        <v>3.81</v>
      </c>
    </row>
    <row r="951" spans="1:3" x14ac:dyDescent="0.3">
      <c r="A951" s="4">
        <v>45125</v>
      </c>
      <c r="B951" s="5">
        <v>2.6234000000000002</v>
      </c>
      <c r="C951" s="5">
        <v>3.8</v>
      </c>
    </row>
    <row r="952" spans="1:3" x14ac:dyDescent="0.3">
      <c r="A952" s="4">
        <v>45126</v>
      </c>
      <c r="B952" s="5">
        <v>2.6233</v>
      </c>
      <c r="C952" s="5">
        <v>3.75</v>
      </c>
    </row>
    <row r="953" spans="1:3" x14ac:dyDescent="0.3">
      <c r="A953" s="4">
        <v>45127</v>
      </c>
      <c r="B953" s="5">
        <v>2.6214</v>
      </c>
      <c r="C953" s="5">
        <v>3.85</v>
      </c>
    </row>
    <row r="954" spans="1:3" x14ac:dyDescent="0.3">
      <c r="A954" s="4">
        <v>45128</v>
      </c>
      <c r="B954" s="5">
        <v>2.6078999999999999</v>
      </c>
      <c r="C954" s="5">
        <v>3.84</v>
      </c>
    </row>
    <row r="955" spans="1:3" x14ac:dyDescent="0.3">
      <c r="A955" s="4">
        <v>45131</v>
      </c>
      <c r="B955" s="5">
        <v>2.5933999999999999</v>
      </c>
      <c r="C955" s="5">
        <v>3.86</v>
      </c>
    </row>
    <row r="956" spans="1:3" x14ac:dyDescent="0.3">
      <c r="A956" s="4">
        <v>45132</v>
      </c>
      <c r="B956" s="5">
        <v>2.6629999999999998</v>
      </c>
      <c r="C956" s="5">
        <v>3.91</v>
      </c>
    </row>
    <row r="957" spans="1:3" x14ac:dyDescent="0.3">
      <c r="A957" s="4">
        <v>45133</v>
      </c>
      <c r="B957" s="5">
        <v>2.6429999999999998</v>
      </c>
      <c r="C957" s="5">
        <v>3.86</v>
      </c>
    </row>
    <row r="958" spans="1:3" x14ac:dyDescent="0.3">
      <c r="A958" s="4">
        <v>45134</v>
      </c>
      <c r="B958" s="5">
        <v>2.6395</v>
      </c>
      <c r="C958" s="5">
        <v>4.01</v>
      </c>
    </row>
    <row r="959" spans="1:3" x14ac:dyDescent="0.3">
      <c r="A959" s="4">
        <v>45135</v>
      </c>
      <c r="B959" s="5">
        <v>2.6533000000000002</v>
      </c>
      <c r="C959" s="5">
        <v>3.96</v>
      </c>
    </row>
    <row r="960" spans="1:3" x14ac:dyDescent="0.3">
      <c r="A960" s="4">
        <v>45138</v>
      </c>
      <c r="B960" s="5">
        <v>2.6597</v>
      </c>
      <c r="C960" s="5">
        <v>3.97</v>
      </c>
    </row>
    <row r="961" spans="1:3" x14ac:dyDescent="0.3">
      <c r="A961" s="4">
        <v>45139</v>
      </c>
      <c r="B961" s="5">
        <v>2.6606999999999998</v>
      </c>
      <c r="C961" s="5">
        <v>4.05</v>
      </c>
    </row>
    <row r="962" spans="1:3" x14ac:dyDescent="0.3">
      <c r="A962" s="4">
        <v>45140</v>
      </c>
      <c r="B962" s="5">
        <v>2.6524999999999999</v>
      </c>
      <c r="C962" s="5">
        <v>4.08</v>
      </c>
    </row>
    <row r="963" spans="1:3" x14ac:dyDescent="0.3">
      <c r="A963" s="4">
        <v>45141</v>
      </c>
      <c r="B963" s="5">
        <v>2.6435</v>
      </c>
      <c r="C963" s="5">
        <v>4.2</v>
      </c>
    </row>
    <row r="964" spans="1:3" x14ac:dyDescent="0.3">
      <c r="A964" s="4">
        <v>45142</v>
      </c>
      <c r="B964" s="5">
        <v>2.6469</v>
      </c>
      <c r="C964" s="5">
        <v>4.05</v>
      </c>
    </row>
    <row r="965" spans="1:3" x14ac:dyDescent="0.3">
      <c r="A965" s="4">
        <v>45145</v>
      </c>
      <c r="B965" s="5">
        <v>2.6461999999999999</v>
      </c>
      <c r="C965" s="5">
        <v>4.09</v>
      </c>
    </row>
    <row r="966" spans="1:3" x14ac:dyDescent="0.3">
      <c r="A966" s="4">
        <v>45146</v>
      </c>
      <c r="B966" s="5">
        <v>2.6454</v>
      </c>
      <c r="C966" s="5">
        <v>4.0199999999999996</v>
      </c>
    </row>
    <row r="967" spans="1:3" x14ac:dyDescent="0.3">
      <c r="A967" s="4">
        <v>45147</v>
      </c>
      <c r="B967" s="5">
        <v>2.6461000000000001</v>
      </c>
      <c r="C967" s="5">
        <v>4</v>
      </c>
    </row>
    <row r="968" spans="1:3" x14ac:dyDescent="0.3">
      <c r="A968" s="4">
        <v>45148</v>
      </c>
      <c r="B968" s="5">
        <v>2.6475</v>
      </c>
      <c r="C968" s="5">
        <v>4.09</v>
      </c>
    </row>
    <row r="969" spans="1:3" x14ac:dyDescent="0.3">
      <c r="A969" s="4">
        <v>45149</v>
      </c>
      <c r="B969" s="5">
        <v>2.6381000000000001</v>
      </c>
      <c r="C969" s="5">
        <v>4.16</v>
      </c>
    </row>
    <row r="970" spans="1:3" x14ac:dyDescent="0.3">
      <c r="A970" s="4">
        <v>45152</v>
      </c>
      <c r="B970" s="5">
        <v>2.6212</v>
      </c>
      <c r="C970" s="5">
        <v>4.1900000000000004</v>
      </c>
    </row>
    <row r="971" spans="1:3" x14ac:dyDescent="0.3">
      <c r="A971" s="4">
        <v>45153</v>
      </c>
      <c r="B971" s="5">
        <v>2.5758999999999999</v>
      </c>
      <c r="C971" s="5">
        <v>4.21</v>
      </c>
    </row>
    <row r="972" spans="1:3" x14ac:dyDescent="0.3">
      <c r="A972" s="4">
        <v>45154</v>
      </c>
      <c r="B972" s="5">
        <v>2.5649000000000002</v>
      </c>
      <c r="C972" s="5">
        <v>4.28</v>
      </c>
    </row>
    <row r="973" spans="1:3" x14ac:dyDescent="0.3">
      <c r="A973" s="4">
        <v>45155</v>
      </c>
      <c r="B973" s="5">
        <v>2.5678000000000001</v>
      </c>
      <c r="C973" s="5">
        <v>4.3</v>
      </c>
    </row>
    <row r="974" spans="1:3" x14ac:dyDescent="0.3">
      <c r="A974" s="4">
        <v>45156</v>
      </c>
      <c r="B974" s="5">
        <v>2.5638999999999998</v>
      </c>
      <c r="C974" s="5">
        <v>4.26</v>
      </c>
    </row>
    <row r="975" spans="1:3" x14ac:dyDescent="0.3">
      <c r="A975" s="4">
        <v>45159</v>
      </c>
      <c r="B975" s="5">
        <v>2.5402999999999998</v>
      </c>
      <c r="C975" s="5">
        <v>4.34</v>
      </c>
    </row>
    <row r="976" spans="1:3" x14ac:dyDescent="0.3">
      <c r="A976" s="4">
        <v>45160</v>
      </c>
      <c r="B976" s="5">
        <v>2.5564</v>
      </c>
      <c r="C976" s="5">
        <v>4.34</v>
      </c>
    </row>
    <row r="977" spans="1:3" x14ac:dyDescent="0.3">
      <c r="A977" s="4">
        <v>45161</v>
      </c>
      <c r="B977" s="5">
        <v>2.5535000000000001</v>
      </c>
      <c r="C977" s="5">
        <v>4.1900000000000004</v>
      </c>
    </row>
    <row r="978" spans="1:3" x14ac:dyDescent="0.3">
      <c r="A978" s="4">
        <v>45162</v>
      </c>
      <c r="B978" s="5">
        <v>2.5543</v>
      </c>
      <c r="C978" s="5">
        <v>4.2300000000000004</v>
      </c>
    </row>
    <row r="979" spans="1:3" x14ac:dyDescent="0.3">
      <c r="A979" s="4">
        <v>45163</v>
      </c>
      <c r="B979" s="5">
        <v>2.5701999999999998</v>
      </c>
      <c r="C979" s="5">
        <v>4.25</v>
      </c>
    </row>
    <row r="980" spans="1:3" x14ac:dyDescent="0.3">
      <c r="A980" s="4">
        <v>45166</v>
      </c>
      <c r="B980" s="5">
        <v>2.5836999999999999</v>
      </c>
      <c r="C980" s="5">
        <v>4.2</v>
      </c>
    </row>
    <row r="981" spans="1:3" x14ac:dyDescent="0.3">
      <c r="A981" s="4">
        <v>45167</v>
      </c>
      <c r="B981" s="5">
        <v>2.57</v>
      </c>
      <c r="C981" s="5">
        <v>4.12</v>
      </c>
    </row>
    <row r="982" spans="1:3" x14ac:dyDescent="0.3">
      <c r="A982" s="4">
        <v>45168</v>
      </c>
      <c r="B982" s="5">
        <v>2.56</v>
      </c>
      <c r="C982" s="5">
        <v>4.12</v>
      </c>
    </row>
    <row r="983" spans="1:3" x14ac:dyDescent="0.3">
      <c r="A983" s="4">
        <v>45169</v>
      </c>
      <c r="B983" s="5">
        <v>2.5575000000000001</v>
      </c>
      <c r="C983" s="5">
        <v>4.09</v>
      </c>
    </row>
    <row r="984" spans="1:3" x14ac:dyDescent="0.3">
      <c r="A984" s="4">
        <v>45170</v>
      </c>
      <c r="B984" s="5">
        <v>2.585</v>
      </c>
      <c r="C984" s="5">
        <v>4.18</v>
      </c>
    </row>
    <row r="985" spans="1:3" x14ac:dyDescent="0.3">
      <c r="A985" s="4">
        <v>45173</v>
      </c>
      <c r="B985" s="5">
        <v>2.6124000000000001</v>
      </c>
      <c r="C985" s="5"/>
    </row>
    <row r="986" spans="1:3" x14ac:dyDescent="0.3">
      <c r="A986" s="4">
        <v>45174</v>
      </c>
      <c r="B986" s="5">
        <v>2.6150000000000002</v>
      </c>
      <c r="C986" s="5">
        <v>4.2699999999999996</v>
      </c>
    </row>
    <row r="987" spans="1:3" x14ac:dyDescent="0.3">
      <c r="A987" s="4">
        <v>45175</v>
      </c>
      <c r="B987" s="5">
        <v>2.6375000000000002</v>
      </c>
      <c r="C987" s="5">
        <v>4.3</v>
      </c>
    </row>
    <row r="988" spans="1:3" x14ac:dyDescent="0.3">
      <c r="A988" s="4">
        <v>45176</v>
      </c>
      <c r="B988" s="5">
        <v>2.6349999999999998</v>
      </c>
      <c r="C988" s="5">
        <v>4.2699999999999996</v>
      </c>
    </row>
    <row r="989" spans="1:3" x14ac:dyDescent="0.3">
      <c r="A989" s="4">
        <v>45177</v>
      </c>
      <c r="B989" s="5">
        <v>2.6375000000000002</v>
      </c>
      <c r="C989" s="5">
        <v>4.26</v>
      </c>
    </row>
    <row r="990" spans="1:3" x14ac:dyDescent="0.3">
      <c r="A990" s="4">
        <v>45180</v>
      </c>
      <c r="B990" s="5">
        <v>2.63</v>
      </c>
      <c r="C990" s="5">
        <v>4.29</v>
      </c>
    </row>
    <row r="991" spans="1:3" x14ac:dyDescent="0.3">
      <c r="A991" s="4">
        <v>45181</v>
      </c>
      <c r="B991" s="5">
        <v>2.6230000000000002</v>
      </c>
      <c r="C991" s="5">
        <v>4.2699999999999996</v>
      </c>
    </row>
    <row r="992" spans="1:3" x14ac:dyDescent="0.3">
      <c r="A992" s="4">
        <v>45182</v>
      </c>
      <c r="B992" s="5">
        <v>2.6150000000000002</v>
      </c>
      <c r="C992" s="5">
        <v>4.25</v>
      </c>
    </row>
    <row r="993" spans="1:3" x14ac:dyDescent="0.3">
      <c r="A993" s="4">
        <v>45183</v>
      </c>
      <c r="B993" s="5">
        <v>2.6074999999999999</v>
      </c>
      <c r="C993" s="5">
        <v>4.29</v>
      </c>
    </row>
    <row r="994" spans="1:3" x14ac:dyDescent="0.3">
      <c r="A994" s="4">
        <v>45184</v>
      </c>
      <c r="B994" s="5">
        <v>2.64</v>
      </c>
      <c r="C994" s="5">
        <v>4.33</v>
      </c>
    </row>
    <row r="995" spans="1:3" x14ac:dyDescent="0.3">
      <c r="A995" s="4">
        <v>45187</v>
      </c>
      <c r="B995" s="5">
        <v>2.65</v>
      </c>
      <c r="C995" s="5">
        <v>4.32</v>
      </c>
    </row>
    <row r="996" spans="1:3" x14ac:dyDescent="0.3">
      <c r="A996" s="4">
        <v>45188</v>
      </c>
      <c r="B996" s="5">
        <v>2.6625000000000001</v>
      </c>
      <c r="C996" s="5">
        <v>4.37</v>
      </c>
    </row>
    <row r="997" spans="1:3" x14ac:dyDescent="0.3">
      <c r="A997" s="4">
        <v>45189</v>
      </c>
      <c r="B997" s="5">
        <v>2.665</v>
      </c>
      <c r="C997" s="5">
        <v>4.3499999999999996</v>
      </c>
    </row>
    <row r="998" spans="1:3" x14ac:dyDescent="0.3">
      <c r="A998" s="4">
        <v>45190</v>
      </c>
      <c r="B998" s="5">
        <v>2.6576</v>
      </c>
      <c r="C998" s="5">
        <v>4.49</v>
      </c>
    </row>
    <row r="999" spans="1:3" x14ac:dyDescent="0.3">
      <c r="A999" s="4">
        <v>45191</v>
      </c>
      <c r="B999" s="5">
        <v>2.6776</v>
      </c>
      <c r="C999" s="5">
        <v>4.4400000000000004</v>
      </c>
    </row>
    <row r="1000" spans="1:3" x14ac:dyDescent="0.3">
      <c r="A1000" s="4">
        <v>45194</v>
      </c>
      <c r="B1000" s="5">
        <v>2.6976</v>
      </c>
      <c r="C1000" s="5">
        <v>4.55</v>
      </c>
    </row>
    <row r="1001" spans="1:3" x14ac:dyDescent="0.3">
      <c r="A1001" s="4">
        <v>45195</v>
      </c>
      <c r="B1001" s="5">
        <v>2.6951000000000001</v>
      </c>
      <c r="C1001" s="5">
        <v>4.5599999999999996</v>
      </c>
    </row>
    <row r="1002" spans="1:3" x14ac:dyDescent="0.3">
      <c r="A1002" s="4">
        <v>45196</v>
      </c>
      <c r="B1002" s="5">
        <v>2.6877</v>
      </c>
      <c r="C1002" s="5">
        <v>4.6100000000000003</v>
      </c>
    </row>
    <row r="1003" spans="1:3" x14ac:dyDescent="0.3">
      <c r="A1003" s="4">
        <v>45197</v>
      </c>
      <c r="B1003" s="5">
        <v>2.6751</v>
      </c>
      <c r="C1003" s="5">
        <v>4.59</v>
      </c>
    </row>
    <row r="1004" spans="1:3" x14ac:dyDescent="0.3">
      <c r="A1004" s="4">
        <v>45198</v>
      </c>
      <c r="B1004" s="5"/>
      <c r="C1004" s="5">
        <v>4.59</v>
      </c>
    </row>
    <row r="1005" spans="1:3" x14ac:dyDescent="0.3">
      <c r="A1005" s="4">
        <v>45201</v>
      </c>
      <c r="B1005" s="5"/>
      <c r="C1005" s="5">
        <v>4.6900000000000004</v>
      </c>
    </row>
    <row r="1006" spans="1:3" x14ac:dyDescent="0.3">
      <c r="A1006" s="4">
        <v>45202</v>
      </c>
      <c r="B1006" s="5"/>
      <c r="C1006" s="5">
        <v>4.8099999999999996</v>
      </c>
    </row>
    <row r="1007" spans="1:3" x14ac:dyDescent="0.3">
      <c r="A1007" s="4">
        <v>45203</v>
      </c>
      <c r="B1007" s="5"/>
      <c r="C1007" s="5">
        <v>4.7300000000000004</v>
      </c>
    </row>
    <row r="1008" spans="1:3" x14ac:dyDescent="0.3">
      <c r="A1008" s="4">
        <v>45204</v>
      </c>
      <c r="B1008" s="5"/>
      <c r="C1008" s="5">
        <v>4.72</v>
      </c>
    </row>
    <row r="1009" spans="1:3" x14ac:dyDescent="0.3">
      <c r="A1009" s="4">
        <v>45205</v>
      </c>
      <c r="B1009" s="5"/>
      <c r="C1009" s="5">
        <v>4.78</v>
      </c>
    </row>
    <row r="1010" spans="1:3" x14ac:dyDescent="0.3">
      <c r="A1010" s="4">
        <v>45206</v>
      </c>
      <c r="B1010" s="5">
        <v>2.6650999999999998</v>
      </c>
      <c r="C1010" s="5"/>
    </row>
    <row r="1011" spans="1:3" x14ac:dyDescent="0.3">
      <c r="A1011" s="4">
        <v>45207</v>
      </c>
      <c r="B1011" s="5">
        <v>2.6625999999999999</v>
      </c>
      <c r="C1011" s="5"/>
    </row>
    <row r="1012" spans="1:3" x14ac:dyDescent="0.3">
      <c r="A1012" s="4">
        <v>45208</v>
      </c>
      <c r="B1012" s="5">
        <v>2.6701999999999999</v>
      </c>
      <c r="C1012" s="5"/>
    </row>
    <row r="1013" spans="1:3" x14ac:dyDescent="0.3">
      <c r="A1013" s="4">
        <v>45209</v>
      </c>
      <c r="B1013" s="5">
        <v>2.6810999999999998</v>
      </c>
      <c r="C1013" s="5">
        <v>4.66</v>
      </c>
    </row>
    <row r="1014" spans="1:3" x14ac:dyDescent="0.3">
      <c r="A1014" s="4">
        <v>45210</v>
      </c>
      <c r="B1014" s="5">
        <v>2.6976</v>
      </c>
      <c r="C1014" s="5">
        <v>4.58</v>
      </c>
    </row>
    <row r="1015" spans="1:3" x14ac:dyDescent="0.3">
      <c r="A1015" s="4">
        <v>45211</v>
      </c>
      <c r="B1015" s="5">
        <v>2.6911</v>
      </c>
      <c r="C1015" s="5">
        <v>4.7</v>
      </c>
    </row>
    <row r="1016" spans="1:3" x14ac:dyDescent="0.3">
      <c r="A1016" s="4">
        <v>45212</v>
      </c>
      <c r="B1016" s="5">
        <v>2.6701999999999999</v>
      </c>
      <c r="C1016" s="5">
        <v>4.63</v>
      </c>
    </row>
    <row r="1017" spans="1:3" x14ac:dyDescent="0.3">
      <c r="A1017" s="4">
        <v>45215</v>
      </c>
      <c r="B1017" s="5">
        <v>2.6777000000000002</v>
      </c>
      <c r="C1017" s="5">
        <v>4.71</v>
      </c>
    </row>
    <row r="1018" spans="1:3" x14ac:dyDescent="0.3">
      <c r="A1018" s="4">
        <v>45216</v>
      </c>
      <c r="B1018" s="5">
        <v>2.6882000000000001</v>
      </c>
      <c r="C1018" s="5">
        <v>4.83</v>
      </c>
    </row>
    <row r="1019" spans="1:3" x14ac:dyDescent="0.3">
      <c r="A1019" s="4">
        <v>45217</v>
      </c>
      <c r="B1019" s="5">
        <v>2.7052</v>
      </c>
      <c r="C1019" s="5">
        <v>4.91</v>
      </c>
    </row>
    <row r="1020" spans="1:3" x14ac:dyDescent="0.3">
      <c r="A1020" s="4">
        <v>45218</v>
      </c>
      <c r="B1020" s="5">
        <v>2.7176999999999998</v>
      </c>
      <c r="C1020" s="5">
        <v>4.9800000000000004</v>
      </c>
    </row>
    <row r="1021" spans="1:3" x14ac:dyDescent="0.3">
      <c r="A1021" s="4">
        <v>45219</v>
      </c>
      <c r="B1021" s="5">
        <v>2.7052</v>
      </c>
      <c r="C1021" s="5">
        <v>4.93</v>
      </c>
    </row>
    <row r="1022" spans="1:3" x14ac:dyDescent="0.3">
      <c r="A1022" s="4">
        <v>45222</v>
      </c>
      <c r="B1022" s="5">
        <v>2.7046999999999999</v>
      </c>
      <c r="C1022" s="5">
        <v>4.8600000000000003</v>
      </c>
    </row>
    <row r="1023" spans="1:3" x14ac:dyDescent="0.3">
      <c r="A1023" s="4">
        <v>45223</v>
      </c>
      <c r="B1023" s="5">
        <v>2.7176999999999998</v>
      </c>
      <c r="C1023" s="5">
        <v>4.83</v>
      </c>
    </row>
    <row r="1024" spans="1:3" x14ac:dyDescent="0.3">
      <c r="A1024" s="4">
        <v>45224</v>
      </c>
      <c r="B1024" s="5">
        <v>2.7052</v>
      </c>
      <c r="C1024" s="5">
        <v>4.95</v>
      </c>
    </row>
    <row r="1025" spans="1:3" x14ac:dyDescent="0.3">
      <c r="A1025" s="4">
        <v>45225</v>
      </c>
      <c r="B1025" s="5">
        <v>2.7151999999999998</v>
      </c>
      <c r="C1025" s="5">
        <v>4.8600000000000003</v>
      </c>
    </row>
    <row r="1026" spans="1:3" x14ac:dyDescent="0.3">
      <c r="A1026" s="4">
        <v>45226</v>
      </c>
      <c r="B1026" s="5">
        <v>2.7132999999999998</v>
      </c>
      <c r="C1026" s="5">
        <v>4.84</v>
      </c>
    </row>
    <row r="1027" spans="1:3" x14ac:dyDescent="0.3">
      <c r="A1027" s="4">
        <v>45229</v>
      </c>
      <c r="B1027" s="5">
        <v>2.7141000000000002</v>
      </c>
      <c r="C1027" s="5">
        <v>4.88</v>
      </c>
    </row>
    <row r="1028" spans="1:3" x14ac:dyDescent="0.3">
      <c r="A1028" s="4">
        <v>45230</v>
      </c>
      <c r="B1028" s="5">
        <v>2.6938</v>
      </c>
      <c r="C1028" s="5">
        <v>4.88</v>
      </c>
    </row>
    <row r="1029" spans="1:3" x14ac:dyDescent="0.3">
      <c r="A1029" s="4">
        <v>45231</v>
      </c>
      <c r="B1029" s="5">
        <v>2.6852999999999998</v>
      </c>
      <c r="C1029" s="5">
        <v>4.7699999999999996</v>
      </c>
    </row>
    <row r="1030" spans="1:3" x14ac:dyDescent="0.3">
      <c r="A1030" s="4">
        <v>45232</v>
      </c>
      <c r="B1030" s="5">
        <v>2.6553</v>
      </c>
      <c r="C1030" s="5">
        <v>4.67</v>
      </c>
    </row>
    <row r="1031" spans="1:3" x14ac:dyDescent="0.3">
      <c r="A1031" s="4">
        <v>45233</v>
      </c>
      <c r="B1031" s="5">
        <v>2.6613000000000002</v>
      </c>
      <c r="C1031" s="5">
        <v>4.57</v>
      </c>
    </row>
    <row r="1032" spans="1:3" x14ac:dyDescent="0.3">
      <c r="A1032" s="4">
        <v>45236</v>
      </c>
      <c r="B1032" s="5">
        <v>2.6554000000000002</v>
      </c>
      <c r="C1032" s="5">
        <v>4.67</v>
      </c>
    </row>
    <row r="1033" spans="1:3" x14ac:dyDescent="0.3">
      <c r="A1033" s="4">
        <v>45237</v>
      </c>
      <c r="B1033" s="5">
        <v>2.6631999999999998</v>
      </c>
      <c r="C1033" s="5">
        <v>4.58</v>
      </c>
    </row>
    <row r="1034" spans="1:3" x14ac:dyDescent="0.3">
      <c r="A1034" s="4">
        <v>45238</v>
      </c>
      <c r="B1034" s="5">
        <v>2.6463999999999999</v>
      </c>
      <c r="C1034" s="5">
        <v>4.49</v>
      </c>
    </row>
    <row r="1035" spans="1:3" x14ac:dyDescent="0.3">
      <c r="A1035" s="4">
        <v>45239</v>
      </c>
      <c r="B1035" s="5">
        <v>2.6494</v>
      </c>
      <c r="C1035" s="5">
        <v>4.62</v>
      </c>
    </row>
    <row r="1036" spans="1:3" x14ac:dyDescent="0.3">
      <c r="A1036" s="4">
        <v>45240</v>
      </c>
      <c r="B1036" s="5">
        <v>2.6444000000000001</v>
      </c>
      <c r="C1036" s="5">
        <v>4.6100000000000003</v>
      </c>
    </row>
    <row r="1037" spans="1:3" x14ac:dyDescent="0.3">
      <c r="A1037" s="4">
        <v>45243</v>
      </c>
      <c r="B1037" s="5">
        <v>2.6454</v>
      </c>
      <c r="C1037" s="5">
        <v>4.63</v>
      </c>
    </row>
    <row r="1038" spans="1:3" x14ac:dyDescent="0.3">
      <c r="A1038" s="4">
        <v>45244</v>
      </c>
      <c r="B1038" s="5">
        <v>2.6573000000000002</v>
      </c>
      <c r="C1038" s="5">
        <v>4.4400000000000004</v>
      </c>
    </row>
    <row r="1039" spans="1:3" x14ac:dyDescent="0.3">
      <c r="A1039" s="4">
        <v>45245</v>
      </c>
      <c r="B1039" s="5">
        <v>2.6633</v>
      </c>
      <c r="C1039" s="5">
        <v>4.53</v>
      </c>
    </row>
    <row r="1040" spans="1:3" x14ac:dyDescent="0.3">
      <c r="A1040" s="4">
        <v>45246</v>
      </c>
      <c r="B1040" s="5">
        <v>2.6558000000000002</v>
      </c>
      <c r="C1040" s="5">
        <v>4.45</v>
      </c>
    </row>
    <row r="1041" spans="1:3" x14ac:dyDescent="0.3">
      <c r="A1041" s="4">
        <v>45247</v>
      </c>
      <c r="B1041" s="5">
        <v>2.6524000000000001</v>
      </c>
      <c r="C1041" s="5">
        <v>4.4400000000000004</v>
      </c>
    </row>
    <row r="1042" spans="1:3" x14ac:dyDescent="0.3">
      <c r="A1042" s="4">
        <v>45250</v>
      </c>
      <c r="B1042" s="5">
        <v>2.6583999999999999</v>
      </c>
      <c r="C1042" s="5">
        <v>4.42</v>
      </c>
    </row>
    <row r="1043" spans="1:3" x14ac:dyDescent="0.3">
      <c r="A1043" s="4">
        <v>45251</v>
      </c>
      <c r="B1043" s="5">
        <v>2.6684000000000001</v>
      </c>
      <c r="C1043" s="5">
        <v>4.41</v>
      </c>
    </row>
    <row r="1044" spans="1:3" x14ac:dyDescent="0.3">
      <c r="A1044" s="4">
        <v>45252</v>
      </c>
      <c r="B1044" s="5">
        <v>2.6823000000000001</v>
      </c>
      <c r="C1044" s="5">
        <v>4.42</v>
      </c>
    </row>
    <row r="1045" spans="1:3" x14ac:dyDescent="0.3">
      <c r="A1045" s="4">
        <v>45253</v>
      </c>
      <c r="B1045" s="5">
        <v>2.7023000000000001</v>
      </c>
      <c r="C1045" s="5"/>
    </row>
    <row r="1046" spans="1:3" x14ac:dyDescent="0.3">
      <c r="A1046" s="4">
        <v>45254</v>
      </c>
      <c r="B1046" s="5">
        <v>2.7052999999999998</v>
      </c>
      <c r="C1046" s="5">
        <v>4.47</v>
      </c>
    </row>
    <row r="1047" spans="1:3" x14ac:dyDescent="0.3">
      <c r="A1047" s="4">
        <v>45257</v>
      </c>
      <c r="B1047" s="5">
        <v>2.7107999999999999</v>
      </c>
      <c r="C1047" s="5">
        <v>4.3899999999999997</v>
      </c>
    </row>
    <row r="1048" spans="1:3" x14ac:dyDescent="0.3">
      <c r="A1048" s="4">
        <v>45258</v>
      </c>
      <c r="B1048" s="5">
        <v>2.6898</v>
      </c>
      <c r="C1048" s="5">
        <v>4.34</v>
      </c>
    </row>
    <row r="1049" spans="1:3" x14ac:dyDescent="0.3">
      <c r="A1049" s="4">
        <v>45259</v>
      </c>
      <c r="B1049" s="5">
        <v>2.6825999999999999</v>
      </c>
      <c r="C1049" s="5">
        <v>4.2699999999999996</v>
      </c>
    </row>
    <row r="1050" spans="1:3" x14ac:dyDescent="0.3">
      <c r="A1050" s="4">
        <v>45260</v>
      </c>
      <c r="B1050" s="5">
        <v>2.6680000000000001</v>
      </c>
      <c r="C1050" s="5">
        <v>4.37</v>
      </c>
    </row>
    <row r="1051" spans="1:3" x14ac:dyDescent="0.3">
      <c r="A1051" s="4">
        <v>45261</v>
      </c>
      <c r="B1051" s="5">
        <v>2.6625000000000001</v>
      </c>
      <c r="C1051" s="5">
        <v>4.22</v>
      </c>
    </row>
    <row r="1052" spans="1:3" x14ac:dyDescent="0.3">
      <c r="A1052" s="4">
        <v>45264</v>
      </c>
      <c r="B1052" s="5">
        <v>2.6724999999999999</v>
      </c>
      <c r="C1052" s="5">
        <v>4.28</v>
      </c>
    </row>
    <row r="1053" spans="1:3" x14ac:dyDescent="0.3">
      <c r="A1053" s="4">
        <v>45265</v>
      </c>
      <c r="B1053" s="5">
        <v>2.665</v>
      </c>
      <c r="C1053" s="5">
        <v>4.18</v>
      </c>
    </row>
    <row r="1054" spans="1:3" x14ac:dyDescent="0.3">
      <c r="A1054" s="4">
        <v>45266</v>
      </c>
      <c r="B1054" s="5">
        <v>2.6724999999999999</v>
      </c>
      <c r="C1054" s="5">
        <v>4.12</v>
      </c>
    </row>
    <row r="1055" spans="1:3" x14ac:dyDescent="0.3">
      <c r="A1055" s="4">
        <v>45267</v>
      </c>
      <c r="B1055" s="5">
        <v>2.6640000000000001</v>
      </c>
      <c r="C1055" s="5">
        <v>4.1399999999999997</v>
      </c>
    </row>
    <row r="1056" spans="1:3" x14ac:dyDescent="0.3">
      <c r="A1056" s="4">
        <v>45268</v>
      </c>
      <c r="B1056" s="5">
        <v>2.6636000000000002</v>
      </c>
      <c r="C1056" s="5">
        <v>4.2300000000000004</v>
      </c>
    </row>
    <row r="1057" spans="1:3" x14ac:dyDescent="0.3">
      <c r="A1057" s="4">
        <v>45271</v>
      </c>
      <c r="B1057" s="5">
        <v>2.6440000000000001</v>
      </c>
      <c r="C1057" s="5">
        <v>4.2300000000000004</v>
      </c>
    </row>
    <row r="1058" spans="1:3" x14ac:dyDescent="0.3">
      <c r="A1058" s="4">
        <v>45272</v>
      </c>
      <c r="B1058" s="5">
        <v>2.6375000000000002</v>
      </c>
      <c r="C1058" s="5">
        <v>4.2</v>
      </c>
    </row>
    <row r="1059" spans="1:3" x14ac:dyDescent="0.3">
      <c r="A1059" s="4">
        <v>45273</v>
      </c>
      <c r="B1059" s="5">
        <v>2.6225999999999998</v>
      </c>
      <c r="C1059" s="5">
        <v>4.04</v>
      </c>
    </row>
    <row r="1060" spans="1:3" x14ac:dyDescent="0.3">
      <c r="A1060" s="4">
        <v>45274</v>
      </c>
      <c r="B1060" s="5">
        <v>2.6375999999999999</v>
      </c>
      <c r="C1060" s="5">
        <v>3.92</v>
      </c>
    </row>
    <row r="1061" spans="1:3" x14ac:dyDescent="0.3">
      <c r="A1061" s="4">
        <v>45275</v>
      </c>
      <c r="B1061" s="5">
        <v>2.6227</v>
      </c>
      <c r="C1061" s="5">
        <v>3.91</v>
      </c>
    </row>
    <row r="1062" spans="1:3" x14ac:dyDescent="0.3">
      <c r="A1062" s="4">
        <v>45278</v>
      </c>
      <c r="B1062" s="5">
        <v>2.6126</v>
      </c>
      <c r="C1062" s="5">
        <v>3.95</v>
      </c>
    </row>
    <row r="1063" spans="1:3" x14ac:dyDescent="0.3">
      <c r="A1063" s="4">
        <v>45279</v>
      </c>
      <c r="B1063" s="5">
        <v>2.6191</v>
      </c>
      <c r="C1063" s="5">
        <v>3.93</v>
      </c>
    </row>
    <row r="1064" spans="1:3" x14ac:dyDescent="0.3">
      <c r="A1064" s="4">
        <v>45280</v>
      </c>
      <c r="B1064" s="5">
        <v>2.6221999999999999</v>
      </c>
      <c r="C1064" s="5">
        <v>3.86</v>
      </c>
    </row>
    <row r="1065" spans="1:3" x14ac:dyDescent="0.3">
      <c r="A1065" s="4">
        <v>45281</v>
      </c>
      <c r="B1065" s="5">
        <v>2.5901000000000001</v>
      </c>
      <c r="C1065" s="5">
        <v>3.89</v>
      </c>
    </row>
    <row r="1066" spans="1:3" x14ac:dyDescent="0.3">
      <c r="A1066" s="4">
        <v>45282</v>
      </c>
      <c r="B1066" s="5">
        <v>2.5876999999999999</v>
      </c>
      <c r="C1066" s="5">
        <v>3.9</v>
      </c>
    </row>
    <row r="1067" spans="1:3" x14ac:dyDescent="0.3">
      <c r="A1067" s="4">
        <v>45285</v>
      </c>
      <c r="B1067" s="5">
        <v>2.5678000000000001</v>
      </c>
      <c r="C1067" s="5"/>
    </row>
    <row r="1068" spans="1:3" x14ac:dyDescent="0.3">
      <c r="A1068" s="4">
        <v>45286</v>
      </c>
      <c r="B1068" s="5">
        <v>2.5804</v>
      </c>
      <c r="C1068" s="5">
        <v>3.89</v>
      </c>
    </row>
    <row r="1069" spans="1:3" x14ac:dyDescent="0.3">
      <c r="A1069" s="4">
        <v>45287</v>
      </c>
      <c r="B1069" s="5">
        <v>2.5577000000000001</v>
      </c>
      <c r="C1069" s="5">
        <v>3.79</v>
      </c>
    </row>
    <row r="1070" spans="1:3" x14ac:dyDescent="0.3">
      <c r="A1070" s="4">
        <v>45288</v>
      </c>
      <c r="B1070" s="5">
        <v>2.5693999999999999</v>
      </c>
      <c r="C1070" s="5">
        <v>3.84</v>
      </c>
    </row>
    <row r="1071" spans="1:3" x14ac:dyDescent="0.3">
      <c r="A1071" s="4">
        <v>45289</v>
      </c>
      <c r="B1071" s="5">
        <v>2.5552999999999999</v>
      </c>
      <c r="C1071" s="5">
        <v>3.88</v>
      </c>
    </row>
    <row r="1072" spans="1:3" x14ac:dyDescent="0.3">
      <c r="A1072" s="4">
        <v>45291</v>
      </c>
      <c r="B1072" s="5">
        <v>2.5552999999999999</v>
      </c>
      <c r="C1072" s="5"/>
    </row>
    <row r="1073" spans="1:3" x14ac:dyDescent="0.3">
      <c r="A1073" s="4">
        <v>45293</v>
      </c>
      <c r="B1073" s="5">
        <v>2.5600999999999998</v>
      </c>
      <c r="C1073" s="5">
        <v>3.95</v>
      </c>
    </row>
    <row r="1074" spans="1:3" x14ac:dyDescent="0.3">
      <c r="A1074" s="4">
        <v>45294</v>
      </c>
      <c r="B1074" s="5">
        <v>2.5531000000000001</v>
      </c>
      <c r="C1074" s="5">
        <v>3.91</v>
      </c>
    </row>
    <row r="1075" spans="1:3" x14ac:dyDescent="0.3">
      <c r="A1075" s="4">
        <v>45295</v>
      </c>
      <c r="B1075" s="5">
        <v>2.5367999999999999</v>
      </c>
      <c r="C1075" s="5">
        <v>3.99</v>
      </c>
    </row>
    <row r="1076" spans="1:3" x14ac:dyDescent="0.3">
      <c r="A1076" s="4">
        <v>45296</v>
      </c>
      <c r="B1076" s="5">
        <v>2.5175000000000001</v>
      </c>
      <c r="C1076" s="5">
        <v>4.05</v>
      </c>
    </row>
    <row r="1077" spans="1:3" x14ac:dyDescent="0.3">
      <c r="A1077" s="4">
        <v>45299</v>
      </c>
      <c r="B1077" s="5">
        <v>2.5135999999999998</v>
      </c>
      <c r="C1077" s="5">
        <v>4.01</v>
      </c>
    </row>
    <row r="1078" spans="1:3" x14ac:dyDescent="0.3">
      <c r="A1078" s="4">
        <v>45300</v>
      </c>
      <c r="B1078" s="5">
        <v>2.4862000000000002</v>
      </c>
      <c r="C1078" s="5">
        <v>4.0199999999999996</v>
      </c>
    </row>
    <row r="1079" spans="1:3" x14ac:dyDescent="0.3">
      <c r="A1079" s="4">
        <v>45301</v>
      </c>
      <c r="B1079" s="5">
        <v>2.4982000000000002</v>
      </c>
      <c r="C1079" s="5">
        <v>4.04</v>
      </c>
    </row>
    <row r="1080" spans="1:3" x14ac:dyDescent="0.3">
      <c r="A1080" s="4">
        <v>45302</v>
      </c>
      <c r="B1080" s="5">
        <v>2.4992000000000001</v>
      </c>
      <c r="C1080" s="5">
        <v>3.98</v>
      </c>
    </row>
    <row r="1081" spans="1:3" x14ac:dyDescent="0.3">
      <c r="A1081" s="4">
        <v>45303</v>
      </c>
      <c r="B1081" s="5">
        <v>2.5171999999999999</v>
      </c>
      <c r="C1081" s="5">
        <v>3.96</v>
      </c>
    </row>
    <row r="1082" spans="1:3" x14ac:dyDescent="0.3">
      <c r="A1082" s="4">
        <v>45306</v>
      </c>
      <c r="B1082" s="5">
        <v>2.5211999999999999</v>
      </c>
      <c r="C1082" s="5"/>
    </row>
    <row r="1083" spans="1:3" x14ac:dyDescent="0.3">
      <c r="A1083" s="4">
        <v>45307</v>
      </c>
      <c r="B1083" s="5">
        <v>2.5251999999999999</v>
      </c>
      <c r="C1083" s="5">
        <v>4.07</v>
      </c>
    </row>
    <row r="1084" spans="1:3" x14ac:dyDescent="0.3">
      <c r="A1084" s="4">
        <v>45308</v>
      </c>
      <c r="B1084" s="5">
        <v>2.5076999999999998</v>
      </c>
      <c r="C1084" s="5">
        <v>4.0999999999999996</v>
      </c>
    </row>
    <row r="1085" spans="1:3" x14ac:dyDescent="0.3">
      <c r="A1085" s="4">
        <v>45309</v>
      </c>
      <c r="B1085" s="5">
        <v>2.5091999999999999</v>
      </c>
      <c r="C1085" s="5">
        <v>4.1399999999999997</v>
      </c>
    </row>
    <row r="1086" spans="1:3" x14ac:dyDescent="0.3">
      <c r="A1086" s="4">
        <v>45310</v>
      </c>
      <c r="B1086" s="5">
        <v>2.5026999999999999</v>
      </c>
      <c r="C1086" s="5">
        <v>4.1500000000000004</v>
      </c>
    </row>
    <row r="1087" spans="1:3" x14ac:dyDescent="0.3">
      <c r="A1087" s="4">
        <v>45313</v>
      </c>
      <c r="B1087" s="5">
        <v>2.4922</v>
      </c>
      <c r="C1087" s="5">
        <v>4.1100000000000003</v>
      </c>
    </row>
    <row r="1088" spans="1:3" x14ac:dyDescent="0.3">
      <c r="A1088" s="4">
        <v>45314</v>
      </c>
      <c r="B1088" s="5">
        <v>2.5042</v>
      </c>
      <c r="C1088" s="5">
        <v>4.1399999999999997</v>
      </c>
    </row>
    <row r="1089" spans="1:3" x14ac:dyDescent="0.3">
      <c r="A1089" s="4">
        <v>45315</v>
      </c>
      <c r="B1089" s="5">
        <v>2.5042</v>
      </c>
      <c r="C1089" s="5">
        <v>4.18</v>
      </c>
    </row>
    <row r="1090" spans="1:3" x14ac:dyDescent="0.3">
      <c r="A1090" s="4">
        <v>45316</v>
      </c>
      <c r="B1090" s="5">
        <v>2.4984000000000002</v>
      </c>
      <c r="C1090" s="5">
        <v>4.1399999999999997</v>
      </c>
    </row>
    <row r="1091" spans="1:3" x14ac:dyDescent="0.3">
      <c r="A1091" s="4">
        <v>45317</v>
      </c>
      <c r="B1091" s="5">
        <v>2.4994000000000001</v>
      </c>
      <c r="C1091" s="5">
        <v>4.1500000000000004</v>
      </c>
    </row>
    <row r="1092" spans="1:3" x14ac:dyDescent="0.3">
      <c r="A1092" s="4">
        <v>45320</v>
      </c>
      <c r="B1092" s="5">
        <v>2.4940000000000002</v>
      </c>
      <c r="C1092" s="5">
        <v>4.08</v>
      </c>
    </row>
    <row r="1093" spans="1:3" x14ac:dyDescent="0.3">
      <c r="A1093" s="4">
        <v>45321</v>
      </c>
      <c r="B1093" s="5">
        <v>2.4557000000000002</v>
      </c>
      <c r="C1093" s="5">
        <v>4.0599999999999996</v>
      </c>
    </row>
    <row r="1094" spans="1:3" x14ac:dyDescent="0.3">
      <c r="A1094" s="4">
        <v>45322</v>
      </c>
      <c r="B1094" s="5">
        <v>2.4329999999999998</v>
      </c>
      <c r="C1094" s="5">
        <v>3.99</v>
      </c>
    </row>
    <row r="1095" spans="1:3" x14ac:dyDescent="0.3">
      <c r="A1095" s="4">
        <v>45323</v>
      </c>
      <c r="B1095" s="5">
        <v>2.4354</v>
      </c>
      <c r="C1095" s="5">
        <v>3.87</v>
      </c>
    </row>
    <row r="1096" spans="1:3" x14ac:dyDescent="0.3">
      <c r="A1096" s="4">
        <v>45324</v>
      </c>
      <c r="B1096" s="5">
        <v>2.4243999999999999</v>
      </c>
      <c r="C1096" s="5">
        <v>4.03</v>
      </c>
    </row>
    <row r="1097" spans="1:3" x14ac:dyDescent="0.3">
      <c r="A1097" s="4">
        <v>45326</v>
      </c>
      <c r="B1097" s="5">
        <v>2.4053</v>
      </c>
      <c r="C1097" s="5"/>
    </row>
    <row r="1098" spans="1:3" x14ac:dyDescent="0.3">
      <c r="A1098" s="4">
        <v>45327</v>
      </c>
      <c r="B1098" s="5">
        <v>2.4001999999999999</v>
      </c>
      <c r="C1098" s="5">
        <v>4.17</v>
      </c>
    </row>
    <row r="1099" spans="1:3" x14ac:dyDescent="0.3">
      <c r="A1099" s="4">
        <v>45328</v>
      </c>
      <c r="B1099" s="5">
        <v>2.4525000000000001</v>
      </c>
      <c r="C1099" s="5">
        <v>4.09</v>
      </c>
    </row>
    <row r="1100" spans="1:3" x14ac:dyDescent="0.3">
      <c r="A1100" s="4">
        <v>45329</v>
      </c>
      <c r="B1100" s="5">
        <v>2.4152999999999998</v>
      </c>
      <c r="C1100" s="5">
        <v>4.09</v>
      </c>
    </row>
    <row r="1101" spans="1:3" x14ac:dyDescent="0.3">
      <c r="A1101" s="4">
        <v>45330</v>
      </c>
      <c r="B1101" s="5">
        <v>2.4379</v>
      </c>
      <c r="C1101" s="5">
        <v>4.1500000000000004</v>
      </c>
    </row>
    <row r="1102" spans="1:3" x14ac:dyDescent="0.3">
      <c r="A1102" s="4">
        <v>45331</v>
      </c>
      <c r="B1102" s="5">
        <v>2.4302000000000001</v>
      </c>
      <c r="C1102" s="5">
        <v>4.17</v>
      </c>
    </row>
    <row r="1103" spans="1:3" x14ac:dyDescent="0.3">
      <c r="A1103" s="4">
        <v>45334</v>
      </c>
      <c r="B1103" s="5"/>
      <c r="C1103" s="5">
        <v>4.17</v>
      </c>
    </row>
    <row r="1104" spans="1:3" x14ac:dyDescent="0.3">
      <c r="A1104" s="4">
        <v>45335</v>
      </c>
      <c r="B1104" s="5"/>
      <c r="C1104" s="5">
        <v>4.3099999999999996</v>
      </c>
    </row>
    <row r="1105" spans="1:3" x14ac:dyDescent="0.3">
      <c r="A1105" s="4">
        <v>45336</v>
      </c>
      <c r="B1105" s="5"/>
      <c r="C1105" s="5">
        <v>4.2699999999999996</v>
      </c>
    </row>
    <row r="1106" spans="1:3" x14ac:dyDescent="0.3">
      <c r="A1106" s="4">
        <v>45337</v>
      </c>
      <c r="B1106" s="5"/>
      <c r="C1106" s="5">
        <v>4.24</v>
      </c>
    </row>
    <row r="1107" spans="1:3" x14ac:dyDescent="0.3">
      <c r="A1107" s="4">
        <v>45338</v>
      </c>
      <c r="B1107" s="5"/>
      <c r="C1107" s="5">
        <v>4.3</v>
      </c>
    </row>
    <row r="1108" spans="1:3" x14ac:dyDescent="0.3">
      <c r="A1108" s="4">
        <v>45340</v>
      </c>
      <c r="B1108" s="5">
        <v>2.4392999999999998</v>
      </c>
      <c r="C1108" s="5"/>
    </row>
    <row r="1109" spans="1:3" x14ac:dyDescent="0.3">
      <c r="A1109" s="4">
        <v>45341</v>
      </c>
      <c r="B1109" s="5">
        <v>2.4344000000000001</v>
      </c>
      <c r="C1109" s="5"/>
    </row>
    <row r="1110" spans="1:3" x14ac:dyDescent="0.3">
      <c r="A1110" s="4">
        <v>45342</v>
      </c>
      <c r="B1110" s="5">
        <v>2.4134000000000002</v>
      </c>
      <c r="C1110" s="5">
        <v>4.2699999999999996</v>
      </c>
    </row>
    <row r="1111" spans="1:3" x14ac:dyDescent="0.3">
      <c r="A1111" s="4">
        <v>45343</v>
      </c>
      <c r="B1111" s="5">
        <v>2.4119000000000002</v>
      </c>
      <c r="C1111" s="5">
        <v>4.32</v>
      </c>
    </row>
    <row r="1112" spans="1:3" x14ac:dyDescent="0.3">
      <c r="A1112" s="4">
        <v>45344</v>
      </c>
      <c r="B1112" s="5">
        <v>2.4033000000000002</v>
      </c>
      <c r="C1112" s="5">
        <v>4.33</v>
      </c>
    </row>
    <row r="1113" spans="1:3" x14ac:dyDescent="0.3">
      <c r="A1113" s="4">
        <v>45345</v>
      </c>
      <c r="B1113" s="5">
        <v>2.4009</v>
      </c>
      <c r="C1113" s="5">
        <v>4.26</v>
      </c>
    </row>
    <row r="1114" spans="1:3" x14ac:dyDescent="0.3">
      <c r="A1114" s="4">
        <v>45348</v>
      </c>
      <c r="B1114" s="5">
        <v>2.3788999999999998</v>
      </c>
      <c r="C1114" s="5">
        <v>4.28</v>
      </c>
    </row>
    <row r="1115" spans="1:3" x14ac:dyDescent="0.3">
      <c r="A1115" s="4">
        <v>45349</v>
      </c>
      <c r="B1115" s="5">
        <v>2.3809</v>
      </c>
      <c r="C1115" s="5">
        <v>4.3099999999999996</v>
      </c>
    </row>
    <row r="1116" spans="1:3" x14ac:dyDescent="0.3">
      <c r="A1116" s="4">
        <v>45350</v>
      </c>
      <c r="B1116" s="5">
        <v>2.3376000000000001</v>
      </c>
      <c r="C1116" s="5">
        <v>4.2699999999999996</v>
      </c>
    </row>
    <row r="1117" spans="1:3" x14ac:dyDescent="0.3">
      <c r="A1117" s="4">
        <v>45351</v>
      </c>
      <c r="B1117" s="5">
        <v>2.3374999999999999</v>
      </c>
      <c r="C1117" s="5">
        <v>4.25</v>
      </c>
    </row>
    <row r="1118" spans="1:3" x14ac:dyDescent="0.3">
      <c r="A1118" s="4">
        <v>45352</v>
      </c>
      <c r="B1118" s="5">
        <v>2.3675000000000002</v>
      </c>
      <c r="C1118" s="5">
        <v>4.1900000000000004</v>
      </c>
    </row>
    <row r="1119" spans="1:3" x14ac:dyDescent="0.3">
      <c r="A1119" s="4">
        <v>45355</v>
      </c>
      <c r="B1119" s="5">
        <v>2.3475000000000001</v>
      </c>
      <c r="C1119" s="5">
        <v>4.22</v>
      </c>
    </row>
    <row r="1120" spans="1:3" x14ac:dyDescent="0.3">
      <c r="A1120" s="4">
        <v>45356</v>
      </c>
      <c r="B1120" s="5">
        <v>2.3169</v>
      </c>
      <c r="C1120" s="5">
        <v>4.13</v>
      </c>
    </row>
    <row r="1121" spans="1:3" x14ac:dyDescent="0.3">
      <c r="A1121" s="4">
        <v>45357</v>
      </c>
      <c r="B1121" s="5">
        <v>2.2650000000000001</v>
      </c>
      <c r="C1121" s="5">
        <v>4.1100000000000003</v>
      </c>
    </row>
    <row r="1122" spans="1:3" x14ac:dyDescent="0.3">
      <c r="A1122" s="4">
        <v>45358</v>
      </c>
      <c r="B1122" s="5">
        <v>2.2776000000000001</v>
      </c>
      <c r="C1122" s="5">
        <v>4.09</v>
      </c>
    </row>
    <row r="1123" spans="1:3" x14ac:dyDescent="0.3">
      <c r="A1123" s="4">
        <v>45359</v>
      </c>
      <c r="B1123" s="5">
        <v>2.2825000000000002</v>
      </c>
      <c r="C1123" s="5">
        <v>4.09</v>
      </c>
    </row>
    <row r="1124" spans="1:3" x14ac:dyDescent="0.3">
      <c r="A1124" s="4">
        <v>45362</v>
      </c>
      <c r="B1124" s="5">
        <v>2.3050000000000002</v>
      </c>
      <c r="C1124" s="5">
        <v>4.0999999999999996</v>
      </c>
    </row>
    <row r="1125" spans="1:3" x14ac:dyDescent="0.3">
      <c r="A1125" s="4">
        <v>45363</v>
      </c>
      <c r="B1125" s="5">
        <v>2.3475999999999999</v>
      </c>
      <c r="C1125" s="5">
        <v>4.16</v>
      </c>
    </row>
    <row r="1126" spans="1:3" x14ac:dyDescent="0.3">
      <c r="A1126" s="4">
        <v>45364</v>
      </c>
      <c r="B1126" s="5">
        <v>2.3325999999999998</v>
      </c>
      <c r="C1126" s="5">
        <v>4.1900000000000004</v>
      </c>
    </row>
    <row r="1127" spans="1:3" x14ac:dyDescent="0.3">
      <c r="A1127" s="4">
        <v>45365</v>
      </c>
      <c r="B1127" s="5">
        <v>2.3424999999999998</v>
      </c>
      <c r="C1127" s="5">
        <v>4.29</v>
      </c>
    </row>
    <row r="1128" spans="1:3" x14ac:dyDescent="0.3">
      <c r="A1128" s="4">
        <v>45366</v>
      </c>
      <c r="B1128" s="5">
        <v>2.3199999999999998</v>
      </c>
      <c r="C1128" s="5">
        <v>4.3099999999999996</v>
      </c>
    </row>
    <row r="1129" spans="1:3" x14ac:dyDescent="0.3">
      <c r="A1129" s="4">
        <v>45369</v>
      </c>
      <c r="B1129" s="5">
        <v>2.2926000000000002</v>
      </c>
      <c r="C1129" s="5">
        <v>4.34</v>
      </c>
    </row>
    <row r="1130" spans="1:3" x14ac:dyDescent="0.3">
      <c r="A1130" s="4">
        <v>45370</v>
      </c>
      <c r="B1130" s="5">
        <v>2.2801</v>
      </c>
      <c r="C1130" s="5">
        <v>4.3</v>
      </c>
    </row>
    <row r="1131" spans="1:3" x14ac:dyDescent="0.3">
      <c r="A1131" s="4">
        <v>45371</v>
      </c>
      <c r="B1131" s="5">
        <v>2.2951000000000001</v>
      </c>
      <c r="C1131" s="5">
        <v>4.2699999999999996</v>
      </c>
    </row>
    <row r="1132" spans="1:3" x14ac:dyDescent="0.3">
      <c r="A1132" s="4">
        <v>45372</v>
      </c>
      <c r="B1132" s="5">
        <v>2.2850999999999999</v>
      </c>
      <c r="C1132" s="5">
        <v>4.2699999999999996</v>
      </c>
    </row>
    <row r="1133" spans="1:3" x14ac:dyDescent="0.3">
      <c r="A1133" s="4">
        <v>45373</v>
      </c>
      <c r="B1133" s="5">
        <v>2.3050999999999999</v>
      </c>
      <c r="C1133" s="5">
        <v>4.22</v>
      </c>
    </row>
    <row r="1134" spans="1:3" x14ac:dyDescent="0.3">
      <c r="A1134" s="4">
        <v>45376</v>
      </c>
      <c r="B1134" s="5">
        <v>2.3151000000000002</v>
      </c>
      <c r="C1134" s="5">
        <v>4.25</v>
      </c>
    </row>
    <row r="1135" spans="1:3" x14ac:dyDescent="0.3">
      <c r="A1135" s="4">
        <v>45377</v>
      </c>
      <c r="B1135" s="5">
        <v>2.3174999999999999</v>
      </c>
      <c r="C1135" s="5">
        <v>4.24</v>
      </c>
    </row>
    <row r="1136" spans="1:3" x14ac:dyDescent="0.3">
      <c r="A1136" s="4">
        <v>45378</v>
      </c>
      <c r="B1136" s="5">
        <v>2.2875999999999999</v>
      </c>
      <c r="C1136" s="5">
        <v>4.2</v>
      </c>
    </row>
    <row r="1137" spans="1:3" x14ac:dyDescent="0.3">
      <c r="A1137" s="4">
        <v>45379</v>
      </c>
      <c r="B1137" s="5">
        <v>2.3026</v>
      </c>
      <c r="C1137" s="5">
        <v>4.2</v>
      </c>
    </row>
    <row r="1138" spans="1:3" x14ac:dyDescent="0.3">
      <c r="A1138" s="4">
        <v>45380</v>
      </c>
      <c r="B1138" s="5">
        <v>2.2900999999999998</v>
      </c>
      <c r="C1138" s="5"/>
    </row>
    <row r="1139" spans="1:3" x14ac:dyDescent="0.3">
      <c r="A1139" s="4">
        <v>45383</v>
      </c>
      <c r="B1139" s="5">
        <v>2.3081999999999998</v>
      </c>
      <c r="C1139" s="5">
        <v>4.33</v>
      </c>
    </row>
    <row r="1140" spans="1:3" x14ac:dyDescent="0.3">
      <c r="A1140" s="4">
        <v>45384</v>
      </c>
      <c r="B1140" s="5">
        <v>2.2927</v>
      </c>
      <c r="C1140" s="5">
        <v>4.3600000000000003</v>
      </c>
    </row>
    <row r="1141" spans="1:3" x14ac:dyDescent="0.3">
      <c r="A1141" s="4">
        <v>45385</v>
      </c>
      <c r="B1141" s="5">
        <v>2.2837000000000001</v>
      </c>
      <c r="C1141" s="5">
        <v>4.3600000000000003</v>
      </c>
    </row>
    <row r="1142" spans="1:3" x14ac:dyDescent="0.3">
      <c r="A1142" s="4">
        <v>45386</v>
      </c>
      <c r="B1142" s="5"/>
      <c r="C1142" s="5">
        <v>4.3099999999999996</v>
      </c>
    </row>
    <row r="1143" spans="1:3" x14ac:dyDescent="0.3">
      <c r="A1143" s="4">
        <v>45387</v>
      </c>
      <c r="B1143" s="5"/>
      <c r="C1143" s="5">
        <v>4.3899999999999997</v>
      </c>
    </row>
    <row r="1144" spans="1:3" x14ac:dyDescent="0.3">
      <c r="A1144" s="4">
        <v>45389</v>
      </c>
      <c r="B1144" s="5">
        <v>2.2936999999999999</v>
      </c>
      <c r="C1144" s="5"/>
    </row>
    <row r="1145" spans="1:3" x14ac:dyDescent="0.3">
      <c r="A1145" s="4">
        <v>45390</v>
      </c>
      <c r="B1145" s="5">
        <v>2.2822</v>
      </c>
      <c r="C1145" s="5">
        <v>4.42</v>
      </c>
    </row>
    <row r="1146" spans="1:3" x14ac:dyDescent="0.3">
      <c r="A1146" s="4">
        <v>45391</v>
      </c>
      <c r="B1146" s="5">
        <v>2.2801999999999998</v>
      </c>
      <c r="C1146" s="5">
        <v>4.3600000000000003</v>
      </c>
    </row>
    <row r="1147" spans="1:3" x14ac:dyDescent="0.3">
      <c r="A1147" s="4">
        <v>45392</v>
      </c>
      <c r="B1147" s="5">
        <v>2.2972000000000001</v>
      </c>
      <c r="C1147" s="5">
        <v>4.55</v>
      </c>
    </row>
    <row r="1148" spans="1:3" x14ac:dyDescent="0.3">
      <c r="A1148" s="4">
        <v>45393</v>
      </c>
      <c r="B1148" s="5">
        <v>2.2928000000000002</v>
      </c>
      <c r="C1148" s="5">
        <v>4.5599999999999996</v>
      </c>
    </row>
    <row r="1149" spans="1:3" x14ac:dyDescent="0.3">
      <c r="A1149" s="4">
        <v>45394</v>
      </c>
      <c r="B1149" s="5">
        <v>2.2837000000000001</v>
      </c>
      <c r="C1149" s="5">
        <v>4.5</v>
      </c>
    </row>
    <row r="1150" spans="1:3" x14ac:dyDescent="0.3">
      <c r="A1150" s="4">
        <v>45397</v>
      </c>
      <c r="B1150" s="5">
        <v>2.2797999999999998</v>
      </c>
      <c r="C1150" s="5">
        <v>4.63</v>
      </c>
    </row>
    <row r="1151" spans="1:3" x14ac:dyDescent="0.3">
      <c r="A1151" s="4">
        <v>45398</v>
      </c>
      <c r="B1151" s="5">
        <v>2.2723</v>
      </c>
      <c r="C1151" s="5">
        <v>4.67</v>
      </c>
    </row>
    <row r="1152" spans="1:3" x14ac:dyDescent="0.3">
      <c r="A1152" s="4">
        <v>45399</v>
      </c>
      <c r="B1152" s="5">
        <v>2.2608000000000001</v>
      </c>
      <c r="C1152" s="5">
        <v>4.59</v>
      </c>
    </row>
    <row r="1153" spans="1:3" x14ac:dyDescent="0.3">
      <c r="A1153" s="4">
        <v>45400</v>
      </c>
      <c r="B1153" s="5">
        <v>2.2536999999999998</v>
      </c>
      <c r="C1153" s="5">
        <v>4.6399999999999997</v>
      </c>
    </row>
    <row r="1154" spans="1:3" x14ac:dyDescent="0.3">
      <c r="A1154" s="4">
        <v>45401</v>
      </c>
      <c r="B1154" s="5">
        <v>2.254</v>
      </c>
      <c r="C1154" s="5">
        <v>4.62</v>
      </c>
    </row>
    <row r="1155" spans="1:3" x14ac:dyDescent="0.3">
      <c r="A1155" s="4">
        <v>45404</v>
      </c>
      <c r="B1155" s="5">
        <v>2.2435</v>
      </c>
      <c r="C1155" s="5">
        <v>4.62</v>
      </c>
    </row>
    <row r="1156" spans="1:3" x14ac:dyDescent="0.3">
      <c r="A1156" s="4">
        <v>45405</v>
      </c>
      <c r="B1156" s="5">
        <v>2.226</v>
      </c>
      <c r="C1156" s="5">
        <v>4.6100000000000003</v>
      </c>
    </row>
    <row r="1157" spans="1:3" x14ac:dyDescent="0.3">
      <c r="A1157" s="4">
        <v>45406</v>
      </c>
      <c r="B1157" s="5">
        <v>2.2726999999999999</v>
      </c>
      <c r="C1157" s="5">
        <v>4.6500000000000004</v>
      </c>
    </row>
    <row r="1158" spans="1:3" x14ac:dyDescent="0.3">
      <c r="A1158" s="4">
        <v>45407</v>
      </c>
      <c r="B1158" s="5">
        <v>2.2612000000000001</v>
      </c>
      <c r="C1158" s="5">
        <v>4.7</v>
      </c>
    </row>
    <row r="1159" spans="1:3" x14ac:dyDescent="0.3">
      <c r="A1159" s="4">
        <v>45408</v>
      </c>
      <c r="B1159" s="5">
        <v>2.3083999999999998</v>
      </c>
      <c r="C1159" s="5">
        <v>4.67</v>
      </c>
    </row>
    <row r="1160" spans="1:3" x14ac:dyDescent="0.3">
      <c r="A1160" s="4">
        <v>45410</v>
      </c>
      <c r="B1160" s="5">
        <v>2.3243999999999998</v>
      </c>
      <c r="C1160" s="5"/>
    </row>
    <row r="1161" spans="1:3" x14ac:dyDescent="0.3">
      <c r="A1161" s="4">
        <v>45411</v>
      </c>
      <c r="B1161" s="5">
        <v>2.3530000000000002</v>
      </c>
      <c r="C1161" s="5">
        <v>4.63</v>
      </c>
    </row>
    <row r="1162" spans="1:3" x14ac:dyDescent="0.3">
      <c r="A1162" s="4">
        <v>45412</v>
      </c>
      <c r="B1162" s="5">
        <v>2.3028</v>
      </c>
      <c r="C1162" s="5">
        <v>4.6900000000000004</v>
      </c>
    </row>
    <row r="1163" spans="1:3" x14ac:dyDescent="0.3">
      <c r="A1163" s="4">
        <v>45413</v>
      </c>
      <c r="B1163" s="5"/>
      <c r="C1163" s="5">
        <v>4.63</v>
      </c>
    </row>
    <row r="1164" spans="1:3" x14ac:dyDescent="0.3">
      <c r="A1164" s="4">
        <v>45414</v>
      </c>
      <c r="B1164" s="5"/>
      <c r="C1164" s="5">
        <v>4.58</v>
      </c>
    </row>
    <row r="1165" spans="1:3" x14ac:dyDescent="0.3">
      <c r="A1165" s="4">
        <v>45415</v>
      </c>
      <c r="B1165" s="5"/>
      <c r="C1165" s="5">
        <v>4.5</v>
      </c>
    </row>
    <row r="1166" spans="1:3" x14ac:dyDescent="0.3">
      <c r="A1166" s="4">
        <v>45418</v>
      </c>
      <c r="B1166" s="5">
        <v>2.3081</v>
      </c>
      <c r="C1166" s="5">
        <v>4.49</v>
      </c>
    </row>
    <row r="1167" spans="1:3" x14ac:dyDescent="0.3">
      <c r="A1167" s="4">
        <v>45419</v>
      </c>
      <c r="B1167" s="5">
        <v>2.2896000000000001</v>
      </c>
      <c r="C1167" s="5">
        <v>4.47</v>
      </c>
    </row>
    <row r="1168" spans="1:3" x14ac:dyDescent="0.3">
      <c r="A1168" s="4">
        <v>45420</v>
      </c>
      <c r="B1168" s="5">
        <v>2.2955000000000001</v>
      </c>
      <c r="C1168" s="5">
        <v>4.4800000000000004</v>
      </c>
    </row>
    <row r="1169" spans="1:3" x14ac:dyDescent="0.3">
      <c r="A1169" s="4">
        <v>45421</v>
      </c>
      <c r="B1169" s="5">
        <v>2.3186</v>
      </c>
      <c r="C1169" s="5">
        <v>4.45</v>
      </c>
    </row>
    <row r="1170" spans="1:3" x14ac:dyDescent="0.3">
      <c r="A1170" s="4">
        <v>45422</v>
      </c>
      <c r="B1170" s="5">
        <v>2.3121999999999998</v>
      </c>
      <c r="C1170" s="5">
        <v>4.5</v>
      </c>
    </row>
    <row r="1171" spans="1:3" x14ac:dyDescent="0.3">
      <c r="A1171" s="4">
        <v>45423</v>
      </c>
      <c r="B1171" s="5">
        <v>2.3361000000000001</v>
      </c>
      <c r="C1171" s="5"/>
    </row>
    <row r="1172" spans="1:3" x14ac:dyDescent="0.3">
      <c r="A1172" s="4">
        <v>45425</v>
      </c>
      <c r="B1172" s="5">
        <v>2.29</v>
      </c>
      <c r="C1172" s="5">
        <v>4.4800000000000004</v>
      </c>
    </row>
    <row r="1173" spans="1:3" x14ac:dyDescent="0.3">
      <c r="A1173" s="4">
        <v>45426</v>
      </c>
      <c r="B1173" s="5">
        <v>2.2938000000000001</v>
      </c>
      <c r="C1173" s="5">
        <v>4.45</v>
      </c>
    </row>
    <row r="1174" spans="1:3" x14ac:dyDescent="0.3">
      <c r="A1174" s="4">
        <v>45427</v>
      </c>
      <c r="B1174" s="5">
        <v>2.302</v>
      </c>
      <c r="C1174" s="5">
        <v>4.3600000000000003</v>
      </c>
    </row>
    <row r="1175" spans="1:3" x14ac:dyDescent="0.3">
      <c r="A1175" s="4">
        <v>45428</v>
      </c>
      <c r="B1175" s="5">
        <v>2.3147000000000002</v>
      </c>
      <c r="C1175" s="5">
        <v>4.38</v>
      </c>
    </row>
    <row r="1176" spans="1:3" x14ac:dyDescent="0.3">
      <c r="A1176" s="4">
        <v>45429</v>
      </c>
      <c r="B1176" s="5">
        <v>2.3077000000000001</v>
      </c>
      <c r="C1176" s="5">
        <v>4.42</v>
      </c>
    </row>
    <row r="1177" spans="1:3" x14ac:dyDescent="0.3">
      <c r="A1177" s="4">
        <v>45432</v>
      </c>
      <c r="B1177" s="5">
        <v>2.3105000000000002</v>
      </c>
      <c r="C1177" s="5">
        <v>4.4400000000000004</v>
      </c>
    </row>
    <row r="1178" spans="1:3" x14ac:dyDescent="0.3">
      <c r="A1178" s="4">
        <v>45433</v>
      </c>
      <c r="B1178" s="5">
        <v>2.3140999999999998</v>
      </c>
      <c r="C1178" s="5">
        <v>4.41</v>
      </c>
    </row>
    <row r="1179" spans="1:3" x14ac:dyDescent="0.3">
      <c r="A1179" s="4">
        <v>45434</v>
      </c>
      <c r="B1179" s="5">
        <v>2.3123</v>
      </c>
      <c r="C1179" s="5">
        <v>4.43</v>
      </c>
    </row>
    <row r="1180" spans="1:3" x14ac:dyDescent="0.3">
      <c r="A1180" s="4">
        <v>45435</v>
      </c>
      <c r="B1180" s="5">
        <v>2.3062999999999998</v>
      </c>
      <c r="C1180" s="5">
        <v>4.47</v>
      </c>
    </row>
    <row r="1181" spans="1:3" x14ac:dyDescent="0.3">
      <c r="A1181" s="4">
        <v>45436</v>
      </c>
      <c r="B1181" s="5">
        <v>2.3134000000000001</v>
      </c>
      <c r="C1181" s="5">
        <v>4.46</v>
      </c>
    </row>
    <row r="1182" spans="1:3" x14ac:dyDescent="0.3">
      <c r="A1182" s="4">
        <v>45439</v>
      </c>
      <c r="B1182" s="5">
        <v>2.3083999999999998</v>
      </c>
      <c r="C1182" s="5"/>
    </row>
    <row r="1183" spans="1:3" x14ac:dyDescent="0.3">
      <c r="A1183" s="4">
        <v>45440</v>
      </c>
      <c r="B1183" s="5">
        <v>2.2993999999999999</v>
      </c>
      <c r="C1183" s="5">
        <v>4.54</v>
      </c>
    </row>
    <row r="1184" spans="1:3" x14ac:dyDescent="0.3">
      <c r="A1184" s="4">
        <v>45441</v>
      </c>
      <c r="B1184" s="5">
        <v>2.2776000000000001</v>
      </c>
      <c r="C1184" s="5">
        <v>4.6100000000000003</v>
      </c>
    </row>
    <row r="1185" spans="1:3" x14ac:dyDescent="0.3">
      <c r="A1185" s="4">
        <v>45442</v>
      </c>
      <c r="B1185" s="5">
        <v>2.2826</v>
      </c>
      <c r="C1185" s="5">
        <v>4.55</v>
      </c>
    </row>
    <row r="1186" spans="1:3" x14ac:dyDescent="0.3">
      <c r="A1186" s="4">
        <v>45443</v>
      </c>
      <c r="B1186" s="5">
        <v>2.2926000000000002</v>
      </c>
      <c r="C1186" s="5">
        <v>4.51</v>
      </c>
    </row>
    <row r="1187" spans="1:3" x14ac:dyDescent="0.3">
      <c r="A1187" s="4">
        <v>45446</v>
      </c>
      <c r="B1187" s="5">
        <v>2.2852999999999999</v>
      </c>
      <c r="C1187" s="5">
        <v>4.41</v>
      </c>
    </row>
    <row r="1188" spans="1:3" x14ac:dyDescent="0.3">
      <c r="A1188" s="4">
        <v>45447</v>
      </c>
      <c r="B1188" s="5">
        <v>2.2854000000000001</v>
      </c>
      <c r="C1188" s="5">
        <v>4.33</v>
      </c>
    </row>
    <row r="1189" spans="1:3" x14ac:dyDescent="0.3">
      <c r="A1189" s="4">
        <v>45448</v>
      </c>
      <c r="B1189" s="5">
        <v>2.2808000000000002</v>
      </c>
      <c r="C1189" s="5">
        <v>4.29</v>
      </c>
    </row>
    <row r="1190" spans="1:3" x14ac:dyDescent="0.3">
      <c r="A1190" s="4">
        <v>45449</v>
      </c>
      <c r="B1190" s="5">
        <v>2.2827999999999999</v>
      </c>
      <c r="C1190" s="5">
        <v>4.28</v>
      </c>
    </row>
    <row r="1191" spans="1:3" x14ac:dyDescent="0.3">
      <c r="A1191" s="4">
        <v>45450</v>
      </c>
      <c r="B1191" s="5">
        <v>2.2833000000000001</v>
      </c>
      <c r="C1191" s="5">
        <v>4.43</v>
      </c>
    </row>
    <row r="1192" spans="1:3" x14ac:dyDescent="0.3">
      <c r="A1192" s="4">
        <v>45453</v>
      </c>
      <c r="B1192" s="5"/>
      <c r="C1192" s="5">
        <v>4.47</v>
      </c>
    </row>
    <row r="1193" spans="1:3" x14ac:dyDescent="0.3">
      <c r="A1193" s="4">
        <v>45454</v>
      </c>
      <c r="B1193" s="5">
        <v>2.2791000000000001</v>
      </c>
      <c r="C1193" s="5">
        <v>4.3899999999999997</v>
      </c>
    </row>
    <row r="1194" spans="1:3" x14ac:dyDescent="0.3">
      <c r="A1194" s="4">
        <v>45455</v>
      </c>
      <c r="B1194" s="5">
        <v>2.2759999999999998</v>
      </c>
      <c r="C1194" s="5">
        <v>4.3099999999999996</v>
      </c>
    </row>
    <row r="1195" spans="1:3" x14ac:dyDescent="0.3">
      <c r="A1195" s="4">
        <v>45456</v>
      </c>
      <c r="B1195" s="5">
        <v>2.2677999999999998</v>
      </c>
      <c r="C1195" s="5">
        <v>4.24</v>
      </c>
    </row>
    <row r="1196" spans="1:3" x14ac:dyDescent="0.3">
      <c r="A1196" s="4">
        <v>45457</v>
      </c>
      <c r="B1196" s="5">
        <v>2.2557999999999998</v>
      </c>
      <c r="C1196" s="5">
        <v>4.2</v>
      </c>
    </row>
    <row r="1197" spans="1:3" x14ac:dyDescent="0.3">
      <c r="A1197" s="4">
        <v>45460</v>
      </c>
      <c r="B1197" s="5">
        <v>2.2608999999999999</v>
      </c>
      <c r="C1197" s="5">
        <v>4.28</v>
      </c>
    </row>
    <row r="1198" spans="1:3" x14ac:dyDescent="0.3">
      <c r="A1198" s="4">
        <v>45461</v>
      </c>
      <c r="B1198" s="5">
        <v>2.2536999999999998</v>
      </c>
      <c r="C1198" s="5">
        <v>4.22</v>
      </c>
    </row>
    <row r="1199" spans="1:3" x14ac:dyDescent="0.3">
      <c r="A1199" s="4">
        <v>45462</v>
      </c>
      <c r="B1199" s="5">
        <v>2.2429000000000001</v>
      </c>
      <c r="C1199" s="5"/>
    </row>
    <row r="1200" spans="1:3" x14ac:dyDescent="0.3">
      <c r="A1200" s="4">
        <v>45463</v>
      </c>
      <c r="B1200" s="5">
        <v>2.2444999999999999</v>
      </c>
      <c r="C1200" s="5">
        <v>4.25</v>
      </c>
    </row>
    <row r="1201" spans="1:3" x14ac:dyDescent="0.3">
      <c r="A1201" s="4">
        <v>45464</v>
      </c>
      <c r="B1201" s="5">
        <v>2.2570999999999999</v>
      </c>
      <c r="C1201" s="5">
        <v>4.25</v>
      </c>
    </row>
    <row r="1202" spans="1:3" x14ac:dyDescent="0.3">
      <c r="A1202" s="4">
        <v>45467</v>
      </c>
      <c r="B1202" s="5">
        <v>2.2450999999999999</v>
      </c>
      <c r="C1202" s="5">
        <v>4.25</v>
      </c>
    </row>
    <row r="1203" spans="1:3" x14ac:dyDescent="0.3">
      <c r="A1203" s="4">
        <v>45468</v>
      </c>
      <c r="B1203" s="5">
        <v>2.2349999999999999</v>
      </c>
      <c r="C1203" s="5">
        <v>4.2300000000000004</v>
      </c>
    </row>
    <row r="1204" spans="1:3" x14ac:dyDescent="0.3">
      <c r="A1204" s="4">
        <v>45469</v>
      </c>
      <c r="B1204" s="5">
        <v>2.2225000000000001</v>
      </c>
      <c r="C1204" s="5">
        <v>4.32</v>
      </c>
    </row>
    <row r="1205" spans="1:3" x14ac:dyDescent="0.3">
      <c r="A1205" s="4">
        <v>45470</v>
      </c>
      <c r="B1205" s="5">
        <v>2.2081</v>
      </c>
      <c r="C1205" s="5">
        <v>4.29</v>
      </c>
    </row>
    <row r="1206" spans="1:3" x14ac:dyDescent="0.3">
      <c r="A1206" s="4">
        <v>45471</v>
      </c>
      <c r="B1206" s="5">
        <v>2.2058</v>
      </c>
      <c r="C1206" s="5">
        <v>4.3600000000000003</v>
      </c>
    </row>
    <row r="1207" spans="1:3" x14ac:dyDescent="0.3">
      <c r="A1207" s="4">
        <v>45474</v>
      </c>
      <c r="B1207" s="5">
        <v>2.2486000000000002</v>
      </c>
      <c r="C1207" s="5">
        <v>4.4800000000000004</v>
      </c>
    </row>
    <row r="1208" spans="1:3" x14ac:dyDescent="0.3">
      <c r="A1208" s="4">
        <v>45475</v>
      </c>
      <c r="B1208" s="5">
        <v>2.2368999999999999</v>
      </c>
      <c r="C1208" s="5">
        <v>4.43</v>
      </c>
    </row>
    <row r="1209" spans="1:3" x14ac:dyDescent="0.3">
      <c r="A1209" s="4">
        <v>45476</v>
      </c>
      <c r="B1209" s="5">
        <v>2.2425999999999999</v>
      </c>
      <c r="C1209" s="5">
        <v>4.3600000000000003</v>
      </c>
    </row>
    <row r="1210" spans="1:3" x14ac:dyDescent="0.3">
      <c r="A1210" s="4">
        <v>45477</v>
      </c>
      <c r="B1210" s="5">
        <v>2.2502</v>
      </c>
      <c r="C1210" s="5"/>
    </row>
    <row r="1211" spans="1:3" x14ac:dyDescent="0.3">
      <c r="A1211" s="4">
        <v>45478</v>
      </c>
      <c r="B1211" s="5">
        <v>2.2753999999999999</v>
      </c>
      <c r="C1211" s="5">
        <v>4.28</v>
      </c>
    </row>
    <row r="1212" spans="1:3" x14ac:dyDescent="0.3">
      <c r="A1212" s="4">
        <v>45481</v>
      </c>
      <c r="B1212" s="5">
        <v>2.2904</v>
      </c>
      <c r="C1212" s="5">
        <v>4.28</v>
      </c>
    </row>
    <row r="1213" spans="1:3" x14ac:dyDescent="0.3">
      <c r="A1213" s="4">
        <v>45482</v>
      </c>
      <c r="B1213" s="5">
        <v>2.2698</v>
      </c>
      <c r="C1213" s="5">
        <v>4.3</v>
      </c>
    </row>
    <row r="1214" spans="1:3" x14ac:dyDescent="0.3">
      <c r="A1214" s="4">
        <v>45483</v>
      </c>
      <c r="B1214" s="5">
        <v>2.2707000000000002</v>
      </c>
      <c r="C1214" s="5">
        <v>4.28</v>
      </c>
    </row>
    <row r="1215" spans="1:3" x14ac:dyDescent="0.3">
      <c r="A1215" s="4">
        <v>45484</v>
      </c>
      <c r="B1215" s="5">
        <v>2.2648000000000001</v>
      </c>
      <c r="C1215" s="5">
        <v>4.2</v>
      </c>
    </row>
    <row r="1216" spans="1:3" x14ac:dyDescent="0.3">
      <c r="A1216" s="4">
        <v>45485</v>
      </c>
      <c r="B1216" s="5">
        <v>2.2604000000000002</v>
      </c>
      <c r="C1216" s="5">
        <v>4.18</v>
      </c>
    </row>
    <row r="1217" spans="1:3" x14ac:dyDescent="0.3">
      <c r="A1217" s="4">
        <v>45488</v>
      </c>
      <c r="B1217" s="5">
        <v>2.2541000000000002</v>
      </c>
      <c r="C1217" s="5">
        <v>4.2300000000000004</v>
      </c>
    </row>
    <row r="1218" spans="1:3" x14ac:dyDescent="0.3">
      <c r="A1218" s="4">
        <v>45489</v>
      </c>
      <c r="B1218" s="5">
        <v>2.2612999999999999</v>
      </c>
      <c r="C1218" s="5">
        <v>4.17</v>
      </c>
    </row>
    <row r="1219" spans="1:3" x14ac:dyDescent="0.3">
      <c r="A1219" s="4">
        <v>45490</v>
      </c>
      <c r="B1219" s="5">
        <v>2.2597999999999998</v>
      </c>
      <c r="C1219" s="5">
        <v>4.16</v>
      </c>
    </row>
    <row r="1220" spans="1:3" x14ac:dyDescent="0.3">
      <c r="A1220" s="4">
        <v>45491</v>
      </c>
      <c r="B1220" s="5">
        <v>2.2673000000000001</v>
      </c>
      <c r="C1220" s="5">
        <v>4.2</v>
      </c>
    </row>
    <row r="1221" spans="1:3" x14ac:dyDescent="0.3">
      <c r="A1221" s="4">
        <v>45492</v>
      </c>
      <c r="B1221" s="5">
        <v>2.2614000000000001</v>
      </c>
      <c r="C1221" s="5">
        <v>4.25</v>
      </c>
    </row>
    <row r="1222" spans="1:3" x14ac:dyDescent="0.3">
      <c r="A1222" s="4">
        <v>45495</v>
      </c>
      <c r="B1222" s="5">
        <v>2.2461000000000002</v>
      </c>
      <c r="C1222" s="5">
        <v>4.26</v>
      </c>
    </row>
    <row r="1223" spans="1:3" x14ac:dyDescent="0.3">
      <c r="A1223" s="4">
        <v>45496</v>
      </c>
      <c r="B1223" s="5">
        <v>2.2322000000000002</v>
      </c>
      <c r="C1223" s="5">
        <v>4.25</v>
      </c>
    </row>
    <row r="1224" spans="1:3" x14ac:dyDescent="0.3">
      <c r="A1224" s="4">
        <v>45497</v>
      </c>
      <c r="B1224" s="5">
        <v>2.2381000000000002</v>
      </c>
      <c r="C1224" s="5">
        <v>4.28</v>
      </c>
    </row>
    <row r="1225" spans="1:3" x14ac:dyDescent="0.3">
      <c r="A1225" s="4">
        <v>45498</v>
      </c>
      <c r="B1225" s="5">
        <v>2.2168000000000001</v>
      </c>
      <c r="C1225" s="5">
        <v>4.2699999999999996</v>
      </c>
    </row>
    <row r="1226" spans="1:3" x14ac:dyDescent="0.3">
      <c r="A1226" s="4">
        <v>45499</v>
      </c>
      <c r="B1226" s="5">
        <v>2.1943999999999999</v>
      </c>
      <c r="C1226" s="5">
        <v>4.2</v>
      </c>
    </row>
    <row r="1227" spans="1:3" x14ac:dyDescent="0.3">
      <c r="A1227" s="4">
        <v>45502</v>
      </c>
      <c r="B1227" s="5">
        <v>2.1574</v>
      </c>
      <c r="C1227" s="5">
        <v>4.17</v>
      </c>
    </row>
    <row r="1228" spans="1:3" x14ac:dyDescent="0.3">
      <c r="A1228" s="4">
        <v>45503</v>
      </c>
      <c r="B1228" s="5">
        <v>2.1480000000000001</v>
      </c>
      <c r="C1228" s="5">
        <v>4.1500000000000004</v>
      </c>
    </row>
    <row r="1229" spans="1:3" x14ac:dyDescent="0.3">
      <c r="A1229" s="4">
        <v>45504</v>
      </c>
      <c r="B1229" s="5">
        <v>2.1494</v>
      </c>
      <c r="C1229" s="5">
        <v>4.09</v>
      </c>
    </row>
    <row r="1230" spans="1:3" x14ac:dyDescent="0.3">
      <c r="A1230" s="4">
        <v>45505</v>
      </c>
      <c r="B1230" s="5">
        <v>2.1297000000000001</v>
      </c>
      <c r="C1230" s="5">
        <v>3.99</v>
      </c>
    </row>
    <row r="1231" spans="1:3" x14ac:dyDescent="0.3">
      <c r="A1231" s="4">
        <v>45506</v>
      </c>
      <c r="B1231" s="5">
        <v>2.1276999999999999</v>
      </c>
      <c r="C1231" s="5">
        <v>3.8</v>
      </c>
    </row>
    <row r="1232" spans="1:3" x14ac:dyDescent="0.3">
      <c r="A1232" s="4">
        <v>45509</v>
      </c>
      <c r="B1232" s="5">
        <v>2.1375999999999999</v>
      </c>
      <c r="C1232" s="5">
        <v>3.78</v>
      </c>
    </row>
    <row r="1233" spans="1:3" x14ac:dyDescent="0.3">
      <c r="A1233" s="4">
        <v>45510</v>
      </c>
      <c r="B1233" s="5">
        <v>2.1490999999999998</v>
      </c>
      <c r="C1233" s="5">
        <v>3.9</v>
      </c>
    </row>
    <row r="1234" spans="1:3" x14ac:dyDescent="0.3">
      <c r="A1234" s="4">
        <v>45511</v>
      </c>
      <c r="B1234" s="5">
        <v>2.1414</v>
      </c>
      <c r="C1234" s="5">
        <v>3.96</v>
      </c>
    </row>
    <row r="1235" spans="1:3" x14ac:dyDescent="0.3">
      <c r="A1235" s="4">
        <v>45512</v>
      </c>
      <c r="B1235" s="5">
        <v>2.181</v>
      </c>
      <c r="C1235" s="5">
        <v>3.99</v>
      </c>
    </row>
    <row r="1236" spans="1:3" x14ac:dyDescent="0.3">
      <c r="A1236" s="4">
        <v>45513</v>
      </c>
      <c r="B1236" s="5">
        <v>2.1985999999999999</v>
      </c>
      <c r="C1236" s="5">
        <v>3.94</v>
      </c>
    </row>
    <row r="1237" spans="1:3" x14ac:dyDescent="0.3">
      <c r="A1237" s="4">
        <v>45516</v>
      </c>
      <c r="B1237" s="5">
        <v>2.2507999999999999</v>
      </c>
      <c r="C1237" s="5">
        <v>3.9</v>
      </c>
    </row>
    <row r="1238" spans="1:3" x14ac:dyDescent="0.3">
      <c r="A1238" s="4">
        <v>45517</v>
      </c>
      <c r="B1238" s="5">
        <v>2.2254999999999998</v>
      </c>
      <c r="C1238" s="5">
        <v>3.85</v>
      </c>
    </row>
    <row r="1239" spans="1:3" x14ac:dyDescent="0.3">
      <c r="A1239" s="4">
        <v>45518</v>
      </c>
      <c r="B1239" s="5">
        <v>2.1966000000000001</v>
      </c>
      <c r="C1239" s="5">
        <v>3.83</v>
      </c>
    </row>
    <row r="1240" spans="1:3" x14ac:dyDescent="0.3">
      <c r="A1240" s="4">
        <v>45519</v>
      </c>
      <c r="B1240" s="5">
        <v>2.2050000000000001</v>
      </c>
      <c r="C1240" s="5">
        <v>3.92</v>
      </c>
    </row>
    <row r="1241" spans="1:3" x14ac:dyDescent="0.3">
      <c r="A1241" s="4">
        <v>45520</v>
      </c>
      <c r="B1241" s="5">
        <v>2.1978</v>
      </c>
      <c r="C1241" s="5">
        <v>3.89</v>
      </c>
    </row>
    <row r="1242" spans="1:3" x14ac:dyDescent="0.3">
      <c r="A1242" s="4">
        <v>45523</v>
      </c>
      <c r="B1242" s="5">
        <v>2.1816</v>
      </c>
      <c r="C1242" s="5">
        <v>3.86</v>
      </c>
    </row>
    <row r="1243" spans="1:3" x14ac:dyDescent="0.3">
      <c r="A1243" s="4">
        <v>45524</v>
      </c>
      <c r="B1243" s="5">
        <v>2.1709999999999998</v>
      </c>
      <c r="C1243" s="5">
        <v>3.82</v>
      </c>
    </row>
    <row r="1244" spans="1:3" x14ac:dyDescent="0.3">
      <c r="A1244" s="4">
        <v>45525</v>
      </c>
      <c r="B1244" s="5">
        <v>2.1669999999999998</v>
      </c>
      <c r="C1244" s="5">
        <v>3.79</v>
      </c>
    </row>
    <row r="1245" spans="1:3" x14ac:dyDescent="0.3">
      <c r="A1245" s="4">
        <v>45526</v>
      </c>
      <c r="B1245" s="5">
        <v>2.1581999999999999</v>
      </c>
      <c r="C1245" s="5">
        <v>3.86</v>
      </c>
    </row>
    <row r="1246" spans="1:3" x14ac:dyDescent="0.3">
      <c r="A1246" s="4">
        <v>45527</v>
      </c>
      <c r="B1246" s="5">
        <v>2.1547000000000001</v>
      </c>
      <c r="C1246" s="5">
        <v>3.81</v>
      </c>
    </row>
    <row r="1247" spans="1:3" x14ac:dyDescent="0.3">
      <c r="A1247" s="4">
        <v>45530</v>
      </c>
      <c r="B1247" s="5">
        <v>2.1627999999999998</v>
      </c>
      <c r="C1247" s="5">
        <v>3.82</v>
      </c>
    </row>
    <row r="1248" spans="1:3" x14ac:dyDescent="0.3">
      <c r="A1248" s="4">
        <v>45531</v>
      </c>
      <c r="B1248" s="5">
        <v>2.1903000000000001</v>
      </c>
      <c r="C1248" s="5">
        <v>3.83</v>
      </c>
    </row>
    <row r="1249" spans="1:3" x14ac:dyDescent="0.3">
      <c r="A1249" s="4">
        <v>45532</v>
      </c>
      <c r="B1249" s="5">
        <v>2.1673</v>
      </c>
      <c r="C1249" s="5">
        <v>3.84</v>
      </c>
    </row>
    <row r="1250" spans="1:3" x14ac:dyDescent="0.3">
      <c r="A1250" s="4">
        <v>45533</v>
      </c>
      <c r="B1250" s="5">
        <v>2.1703000000000001</v>
      </c>
      <c r="C1250" s="5">
        <v>3.87</v>
      </c>
    </row>
    <row r="1251" spans="1:3" x14ac:dyDescent="0.3">
      <c r="A1251" s="4">
        <v>45534</v>
      </c>
      <c r="B1251" s="5">
        <v>2.1703999999999999</v>
      </c>
      <c r="C1251" s="5">
        <v>3.91</v>
      </c>
    </row>
    <row r="1252" spans="1:3" x14ac:dyDescent="0.3">
      <c r="A1252" s="4">
        <v>45537</v>
      </c>
      <c r="B1252" s="5">
        <v>2.1457000000000002</v>
      </c>
      <c r="C1252" s="5"/>
    </row>
    <row r="1253" spans="1:3" x14ac:dyDescent="0.3">
      <c r="A1253" s="4">
        <v>45538</v>
      </c>
      <c r="B1253" s="5">
        <v>2.1432000000000002</v>
      </c>
      <c r="C1253" s="5">
        <v>3.84</v>
      </c>
    </row>
    <row r="1254" spans="1:3" x14ac:dyDescent="0.3">
      <c r="A1254" s="4">
        <v>45539</v>
      </c>
      <c r="B1254" s="5">
        <v>2.1335999999999999</v>
      </c>
      <c r="C1254" s="5">
        <v>3.77</v>
      </c>
    </row>
    <row r="1255" spans="1:3" x14ac:dyDescent="0.3">
      <c r="A1255" s="4">
        <v>45540</v>
      </c>
      <c r="B1255" s="5">
        <v>2.1337999999999999</v>
      </c>
      <c r="C1255" s="5">
        <v>3.73</v>
      </c>
    </row>
    <row r="1256" spans="1:3" x14ac:dyDescent="0.3">
      <c r="A1256" s="4">
        <v>45541</v>
      </c>
      <c r="B1256" s="5">
        <v>2.1387999999999998</v>
      </c>
      <c r="C1256" s="5">
        <v>3.72</v>
      </c>
    </row>
    <row r="1257" spans="1:3" x14ac:dyDescent="0.3">
      <c r="A1257" s="4">
        <v>45544</v>
      </c>
      <c r="B1257" s="5">
        <v>2.1267</v>
      </c>
      <c r="C1257" s="5">
        <v>3.7</v>
      </c>
    </row>
    <row r="1258" spans="1:3" x14ac:dyDescent="0.3">
      <c r="A1258" s="4">
        <v>45545</v>
      </c>
      <c r="B1258" s="5">
        <v>2.1143000000000001</v>
      </c>
      <c r="C1258" s="5">
        <v>3.65</v>
      </c>
    </row>
    <row r="1259" spans="1:3" x14ac:dyDescent="0.3">
      <c r="A1259" s="4">
        <v>45546</v>
      </c>
      <c r="B1259" s="5">
        <v>2.1044</v>
      </c>
      <c r="C1259" s="5">
        <v>3.65</v>
      </c>
    </row>
    <row r="1260" spans="1:3" x14ac:dyDescent="0.3">
      <c r="A1260" s="4">
        <v>45547</v>
      </c>
      <c r="B1260" s="5">
        <v>2.0998000000000001</v>
      </c>
      <c r="C1260" s="5">
        <v>3.68</v>
      </c>
    </row>
    <row r="1261" spans="1:3" x14ac:dyDescent="0.3">
      <c r="A1261" s="4">
        <v>45548</v>
      </c>
      <c r="B1261" s="5">
        <v>2.0724</v>
      </c>
      <c r="C1261" s="5">
        <v>3.66</v>
      </c>
    </row>
    <row r="1262" spans="1:3" x14ac:dyDescent="0.3">
      <c r="A1262" s="4">
        <v>45549</v>
      </c>
      <c r="B1262" s="5">
        <v>2.0425</v>
      </c>
      <c r="C1262" s="5"/>
    </row>
    <row r="1263" spans="1:3" x14ac:dyDescent="0.3">
      <c r="A1263" s="4">
        <v>45551</v>
      </c>
      <c r="B1263" s="5"/>
      <c r="C1263" s="5">
        <v>3.63</v>
      </c>
    </row>
    <row r="1264" spans="1:3" x14ac:dyDescent="0.3">
      <c r="A1264" s="4">
        <v>45552</v>
      </c>
      <c r="B1264" s="5"/>
      <c r="C1264" s="5">
        <v>3.65</v>
      </c>
    </row>
    <row r="1265" spans="1:3" x14ac:dyDescent="0.3">
      <c r="A1265" s="4">
        <v>45553</v>
      </c>
      <c r="B1265" s="5">
        <v>2.0402999999999998</v>
      </c>
      <c r="C1265" s="5">
        <v>3.7</v>
      </c>
    </row>
    <row r="1266" spans="1:3" x14ac:dyDescent="0.3">
      <c r="A1266" s="4">
        <v>45554</v>
      </c>
      <c r="B1266" s="5">
        <v>2.0449999999999999</v>
      </c>
      <c r="C1266" s="5">
        <v>3.73</v>
      </c>
    </row>
    <row r="1267" spans="1:3" x14ac:dyDescent="0.3">
      <c r="A1267" s="4">
        <v>45555</v>
      </c>
      <c r="B1267" s="5">
        <v>2.0430999999999999</v>
      </c>
      <c r="C1267" s="5">
        <v>3.73</v>
      </c>
    </row>
    <row r="1268" spans="1:3" x14ac:dyDescent="0.3">
      <c r="A1268" s="4">
        <v>45558</v>
      </c>
      <c r="B1268" s="5">
        <v>2.0381</v>
      </c>
      <c r="C1268" s="5">
        <v>3.75</v>
      </c>
    </row>
    <row r="1269" spans="1:3" x14ac:dyDescent="0.3">
      <c r="A1269" s="4">
        <v>45559</v>
      </c>
      <c r="B1269" s="5">
        <v>2.0728</v>
      </c>
      <c r="C1269" s="5">
        <v>3.74</v>
      </c>
    </row>
    <row r="1270" spans="1:3" x14ac:dyDescent="0.3">
      <c r="A1270" s="4">
        <v>45560</v>
      </c>
      <c r="B1270" s="5">
        <v>2.0436999999999999</v>
      </c>
      <c r="C1270" s="5">
        <v>3.79</v>
      </c>
    </row>
    <row r="1271" spans="1:3" x14ac:dyDescent="0.3">
      <c r="A1271" s="4">
        <v>45561</v>
      </c>
      <c r="B1271" s="5">
        <v>2.0787</v>
      </c>
      <c r="C1271" s="5">
        <v>3.79</v>
      </c>
    </row>
    <row r="1272" spans="1:3" x14ac:dyDescent="0.3">
      <c r="A1272" s="4">
        <v>45562</v>
      </c>
      <c r="B1272" s="5">
        <v>2.1714000000000002</v>
      </c>
      <c r="C1272" s="5">
        <v>3.75</v>
      </c>
    </row>
    <row r="1273" spans="1:3" x14ac:dyDescent="0.3">
      <c r="A1273" s="4">
        <v>45564</v>
      </c>
      <c r="B1273" s="5">
        <v>2.2534000000000001</v>
      </c>
      <c r="C1273" s="5"/>
    </row>
    <row r="1274" spans="1:3" x14ac:dyDescent="0.3">
      <c r="A1274" s="4">
        <v>45565</v>
      </c>
      <c r="B1274" s="5">
        <v>2.1518000000000002</v>
      </c>
      <c r="C1274" s="5">
        <v>3.81</v>
      </c>
    </row>
    <row r="1275" spans="1:3" x14ac:dyDescent="0.3">
      <c r="A1275" s="4">
        <v>45566</v>
      </c>
      <c r="B1275" s="5"/>
      <c r="C1275" s="5">
        <v>3.74</v>
      </c>
    </row>
    <row r="1276" spans="1:3" x14ac:dyDescent="0.3">
      <c r="A1276" s="4">
        <v>45567</v>
      </c>
      <c r="B1276" s="5"/>
      <c r="C1276" s="5">
        <v>3.79</v>
      </c>
    </row>
    <row r="1277" spans="1:3" x14ac:dyDescent="0.3">
      <c r="A1277" s="4">
        <v>45568</v>
      </c>
      <c r="B1277" s="5"/>
      <c r="C1277" s="5">
        <v>3.85</v>
      </c>
    </row>
    <row r="1278" spans="1:3" x14ac:dyDescent="0.3">
      <c r="A1278" s="4">
        <v>45569</v>
      </c>
      <c r="B1278" s="5"/>
      <c r="C1278" s="5">
        <v>3.98</v>
      </c>
    </row>
    <row r="1279" spans="1:3" x14ac:dyDescent="0.3">
      <c r="A1279" s="4">
        <v>45572</v>
      </c>
      <c r="B1279" s="5"/>
      <c r="C1279" s="5">
        <v>4.03</v>
      </c>
    </row>
    <row r="1280" spans="1:3" x14ac:dyDescent="0.3">
      <c r="A1280" s="4">
        <v>45573</v>
      </c>
      <c r="B1280" s="5">
        <v>2.1928000000000001</v>
      </c>
      <c r="C1280" s="5">
        <v>4.04</v>
      </c>
    </row>
    <row r="1281" spans="1:3" x14ac:dyDescent="0.3">
      <c r="A1281" s="4">
        <v>45574</v>
      </c>
      <c r="B1281" s="5">
        <v>2.1760000000000002</v>
      </c>
      <c r="C1281" s="5">
        <v>4.0599999999999996</v>
      </c>
    </row>
    <row r="1282" spans="1:3" x14ac:dyDescent="0.3">
      <c r="A1282" s="4">
        <v>45575</v>
      </c>
      <c r="B1282" s="5">
        <v>2.1440999999999999</v>
      </c>
      <c r="C1282" s="5">
        <v>4.09</v>
      </c>
    </row>
    <row r="1283" spans="1:3" x14ac:dyDescent="0.3">
      <c r="A1283" s="4">
        <v>45576</v>
      </c>
      <c r="B1283" s="5">
        <v>2.1392000000000002</v>
      </c>
      <c r="C1283" s="5">
        <v>4.08</v>
      </c>
    </row>
    <row r="1284" spans="1:3" x14ac:dyDescent="0.3">
      <c r="A1284" s="4">
        <v>45577</v>
      </c>
      <c r="B1284" s="5">
        <v>2.1440999999999999</v>
      </c>
      <c r="C1284" s="5"/>
    </row>
    <row r="1285" spans="1:3" x14ac:dyDescent="0.3">
      <c r="A1285" s="4">
        <v>45579</v>
      </c>
      <c r="B1285" s="5">
        <v>2.1368</v>
      </c>
      <c r="C1285" s="5"/>
    </row>
    <row r="1286" spans="1:3" x14ac:dyDescent="0.3">
      <c r="A1286" s="4">
        <v>45580</v>
      </c>
      <c r="B1286" s="5">
        <v>2.1254</v>
      </c>
      <c r="C1286" s="5">
        <v>4.03</v>
      </c>
    </row>
    <row r="1287" spans="1:3" x14ac:dyDescent="0.3">
      <c r="A1287" s="4">
        <v>45581</v>
      </c>
      <c r="B1287" s="5">
        <v>2.1331000000000002</v>
      </c>
      <c r="C1287" s="5">
        <v>4.0199999999999996</v>
      </c>
    </row>
    <row r="1288" spans="1:3" x14ac:dyDescent="0.3">
      <c r="A1288" s="4">
        <v>45582</v>
      </c>
      <c r="B1288" s="5">
        <v>2.1084000000000001</v>
      </c>
      <c r="C1288" s="5">
        <v>4.09</v>
      </c>
    </row>
    <row r="1289" spans="1:3" x14ac:dyDescent="0.3">
      <c r="A1289" s="4">
        <v>45583</v>
      </c>
      <c r="B1289" s="5">
        <v>2.1208999999999998</v>
      </c>
      <c r="C1289" s="5">
        <v>4.08</v>
      </c>
    </row>
    <row r="1290" spans="1:3" x14ac:dyDescent="0.3">
      <c r="A1290" s="4">
        <v>45586</v>
      </c>
      <c r="B1290" s="5">
        <v>2.1211000000000002</v>
      </c>
      <c r="C1290" s="5">
        <v>4.1900000000000004</v>
      </c>
    </row>
    <row r="1291" spans="1:3" x14ac:dyDescent="0.3">
      <c r="A1291" s="4">
        <v>45587</v>
      </c>
      <c r="B1291" s="5">
        <v>2.1457999999999999</v>
      </c>
      <c r="C1291" s="5">
        <v>4.2</v>
      </c>
    </row>
    <row r="1292" spans="1:3" x14ac:dyDescent="0.3">
      <c r="A1292" s="4">
        <v>45588</v>
      </c>
      <c r="B1292" s="5">
        <v>2.1558999999999999</v>
      </c>
      <c r="C1292" s="5">
        <v>4.24</v>
      </c>
    </row>
    <row r="1293" spans="1:3" x14ac:dyDescent="0.3">
      <c r="A1293" s="4">
        <v>45589</v>
      </c>
      <c r="B1293" s="5">
        <v>2.1661000000000001</v>
      </c>
      <c r="C1293" s="5">
        <v>4.21</v>
      </c>
    </row>
    <row r="1294" spans="1:3" x14ac:dyDescent="0.3">
      <c r="A1294" s="4">
        <v>45590</v>
      </c>
      <c r="B1294" s="5">
        <v>2.1539000000000001</v>
      </c>
      <c r="C1294" s="5">
        <v>4.25</v>
      </c>
    </row>
    <row r="1295" spans="1:3" x14ac:dyDescent="0.3">
      <c r="A1295" s="4">
        <v>45593</v>
      </c>
      <c r="B1295" s="5">
        <v>2.1617000000000002</v>
      </c>
      <c r="C1295" s="5">
        <v>4.28</v>
      </c>
    </row>
    <row r="1296" spans="1:3" x14ac:dyDescent="0.3">
      <c r="A1296" s="4">
        <v>45594</v>
      </c>
      <c r="B1296" s="5">
        <v>2.1598000000000002</v>
      </c>
      <c r="C1296" s="5">
        <v>4.28</v>
      </c>
    </row>
    <row r="1297" spans="1:3" x14ac:dyDescent="0.3">
      <c r="A1297" s="4">
        <v>45595</v>
      </c>
      <c r="B1297" s="5">
        <v>2.1597</v>
      </c>
      <c r="C1297" s="5">
        <v>4.29</v>
      </c>
    </row>
    <row r="1298" spans="1:3" x14ac:dyDescent="0.3">
      <c r="A1298" s="4">
        <v>45596</v>
      </c>
      <c r="B1298" s="5">
        <v>2.1476000000000002</v>
      </c>
      <c r="C1298" s="5">
        <v>4.28</v>
      </c>
    </row>
    <row r="1299" spans="1:3" x14ac:dyDescent="0.3">
      <c r="A1299" s="4">
        <v>45597</v>
      </c>
      <c r="B1299" s="5">
        <v>2.1406000000000001</v>
      </c>
      <c r="C1299" s="5">
        <v>4.37</v>
      </c>
    </row>
    <row r="1300" spans="1:3" x14ac:dyDescent="0.3">
      <c r="A1300" s="4">
        <v>45600</v>
      </c>
      <c r="B1300" s="5">
        <v>2.1274999999999999</v>
      </c>
      <c r="C1300" s="5">
        <v>4.3099999999999996</v>
      </c>
    </row>
    <row r="1301" spans="1:3" x14ac:dyDescent="0.3">
      <c r="A1301" s="4">
        <v>45601</v>
      </c>
      <c r="B1301" s="5">
        <v>2.1105999999999998</v>
      </c>
      <c r="C1301" s="5">
        <v>4.26</v>
      </c>
    </row>
    <row r="1302" spans="1:3" x14ac:dyDescent="0.3">
      <c r="A1302" s="4">
        <v>45602</v>
      </c>
      <c r="B1302" s="5">
        <v>2.1234000000000002</v>
      </c>
      <c r="C1302" s="5">
        <v>4.42</v>
      </c>
    </row>
    <row r="1303" spans="1:3" x14ac:dyDescent="0.3">
      <c r="A1303" s="4">
        <v>45603</v>
      </c>
      <c r="B1303" s="5">
        <v>2.1114999999999999</v>
      </c>
      <c r="C1303" s="5">
        <v>4.3099999999999996</v>
      </c>
    </row>
    <row r="1304" spans="1:3" x14ac:dyDescent="0.3">
      <c r="A1304" s="4">
        <v>45604</v>
      </c>
      <c r="B1304" s="5">
        <v>2.1067</v>
      </c>
      <c r="C1304" s="5">
        <v>4.3</v>
      </c>
    </row>
    <row r="1305" spans="1:3" x14ac:dyDescent="0.3">
      <c r="A1305" s="4">
        <v>45607</v>
      </c>
      <c r="B1305" s="5">
        <v>2.0920000000000001</v>
      </c>
      <c r="C1305" s="5"/>
    </row>
    <row r="1306" spans="1:3" x14ac:dyDescent="0.3">
      <c r="A1306" s="4">
        <v>45608</v>
      </c>
      <c r="B1306" s="5">
        <v>2.0729000000000002</v>
      </c>
      <c r="C1306" s="5">
        <v>4.43</v>
      </c>
    </row>
    <row r="1307" spans="1:3" x14ac:dyDescent="0.3">
      <c r="A1307" s="4">
        <v>45609</v>
      </c>
      <c r="B1307" s="5">
        <v>2.0876000000000001</v>
      </c>
      <c r="C1307" s="5">
        <v>4.4400000000000004</v>
      </c>
    </row>
    <row r="1308" spans="1:3" x14ac:dyDescent="0.3">
      <c r="A1308" s="4">
        <v>45610</v>
      </c>
      <c r="B1308" s="5">
        <v>2.0808</v>
      </c>
      <c r="C1308" s="5">
        <v>4.43</v>
      </c>
    </row>
    <row r="1309" spans="1:3" x14ac:dyDescent="0.3">
      <c r="A1309" s="4">
        <v>45611</v>
      </c>
      <c r="B1309" s="5">
        <v>2.0948000000000002</v>
      </c>
      <c r="C1309" s="5">
        <v>4.43</v>
      </c>
    </row>
    <row r="1310" spans="1:3" x14ac:dyDescent="0.3">
      <c r="A1310" s="4">
        <v>45614</v>
      </c>
      <c r="B1310" s="5">
        <v>2.1116999999999999</v>
      </c>
      <c r="C1310" s="5">
        <v>4.42</v>
      </c>
    </row>
    <row r="1311" spans="1:3" x14ac:dyDescent="0.3">
      <c r="A1311" s="4">
        <v>45615</v>
      </c>
      <c r="B1311" s="5">
        <v>2.0947</v>
      </c>
      <c r="C1311" s="5">
        <v>4.3899999999999997</v>
      </c>
    </row>
    <row r="1312" spans="1:3" x14ac:dyDescent="0.3">
      <c r="A1312" s="4">
        <v>45616</v>
      </c>
      <c r="B1312" s="5">
        <v>2.1025</v>
      </c>
      <c r="C1312" s="5">
        <v>4.41</v>
      </c>
    </row>
    <row r="1313" spans="1:3" x14ac:dyDescent="0.3">
      <c r="A1313" s="4">
        <v>45617</v>
      </c>
      <c r="B1313" s="5">
        <v>2.0842999999999998</v>
      </c>
      <c r="C1313" s="5">
        <v>4.43</v>
      </c>
    </row>
    <row r="1314" spans="1:3" x14ac:dyDescent="0.3">
      <c r="A1314" s="4">
        <v>45618</v>
      </c>
      <c r="B1314" s="5">
        <v>2.0832000000000002</v>
      </c>
      <c r="C1314" s="5">
        <v>4.41</v>
      </c>
    </row>
    <row r="1315" spans="1:3" x14ac:dyDescent="0.3">
      <c r="A1315" s="4">
        <v>45621</v>
      </c>
      <c r="B1315" s="5">
        <v>2.0682</v>
      </c>
      <c r="C1315" s="5">
        <v>4.2699999999999996</v>
      </c>
    </row>
    <row r="1316" spans="1:3" x14ac:dyDescent="0.3">
      <c r="A1316" s="4">
        <v>45622</v>
      </c>
      <c r="B1316" s="5">
        <v>2.0657000000000001</v>
      </c>
      <c r="C1316" s="5">
        <v>4.3</v>
      </c>
    </row>
    <row r="1317" spans="1:3" x14ac:dyDescent="0.3">
      <c r="A1317" s="4">
        <v>45623</v>
      </c>
      <c r="B1317" s="5">
        <v>2.0552999999999999</v>
      </c>
      <c r="C1317" s="5">
        <v>4.25</v>
      </c>
    </row>
    <row r="1318" spans="1:3" x14ac:dyDescent="0.3">
      <c r="A1318" s="4">
        <v>45624</v>
      </c>
      <c r="B1318" s="5">
        <v>2.0304000000000002</v>
      </c>
      <c r="C1318" s="5"/>
    </row>
    <row r="1319" spans="1:3" x14ac:dyDescent="0.3">
      <c r="A1319" s="4">
        <v>45625</v>
      </c>
      <c r="B1319" s="5">
        <v>2.0206</v>
      </c>
      <c r="C1319" s="5">
        <v>4.18</v>
      </c>
    </row>
    <row r="1320" spans="1:3" x14ac:dyDescent="0.3">
      <c r="A1320" s="4">
        <v>45628</v>
      </c>
      <c r="B1320" s="5">
        <v>1.9810000000000001</v>
      </c>
      <c r="C1320" s="5">
        <v>4.1900000000000004</v>
      </c>
    </row>
    <row r="1321" spans="1:3" x14ac:dyDescent="0.3">
      <c r="A1321" s="4">
        <v>45629</v>
      </c>
      <c r="B1321" s="5">
        <v>1.9885999999999999</v>
      </c>
      <c r="C1321" s="5">
        <v>4.2300000000000004</v>
      </c>
    </row>
    <row r="1322" spans="1:3" x14ac:dyDescent="0.3">
      <c r="A1322" s="4">
        <v>45630</v>
      </c>
      <c r="B1322" s="5">
        <v>1.9612000000000001</v>
      </c>
      <c r="C1322" s="5">
        <v>4.1900000000000004</v>
      </c>
    </row>
    <row r="1323" spans="1:3" x14ac:dyDescent="0.3">
      <c r="A1323" s="4">
        <v>45631</v>
      </c>
      <c r="B1323" s="5">
        <v>1.9461999999999999</v>
      </c>
      <c r="C1323" s="5">
        <v>4.17</v>
      </c>
    </row>
    <row r="1324" spans="1:3" x14ac:dyDescent="0.3">
      <c r="A1324" s="4">
        <v>45632</v>
      </c>
      <c r="B1324" s="5">
        <v>1.9539</v>
      </c>
      <c r="C1324" s="5">
        <v>4.1500000000000004</v>
      </c>
    </row>
    <row r="1325" spans="1:3" x14ac:dyDescent="0.3">
      <c r="A1325" s="4">
        <v>45635</v>
      </c>
      <c r="B1325" s="5">
        <v>1.9168000000000001</v>
      </c>
      <c r="C1325" s="5">
        <v>4.2</v>
      </c>
    </row>
    <row r="1326" spans="1:3" x14ac:dyDescent="0.3">
      <c r="A1326" s="4">
        <v>45636</v>
      </c>
      <c r="B1326" s="5">
        <v>1.8468</v>
      </c>
      <c r="C1326" s="5">
        <v>4.22</v>
      </c>
    </row>
    <row r="1327" spans="1:3" x14ac:dyDescent="0.3">
      <c r="A1327" s="4">
        <v>45637</v>
      </c>
      <c r="B1327" s="5">
        <v>1.8218000000000001</v>
      </c>
      <c r="C1327" s="5">
        <v>4.26</v>
      </c>
    </row>
    <row r="1328" spans="1:3" x14ac:dyDescent="0.3">
      <c r="A1328" s="4">
        <v>45638</v>
      </c>
      <c r="B1328" s="5">
        <v>1.8171999999999999</v>
      </c>
      <c r="C1328" s="5">
        <v>4.32</v>
      </c>
    </row>
    <row r="1329" spans="1:3" x14ac:dyDescent="0.3">
      <c r="A1329" s="4">
        <v>45639</v>
      </c>
      <c r="B1329" s="5">
        <v>1.7770999999999999</v>
      </c>
      <c r="C1329" s="5">
        <v>4.4000000000000004</v>
      </c>
    </row>
    <row r="1330" spans="1:3" x14ac:dyDescent="0.3">
      <c r="A1330" s="4">
        <v>45642</v>
      </c>
      <c r="B1330" s="5">
        <v>1.7215</v>
      </c>
      <c r="C1330" s="5">
        <v>4.3899999999999997</v>
      </c>
    </row>
    <row r="1331" spans="1:3" x14ac:dyDescent="0.3">
      <c r="A1331" s="4">
        <v>45643</v>
      </c>
      <c r="B1331" s="5">
        <v>1.7237</v>
      </c>
      <c r="C1331" s="5">
        <v>4.4000000000000004</v>
      </c>
    </row>
    <row r="1332" spans="1:3" x14ac:dyDescent="0.3">
      <c r="A1332" s="4">
        <v>45644</v>
      </c>
      <c r="B1332" s="5">
        <v>1.7564</v>
      </c>
      <c r="C1332" s="5">
        <v>4.5</v>
      </c>
    </row>
    <row r="1333" spans="1:3" x14ac:dyDescent="0.3">
      <c r="A1333" s="4">
        <v>45645</v>
      </c>
      <c r="B1333" s="5">
        <v>1.7417</v>
      </c>
      <c r="C1333" s="5">
        <v>4.57</v>
      </c>
    </row>
    <row r="1334" spans="1:3" x14ac:dyDescent="0.3">
      <c r="A1334" s="4">
        <v>45646</v>
      </c>
      <c r="B1334" s="5">
        <v>1.7018</v>
      </c>
      <c r="C1334" s="5">
        <v>4.5199999999999996</v>
      </c>
    </row>
    <row r="1335" spans="1:3" x14ac:dyDescent="0.3">
      <c r="A1335" s="4">
        <v>45649</v>
      </c>
      <c r="B1335" s="5">
        <v>1.7019</v>
      </c>
      <c r="C1335" s="5">
        <v>4.59</v>
      </c>
    </row>
    <row r="1336" spans="1:3" x14ac:dyDescent="0.3">
      <c r="A1336" s="4">
        <v>45650</v>
      </c>
      <c r="B1336" s="5">
        <v>1.7165999999999999</v>
      </c>
      <c r="C1336" s="5">
        <v>4.59</v>
      </c>
    </row>
    <row r="1337" spans="1:3" x14ac:dyDescent="0.3">
      <c r="A1337" s="4">
        <v>45651</v>
      </c>
      <c r="B1337" s="5">
        <v>1.7364999999999999</v>
      </c>
      <c r="C1337" s="5"/>
    </row>
    <row r="1338" spans="1:3" x14ac:dyDescent="0.3">
      <c r="A1338" s="4">
        <v>45652</v>
      </c>
      <c r="B1338" s="5">
        <v>1.7121999999999999</v>
      </c>
      <c r="C1338" s="5">
        <v>4.58</v>
      </c>
    </row>
    <row r="1339" spans="1:3" x14ac:dyDescent="0.3">
      <c r="A1339" s="4">
        <v>45653</v>
      </c>
      <c r="B1339" s="5">
        <v>1.6929000000000001</v>
      </c>
      <c r="C1339" s="5">
        <v>4.62</v>
      </c>
    </row>
    <row r="1340" spans="1:3" x14ac:dyDescent="0.3">
      <c r="A1340" s="4">
        <v>45656</v>
      </c>
      <c r="B1340" s="5">
        <v>1.7128000000000001</v>
      </c>
      <c r="C1340" s="5">
        <v>4.55</v>
      </c>
    </row>
    <row r="1341" spans="1:3" x14ac:dyDescent="0.3">
      <c r="A1341" s="4">
        <v>45657</v>
      </c>
      <c r="B1341" s="5">
        <v>1.6752</v>
      </c>
      <c r="C1341" s="5">
        <v>4.58</v>
      </c>
    </row>
    <row r="1342" spans="1:3" x14ac:dyDescent="0.3">
      <c r="A1342" s="4">
        <v>45659</v>
      </c>
      <c r="B1342" s="5">
        <v>1.6076999999999999</v>
      </c>
      <c r="C1342" s="5">
        <v>4.57</v>
      </c>
    </row>
    <row r="1343" spans="1:3" x14ac:dyDescent="0.3">
      <c r="A1343" s="4">
        <v>45660</v>
      </c>
      <c r="B1343" s="5">
        <v>1.6041000000000001</v>
      </c>
      <c r="C1343" s="5">
        <v>4.5999999999999996</v>
      </c>
    </row>
    <row r="1344" spans="1:3" x14ac:dyDescent="0.3">
      <c r="A1344" s="4">
        <v>45663</v>
      </c>
      <c r="B1344" s="5">
        <v>1.5966</v>
      </c>
      <c r="C1344" s="5">
        <v>4.62</v>
      </c>
    </row>
    <row r="1345" spans="1:3" x14ac:dyDescent="0.3">
      <c r="A1345" s="4">
        <v>45664</v>
      </c>
      <c r="B1345" s="5">
        <v>1.6093</v>
      </c>
      <c r="C1345" s="5">
        <v>4.67</v>
      </c>
    </row>
    <row r="1346" spans="1:3" x14ac:dyDescent="0.3">
      <c r="A1346" s="4">
        <v>45665</v>
      </c>
      <c r="B1346" s="5">
        <v>1.6069</v>
      </c>
      <c r="C1346" s="5">
        <v>4.67</v>
      </c>
    </row>
    <row r="1347" spans="1:3" x14ac:dyDescent="0.3">
      <c r="A1347" s="4">
        <v>45666</v>
      </c>
      <c r="B1347" s="5">
        <v>1.6368</v>
      </c>
      <c r="C1347" s="5">
        <v>4.68</v>
      </c>
    </row>
    <row r="1348" spans="1:3" x14ac:dyDescent="0.3">
      <c r="A1348" s="4">
        <v>45667</v>
      </c>
      <c r="B1348" s="5">
        <v>1.6337999999999999</v>
      </c>
      <c r="C1348" s="5">
        <v>4.7699999999999996</v>
      </c>
    </row>
    <row r="1349" spans="1:3" x14ac:dyDescent="0.3">
      <c r="A1349" s="4">
        <v>45670</v>
      </c>
      <c r="B1349" s="5">
        <v>1.6592</v>
      </c>
      <c r="C1349" s="5">
        <v>4.79</v>
      </c>
    </row>
    <row r="1350" spans="1:3" x14ac:dyDescent="0.3">
      <c r="A1350" s="4">
        <v>45671</v>
      </c>
      <c r="B1350" s="5">
        <v>1.6446000000000001</v>
      </c>
      <c r="C1350" s="5">
        <v>4.78</v>
      </c>
    </row>
    <row r="1351" spans="1:3" x14ac:dyDescent="0.3">
      <c r="A1351" s="4">
        <v>45672</v>
      </c>
      <c r="B1351" s="5">
        <v>1.633</v>
      </c>
      <c r="C1351" s="5">
        <v>4.66</v>
      </c>
    </row>
    <row r="1352" spans="1:3" x14ac:dyDescent="0.3">
      <c r="A1352" s="4">
        <v>45673</v>
      </c>
      <c r="B1352" s="5">
        <v>1.6394</v>
      </c>
      <c r="C1352" s="5">
        <v>4.6100000000000003</v>
      </c>
    </row>
    <row r="1353" spans="1:3" x14ac:dyDescent="0.3">
      <c r="A1353" s="4">
        <v>45674</v>
      </c>
      <c r="B1353" s="5">
        <v>1.6593</v>
      </c>
      <c r="C1353" s="5">
        <v>4.6100000000000003</v>
      </c>
    </row>
    <row r="1354" spans="1:3" x14ac:dyDescent="0.3">
      <c r="A1354" s="4">
        <v>45677</v>
      </c>
      <c r="B1354" s="5">
        <v>1.6747000000000001</v>
      </c>
      <c r="C1354" s="5"/>
    </row>
    <row r="1355" spans="1:3" x14ac:dyDescent="0.3">
      <c r="A1355" s="4">
        <v>45678</v>
      </c>
      <c r="B1355" s="5">
        <v>1.6496</v>
      </c>
      <c r="C1355" s="5">
        <v>4.57</v>
      </c>
    </row>
    <row r="1356" spans="1:3" x14ac:dyDescent="0.3">
      <c r="A1356" s="4">
        <v>45679</v>
      </c>
      <c r="B1356" s="5">
        <v>1.6601999999999999</v>
      </c>
      <c r="C1356" s="5">
        <v>4.5999999999999996</v>
      </c>
    </row>
    <row r="1357" spans="1:3" x14ac:dyDescent="0.3">
      <c r="A1357" s="4">
        <v>45680</v>
      </c>
      <c r="B1357" s="5">
        <v>1.6645000000000001</v>
      </c>
      <c r="C1357" s="5">
        <v>4.6500000000000004</v>
      </c>
    </row>
    <row r="1358" spans="1:3" x14ac:dyDescent="0.3">
      <c r="A1358" s="4">
        <v>45681</v>
      </c>
      <c r="B1358" s="5">
        <v>1.6565000000000001</v>
      </c>
      <c r="C1358" s="5">
        <v>4.63</v>
      </c>
    </row>
    <row r="1359" spans="1:3" x14ac:dyDescent="0.3">
      <c r="A1359" s="4">
        <v>45683</v>
      </c>
      <c r="B1359" s="5">
        <v>1.6536999999999999</v>
      </c>
      <c r="C1359" s="5"/>
    </row>
    <row r="1360" spans="1:3" x14ac:dyDescent="0.3">
      <c r="A1360" s="4">
        <v>45684</v>
      </c>
      <c r="B1360" s="5">
        <v>1.6298999999999999</v>
      </c>
      <c r="C1360" s="5">
        <v>4.53</v>
      </c>
    </row>
    <row r="1361" spans="1:3" x14ac:dyDescent="0.3">
      <c r="A1361" s="4">
        <v>45685</v>
      </c>
      <c r="B1361" s="5"/>
      <c r="C1361" s="5">
        <v>4.55</v>
      </c>
    </row>
    <row r="1362" spans="1:3" x14ac:dyDescent="0.3">
      <c r="A1362" s="4">
        <v>45686</v>
      </c>
      <c r="B1362" s="5"/>
      <c r="C1362" s="5">
        <v>4.55</v>
      </c>
    </row>
    <row r="1363" spans="1:3" x14ac:dyDescent="0.3">
      <c r="A1363" s="4">
        <v>45687</v>
      </c>
      <c r="B1363" s="5"/>
      <c r="C1363" s="5">
        <v>4.5199999999999996</v>
      </c>
    </row>
    <row r="1364" spans="1:3" x14ac:dyDescent="0.3">
      <c r="A1364" s="4">
        <v>45688</v>
      </c>
      <c r="B1364" s="5"/>
      <c r="C1364" s="5">
        <v>4.58</v>
      </c>
    </row>
    <row r="1365" spans="1:3" x14ac:dyDescent="0.3">
      <c r="A1365" s="4">
        <v>45691</v>
      </c>
      <c r="B1365" s="5"/>
      <c r="C1365" s="5">
        <v>4.54</v>
      </c>
    </row>
    <row r="1366" spans="1:3" x14ac:dyDescent="0.3">
      <c r="A1366" s="4">
        <v>45692</v>
      </c>
      <c r="B1366" s="5"/>
      <c r="C1366" s="5">
        <v>4.5199999999999996</v>
      </c>
    </row>
    <row r="1367" spans="1:3" x14ac:dyDescent="0.3">
      <c r="A1367" s="4">
        <v>45693</v>
      </c>
      <c r="B1367" s="5">
        <v>1.6207</v>
      </c>
      <c r="C1367" s="5">
        <v>4.43</v>
      </c>
    </row>
    <row r="1368" spans="1:3" x14ac:dyDescent="0.3">
      <c r="A1368" s="4">
        <v>45694</v>
      </c>
      <c r="B1368" s="5">
        <v>1.5958000000000001</v>
      </c>
      <c r="C1368" s="5">
        <v>4.45</v>
      </c>
    </row>
    <row r="1369" spans="1:3" x14ac:dyDescent="0.3">
      <c r="A1369" s="4">
        <v>45695</v>
      </c>
      <c r="B1369" s="5">
        <v>1.6032</v>
      </c>
      <c r="C1369" s="5">
        <v>4.49</v>
      </c>
    </row>
    <row r="1370" spans="1:3" x14ac:dyDescent="0.3">
      <c r="A1370" s="4">
        <v>45696</v>
      </c>
      <c r="B1370" s="5">
        <v>1.6056999999999999</v>
      </c>
      <c r="C1370" s="5"/>
    </row>
    <row r="1371" spans="1:3" x14ac:dyDescent="0.3">
      <c r="A1371" s="4">
        <v>45698</v>
      </c>
      <c r="B1371" s="5">
        <v>1.6342000000000001</v>
      </c>
      <c r="C1371" s="5">
        <v>4.51</v>
      </c>
    </row>
    <row r="1372" spans="1:3" x14ac:dyDescent="0.3">
      <c r="A1372" s="4">
        <v>45699</v>
      </c>
      <c r="B1372" s="5">
        <v>1.6274</v>
      </c>
      <c r="C1372" s="5">
        <v>4.54</v>
      </c>
    </row>
    <row r="1373" spans="1:3" x14ac:dyDescent="0.3">
      <c r="A1373" s="4">
        <v>45700</v>
      </c>
      <c r="B1373" s="5">
        <v>1.6335999999999999</v>
      </c>
      <c r="C1373" s="5">
        <v>4.62</v>
      </c>
    </row>
    <row r="1374" spans="1:3" x14ac:dyDescent="0.3">
      <c r="A1374" s="4">
        <v>45701</v>
      </c>
      <c r="B1374" s="5">
        <v>1.6346000000000001</v>
      </c>
      <c r="C1374" s="5">
        <v>4.5199999999999996</v>
      </c>
    </row>
    <row r="1375" spans="1:3" x14ac:dyDescent="0.3">
      <c r="A1375" s="4">
        <v>45702</v>
      </c>
      <c r="B1375" s="5">
        <v>1.6546000000000001</v>
      </c>
      <c r="C1375" s="5">
        <v>4.47</v>
      </c>
    </row>
    <row r="1376" spans="1:3" x14ac:dyDescent="0.3">
      <c r="A1376" s="4">
        <v>45705</v>
      </c>
      <c r="B1376" s="5">
        <v>1.6934</v>
      </c>
      <c r="C1376" s="5"/>
    </row>
    <row r="1377" spans="1:3" x14ac:dyDescent="0.3">
      <c r="A1377" s="4">
        <v>45706</v>
      </c>
      <c r="B1377" s="5">
        <v>1.7005999999999999</v>
      </c>
      <c r="C1377" s="5">
        <v>4.55</v>
      </c>
    </row>
    <row r="1378" spans="1:3" x14ac:dyDescent="0.3">
      <c r="A1378" s="4">
        <v>45707</v>
      </c>
      <c r="B1378" s="5">
        <v>1.6626000000000001</v>
      </c>
      <c r="C1378" s="5">
        <v>4.53</v>
      </c>
    </row>
    <row r="1379" spans="1:3" x14ac:dyDescent="0.3">
      <c r="A1379" s="4">
        <v>45708</v>
      </c>
      <c r="B1379" s="5">
        <v>1.6850000000000001</v>
      </c>
      <c r="C1379" s="5">
        <v>4.5</v>
      </c>
    </row>
    <row r="1380" spans="1:3" x14ac:dyDescent="0.3">
      <c r="A1380" s="4">
        <v>45709</v>
      </c>
      <c r="B1380" s="5">
        <v>1.72</v>
      </c>
      <c r="C1380" s="5">
        <v>4.42</v>
      </c>
    </row>
    <row r="1381" spans="1:3" x14ac:dyDescent="0.3">
      <c r="A1381" s="4">
        <v>45712</v>
      </c>
      <c r="B1381" s="5">
        <v>1.7625</v>
      </c>
      <c r="C1381" s="5">
        <v>4.4000000000000004</v>
      </c>
    </row>
    <row r="1382" spans="1:3" x14ac:dyDescent="0.3">
      <c r="A1382" s="4">
        <v>45713</v>
      </c>
      <c r="B1382" s="5">
        <v>1.7275</v>
      </c>
      <c r="C1382" s="5">
        <v>4.3</v>
      </c>
    </row>
    <row r="1383" spans="1:3" x14ac:dyDescent="0.3">
      <c r="A1383" s="4">
        <v>45714</v>
      </c>
      <c r="B1383" s="5">
        <v>1.7251000000000001</v>
      </c>
      <c r="C1383" s="5">
        <v>4.25</v>
      </c>
    </row>
    <row r="1384" spans="1:3" x14ac:dyDescent="0.3">
      <c r="A1384" s="4">
        <v>45715</v>
      </c>
      <c r="B1384" s="5">
        <v>1.7576000000000001</v>
      </c>
      <c r="C1384" s="5">
        <v>4.29</v>
      </c>
    </row>
    <row r="1385" spans="1:3" x14ac:dyDescent="0.3">
      <c r="A1385" s="4">
        <v>45716</v>
      </c>
      <c r="B1385" s="5">
        <v>1.7152000000000001</v>
      </c>
      <c r="C1385" s="5">
        <v>4.24</v>
      </c>
    </row>
    <row r="1386" spans="1:3" x14ac:dyDescent="0.3">
      <c r="A1386" s="4">
        <v>45719</v>
      </c>
      <c r="B1386" s="5">
        <v>1.6955</v>
      </c>
      <c r="C1386" s="5">
        <v>4.16</v>
      </c>
    </row>
    <row r="1387" spans="1:3" x14ac:dyDescent="0.3">
      <c r="A1387" s="4">
        <v>45720</v>
      </c>
      <c r="B1387" s="5">
        <v>1.7079</v>
      </c>
      <c r="C1387" s="5">
        <v>4.22</v>
      </c>
    </row>
    <row r="1388" spans="1:3" x14ac:dyDescent="0.3">
      <c r="A1388" s="4">
        <v>45721</v>
      </c>
      <c r="B1388" s="5">
        <v>1.7082999999999999</v>
      </c>
      <c r="C1388" s="5">
        <v>4.28</v>
      </c>
    </row>
    <row r="1389" spans="1:3" x14ac:dyDescent="0.3">
      <c r="A1389" s="4">
        <v>45722</v>
      </c>
      <c r="B1389" s="5">
        <v>1.7455000000000001</v>
      </c>
      <c r="C1389" s="5">
        <v>4.29</v>
      </c>
    </row>
    <row r="1390" spans="1:3" x14ac:dyDescent="0.3">
      <c r="A1390" s="4">
        <v>45723</v>
      </c>
      <c r="B1390" s="5">
        <v>1.8002</v>
      </c>
      <c r="C1390" s="5">
        <v>4.32</v>
      </c>
    </row>
    <row r="1391" spans="1:3" x14ac:dyDescent="0.3">
      <c r="A1391" s="4">
        <v>45726</v>
      </c>
      <c r="B1391" s="5">
        <v>1.8128</v>
      </c>
      <c r="C1391" s="5">
        <v>4.22</v>
      </c>
    </row>
    <row r="1392" spans="1:3" x14ac:dyDescent="0.3">
      <c r="A1392" s="4">
        <v>45727</v>
      </c>
      <c r="B1392" s="5">
        <v>1.8853</v>
      </c>
      <c r="C1392" s="5">
        <v>4.28</v>
      </c>
    </row>
    <row r="1393" spans="1:3" x14ac:dyDescent="0.3">
      <c r="A1393" s="4">
        <v>45728</v>
      </c>
      <c r="B1393" s="5">
        <v>1.8333999999999999</v>
      </c>
      <c r="C1393" s="5">
        <v>4.32</v>
      </c>
    </row>
    <row r="1394" spans="1:3" x14ac:dyDescent="0.3">
      <c r="A1394" s="4">
        <v>45729</v>
      </c>
      <c r="B1394" s="5">
        <v>1.8565</v>
      </c>
      <c r="C1394" s="5">
        <v>4.2699999999999996</v>
      </c>
    </row>
    <row r="1395" spans="1:3" x14ac:dyDescent="0.3">
      <c r="A1395" s="4">
        <v>45730</v>
      </c>
      <c r="B1395" s="5">
        <v>1.8317000000000001</v>
      </c>
      <c r="C1395" s="5">
        <v>4.3099999999999996</v>
      </c>
    </row>
    <row r="1396" spans="1:3" x14ac:dyDescent="0.3">
      <c r="A1396" s="4">
        <v>45733</v>
      </c>
      <c r="B1396" s="5">
        <v>1.8956999999999999</v>
      </c>
      <c r="C1396" s="5">
        <v>4.3099999999999996</v>
      </c>
    </row>
    <row r="1397" spans="1:3" x14ac:dyDescent="0.3">
      <c r="A1397" s="4">
        <v>45734</v>
      </c>
      <c r="B1397" s="5">
        <v>1.8885000000000001</v>
      </c>
      <c r="C1397" s="5">
        <v>4.29</v>
      </c>
    </row>
    <row r="1398" spans="1:3" x14ac:dyDescent="0.3">
      <c r="A1398" s="4">
        <v>45735</v>
      </c>
      <c r="B1398" s="5">
        <v>1.8708</v>
      </c>
      <c r="C1398" s="5">
        <v>4.25</v>
      </c>
    </row>
    <row r="1399" spans="1:3" x14ac:dyDescent="0.3">
      <c r="A1399" s="4">
        <v>45736</v>
      </c>
      <c r="B1399" s="5">
        <v>1.8309</v>
      </c>
      <c r="C1399" s="5">
        <v>4.24</v>
      </c>
    </row>
    <row r="1400" spans="1:3" x14ac:dyDescent="0.3">
      <c r="A1400" s="4">
        <v>45737</v>
      </c>
      <c r="B1400" s="5">
        <v>1.8458000000000001</v>
      </c>
      <c r="C1400" s="5">
        <v>4.25</v>
      </c>
    </row>
    <row r="1401" spans="1:3" x14ac:dyDescent="0.3">
      <c r="A1401" s="4">
        <v>45740</v>
      </c>
      <c r="B1401" s="5">
        <v>1.8412999999999999</v>
      </c>
      <c r="C1401" s="5">
        <v>4.34</v>
      </c>
    </row>
    <row r="1402" spans="1:3" x14ac:dyDescent="0.3">
      <c r="A1402" s="4">
        <v>45741</v>
      </c>
      <c r="B1402" s="5">
        <v>1.8183</v>
      </c>
      <c r="C1402" s="5">
        <v>4.3099999999999996</v>
      </c>
    </row>
    <row r="1403" spans="1:3" x14ac:dyDescent="0.3">
      <c r="A1403" s="4">
        <v>45742</v>
      </c>
      <c r="B1403" s="5">
        <v>1.7943</v>
      </c>
      <c r="C1403" s="5">
        <v>4.3499999999999996</v>
      </c>
    </row>
    <row r="1404" spans="1:3" x14ac:dyDescent="0.3">
      <c r="A1404" s="4">
        <v>45743</v>
      </c>
      <c r="B1404" s="5">
        <v>1.8062</v>
      </c>
      <c r="C1404" s="5">
        <v>4.38</v>
      </c>
    </row>
    <row r="1405" spans="1:3" x14ac:dyDescent="0.3">
      <c r="A1405" s="4">
        <v>45744</v>
      </c>
      <c r="B1405" s="5">
        <v>1.8126</v>
      </c>
      <c r="C1405" s="5">
        <v>4.2699999999999996</v>
      </c>
    </row>
    <row r="1406" spans="1:3" x14ac:dyDescent="0.3">
      <c r="A1406" s="4">
        <v>45747</v>
      </c>
      <c r="B1406" s="5">
        <v>1.8129</v>
      </c>
      <c r="C1406" s="5">
        <v>4.2300000000000004</v>
      </c>
    </row>
    <row r="1407" spans="1:3" x14ac:dyDescent="0.3">
      <c r="A1407" s="4">
        <v>45748</v>
      </c>
      <c r="B1407" s="5">
        <v>1.8104</v>
      </c>
      <c r="C1407" s="5">
        <v>4.17</v>
      </c>
    </row>
    <row r="1408" spans="1:3" x14ac:dyDescent="0.3">
      <c r="A1408" s="4">
        <v>45749</v>
      </c>
      <c r="B1408" s="5">
        <v>1.7887</v>
      </c>
      <c r="C1408" s="5">
        <v>4.2</v>
      </c>
    </row>
    <row r="1409" spans="1:3" x14ac:dyDescent="0.3">
      <c r="A1409" s="4">
        <v>45750</v>
      </c>
      <c r="B1409" s="5">
        <v>1.718</v>
      </c>
      <c r="C1409" s="5">
        <v>4.0599999999999996</v>
      </c>
    </row>
    <row r="1410" spans="1:3" x14ac:dyDescent="0.3">
      <c r="A1410" s="4">
        <v>45751</v>
      </c>
      <c r="B1410" s="5"/>
      <c r="C1410" s="5">
        <v>4.01</v>
      </c>
    </row>
    <row r="1411" spans="1:3" x14ac:dyDescent="0.3">
      <c r="A1411" s="4">
        <v>45754</v>
      </c>
      <c r="B1411" s="5">
        <v>1.6317999999999999</v>
      </c>
      <c r="C1411" s="5">
        <v>4.1500000000000004</v>
      </c>
    </row>
    <row r="1412" spans="1:3" x14ac:dyDescent="0.3">
      <c r="A1412" s="4">
        <v>45755</v>
      </c>
      <c r="B1412" s="5">
        <v>1.6633</v>
      </c>
      <c r="C1412" s="5">
        <v>4.26</v>
      </c>
    </row>
    <row r="1413" spans="1:3" x14ac:dyDescent="0.3">
      <c r="A1413" s="4">
        <v>45756</v>
      </c>
      <c r="B1413" s="5">
        <v>1.6508</v>
      </c>
      <c r="C1413" s="5">
        <v>4.34</v>
      </c>
    </row>
    <row r="1414" spans="1:3" x14ac:dyDescent="0.3">
      <c r="A1414" s="4">
        <v>45757</v>
      </c>
      <c r="B1414" s="5">
        <v>1.6444000000000001</v>
      </c>
      <c r="C1414" s="5">
        <v>4.4000000000000004</v>
      </c>
    </row>
    <row r="1415" spans="1:3" x14ac:dyDescent="0.3">
      <c r="A1415" s="4">
        <v>45758</v>
      </c>
      <c r="B1415" s="5">
        <v>1.6568000000000001</v>
      </c>
      <c r="C1415" s="5">
        <v>4.4800000000000004</v>
      </c>
    </row>
    <row r="1416" spans="1:3" x14ac:dyDescent="0.3">
      <c r="A1416" s="4">
        <v>45761</v>
      </c>
      <c r="B1416" s="5">
        <v>1.6584000000000001</v>
      </c>
      <c r="C1416" s="5">
        <v>4.38</v>
      </c>
    </row>
    <row r="1417" spans="1:3" x14ac:dyDescent="0.3">
      <c r="A1417" s="4">
        <v>45762</v>
      </c>
      <c r="B1417" s="5">
        <v>1.6583000000000001</v>
      </c>
      <c r="C1417" s="5">
        <v>4.3499999999999996</v>
      </c>
    </row>
    <row r="1418" spans="1:3" x14ac:dyDescent="0.3">
      <c r="A1418" s="4">
        <v>45763</v>
      </c>
      <c r="B1418" s="5">
        <v>1.643</v>
      </c>
      <c r="C1418" s="5">
        <v>4.29</v>
      </c>
    </row>
    <row r="1419" spans="1:3" x14ac:dyDescent="0.3">
      <c r="A1419" s="4">
        <v>45764</v>
      </c>
      <c r="B1419" s="5">
        <v>1.6521999999999999</v>
      </c>
      <c r="C1419" s="5">
        <v>4.34</v>
      </c>
    </row>
    <row r="1420" spans="1:3" x14ac:dyDescent="0.3">
      <c r="A1420" s="4">
        <v>45765</v>
      </c>
      <c r="B1420" s="5">
        <v>1.6493</v>
      </c>
      <c r="C1420" s="5"/>
    </row>
    <row r="1421" spans="1:3" x14ac:dyDescent="0.3">
      <c r="A1421" s="4">
        <v>45768</v>
      </c>
      <c r="B1421" s="5">
        <v>1.6664000000000001</v>
      </c>
      <c r="C1421" s="5">
        <v>4.42</v>
      </c>
    </row>
    <row r="1422" spans="1:3" x14ac:dyDescent="0.3">
      <c r="A1422" s="4">
        <v>45769</v>
      </c>
      <c r="B1422" s="5">
        <v>1.6509</v>
      </c>
      <c r="C1422" s="5">
        <v>4.41</v>
      </c>
    </row>
    <row r="1423" spans="1:3" x14ac:dyDescent="0.3">
      <c r="A1423" s="4">
        <v>45770</v>
      </c>
      <c r="B1423" s="5">
        <v>1.6611</v>
      </c>
      <c r="C1423" s="5">
        <v>4.4000000000000004</v>
      </c>
    </row>
    <row r="1424" spans="1:3" x14ac:dyDescent="0.3">
      <c r="A1424" s="4">
        <v>45771</v>
      </c>
      <c r="B1424" s="5">
        <v>1.6639999999999999</v>
      </c>
      <c r="C1424" s="5">
        <v>4.32</v>
      </c>
    </row>
    <row r="1425" spans="1:3" x14ac:dyDescent="0.3">
      <c r="A1425" s="4">
        <v>45772</v>
      </c>
      <c r="B1425" s="5">
        <v>1.6606000000000001</v>
      </c>
      <c r="C1425" s="5">
        <v>4.29</v>
      </c>
    </row>
    <row r="1426" spans="1:3" x14ac:dyDescent="0.3">
      <c r="A1426" s="4">
        <v>45774</v>
      </c>
      <c r="B1426" s="5">
        <v>1.6607000000000001</v>
      </c>
      <c r="C1426" s="5"/>
    </row>
    <row r="1427" spans="1:3" x14ac:dyDescent="0.3">
      <c r="A1427" s="4">
        <v>45775</v>
      </c>
      <c r="B1427" s="5">
        <v>1.6483000000000001</v>
      </c>
      <c r="C1427" s="5">
        <v>4.2300000000000004</v>
      </c>
    </row>
    <row r="1428" spans="1:3" x14ac:dyDescent="0.3">
      <c r="A1428" s="4">
        <v>45776</v>
      </c>
      <c r="B1428" s="5">
        <v>1.6241000000000001</v>
      </c>
      <c r="C1428" s="5">
        <v>4.1900000000000004</v>
      </c>
    </row>
    <row r="1429" spans="1:3" x14ac:dyDescent="0.3">
      <c r="A1429" s="4">
        <v>45777</v>
      </c>
      <c r="B1429" s="5">
        <v>1.6243000000000001</v>
      </c>
      <c r="C1429" s="5">
        <v>4.17</v>
      </c>
    </row>
    <row r="1430" spans="1:3" x14ac:dyDescent="0.3">
      <c r="A1430" s="4">
        <v>45778</v>
      </c>
      <c r="B1430" s="5"/>
      <c r="C1430" s="5">
        <v>4.25</v>
      </c>
    </row>
    <row r="1431" spans="1:3" x14ac:dyDescent="0.3">
      <c r="A1431" s="4">
        <v>45779</v>
      </c>
      <c r="B1431" s="5"/>
      <c r="C1431" s="5">
        <v>4.33</v>
      </c>
    </row>
    <row r="1432" spans="1:3" x14ac:dyDescent="0.3">
      <c r="A1432" s="4">
        <v>45782</v>
      </c>
      <c r="B1432" s="5"/>
      <c r="C1432" s="5">
        <v>4.3600000000000003</v>
      </c>
    </row>
    <row r="1433" spans="1:3" x14ac:dyDescent="0.3">
      <c r="A1433" s="4">
        <v>45783</v>
      </c>
      <c r="B1433" s="5">
        <v>1.6297999999999999</v>
      </c>
      <c r="C1433" s="5">
        <v>4.3</v>
      </c>
    </row>
    <row r="1434" spans="1:3" x14ac:dyDescent="0.3">
      <c r="A1434" s="4">
        <v>45784</v>
      </c>
      <c r="B1434" s="5">
        <v>1.6417999999999999</v>
      </c>
      <c r="C1434" s="5">
        <v>4.26</v>
      </c>
    </row>
    <row r="1435" spans="1:3" x14ac:dyDescent="0.3">
      <c r="A1435" s="4">
        <v>45785</v>
      </c>
      <c r="B1435" s="5">
        <v>1.6331</v>
      </c>
      <c r="C1435" s="5">
        <v>4.37</v>
      </c>
    </row>
    <row r="1436" spans="1:3" x14ac:dyDescent="0.3">
      <c r="A1436" s="4">
        <v>45786</v>
      </c>
      <c r="B1436" s="5">
        <v>1.6351</v>
      </c>
      <c r="C1436" s="5">
        <v>4.37</v>
      </c>
    </row>
    <row r="1437" spans="1:3" x14ac:dyDescent="0.3">
      <c r="A1437" s="4">
        <v>45789</v>
      </c>
      <c r="B1437" s="5">
        <v>1.6879999999999999</v>
      </c>
      <c r="C1437" s="5">
        <v>4.45</v>
      </c>
    </row>
    <row r="1438" spans="1:3" x14ac:dyDescent="0.3">
      <c r="A1438" s="4">
        <v>45790</v>
      </c>
      <c r="B1438" s="5">
        <v>1.6704000000000001</v>
      </c>
      <c r="C1438" s="5">
        <v>4.49</v>
      </c>
    </row>
    <row r="1439" spans="1:3" x14ac:dyDescent="0.3">
      <c r="A1439" s="4">
        <v>45791</v>
      </c>
      <c r="B1439" s="5">
        <v>1.6736</v>
      </c>
      <c r="C1439" s="5">
        <v>4.53</v>
      </c>
    </row>
    <row r="1440" spans="1:3" x14ac:dyDescent="0.3">
      <c r="A1440" s="4">
        <v>45792</v>
      </c>
      <c r="B1440" s="5">
        <v>1.6798</v>
      </c>
      <c r="C1440" s="5">
        <v>4.45</v>
      </c>
    </row>
    <row r="1441" spans="1:3" x14ac:dyDescent="0.3">
      <c r="A1441" s="4">
        <v>45793</v>
      </c>
      <c r="B1441" s="5">
        <v>1.6793</v>
      </c>
      <c r="C1441" s="5">
        <v>4.43</v>
      </c>
    </row>
    <row r="1442" spans="1:3" x14ac:dyDescent="0.3">
      <c r="A1442" s="4">
        <v>45796</v>
      </c>
      <c r="B1442" s="5">
        <v>1.6893</v>
      </c>
      <c r="C1442" s="5">
        <v>4.46</v>
      </c>
    </row>
    <row r="1443" spans="1:3" x14ac:dyDescent="0.3">
      <c r="A1443" s="4">
        <v>45797</v>
      </c>
      <c r="B1443" s="5">
        <v>1.7003999999999999</v>
      </c>
      <c r="C1443" s="5">
        <v>4.4800000000000004</v>
      </c>
    </row>
    <row r="1444" spans="1:3" x14ac:dyDescent="0.3">
      <c r="A1444" s="4">
        <v>45798</v>
      </c>
      <c r="B1444" s="5">
        <v>1.71</v>
      </c>
      <c r="C1444" s="5">
        <v>4.58</v>
      </c>
    </row>
    <row r="1445" spans="1:3" x14ac:dyDescent="0.3">
      <c r="A1445" s="4">
        <v>45799</v>
      </c>
      <c r="B1445" s="5">
        <v>1.7185999999999999</v>
      </c>
      <c r="C1445" s="5">
        <v>4.54</v>
      </c>
    </row>
    <row r="1446" spans="1:3" x14ac:dyDescent="0.3">
      <c r="A1446" s="4">
        <v>45800</v>
      </c>
      <c r="B1446" s="5">
        <v>1.7208000000000001</v>
      </c>
      <c r="C1446" s="5">
        <v>4.51</v>
      </c>
    </row>
    <row r="1447" spans="1:3" x14ac:dyDescent="0.3">
      <c r="A1447" s="4">
        <v>45803</v>
      </c>
      <c r="B1447" s="5">
        <v>1.7201</v>
      </c>
      <c r="C1447" s="5"/>
    </row>
    <row r="1448" spans="1:3" x14ac:dyDescent="0.3">
      <c r="A1448" s="4">
        <v>45804</v>
      </c>
      <c r="B1448" s="5">
        <v>1.7261</v>
      </c>
      <c r="C1448" s="5">
        <v>4.43</v>
      </c>
    </row>
    <row r="1449" spans="1:3" x14ac:dyDescent="0.3">
      <c r="A1449" s="4">
        <v>45805</v>
      </c>
      <c r="B1449" s="5">
        <v>1.6832</v>
      </c>
      <c r="C1449" s="5">
        <v>4.47</v>
      </c>
    </row>
    <row r="1450" spans="1:3" x14ac:dyDescent="0.3">
      <c r="A1450" s="4">
        <v>45806</v>
      </c>
      <c r="B1450" s="5">
        <v>1.6877</v>
      </c>
      <c r="C1450" s="5">
        <v>4.43</v>
      </c>
    </row>
    <row r="1451" spans="1:3" x14ac:dyDescent="0.3">
      <c r="A1451" s="4">
        <v>45807</v>
      </c>
      <c r="B1451" s="5">
        <v>1.6712</v>
      </c>
      <c r="C1451" s="5">
        <v>4.41</v>
      </c>
    </row>
    <row r="1452" spans="1:3" x14ac:dyDescent="0.3">
      <c r="A1452" s="4">
        <v>45810</v>
      </c>
      <c r="B1452" s="5"/>
      <c r="C1452" s="5">
        <v>4.46</v>
      </c>
    </row>
    <row r="1453" spans="1:3" x14ac:dyDescent="0.3">
      <c r="A1453" s="4">
        <v>45811</v>
      </c>
      <c r="B1453" s="5">
        <v>1.6763999999999999</v>
      </c>
      <c r="C1453" s="5">
        <v>4.46</v>
      </c>
    </row>
    <row r="1454" spans="1:3" x14ac:dyDescent="0.3">
      <c r="A1454" s="4">
        <v>45812</v>
      </c>
      <c r="B1454" s="5">
        <v>1.6704000000000001</v>
      </c>
      <c r="C1454" s="5">
        <v>4.37</v>
      </c>
    </row>
    <row r="1455" spans="1:3" x14ac:dyDescent="0.3">
      <c r="A1455" s="4">
        <v>45813</v>
      </c>
      <c r="B1455" s="5">
        <v>1.6740999999999999</v>
      </c>
      <c r="C1455" s="5">
        <v>4.4000000000000004</v>
      </c>
    </row>
    <row r="1456" spans="1:3" x14ac:dyDescent="0.3">
      <c r="A1456" s="4">
        <v>45814</v>
      </c>
      <c r="B1456" s="5">
        <v>1.6547000000000001</v>
      </c>
      <c r="C1456" s="5">
        <v>4.51</v>
      </c>
    </row>
    <row r="1457" spans="1:3" x14ac:dyDescent="0.3">
      <c r="A1457" s="4">
        <v>45817</v>
      </c>
      <c r="B1457" s="5">
        <v>1.6558999999999999</v>
      </c>
      <c r="C1457" s="5">
        <v>4.49</v>
      </c>
    </row>
    <row r="1458" spans="1:3" x14ac:dyDescent="0.3">
      <c r="A1458" s="4">
        <v>45818</v>
      </c>
      <c r="B1458" s="5">
        <v>1.6569</v>
      </c>
      <c r="C1458" s="5">
        <v>4.47</v>
      </c>
    </row>
    <row r="1459" spans="1:3" x14ac:dyDescent="0.3">
      <c r="A1459" s="4">
        <v>45819</v>
      </c>
      <c r="B1459" s="5">
        <v>1.6419999999999999</v>
      </c>
      <c r="C1459" s="5">
        <v>4.41</v>
      </c>
    </row>
    <row r="1460" spans="1:3" x14ac:dyDescent="0.3">
      <c r="A1460" s="4">
        <v>45820</v>
      </c>
      <c r="B1460" s="5">
        <v>1.6475</v>
      </c>
      <c r="C1460" s="5">
        <v>4.3600000000000003</v>
      </c>
    </row>
    <row r="1461" spans="1:3" x14ac:dyDescent="0.3">
      <c r="A1461" s="4">
        <v>45821</v>
      </c>
      <c r="B1461" s="5">
        <v>1.6439999999999999</v>
      </c>
      <c r="C1461" s="5">
        <v>4.41</v>
      </c>
    </row>
    <row r="1462" spans="1:3" x14ac:dyDescent="0.3">
      <c r="A1462" s="4">
        <v>45824</v>
      </c>
      <c r="B1462" s="5">
        <v>1.6432</v>
      </c>
      <c r="C1462" s="5">
        <v>4.46</v>
      </c>
    </row>
    <row r="1463" spans="1:3" x14ac:dyDescent="0.3">
      <c r="A1463" s="4">
        <v>45825</v>
      </c>
      <c r="B1463" s="5">
        <v>1.6364000000000001</v>
      </c>
      <c r="C1463" s="5">
        <v>4.3899999999999997</v>
      </c>
    </row>
    <row r="1464" spans="1:3" x14ac:dyDescent="0.3">
      <c r="A1464" s="4">
        <v>45826</v>
      </c>
      <c r="B1464" s="5">
        <v>1.6384000000000001</v>
      </c>
      <c r="C1464" s="5">
        <v>4.38</v>
      </c>
    </row>
    <row r="1465" spans="1:3" x14ac:dyDescent="0.3">
      <c r="A1465" s="4">
        <v>45827</v>
      </c>
      <c r="B1465" s="5">
        <v>1.6425000000000001</v>
      </c>
      <c r="C1465" s="5"/>
    </row>
    <row r="1466" spans="1:3" x14ac:dyDescent="0.3">
      <c r="A1466" s="4">
        <v>45828</v>
      </c>
      <c r="B1466" s="5">
        <v>1.6395999999999999</v>
      </c>
      <c r="C1466" s="5">
        <v>4.38</v>
      </c>
    </row>
    <row r="1467" spans="1:3" x14ac:dyDescent="0.3">
      <c r="A1467" s="4">
        <v>45831</v>
      </c>
      <c r="B1467" s="5">
        <v>1.6417999999999999</v>
      </c>
      <c r="C1467" s="5">
        <v>4.34</v>
      </c>
    </row>
    <row r="1468" spans="1:3" x14ac:dyDescent="0.3">
      <c r="A1468" s="4">
        <v>45832</v>
      </c>
      <c r="B1468" s="5">
        <v>1.6479999999999999</v>
      </c>
      <c r="C1468" s="5">
        <v>4.3</v>
      </c>
    </row>
    <row r="1469" spans="1:3" x14ac:dyDescent="0.3">
      <c r="A1469" s="4">
        <v>45833</v>
      </c>
      <c r="B1469" s="5">
        <v>1.6544000000000001</v>
      </c>
      <c r="C1469" s="5">
        <v>4.29</v>
      </c>
    </row>
    <row r="1470" spans="1:3" x14ac:dyDescent="0.3">
      <c r="A1470" s="4">
        <v>45834</v>
      </c>
      <c r="B1470" s="5">
        <v>1.6462000000000001</v>
      </c>
      <c r="C1470" s="5">
        <v>4.26</v>
      </c>
    </row>
    <row r="1471" spans="1:3" x14ac:dyDescent="0.3">
      <c r="A1471" s="4">
        <v>45835</v>
      </c>
      <c r="B1471" s="5">
        <v>1.6462000000000001</v>
      </c>
      <c r="C1471" s="5">
        <v>4.29</v>
      </c>
    </row>
    <row r="1472" spans="1:3" x14ac:dyDescent="0.3">
      <c r="A1472" s="4">
        <v>45838</v>
      </c>
      <c r="B1472" s="5">
        <v>1.6469</v>
      </c>
      <c r="C1472" s="5">
        <v>4.24</v>
      </c>
    </row>
    <row r="1473" spans="1:3" x14ac:dyDescent="0.3">
      <c r="A1473" s="4">
        <v>45839</v>
      </c>
      <c r="B1473" s="5">
        <v>1.6433</v>
      </c>
      <c r="C1473" s="5">
        <v>4.26</v>
      </c>
    </row>
    <row r="1474" spans="1:3" x14ac:dyDescent="0.3">
      <c r="A1474" s="4">
        <v>45840</v>
      </c>
      <c r="B1474" s="5">
        <v>1.6395999999999999</v>
      </c>
      <c r="C1474" s="5">
        <v>4.3</v>
      </c>
    </row>
    <row r="1475" spans="1:3" x14ac:dyDescent="0.3">
      <c r="A1475" s="4">
        <v>45841</v>
      </c>
      <c r="B1475" s="5">
        <v>1.6407</v>
      </c>
      <c r="C1475" s="5">
        <v>4.3499999999999996</v>
      </c>
    </row>
    <row r="1476" spans="1:3" x14ac:dyDescent="0.3">
      <c r="A1476" s="4">
        <v>45842</v>
      </c>
      <c r="B1476" s="5">
        <v>1.6433</v>
      </c>
      <c r="C1476" s="5"/>
    </row>
    <row r="1477" spans="1:3" x14ac:dyDescent="0.3">
      <c r="A1477" s="4">
        <v>45845</v>
      </c>
      <c r="B1477" s="5">
        <v>1.6406000000000001</v>
      </c>
      <c r="C1477" s="5">
        <v>4.4000000000000004</v>
      </c>
    </row>
    <row r="1478" spans="1:3" x14ac:dyDescent="0.3">
      <c r="A1478" s="4">
        <v>45846</v>
      </c>
      <c r="B1478" s="5">
        <v>1.6444000000000001</v>
      </c>
      <c r="C1478" s="5">
        <v>4.42</v>
      </c>
    </row>
    <row r="1479" spans="1:3" x14ac:dyDescent="0.3">
      <c r="A1479" s="4">
        <v>45847</v>
      </c>
      <c r="B1479" s="5">
        <v>1.6446000000000001</v>
      </c>
      <c r="C1479" s="5">
        <v>4.34</v>
      </c>
    </row>
    <row r="1480" spans="1:3" x14ac:dyDescent="0.3">
      <c r="A1480" s="4">
        <v>45848</v>
      </c>
      <c r="B1480" s="5">
        <v>1.6616</v>
      </c>
      <c r="C1480" s="5">
        <v>4.3499999999999996</v>
      </c>
    </row>
    <row r="1481" spans="1:3" x14ac:dyDescent="0.3">
      <c r="A1481" s="4">
        <v>45849</v>
      </c>
      <c r="B1481" s="5">
        <v>1.6653</v>
      </c>
      <c r="C1481" s="5">
        <v>4.43</v>
      </c>
    </row>
    <row r="1482" spans="1:3" x14ac:dyDescent="0.3">
      <c r="A1482" s="4">
        <v>45852</v>
      </c>
      <c r="B1482" s="5">
        <v>1.6726000000000001</v>
      </c>
      <c r="C1482" s="5">
        <v>4.43</v>
      </c>
    </row>
    <row r="1483" spans="1:3" x14ac:dyDescent="0.3">
      <c r="A1483" s="4">
        <v>45853</v>
      </c>
      <c r="B1483" s="5">
        <v>1.6556999999999999</v>
      </c>
      <c r="C1483" s="5">
        <v>4.5</v>
      </c>
    </row>
    <row r="1484" spans="1:3" x14ac:dyDescent="0.3">
      <c r="A1484" s="4">
        <v>45854</v>
      </c>
      <c r="B1484" s="5">
        <v>1.6617</v>
      </c>
      <c r="C1484" s="5">
        <v>4.46</v>
      </c>
    </row>
    <row r="1485" spans="1:3" x14ac:dyDescent="0.3">
      <c r="A1485" s="4">
        <v>45855</v>
      </c>
      <c r="B1485" s="5">
        <v>1.663</v>
      </c>
      <c r="C1485" s="5">
        <v>4.47</v>
      </c>
    </row>
    <row r="1486" spans="1:3" x14ac:dyDescent="0.3">
      <c r="A1486" s="4">
        <v>45856</v>
      </c>
      <c r="B1486" s="5">
        <v>1.6652</v>
      </c>
      <c r="C1486" s="5">
        <v>4.4400000000000004</v>
      </c>
    </row>
    <row r="1487" spans="1:3" x14ac:dyDescent="0.3">
      <c r="A1487" s="4">
        <v>45859</v>
      </c>
      <c r="B1487" s="5">
        <v>1.6774</v>
      </c>
      <c r="C1487" s="5">
        <v>4.38</v>
      </c>
    </row>
    <row r="1488" spans="1:3" x14ac:dyDescent="0.3">
      <c r="A1488" s="4">
        <v>45860</v>
      </c>
      <c r="B1488" s="5">
        <v>1.6907000000000001</v>
      </c>
      <c r="C1488" s="5">
        <v>4.3499999999999996</v>
      </c>
    </row>
    <row r="1489" spans="1:3" x14ac:dyDescent="0.3">
      <c r="A1489" s="4">
        <v>45861</v>
      </c>
      <c r="B1489" s="5">
        <v>1.7040999999999999</v>
      </c>
      <c r="C1489" s="5">
        <v>4.4000000000000004</v>
      </c>
    </row>
    <row r="1490" spans="1:3" x14ac:dyDescent="0.3">
      <c r="A1490" s="4">
        <v>45862</v>
      </c>
      <c r="B1490" s="5">
        <v>1.7376</v>
      </c>
      <c r="C1490" s="5">
        <v>4.43</v>
      </c>
    </row>
    <row r="1491" spans="1:3" x14ac:dyDescent="0.3">
      <c r="A1491" s="4">
        <v>45863</v>
      </c>
      <c r="B1491" s="5">
        <v>1.7323999999999999</v>
      </c>
      <c r="C1491" s="5">
        <v>4.4000000000000004</v>
      </c>
    </row>
    <row r="1492" spans="1:3" x14ac:dyDescent="0.3">
      <c r="A1492" s="4">
        <v>45866</v>
      </c>
      <c r="B1492" s="5">
        <v>1.7145999999999999</v>
      </c>
      <c r="C1492" s="5">
        <v>4.42</v>
      </c>
    </row>
    <row r="1493" spans="1:3" x14ac:dyDescent="0.3">
      <c r="A1493" s="4">
        <v>45867</v>
      </c>
      <c r="B1493" s="5">
        <v>1.7465999999999999</v>
      </c>
      <c r="C1493" s="5">
        <v>4.34</v>
      </c>
    </row>
    <row r="1494" spans="1:3" x14ac:dyDescent="0.3">
      <c r="A1494" s="4">
        <v>45868</v>
      </c>
      <c r="B1494" s="5">
        <v>1.718</v>
      </c>
      <c r="C1494" s="5">
        <v>4.38</v>
      </c>
    </row>
    <row r="1495" spans="1:3" x14ac:dyDescent="0.3">
      <c r="A1495" s="4">
        <v>45869</v>
      </c>
      <c r="B1495" s="5">
        <v>1.7043999999999999</v>
      </c>
      <c r="C1495" s="5">
        <v>4.37</v>
      </c>
    </row>
    <row r="1496" spans="1:3" x14ac:dyDescent="0.3">
      <c r="A1496" s="4">
        <v>45870</v>
      </c>
      <c r="B1496" s="5">
        <v>1.7059</v>
      </c>
      <c r="C1496" s="5">
        <v>4.2300000000000004</v>
      </c>
    </row>
    <row r="1497" spans="1:3" x14ac:dyDescent="0.3">
      <c r="A1497" s="4">
        <v>45873</v>
      </c>
      <c r="B1497" s="5">
        <v>1.7082999999999999</v>
      </c>
      <c r="C1497" s="5">
        <v>4.22</v>
      </c>
    </row>
    <row r="1498" spans="1:3" x14ac:dyDescent="0.3">
      <c r="A1498" s="4">
        <v>45874</v>
      </c>
      <c r="B1498" s="5">
        <v>1.7060999999999999</v>
      </c>
      <c r="C1498" s="5">
        <v>4.22</v>
      </c>
    </row>
    <row r="1499" spans="1:3" x14ac:dyDescent="0.3">
      <c r="A1499" s="4">
        <v>45875</v>
      </c>
      <c r="B1499" s="5">
        <v>1.6999</v>
      </c>
      <c r="C1499" s="5">
        <v>4.22</v>
      </c>
    </row>
    <row r="1500" spans="1:3" x14ac:dyDescent="0.3">
      <c r="A1500" s="4">
        <v>45876</v>
      </c>
      <c r="B1500" s="5">
        <v>1.6894</v>
      </c>
      <c r="C1500" s="5">
        <v>4.2300000000000004</v>
      </c>
    </row>
    <row r="1501" spans="1:3" x14ac:dyDescent="0.3">
      <c r="A1501" s="4">
        <v>45877</v>
      </c>
      <c r="B1501" s="5">
        <v>1.6891</v>
      </c>
      <c r="C1501" s="5">
        <v>4.2699999999999996</v>
      </c>
    </row>
    <row r="1502" spans="1:3" x14ac:dyDescent="0.3">
      <c r="A1502" s="4">
        <v>45880</v>
      </c>
      <c r="B1502" s="5">
        <v>1.7202999999999999</v>
      </c>
      <c r="C1502" s="5">
        <v>4.2699999999999996</v>
      </c>
    </row>
    <row r="1503" spans="1:3" x14ac:dyDescent="0.3">
      <c r="A1503" s="4">
        <v>45881</v>
      </c>
      <c r="B1503" s="5">
        <v>1.7271000000000001</v>
      </c>
      <c r="C1503" s="5">
        <v>4.29</v>
      </c>
    </row>
    <row r="1504" spans="1:3" x14ac:dyDescent="0.3">
      <c r="A1504" s="4">
        <v>45882</v>
      </c>
      <c r="B1504" s="5">
        <v>1.7262</v>
      </c>
      <c r="C1504" s="5">
        <v>4.24</v>
      </c>
    </row>
    <row r="1505" spans="1:3" x14ac:dyDescent="0.3">
      <c r="A1505" s="4">
        <v>45883</v>
      </c>
      <c r="B1505" s="5">
        <v>1.7341</v>
      </c>
      <c r="C1505" s="5">
        <v>4.29</v>
      </c>
    </row>
    <row r="1506" spans="1:3" x14ac:dyDescent="0.3">
      <c r="A1506" s="4">
        <v>45884</v>
      </c>
      <c r="B1506" s="5">
        <v>1.7464999999999999</v>
      </c>
      <c r="C1506" s="5">
        <v>4.33</v>
      </c>
    </row>
    <row r="1507" spans="1:3" x14ac:dyDescent="0.3">
      <c r="A1507" s="4">
        <v>45887</v>
      </c>
      <c r="B1507" s="5">
        <v>1.7871999999999999</v>
      </c>
      <c r="C1507" s="5">
        <v>4.34</v>
      </c>
    </row>
    <row r="1508" spans="1:3" x14ac:dyDescent="0.3">
      <c r="A1508" s="4">
        <v>45888</v>
      </c>
      <c r="B1508" s="5">
        <v>1.7725</v>
      </c>
      <c r="C1508" s="5">
        <v>4.3</v>
      </c>
    </row>
    <row r="1509" spans="1:3" x14ac:dyDescent="0.3">
      <c r="A1509" s="4">
        <v>45889</v>
      </c>
      <c r="B1509" s="5">
        <v>1.782</v>
      </c>
      <c r="C1509" s="5">
        <v>4.29</v>
      </c>
    </row>
    <row r="1510" spans="1:3" x14ac:dyDescent="0.3">
      <c r="A1510" s="4">
        <v>45890</v>
      </c>
      <c r="B1510" s="5">
        <v>1.7666999999999999</v>
      </c>
      <c r="C1510" s="5">
        <v>4.33</v>
      </c>
    </row>
    <row r="1511" spans="1:3" x14ac:dyDescent="0.3">
      <c r="A1511" s="4">
        <v>45891</v>
      </c>
      <c r="B1511" s="5">
        <v>1.7818000000000001</v>
      </c>
      <c r="C1511" s="5">
        <v>4.26</v>
      </c>
    </row>
    <row r="1512" spans="1:3" x14ac:dyDescent="0.3">
      <c r="A1512" s="4">
        <v>45894</v>
      </c>
      <c r="B1512" s="5">
        <v>1.7643</v>
      </c>
      <c r="C1512" s="5">
        <v>4.28</v>
      </c>
    </row>
    <row r="1513" spans="1:3" x14ac:dyDescent="0.3">
      <c r="A1513" s="4">
        <v>45895</v>
      </c>
      <c r="B1513" s="5">
        <v>1.7598</v>
      </c>
      <c r="C1513" s="5">
        <v>4.26</v>
      </c>
    </row>
    <row r="1514" spans="1:3" x14ac:dyDescent="0.3">
      <c r="A1514" s="4">
        <v>45896</v>
      </c>
      <c r="B1514" s="5">
        <v>1.7988</v>
      </c>
      <c r="C1514" s="5">
        <v>4.24</v>
      </c>
    </row>
    <row r="1515" spans="1:3" x14ac:dyDescent="0.3">
      <c r="A1515" s="4">
        <v>45897</v>
      </c>
      <c r="B1515" s="5">
        <v>1.8478000000000001</v>
      </c>
      <c r="C1515" s="5">
        <v>4.22</v>
      </c>
    </row>
    <row r="1516" spans="1:3" x14ac:dyDescent="0.3">
      <c r="A1516" s="4">
        <v>45898</v>
      </c>
      <c r="B1516" s="5">
        <v>1.8379000000000001</v>
      </c>
      <c r="C1516" s="5">
        <v>4.2300000000000004</v>
      </c>
    </row>
    <row r="1517" spans="1:3" x14ac:dyDescent="0.3">
      <c r="A1517" s="4">
        <v>45901</v>
      </c>
      <c r="B1517" s="5">
        <v>1.8257000000000001</v>
      </c>
      <c r="C1517" s="5"/>
    </row>
    <row r="1518" spans="1:3" x14ac:dyDescent="0.3">
      <c r="A1518" s="4">
        <v>45902</v>
      </c>
      <c r="B1518" s="5">
        <v>1.8167</v>
      </c>
      <c r="C1518" s="5">
        <v>4.28</v>
      </c>
    </row>
    <row r="1519" spans="1:3" x14ac:dyDescent="0.3">
      <c r="A1519" s="4">
        <v>45903</v>
      </c>
      <c r="B1519" s="5">
        <v>1.7984</v>
      </c>
      <c r="C1519" s="5">
        <v>4.22</v>
      </c>
    </row>
    <row r="1520" spans="1:3" x14ac:dyDescent="0.3">
      <c r="A1520" s="4">
        <v>45904</v>
      </c>
      <c r="B1520" s="5">
        <v>1.806</v>
      </c>
      <c r="C1520" s="5">
        <v>4.17</v>
      </c>
    </row>
    <row r="1521" spans="1:3" x14ac:dyDescent="0.3">
      <c r="A1521" s="4">
        <v>45905</v>
      </c>
      <c r="B1521" s="5">
        <v>1.8260000000000001</v>
      </c>
      <c r="C1521" s="5">
        <v>4.0999999999999996</v>
      </c>
    </row>
    <row r="1522" spans="1:3" x14ac:dyDescent="0.3">
      <c r="A1522" s="4">
        <v>45908</v>
      </c>
      <c r="B1522" s="5">
        <v>1.8513999999999999</v>
      </c>
      <c r="C1522" s="5">
        <v>4.05</v>
      </c>
    </row>
    <row r="1523" spans="1:3" x14ac:dyDescent="0.3">
      <c r="A1523" s="4">
        <v>45909</v>
      </c>
      <c r="B1523" s="5">
        <v>1.8641000000000001</v>
      </c>
      <c r="C1523" s="5">
        <v>4.08</v>
      </c>
    </row>
    <row r="1524" spans="1:3" x14ac:dyDescent="0.3">
      <c r="A1524" s="4">
        <v>45910</v>
      </c>
      <c r="B1524" s="5">
        <v>1.8992</v>
      </c>
      <c r="C1524" s="5">
        <v>4.04</v>
      </c>
    </row>
    <row r="1525" spans="1:3" x14ac:dyDescent="0.3">
      <c r="A1525" s="4">
        <v>45911</v>
      </c>
      <c r="B1525" s="5">
        <v>1.8743000000000001</v>
      </c>
      <c r="C1525" s="5">
        <v>4.01</v>
      </c>
    </row>
    <row r="1526" spans="1:3" x14ac:dyDescent="0.3">
      <c r="A1526" s="4">
        <v>45912</v>
      </c>
      <c r="B1526" s="5">
        <v>1.867</v>
      </c>
      <c r="C1526" s="5">
        <v>4.0599999999999996</v>
      </c>
    </row>
    <row r="1527" spans="1:3" x14ac:dyDescent="0.3">
      <c r="A1527" s="4">
        <v>45915</v>
      </c>
      <c r="B1527" s="5">
        <v>1.8724000000000001</v>
      </c>
      <c r="C1527" s="5">
        <v>4.05</v>
      </c>
    </row>
    <row r="1528" spans="1:3" x14ac:dyDescent="0.3">
      <c r="A1528" s="4">
        <v>45916</v>
      </c>
      <c r="B1528" s="5">
        <v>1.8527</v>
      </c>
      <c r="C1528" s="5">
        <v>4.04</v>
      </c>
    </row>
    <row r="1529" spans="1:3" x14ac:dyDescent="0.3">
      <c r="A1529" s="4">
        <v>45917</v>
      </c>
      <c r="B1529" s="5">
        <v>1.8349</v>
      </c>
      <c r="C1529" s="5">
        <v>4.0599999999999996</v>
      </c>
    </row>
    <row r="1530" spans="1:3" x14ac:dyDescent="0.3">
      <c r="A1530" s="4">
        <v>45918</v>
      </c>
      <c r="B1530" s="5">
        <v>1.8546</v>
      </c>
      <c r="C1530" s="5">
        <v>4.1100000000000003</v>
      </c>
    </row>
    <row r="1531" spans="1:3" x14ac:dyDescent="0.3">
      <c r="A1531" s="4">
        <v>45919</v>
      </c>
      <c r="B1531" s="5">
        <v>1.8789</v>
      </c>
      <c r="C1531" s="5">
        <v>4.1399999999999997</v>
      </c>
    </row>
    <row r="1532" spans="1:3" x14ac:dyDescent="0.3">
      <c r="A1532" s="4">
        <v>45922</v>
      </c>
      <c r="B1532" s="5">
        <v>1.8647</v>
      </c>
      <c r="C1532" s="5">
        <v>4.1500000000000004</v>
      </c>
    </row>
    <row r="1533" spans="1:3" x14ac:dyDescent="0.3">
      <c r="A1533" s="4">
        <v>45923</v>
      </c>
      <c r="B1533" s="5">
        <v>1.877</v>
      </c>
      <c r="C1533" s="5">
        <v>4.12</v>
      </c>
    </row>
    <row r="1534" spans="1:3" x14ac:dyDescent="0.3">
      <c r="A1534" s="4">
        <v>45924</v>
      </c>
      <c r="B1534" s="5">
        <v>1.9021999999999999</v>
      </c>
      <c r="C1534" s="5">
        <v>4.16</v>
      </c>
    </row>
    <row r="1535" spans="1:3" x14ac:dyDescent="0.3">
      <c r="A1535" s="4">
        <v>45925</v>
      </c>
      <c r="B1535" s="5">
        <v>1.8839999999999999</v>
      </c>
      <c r="C1535" s="5">
        <v>4.18</v>
      </c>
    </row>
    <row r="1536" spans="1:3" x14ac:dyDescent="0.3">
      <c r="A1536" s="4">
        <v>45926</v>
      </c>
      <c r="B1536" s="5">
        <v>1.8768</v>
      </c>
      <c r="C1536" s="5">
        <v>4.2</v>
      </c>
    </row>
    <row r="1537" spans="1:3" x14ac:dyDescent="0.3">
      <c r="A1537" s="4">
        <v>45928</v>
      </c>
      <c r="B1537" s="5">
        <v>1.8781000000000001</v>
      </c>
      <c r="C1537" s="5"/>
    </row>
    <row r="1538" spans="1:3" x14ac:dyDescent="0.3">
      <c r="A1538" s="4">
        <v>45929</v>
      </c>
      <c r="B1538" s="5">
        <v>1.887</v>
      </c>
      <c r="C1538" s="5">
        <v>4.1500000000000004</v>
      </c>
    </row>
    <row r="1539" spans="1:3" x14ac:dyDescent="0.3">
      <c r="A1539" s="4">
        <v>45930</v>
      </c>
      <c r="B1539" s="5">
        <v>1.8605</v>
      </c>
      <c r="C1539" s="5">
        <v>4.16</v>
      </c>
    </row>
    <row r="1540" spans="1:3" x14ac:dyDescent="0.3">
      <c r="A1540" s="4">
        <v>45931</v>
      </c>
      <c r="B1540" s="5"/>
      <c r="C1540" s="5">
        <v>4.12</v>
      </c>
    </row>
    <row r="1541" spans="1:3" x14ac:dyDescent="0.3">
      <c r="A1541" s="4">
        <v>45932</v>
      </c>
      <c r="B1541" s="5"/>
      <c r="C1541" s="5">
        <v>4.0999999999999996</v>
      </c>
    </row>
    <row r="1542" spans="1:3" x14ac:dyDescent="0.3">
      <c r="A1542" s="4">
        <v>45933</v>
      </c>
      <c r="B1542" s="5"/>
      <c r="C1542" s="5">
        <v>4.13</v>
      </c>
    </row>
    <row r="1543" spans="1:3" x14ac:dyDescent="0.3">
      <c r="A1543" s="4">
        <v>45936</v>
      </c>
      <c r="B1543" s="5"/>
      <c r="C1543" s="5">
        <v>4.18</v>
      </c>
    </row>
    <row r="1544" spans="1:3" x14ac:dyDescent="0.3">
      <c r="A1544" s="4">
        <v>45937</v>
      </c>
      <c r="B1544" s="5"/>
      <c r="C1544" s="5">
        <v>4.1399999999999997</v>
      </c>
    </row>
    <row r="1545" spans="1:3" x14ac:dyDescent="0.3">
      <c r="A1545" s="4">
        <v>45938</v>
      </c>
      <c r="B1545" s="5"/>
      <c r="C1545" s="5">
        <v>4.13</v>
      </c>
    </row>
    <row r="1546" spans="1:3" x14ac:dyDescent="0.3">
      <c r="A1546" s="4">
        <v>45939</v>
      </c>
      <c r="B1546" s="5">
        <v>1.8466</v>
      </c>
      <c r="C1546" s="5">
        <v>4.1399999999999997</v>
      </c>
    </row>
    <row r="1547" spans="1:3" x14ac:dyDescent="0.3">
      <c r="A1547" s="4">
        <v>45940</v>
      </c>
      <c r="B1547" s="5">
        <v>1.8460000000000001</v>
      </c>
      <c r="C1547" s="5">
        <v>4.05</v>
      </c>
    </row>
    <row r="1548" spans="1:3" x14ac:dyDescent="0.3">
      <c r="A1548" s="4">
        <v>45941</v>
      </c>
      <c r="B1548" s="5">
        <v>1.8206</v>
      </c>
      <c r="C1548" s="5"/>
    </row>
    <row r="1549" spans="1:3" x14ac:dyDescent="0.3">
      <c r="A1549" s="4">
        <v>45943</v>
      </c>
      <c r="B1549" s="5">
        <v>1.8383</v>
      </c>
      <c r="C1549" s="5"/>
    </row>
    <row r="1550" spans="1:3" x14ac:dyDescent="0.3">
      <c r="A1550" s="4">
        <v>45944</v>
      </c>
      <c r="B1550" s="5">
        <v>1.8368</v>
      </c>
      <c r="C1550" s="5">
        <v>4.03</v>
      </c>
    </row>
    <row r="1551" spans="1:3" x14ac:dyDescent="0.3">
      <c r="A1551" s="4">
        <v>45945</v>
      </c>
      <c r="B1551" s="5">
        <v>1.8449</v>
      </c>
      <c r="C1551" s="5">
        <v>4.05</v>
      </c>
    </row>
    <row r="1552" spans="1:3" x14ac:dyDescent="0.3">
      <c r="A1552" s="4">
        <v>45946</v>
      </c>
      <c r="B1552" s="5">
        <v>1.8407</v>
      </c>
      <c r="C1552" s="5">
        <v>3.99</v>
      </c>
    </row>
    <row r="1553" spans="1:3" x14ac:dyDescent="0.3">
      <c r="A1553" s="4">
        <v>45947</v>
      </c>
      <c r="B1553" s="5">
        <v>1.8246</v>
      </c>
      <c r="C1553" s="5">
        <v>4.0199999999999996</v>
      </c>
    </row>
    <row r="1554" spans="1:3" x14ac:dyDescent="0.3">
      <c r="A1554" s="4">
        <v>45950</v>
      </c>
      <c r="B1554" s="5">
        <v>1.8498000000000001</v>
      </c>
      <c r="C1554" s="5">
        <v>4</v>
      </c>
    </row>
    <row r="1555" spans="1:3" x14ac:dyDescent="0.3">
      <c r="A1555" s="4">
        <v>45951</v>
      </c>
      <c r="B1555" s="5">
        <v>1.8357000000000001</v>
      </c>
      <c r="C1555" s="5">
        <v>3.98</v>
      </c>
    </row>
    <row r="1556" spans="1:3" x14ac:dyDescent="0.3">
      <c r="A1556" s="4">
        <v>45952</v>
      </c>
      <c r="B1556" s="5">
        <v>1.8292999999999999</v>
      </c>
      <c r="C1556" s="5">
        <v>3.97</v>
      </c>
    </row>
    <row r="1557" spans="1:3" x14ac:dyDescent="0.3">
      <c r="A1557" s="4">
        <v>45953</v>
      </c>
      <c r="B1557" s="5">
        <v>1.8391</v>
      </c>
      <c r="C1557" s="5">
        <v>4.01</v>
      </c>
    </row>
    <row r="1558" spans="1:3" x14ac:dyDescent="0.3">
      <c r="A1558" s="4">
        <v>45954</v>
      </c>
      <c r="B1558" s="5">
        <v>1.8486</v>
      </c>
      <c r="C1558" s="5">
        <v>4.0199999999999996</v>
      </c>
    </row>
    <row r="1559" spans="1:3" x14ac:dyDescent="0.3">
      <c r="A1559" s="4">
        <v>45957</v>
      </c>
      <c r="B1559" s="5">
        <v>1.8423</v>
      </c>
      <c r="C1559" s="5">
        <v>4.01</v>
      </c>
    </row>
    <row r="1560" spans="1:3" x14ac:dyDescent="0.3">
      <c r="A1560" s="4">
        <v>45958</v>
      </c>
      <c r="B1560" s="5">
        <v>1.8179000000000001</v>
      </c>
      <c r="C1560" s="5">
        <v>3.99</v>
      </c>
    </row>
    <row r="1561" spans="1:3" x14ac:dyDescent="0.3">
      <c r="A1561" s="4">
        <v>45959</v>
      </c>
      <c r="B1561" s="5">
        <v>1.8208</v>
      </c>
      <c r="C1561" s="5">
        <v>4.08</v>
      </c>
    </row>
    <row r="1562" spans="1:3" x14ac:dyDescent="0.3">
      <c r="A1562" s="4">
        <v>45960</v>
      </c>
      <c r="B1562" s="5">
        <v>1.8098000000000001</v>
      </c>
      <c r="C1562" s="5">
        <v>4.1100000000000003</v>
      </c>
    </row>
    <row r="1563" spans="1:3" x14ac:dyDescent="0.3">
      <c r="A1563" s="4">
        <v>45961</v>
      </c>
      <c r="B1563" s="5">
        <v>1.7954000000000001</v>
      </c>
      <c r="C1563" s="5">
        <v>4.1100000000000003</v>
      </c>
    </row>
    <row r="1564" spans="1:3" x14ac:dyDescent="0.3">
      <c r="A1564" s="4">
        <v>45964</v>
      </c>
      <c r="B1564" s="5">
        <v>1.7944</v>
      </c>
      <c r="C1564" s="5">
        <v>4.13</v>
      </c>
    </row>
    <row r="1565" spans="1:3" x14ac:dyDescent="0.3">
      <c r="A1565" s="4">
        <v>45965</v>
      </c>
      <c r="B1565" s="5">
        <v>1.7984</v>
      </c>
      <c r="C1565" s="5">
        <v>4.0999999999999996</v>
      </c>
    </row>
    <row r="1566" spans="1:3" x14ac:dyDescent="0.3">
      <c r="A1566" s="4">
        <v>45966</v>
      </c>
      <c r="B1566" s="5">
        <v>1.7964</v>
      </c>
      <c r="C1566" s="5">
        <v>4.17</v>
      </c>
    </row>
    <row r="1567" spans="1:3" x14ac:dyDescent="0.3">
      <c r="A1567" s="4">
        <v>45967</v>
      </c>
      <c r="B1567" s="5">
        <v>1.81</v>
      </c>
      <c r="C1567" s="5">
        <v>4.1100000000000003</v>
      </c>
    </row>
    <row r="1568" spans="1:3" x14ac:dyDescent="0.3">
      <c r="A1568" s="4">
        <v>45968</v>
      </c>
      <c r="B1568" s="5">
        <v>1.8142</v>
      </c>
      <c r="C1568" s="5">
        <v>4.1100000000000003</v>
      </c>
    </row>
    <row r="1569" spans="1:3" x14ac:dyDescent="0.3">
      <c r="A1569" s="4">
        <v>45971</v>
      </c>
      <c r="B1569" s="5">
        <v>1.8139000000000001</v>
      </c>
      <c r="C1569" s="5">
        <v>4.13</v>
      </c>
    </row>
    <row r="1570" spans="1:3" x14ac:dyDescent="0.3">
      <c r="A1570" s="4">
        <v>45972</v>
      </c>
      <c r="B1570" s="5">
        <v>1.8119000000000001</v>
      </c>
      <c r="C1570" s="5"/>
    </row>
    <row r="1571" spans="1:3" x14ac:dyDescent="0.3">
      <c r="A1571" s="4">
        <v>45973</v>
      </c>
      <c r="B1571" s="5">
        <v>1.8070999999999999</v>
      </c>
      <c r="C1571" s="5">
        <v>4.08</v>
      </c>
    </row>
    <row r="1572" spans="1:3" x14ac:dyDescent="0.3">
      <c r="A1572" s="4">
        <v>45974</v>
      </c>
      <c r="B1572" s="5">
        <v>1.8126</v>
      </c>
      <c r="C1572" s="5">
        <v>4.1100000000000003</v>
      </c>
    </row>
    <row r="1573" spans="1:3" x14ac:dyDescent="0.3">
      <c r="A1573" s="4">
        <v>45975</v>
      </c>
      <c r="B1573" s="5">
        <v>1.8140000000000001</v>
      </c>
      <c r="C1573" s="5">
        <v>4.1399999999999997</v>
      </c>
    </row>
    <row r="1574" spans="1:3" x14ac:dyDescent="0.3">
      <c r="A1574" s="4">
        <v>45978</v>
      </c>
      <c r="B1574" s="5">
        <v>1.8109</v>
      </c>
      <c r="C1574" s="5">
        <v>4.13</v>
      </c>
    </row>
    <row r="1575" spans="1:3" x14ac:dyDescent="0.3">
      <c r="A1575" s="4">
        <v>45979</v>
      </c>
      <c r="B1575" s="5">
        <v>1.8121</v>
      </c>
      <c r="C1575" s="5">
        <v>4.12</v>
      </c>
    </row>
    <row r="1576" spans="1:3" x14ac:dyDescent="0.3">
      <c r="A1576" s="4">
        <v>45980</v>
      </c>
      <c r="B1576" s="5">
        <v>1.8179000000000001</v>
      </c>
      <c r="C1576" s="5">
        <v>4.13</v>
      </c>
    </row>
    <row r="1577" spans="1:3" x14ac:dyDescent="0.3">
      <c r="A1577" s="4">
        <v>45981</v>
      </c>
      <c r="B1577" s="5">
        <v>1.8134999999999999</v>
      </c>
      <c r="C1577" s="5">
        <v>4.0999999999999996</v>
      </c>
    </row>
    <row r="1578" spans="1:3" x14ac:dyDescent="0.3">
      <c r="A1578" s="4">
        <v>45982</v>
      </c>
      <c r="B1578" s="5">
        <v>1.8166</v>
      </c>
      <c r="C1578" s="5">
        <v>4.0599999999999996</v>
      </c>
    </row>
    <row r="1579" spans="1:3" x14ac:dyDescent="0.3">
      <c r="A1579" s="4">
        <v>45985</v>
      </c>
      <c r="B1579" s="5">
        <v>1.821</v>
      </c>
      <c r="C1579" s="5">
        <v>4.04</v>
      </c>
    </row>
    <row r="1580" spans="1:3" x14ac:dyDescent="0.3">
      <c r="A1580" s="4">
        <v>45986</v>
      </c>
      <c r="B1580" s="5">
        <v>1.8301000000000001</v>
      </c>
      <c r="C1580" s="5">
        <v>4.01</v>
      </c>
    </row>
    <row r="1581" spans="1:3" x14ac:dyDescent="0.3">
      <c r="A1581" s="4">
        <v>45987</v>
      </c>
      <c r="B1581" s="5">
        <v>1.8462000000000001</v>
      </c>
      <c r="C1581" s="5">
        <v>4</v>
      </c>
    </row>
    <row r="1582" spans="1:3" x14ac:dyDescent="0.3">
      <c r="A1582" s="4">
        <v>45988</v>
      </c>
      <c r="B1582" s="5">
        <v>1.8536999999999999</v>
      </c>
      <c r="C1582" s="5"/>
    </row>
    <row r="1583" spans="1:3" x14ac:dyDescent="0.3">
      <c r="A1583" s="4">
        <v>45989</v>
      </c>
      <c r="B1583" s="5">
        <v>1.8411999999999999</v>
      </c>
      <c r="C1583" s="5">
        <v>4.0199999999999996</v>
      </c>
    </row>
    <row r="1584" spans="1:3" x14ac:dyDescent="0.3">
      <c r="A1584" s="4">
        <v>45992</v>
      </c>
      <c r="B1584" s="5">
        <v>1.8366</v>
      </c>
      <c r="C1584" s="5">
        <v>4.09</v>
      </c>
    </row>
    <row r="1585" spans="1:3" x14ac:dyDescent="0.3">
      <c r="A1585" s="4">
        <v>45993</v>
      </c>
      <c r="B1585" s="5">
        <v>1.8442000000000001</v>
      </c>
      <c r="C1585" s="5">
        <v>4.09</v>
      </c>
    </row>
    <row r="1586" spans="1:3" x14ac:dyDescent="0.3">
      <c r="A1586" s="4">
        <v>45994</v>
      </c>
      <c r="B1586" s="5">
        <v>1.8519000000000001</v>
      </c>
      <c r="C1586" s="5">
        <v>4.0599999999999996</v>
      </c>
    </row>
    <row r="1587" spans="1:3" x14ac:dyDescent="0.3">
      <c r="A1587" s="4">
        <v>45995</v>
      </c>
      <c r="B1587" s="5">
        <v>1.8717999999999999</v>
      </c>
      <c r="C1587" s="5">
        <v>4.1100000000000003</v>
      </c>
    </row>
    <row r="1588" spans="1:3" x14ac:dyDescent="0.3">
      <c r="A1588" s="4">
        <v>45996</v>
      </c>
      <c r="B1588" s="5">
        <v>1.8480000000000001</v>
      </c>
      <c r="C1588" s="5">
        <v>4.1399999999999997</v>
      </c>
    </row>
    <row r="1589" spans="1:3" x14ac:dyDescent="0.3">
      <c r="A1589" s="4">
        <v>45999</v>
      </c>
      <c r="B1589" s="5">
        <v>1.8499000000000001</v>
      </c>
      <c r="C1589" s="5">
        <v>4.17</v>
      </c>
    </row>
    <row r="1590" spans="1:3" x14ac:dyDescent="0.3">
      <c r="A1590" s="4">
        <v>46000</v>
      </c>
      <c r="B1590" s="5">
        <v>1.8425</v>
      </c>
      <c r="C1590" s="5">
        <v>4.18</v>
      </c>
    </row>
    <row r="1591" spans="1:3" x14ac:dyDescent="0.3">
      <c r="A1591" s="4">
        <v>46001</v>
      </c>
      <c r="B1591" s="5">
        <v>1.8447</v>
      </c>
      <c r="C1591" s="5">
        <v>4.13</v>
      </c>
    </row>
    <row r="1592" spans="1:3" x14ac:dyDescent="0.3">
      <c r="A1592" s="4">
        <v>46002</v>
      </c>
      <c r="B1592" s="5">
        <v>1.8404</v>
      </c>
      <c r="C1592" s="5">
        <v>4.1399999999999997</v>
      </c>
    </row>
    <row r="1593" spans="1:3" x14ac:dyDescent="0.3">
      <c r="A1593" s="4">
        <v>46003</v>
      </c>
      <c r="B1593" s="5">
        <v>1.8395999999999999</v>
      </c>
      <c r="C1593" s="5">
        <v>4.1900000000000004</v>
      </c>
    </row>
    <row r="1594" spans="1:3" x14ac:dyDescent="0.3">
      <c r="A1594" s="4">
        <v>46006</v>
      </c>
      <c r="B1594" s="5">
        <v>1.8488</v>
      </c>
      <c r="C1594" s="5">
        <v>4.18</v>
      </c>
    </row>
    <row r="1595" spans="1:3" x14ac:dyDescent="0.3">
      <c r="A1595" s="4">
        <v>46007</v>
      </c>
      <c r="B1595" s="5">
        <v>1.8458000000000001</v>
      </c>
      <c r="C1595" s="5">
        <v>4.1500000000000004</v>
      </c>
    </row>
    <row r="1596" spans="1:3" x14ac:dyDescent="0.3">
      <c r="A1596" s="4">
        <v>46008</v>
      </c>
      <c r="B1596" s="5">
        <v>1.8340000000000001</v>
      </c>
      <c r="C1596" s="5">
        <v>4.16</v>
      </c>
    </row>
    <row r="1597" spans="1:3" x14ac:dyDescent="0.3">
      <c r="A1597" s="4">
        <v>46009</v>
      </c>
      <c r="B1597" s="5">
        <v>1.8355999999999999</v>
      </c>
      <c r="C1597" s="5">
        <v>4.12</v>
      </c>
    </row>
    <row r="1598" spans="1:3" x14ac:dyDescent="0.3">
      <c r="A1598" s="4">
        <v>46010</v>
      </c>
      <c r="B1598" s="5">
        <v>1.8308</v>
      </c>
      <c r="C1598" s="5">
        <v>4.16</v>
      </c>
    </row>
    <row r="1599" spans="1:3" x14ac:dyDescent="0.3">
      <c r="A1599" s="4">
        <v>46013</v>
      </c>
      <c r="B1599" s="5">
        <v>1.8414999999999999</v>
      </c>
      <c r="C1599" s="5">
        <v>4.17</v>
      </c>
    </row>
    <row r="1600" spans="1:3" x14ac:dyDescent="0.3">
      <c r="A1600" s="4">
        <v>46014</v>
      </c>
      <c r="B1600" s="5">
        <v>1.8351999999999999</v>
      </c>
      <c r="C1600" s="5">
        <v>4.18</v>
      </c>
    </row>
    <row r="1601" spans="1:3" x14ac:dyDescent="0.3">
      <c r="A1601" s="4">
        <v>46015</v>
      </c>
      <c r="B1601" s="5">
        <v>1.8355999999999999</v>
      </c>
      <c r="C1601" s="5">
        <v>4.1500000000000004</v>
      </c>
    </row>
    <row r="1602" spans="1:3" x14ac:dyDescent="0.3">
      <c r="A1602" s="4">
        <v>46016</v>
      </c>
      <c r="B1602" s="5">
        <v>1.8386</v>
      </c>
      <c r="C1602" s="5"/>
    </row>
    <row r="1603" spans="1:3" x14ac:dyDescent="0.3">
      <c r="A1603" s="4">
        <v>46017</v>
      </c>
      <c r="B1603" s="5">
        <v>1.8375999999999999</v>
      </c>
      <c r="C1603" s="5">
        <v>4.1399999999999997</v>
      </c>
    </row>
    <row r="1604" spans="1:3" x14ac:dyDescent="0.3">
      <c r="A1604" s="4">
        <v>46020</v>
      </c>
      <c r="B1604" s="5">
        <v>1.8584000000000001</v>
      </c>
      <c r="C1604" s="5">
        <v>4.12</v>
      </c>
    </row>
    <row r="1605" spans="1:3" x14ac:dyDescent="0.3">
      <c r="A1605" s="4">
        <v>46021</v>
      </c>
      <c r="B1605" s="5">
        <v>1.8582000000000001</v>
      </c>
      <c r="C1605" s="5">
        <v>4.1399999999999997</v>
      </c>
    </row>
    <row r="1606" spans="1:3" x14ac:dyDescent="0.3">
      <c r="A1606" s="4">
        <v>46022</v>
      </c>
      <c r="B1606" s="5">
        <v>1.8472999999999999</v>
      </c>
      <c r="C1606" s="5">
        <v>4.18</v>
      </c>
    </row>
    <row r="1607" spans="1:3" x14ac:dyDescent="0.3">
      <c r="A1607" s="4">
        <v>46024</v>
      </c>
      <c r="B1607" s="5"/>
      <c r="C1607" s="5">
        <v>4.1900000000000004</v>
      </c>
    </row>
    <row r="1608" spans="1:3" x14ac:dyDescent="0.3">
      <c r="A1608" s="4">
        <v>46026</v>
      </c>
      <c r="B1608" s="5">
        <v>1.8427</v>
      </c>
      <c r="C1608" s="5"/>
    </row>
    <row r="1609" spans="1:3" x14ac:dyDescent="0.3">
      <c r="A1609" s="4">
        <v>46027</v>
      </c>
      <c r="B1609" s="5">
        <v>1.8584000000000001</v>
      </c>
      <c r="C1609" s="5">
        <v>4.17</v>
      </c>
    </row>
    <row r="1610" spans="1:3" x14ac:dyDescent="0.3">
      <c r="A1610" s="4">
        <v>46028</v>
      </c>
      <c r="B1610" s="5">
        <v>1.8829</v>
      </c>
      <c r="C1610" s="5">
        <v>4.18</v>
      </c>
    </row>
    <row r="1611" spans="1:3" x14ac:dyDescent="0.3">
      <c r="A1611" s="4">
        <v>46029</v>
      </c>
      <c r="B1611" s="5">
        <v>1.9018999999999999</v>
      </c>
      <c r="C1611" s="5">
        <v>4.1500000000000004</v>
      </c>
    </row>
    <row r="1612" spans="1:3" x14ac:dyDescent="0.3">
      <c r="A1612" s="4">
        <v>46030</v>
      </c>
      <c r="B1612" s="5">
        <v>1.8905000000000001</v>
      </c>
      <c r="C1612" s="5">
        <v>4.1900000000000004</v>
      </c>
    </row>
    <row r="1613" spans="1:3" x14ac:dyDescent="0.3">
      <c r="A1613" s="4">
        <v>46031</v>
      </c>
      <c r="B1613" s="5">
        <v>1.8782000000000001</v>
      </c>
      <c r="C1613" s="5">
        <v>4.18</v>
      </c>
    </row>
    <row r="1614" spans="1:3" x14ac:dyDescent="0.3">
      <c r="A1614" s="4">
        <v>46034</v>
      </c>
      <c r="B1614" s="5">
        <v>1.8585</v>
      </c>
      <c r="C1614" s="5">
        <v>4.1900000000000004</v>
      </c>
    </row>
    <row r="1615" spans="1:3" x14ac:dyDescent="0.3">
      <c r="A1615" s="4">
        <v>46035</v>
      </c>
      <c r="B1615" s="5">
        <v>1.8519000000000001</v>
      </c>
      <c r="C1615" s="5">
        <v>4.18</v>
      </c>
    </row>
    <row r="1616" spans="1:3" x14ac:dyDescent="0.3">
      <c r="A1616" s="4">
        <v>46036</v>
      </c>
      <c r="B1616" s="5">
        <v>1.8493999999999999</v>
      </c>
      <c r="C1616" s="5">
        <v>4.1500000000000004</v>
      </c>
    </row>
    <row r="1617" spans="1:3" x14ac:dyDescent="0.3">
      <c r="A1617" s="4">
        <v>46037</v>
      </c>
      <c r="B1617" s="5">
        <v>1.8544</v>
      </c>
      <c r="C1617" s="5">
        <v>4.17</v>
      </c>
    </row>
    <row r="1618" spans="1:3" x14ac:dyDescent="0.3">
      <c r="A1618" s="4">
        <v>46038</v>
      </c>
      <c r="B1618" s="5">
        <v>1.8424</v>
      </c>
      <c r="C1618" s="5">
        <v>4.24</v>
      </c>
    </row>
    <row r="1619" spans="1:3" x14ac:dyDescent="0.3">
      <c r="A1619" s="4">
        <v>46041</v>
      </c>
      <c r="B1619" s="5">
        <v>1.8392999999999999</v>
      </c>
      <c r="C1619" s="5"/>
    </row>
    <row r="1620" spans="1:3" x14ac:dyDescent="0.3">
      <c r="A1620" s="4">
        <v>46042</v>
      </c>
      <c r="B1620" s="5">
        <v>1.8326</v>
      </c>
      <c r="C1620" s="5">
        <v>4.3</v>
      </c>
    </row>
    <row r="1621" spans="1:3" x14ac:dyDescent="0.3">
      <c r="A1621" s="4">
        <v>46043</v>
      </c>
      <c r="B1621" s="5">
        <v>1.8311999999999999</v>
      </c>
      <c r="C1621" s="5">
        <v>4.26</v>
      </c>
    </row>
    <row r="1622" spans="1:3" x14ac:dyDescent="0.3">
      <c r="A1622" s="4">
        <v>46044</v>
      </c>
      <c r="B1622" s="5">
        <v>1.8425</v>
      </c>
      <c r="C1622" s="5">
        <v>4.26</v>
      </c>
    </row>
    <row r="1623" spans="1:3" x14ac:dyDescent="0.3">
      <c r="A1623" s="4">
        <v>46045</v>
      </c>
      <c r="B1623" s="5">
        <v>1.8298000000000001</v>
      </c>
      <c r="C1623" s="5">
        <v>4.24</v>
      </c>
    </row>
    <row r="1624" spans="1:3" x14ac:dyDescent="0.3">
      <c r="A1624" s="4">
        <v>46048</v>
      </c>
      <c r="B1624" s="5">
        <v>1.8242</v>
      </c>
      <c r="C1624" s="5">
        <v>4.22</v>
      </c>
    </row>
    <row r="1625" spans="1:3" x14ac:dyDescent="0.3">
      <c r="A1625" s="4">
        <v>46049</v>
      </c>
      <c r="B1625" s="5">
        <v>1.8310999999999999</v>
      </c>
      <c r="C1625" s="5">
        <v>4.24</v>
      </c>
    </row>
    <row r="1626" spans="1:3" x14ac:dyDescent="0.3">
      <c r="A1626" s="4">
        <v>46050</v>
      </c>
      <c r="B1626" s="5">
        <v>1.8164</v>
      </c>
      <c r="C1626" s="5">
        <v>4.26</v>
      </c>
    </row>
    <row r="1627" spans="1:3" x14ac:dyDescent="0.3">
      <c r="A1627" s="4">
        <v>46051</v>
      </c>
      <c r="B1627" s="5">
        <v>1.8173999999999999</v>
      </c>
      <c r="C1627" s="5">
        <v>4.24</v>
      </c>
    </row>
    <row r="1628" spans="1:3" x14ac:dyDescent="0.3">
      <c r="A1628" s="4">
        <v>46052</v>
      </c>
      <c r="B1628" s="5">
        <v>1.8111999999999999</v>
      </c>
      <c r="C1628" s="5">
        <v>4.26</v>
      </c>
    </row>
    <row r="1629" spans="1:3" x14ac:dyDescent="0.3">
      <c r="A1629" s="4">
        <v>46055</v>
      </c>
      <c r="B1629" s="5">
        <v>1.82</v>
      </c>
      <c r="C1629" s="5">
        <v>4.29</v>
      </c>
    </row>
    <row r="1630" spans="1:3" x14ac:dyDescent="0.3">
      <c r="A1630" s="4">
        <v>46056</v>
      </c>
      <c r="B1630" s="5">
        <v>1.8171999999999999</v>
      </c>
      <c r="C1630" s="5">
        <v>4.28</v>
      </c>
    </row>
    <row r="1631" spans="1:3" x14ac:dyDescent="0.3">
      <c r="A1631" s="4">
        <v>46057</v>
      </c>
      <c r="B1631" s="5">
        <v>1.8192999999999999</v>
      </c>
      <c r="C1631" s="5">
        <v>4.29</v>
      </c>
    </row>
    <row r="1632" spans="1:3" x14ac:dyDescent="0.3">
      <c r="A1632" s="4">
        <v>46058</v>
      </c>
      <c r="B1632" s="5">
        <v>1.8169</v>
      </c>
      <c r="C1632" s="5">
        <v>4.21</v>
      </c>
    </row>
    <row r="1633" spans="1:3" x14ac:dyDescent="0.3">
      <c r="A1633" s="4">
        <v>46059</v>
      </c>
      <c r="B1633" s="5">
        <v>1.8102</v>
      </c>
      <c r="C1633" s="5">
        <v>4.22</v>
      </c>
    </row>
    <row r="1634" spans="1:3" x14ac:dyDescent="0.3">
      <c r="A1634" s="4">
        <v>46062</v>
      </c>
      <c r="B1634" s="5">
        <v>1.8113999999999999</v>
      </c>
      <c r="C1634" s="5">
        <v>4.22</v>
      </c>
    </row>
    <row r="1635" spans="1:3" x14ac:dyDescent="0.3">
      <c r="A1635" s="4">
        <v>46063</v>
      </c>
      <c r="B1635" s="5">
        <v>1.8093999999999999</v>
      </c>
      <c r="C1635" s="5">
        <v>4.16</v>
      </c>
    </row>
    <row r="1636" spans="1:3" x14ac:dyDescent="0.3">
      <c r="A1636" s="4">
        <v>46064</v>
      </c>
      <c r="B1636" s="5">
        <v>1.7994000000000001</v>
      </c>
      <c r="C1636" s="5">
        <v>4.18</v>
      </c>
    </row>
    <row r="1637" spans="1:3" x14ac:dyDescent="0.3">
      <c r="A1637" s="4">
        <v>46065</v>
      </c>
      <c r="B1637" s="5">
        <v>1.7892999999999999</v>
      </c>
      <c r="C1637" s="5">
        <v>4.09</v>
      </c>
    </row>
    <row r="1638" spans="1:3" x14ac:dyDescent="0.3">
      <c r="A1638" s="4">
        <v>46066</v>
      </c>
      <c r="B1638" s="5">
        <v>1.7927999999999999</v>
      </c>
      <c r="C1638" s="5">
        <v>4.04</v>
      </c>
    </row>
    <row r="1639" spans="1:3" x14ac:dyDescent="0.3">
      <c r="A1639" s="4">
        <v>46067</v>
      </c>
      <c r="B1639" s="5">
        <v>1.7899</v>
      </c>
      <c r="C1639" s="5"/>
    </row>
    <row r="1640" spans="1:3" x14ac:dyDescent="0.3">
      <c r="A1640" s="4">
        <v>46070</v>
      </c>
      <c r="B1640" s="5"/>
      <c r="C1640" s="5">
        <v>4.05</v>
      </c>
    </row>
    <row r="1641" spans="1:3" x14ac:dyDescent="0.3">
      <c r="A1641" s="4">
        <v>46071</v>
      </c>
      <c r="B1641" s="5"/>
      <c r="C1641" s="5">
        <v>4.09</v>
      </c>
    </row>
    <row r="1642" spans="1:3" x14ac:dyDescent="0.3">
      <c r="A1642" s="4">
        <v>46072</v>
      </c>
      <c r="B1642" s="5"/>
      <c r="C1642" s="5">
        <v>4.08</v>
      </c>
    </row>
    <row r="1643" spans="1:3" x14ac:dyDescent="0.3">
      <c r="A1643" s="4">
        <v>46073</v>
      </c>
      <c r="B1643" s="5"/>
      <c r="C1643" s="5">
        <v>4.08</v>
      </c>
    </row>
    <row r="1644" spans="1:3" x14ac:dyDescent="0.3">
      <c r="A1644" s="4">
        <v>46076</v>
      </c>
      <c r="B1644" s="5"/>
      <c r="C1644" s="5">
        <v>4.03</v>
      </c>
    </row>
    <row r="1645" spans="1:3" x14ac:dyDescent="0.3">
      <c r="A1645" s="4">
        <v>46077</v>
      </c>
      <c r="B1645" s="5">
        <v>1.8023</v>
      </c>
      <c r="C1645" s="5">
        <v>4.04</v>
      </c>
    </row>
    <row r="1646" spans="1:3" x14ac:dyDescent="0.3">
      <c r="A1646" s="4">
        <v>46078</v>
      </c>
      <c r="B1646" s="5">
        <v>1.8158000000000001</v>
      </c>
      <c r="C1646" s="5">
        <v>4.05</v>
      </c>
    </row>
    <row r="1647" spans="1:3" x14ac:dyDescent="0.3">
      <c r="A1647" s="4">
        <v>46079</v>
      </c>
      <c r="B1647" s="5">
        <v>1.8288</v>
      </c>
      <c r="C1647" s="5">
        <v>4.0199999999999996</v>
      </c>
    </row>
    <row r="1648" spans="1:3" x14ac:dyDescent="0.3">
      <c r="A1648" s="4">
        <v>46080</v>
      </c>
      <c r="B1648" s="5">
        <v>1.7877000000000001</v>
      </c>
      <c r="C1648" s="5">
        <v>3.97</v>
      </c>
    </row>
    <row r="1649" spans="1:3" x14ac:dyDescent="0.3">
      <c r="A1649" s="4">
        <v>46081</v>
      </c>
      <c r="B1649" s="5">
        <v>1.7753000000000001</v>
      </c>
      <c r="C1649" s="5"/>
    </row>
    <row r="1650" spans="1:3" x14ac:dyDescent="0.3">
      <c r="A1650" s="4">
        <v>46083</v>
      </c>
      <c r="B1650" s="5">
        <v>1.7761</v>
      </c>
      <c r="C1650" s="5">
        <v>4.05</v>
      </c>
    </row>
    <row r="1651" spans="1:3" x14ac:dyDescent="0.3">
      <c r="A1651" s="4">
        <v>46084</v>
      </c>
      <c r="B1651" s="5">
        <v>1.7806999999999999</v>
      </c>
      <c r="C1651" s="5">
        <v>4.0599999999999996</v>
      </c>
    </row>
    <row r="1652" spans="1:3" x14ac:dyDescent="0.3">
      <c r="A1652" s="4">
        <v>46085</v>
      </c>
      <c r="B1652" s="5">
        <v>1.7767999999999999</v>
      </c>
      <c r="C1652" s="5">
        <v>4.09</v>
      </c>
    </row>
    <row r="1653" spans="1:3" x14ac:dyDescent="0.3">
      <c r="A1653" s="4">
        <v>46086</v>
      </c>
      <c r="B1653" s="5">
        <v>1.7779</v>
      </c>
      <c r="C1653" s="5">
        <v>4.13</v>
      </c>
    </row>
    <row r="1654" spans="1:3" x14ac:dyDescent="0.3">
      <c r="A1654" s="4">
        <v>46087</v>
      </c>
      <c r="B1654" s="5">
        <v>1.7809999999999999</v>
      </c>
      <c r="C1654" s="5">
        <v>4.1500000000000004</v>
      </c>
    </row>
    <row r="1655" spans="1:3" x14ac:dyDescent="0.3">
      <c r="A1655" s="4">
        <v>46090</v>
      </c>
      <c r="B1655" s="5">
        <v>1.8053999999999999</v>
      </c>
      <c r="C1655" s="5">
        <v>4.12</v>
      </c>
    </row>
    <row r="1656" spans="1:3" x14ac:dyDescent="0.3">
      <c r="A1656" s="4">
        <v>46091</v>
      </c>
      <c r="B1656" s="5">
        <v>1.8055000000000001</v>
      </c>
      <c r="C1656" s="5">
        <v>4.1500000000000004</v>
      </c>
    </row>
    <row r="1657" spans="1:3" x14ac:dyDescent="0.3">
      <c r="A1657" s="4">
        <v>46092</v>
      </c>
      <c r="B1657" s="5">
        <v>1.8075000000000001</v>
      </c>
      <c r="C1657" s="5">
        <v>4.21</v>
      </c>
    </row>
    <row r="1658" spans="1:3" x14ac:dyDescent="0.3">
      <c r="A1658" s="4">
        <v>46093</v>
      </c>
      <c r="B1658" s="5">
        <v>1.8051999999999999</v>
      </c>
      <c r="C1658" s="5">
        <v>4.2699999999999996</v>
      </c>
    </row>
    <row r="1659" spans="1:3" x14ac:dyDescent="0.3">
      <c r="A1659" s="4">
        <v>46094</v>
      </c>
      <c r="B1659" s="5">
        <v>1.8143</v>
      </c>
      <c r="C1659" s="5">
        <v>4.28</v>
      </c>
    </row>
    <row r="1660" spans="1:3" x14ac:dyDescent="0.3">
      <c r="A1660" s="4">
        <v>46097</v>
      </c>
      <c r="B1660" s="5">
        <v>1.8311999999999999</v>
      </c>
      <c r="C1660" s="5">
        <v>4.2300000000000004</v>
      </c>
    </row>
    <row r="1661" spans="1:3" x14ac:dyDescent="0.3">
      <c r="A1661" s="4">
        <v>46098</v>
      </c>
      <c r="B1661" s="5">
        <v>1.8313999999999999</v>
      </c>
      <c r="C1661" s="5">
        <v>4.2</v>
      </c>
    </row>
    <row r="1662" spans="1:3" x14ac:dyDescent="0.3">
      <c r="A1662" s="4">
        <v>46099</v>
      </c>
      <c r="B1662" s="5">
        <v>1.8174999999999999</v>
      </c>
      <c r="C1662" s="5">
        <v>4.26</v>
      </c>
    </row>
    <row r="1663" spans="1:3" x14ac:dyDescent="0.3">
      <c r="A1663" s="4">
        <v>46100</v>
      </c>
      <c r="B1663" s="5">
        <v>1.8251999999999999</v>
      </c>
      <c r="C1663" s="5">
        <v>4.25</v>
      </c>
    </row>
    <row r="1664" spans="1:3" x14ac:dyDescent="0.3">
      <c r="A1664" s="4">
        <v>46101</v>
      </c>
      <c r="B1664" s="5">
        <v>1.8299000000000001</v>
      </c>
      <c r="C1664" s="5">
        <v>4.3899999999999997</v>
      </c>
    </row>
    <row r="1665" spans="1:3" x14ac:dyDescent="0.3">
      <c r="A1665" s="4">
        <v>46104</v>
      </c>
      <c r="B1665" s="5">
        <v>1.8315999999999999</v>
      </c>
      <c r="C1665" s="5">
        <v>4.34</v>
      </c>
    </row>
    <row r="1666" spans="1:3" x14ac:dyDescent="0.3">
      <c r="A1666" s="4">
        <v>46105</v>
      </c>
      <c r="B1666" s="5">
        <v>1.8271999999999999</v>
      </c>
      <c r="C1666" s="5">
        <v>4.3899999999999997</v>
      </c>
    </row>
    <row r="1667" spans="1:3" x14ac:dyDescent="0.3">
      <c r="A1667" s="4">
        <v>46106</v>
      </c>
      <c r="B1667" s="5">
        <v>1.8232999999999999</v>
      </c>
      <c r="C1667" s="5">
        <v>4.33</v>
      </c>
    </row>
    <row r="1668" spans="1:3" x14ac:dyDescent="0.3">
      <c r="A1668" s="4">
        <v>46107</v>
      </c>
      <c r="B1668" s="5">
        <v>1.8193999999999999</v>
      </c>
      <c r="C1668" s="5">
        <v>4.42</v>
      </c>
    </row>
    <row r="1669" spans="1:3" x14ac:dyDescent="0.3">
      <c r="A1669" s="4">
        <v>46108</v>
      </c>
      <c r="B1669" s="5">
        <v>1.8171999999999999</v>
      </c>
      <c r="C1669" s="5">
        <v>4.4400000000000004</v>
      </c>
    </row>
    <row r="1670" spans="1:3" x14ac:dyDescent="0.3">
      <c r="A1670" s="4">
        <v>46111</v>
      </c>
      <c r="B1670" s="5">
        <v>1.8063</v>
      </c>
      <c r="C1670" s="5">
        <v>4.3499999999999996</v>
      </c>
    </row>
    <row r="1671" spans="1:3" x14ac:dyDescent="0.3">
      <c r="A1671" s="4">
        <v>46112</v>
      </c>
      <c r="B1671" s="5">
        <v>1.8170999999999999</v>
      </c>
      <c r="C1671" s="5">
        <v>4.3</v>
      </c>
    </row>
    <row r="1672" spans="1:3" x14ac:dyDescent="0.3">
      <c r="A1672" s="4">
        <v>46113</v>
      </c>
      <c r="B1672" s="5">
        <v>1.8244</v>
      </c>
      <c r="C1672" s="5">
        <v>4.33</v>
      </c>
    </row>
    <row r="1673" spans="1:3" x14ac:dyDescent="0.3">
      <c r="A1673" s="4">
        <v>46114</v>
      </c>
      <c r="B1673" s="5">
        <v>1.8209</v>
      </c>
      <c r="C1673" s="5">
        <v>4.3099999999999996</v>
      </c>
    </row>
    <row r="1674" spans="1:3" x14ac:dyDescent="0.3">
      <c r="A1674" s="4">
        <v>46115</v>
      </c>
      <c r="B1674" s="5">
        <v>1.8199000000000001</v>
      </c>
      <c r="C1674" s="5">
        <v>4.3499999999999996</v>
      </c>
    </row>
    <row r="1675" spans="1:3" x14ac:dyDescent="0.3">
      <c r="A1675" s="4">
        <v>46118</v>
      </c>
      <c r="B1675" s="5"/>
      <c r="C1675" s="5">
        <v>4.34</v>
      </c>
    </row>
    <row r="1676" spans="1:3" x14ac:dyDescent="0.3">
      <c r="A1676" s="4">
        <v>46119</v>
      </c>
      <c r="B1676" s="5">
        <v>1.8170999999999999</v>
      </c>
      <c r="C1676" s="5">
        <v>4.33</v>
      </c>
    </row>
    <row r="1677" spans="1:3" x14ac:dyDescent="0.3">
      <c r="A1677" s="4">
        <v>46120</v>
      </c>
      <c r="B1677" s="5">
        <v>1.8136000000000001</v>
      </c>
      <c r="C1677" s="5">
        <v>4.29</v>
      </c>
    </row>
    <row r="1678" spans="1:3" x14ac:dyDescent="0.3">
      <c r="A1678" s="4">
        <v>46121</v>
      </c>
      <c r="B1678" s="5">
        <v>1.8191999999999999</v>
      </c>
      <c r="C1678" s="5">
        <v>4.29</v>
      </c>
    </row>
    <row r="1679" spans="1:3" x14ac:dyDescent="0.3">
      <c r="A1679" s="4">
        <v>46122</v>
      </c>
      <c r="B1679" s="5">
        <v>1.8128</v>
      </c>
      <c r="C1679" s="5">
        <v>4.3099999999999996</v>
      </c>
    </row>
    <row r="1680" spans="1:3" x14ac:dyDescent="0.3">
      <c r="A1680" s="4">
        <v>46125</v>
      </c>
      <c r="B1680" s="5">
        <v>1.7932999999999999</v>
      </c>
      <c r="C1680" s="5">
        <v>4.3</v>
      </c>
    </row>
    <row r="1681" spans="1:3" x14ac:dyDescent="0.3">
      <c r="A1681" s="4">
        <v>46126</v>
      </c>
      <c r="B1681" s="5">
        <v>1.7828999999999999</v>
      </c>
      <c r="C1681" s="5">
        <v>4.26</v>
      </c>
    </row>
    <row r="1682" spans="1:3" x14ac:dyDescent="0.3">
      <c r="A1682" s="4">
        <v>46127</v>
      </c>
      <c r="B1682" s="5">
        <v>1.7808999999999999</v>
      </c>
      <c r="C1682" s="5">
        <v>4.29</v>
      </c>
    </row>
    <row r="1683" spans="1:3" x14ac:dyDescent="0.3">
      <c r="A1683" s="4">
        <v>46128</v>
      </c>
      <c r="B1683" s="5">
        <v>1.7811999999999999</v>
      </c>
      <c r="C1683" s="5">
        <v>4.32</v>
      </c>
    </row>
    <row r="1684" spans="1:3" x14ac:dyDescent="0.3">
      <c r="A1684" s="4">
        <v>46129</v>
      </c>
      <c r="B1684" s="5">
        <v>1.7623</v>
      </c>
      <c r="C1684" s="5">
        <v>4.26</v>
      </c>
    </row>
    <row r="1685" spans="1:3" x14ac:dyDescent="0.3">
      <c r="A1685" s="4">
        <v>46132</v>
      </c>
      <c r="B1685" s="5">
        <v>1.7626999999999999</v>
      </c>
      <c r="C1685" s="5">
        <v>4.26</v>
      </c>
    </row>
    <row r="1686" spans="1:3" x14ac:dyDescent="0.3">
      <c r="A1686" s="4">
        <v>46133</v>
      </c>
      <c r="B1686" s="5">
        <v>1.7509999999999999</v>
      </c>
      <c r="C1686" s="5">
        <v>4.3</v>
      </c>
    </row>
    <row r="1687" spans="1:3" x14ac:dyDescent="0.3">
      <c r="A1687" s="4">
        <v>46134</v>
      </c>
      <c r="B1687" s="5">
        <v>1.7388999999999999</v>
      </c>
      <c r="C1687" s="5">
        <v>4.3</v>
      </c>
    </row>
    <row r="1688" spans="1:3" x14ac:dyDescent="0.3">
      <c r="A1688" s="4">
        <v>46135</v>
      </c>
      <c r="B1688" s="5">
        <v>1.7547999999999999</v>
      </c>
      <c r="C1688" s="5">
        <v>4.34</v>
      </c>
    </row>
    <row r="1689" spans="1:3" x14ac:dyDescent="0.3">
      <c r="A1689" s="4">
        <v>46136</v>
      </c>
      <c r="B1689" s="5">
        <v>1.7601</v>
      </c>
      <c r="C1689" s="5">
        <v>4.3099999999999996</v>
      </c>
    </row>
    <row r="1690" spans="1:3" x14ac:dyDescent="0.3">
      <c r="A1690" s="4">
        <v>46139</v>
      </c>
      <c r="B1690" s="5">
        <v>1.7697000000000001</v>
      </c>
      <c r="C1690" s="5">
        <v>4.3499999999999996</v>
      </c>
    </row>
    <row r="1691" spans="1:3" x14ac:dyDescent="0.3">
      <c r="A1691" s="4">
        <v>46140</v>
      </c>
      <c r="B1691" s="5">
        <v>1.7654000000000001</v>
      </c>
      <c r="C1691" s="5">
        <v>4.3600000000000003</v>
      </c>
    </row>
    <row r="1692" spans="1:3" x14ac:dyDescent="0.3">
      <c r="A1692" s="4">
        <v>46141</v>
      </c>
      <c r="B1692" s="5">
        <v>1.7444</v>
      </c>
      <c r="C1692" s="5">
        <v>4.42</v>
      </c>
    </row>
    <row r="1693" spans="1:3" x14ac:dyDescent="0.3">
      <c r="A1693" s="4">
        <v>46142</v>
      </c>
      <c r="B1693" s="5">
        <v>1.7473000000000001</v>
      </c>
      <c r="C1693" s="5">
        <v>4.4000000000000004</v>
      </c>
    </row>
    <row r="1694" spans="1:3" x14ac:dyDescent="0.3">
      <c r="A1694" s="4">
        <v>46143</v>
      </c>
      <c r="B1694" s="5"/>
      <c r="C1694" s="5">
        <v>4.3899999999999997</v>
      </c>
    </row>
    <row r="1695" spans="1:3" x14ac:dyDescent="0.3">
      <c r="A1695" s="4">
        <v>46146</v>
      </c>
      <c r="B1695" s="5"/>
      <c r="C1695" s="5">
        <v>4.45</v>
      </c>
    </row>
    <row r="1696" spans="1:3" x14ac:dyDescent="0.3">
      <c r="A1696" s="4">
        <v>46147</v>
      </c>
      <c r="B1696" s="5"/>
      <c r="C1696" s="5">
        <v>4.43</v>
      </c>
    </row>
    <row r="1697" spans="1:3" x14ac:dyDescent="0.3">
      <c r="A1697" s="4">
        <v>46148</v>
      </c>
      <c r="B1697" s="5">
        <v>1.7654000000000001</v>
      </c>
      <c r="C1697" s="5">
        <v>4.3600000000000003</v>
      </c>
    </row>
    <row r="1698" spans="1:3" x14ac:dyDescent="0.3">
      <c r="A1698" s="4">
        <v>46149</v>
      </c>
      <c r="B1698" s="5">
        <v>1.7630999999999999</v>
      </c>
      <c r="C1698" s="5">
        <v>4.41</v>
      </c>
    </row>
    <row r="1699" spans="1:3" x14ac:dyDescent="0.3">
      <c r="A1699" s="4">
        <v>46150</v>
      </c>
      <c r="B1699" s="5">
        <v>1.7647999999999999</v>
      </c>
      <c r="C1699" s="5">
        <v>4.38</v>
      </c>
    </row>
    <row r="1700" spans="1:3" x14ac:dyDescent="0.3">
      <c r="A1700" s="4">
        <v>46151</v>
      </c>
      <c r="B1700" s="5">
        <v>1.7669999999999999</v>
      </c>
      <c r="C1700" s="5"/>
    </row>
    <row r="1701" spans="1:3" x14ac:dyDescent="0.3">
      <c r="A1701" s="4">
        <v>46153</v>
      </c>
      <c r="B1701" s="5">
        <v>1.7622</v>
      </c>
      <c r="C1701" s="5">
        <v>4.42</v>
      </c>
    </row>
    <row r="1702" spans="1:3" x14ac:dyDescent="0.3">
      <c r="A1702" s="4">
        <v>46154</v>
      </c>
      <c r="B1702" s="5">
        <v>1.7592000000000001</v>
      </c>
      <c r="C1702" s="5">
        <v>4.46</v>
      </c>
    </row>
  </sheetData>
  <phoneticPr fontId="7" type="noConversion"/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1542"/>
  <sheetViews>
    <sheetView workbookViewId="0">
      <pane ySplit="1" topLeftCell="A1528" activePane="bottomLeft" state="frozen"/>
      <selection activeCell="F1" sqref="F1:H2"/>
      <selection pane="bottomLeft" activeCell="G5" sqref="G5"/>
    </sheetView>
  </sheetViews>
  <sheetFormatPr defaultColWidth="9" defaultRowHeight="13.5" x14ac:dyDescent="0.3"/>
  <cols>
    <col min="1" max="1" width="11.6640625" customWidth="1"/>
    <col min="2" max="2" width="32.3984375" customWidth="1"/>
  </cols>
  <sheetData>
    <row r="1" spans="1:2" ht="13.9" x14ac:dyDescent="0.35">
      <c r="B1" s="1" t="str">
        <f>[1]!WSS(B2,"sec_name","ShowCodes=N","cols=1;rows=1")</f>
        <v>Fetching...</v>
      </c>
    </row>
    <row r="2" spans="1:2" ht="13.9" x14ac:dyDescent="0.35">
      <c r="B2" s="1" t="s">
        <v>112</v>
      </c>
    </row>
    <row r="3" spans="1:2" ht="13.9" x14ac:dyDescent="0.35">
      <c r="A3" s="1" t="s">
        <v>12</v>
      </c>
      <c r="B3" s="53" t="s">
        <v>130</v>
      </c>
    </row>
    <row r="4" spans="1:2" ht="13.9" x14ac:dyDescent="0.35">
      <c r="A4" s="1" t="s">
        <v>13</v>
      </c>
      <c r="B4" s="1" t="s">
        <v>129</v>
      </c>
    </row>
    <row r="5" spans="1:2" ht="13.9" x14ac:dyDescent="0.35">
      <c r="A5" s="2">
        <v>43832</v>
      </c>
      <c r="B5" s="3">
        <f>[1]!WSD(B2,B4:B4,"2020-01-01","","TradingCalendar=SSE","PriceAdj=F","rptType=1","ShowParams=Y","cols=1;rows=1538")</f>
        <v>1.38</v>
      </c>
    </row>
    <row r="6" spans="1:2" ht="13.9" x14ac:dyDescent="0.35">
      <c r="A6" s="2">
        <v>43833</v>
      </c>
      <c r="B6" s="3">
        <v>1.1000000000000001</v>
      </c>
    </row>
    <row r="7" spans="1:2" ht="13.9" x14ac:dyDescent="0.35">
      <c r="A7" s="2">
        <v>43836</v>
      </c>
      <c r="B7" s="3">
        <v>1</v>
      </c>
    </row>
    <row r="8" spans="1:2" ht="13.9" x14ac:dyDescent="0.35">
      <c r="A8" s="2">
        <v>43837</v>
      </c>
      <c r="B8" s="3">
        <v>1.21</v>
      </c>
    </row>
    <row r="9" spans="1:2" ht="13.9" x14ac:dyDescent="0.35">
      <c r="A9" s="2">
        <v>43838</v>
      </c>
      <c r="B9" s="3">
        <v>1.54</v>
      </c>
    </row>
    <row r="10" spans="1:2" ht="13.9" x14ac:dyDescent="0.35">
      <c r="A10" s="2">
        <v>43839</v>
      </c>
      <c r="B10" s="3">
        <v>1.8</v>
      </c>
    </row>
    <row r="11" spans="1:2" ht="13.9" x14ac:dyDescent="0.35">
      <c r="A11" s="2">
        <v>43840</v>
      </c>
      <c r="B11" s="3">
        <v>1.77</v>
      </c>
    </row>
    <row r="12" spans="1:2" ht="13.9" x14ac:dyDescent="0.35">
      <c r="A12" s="2">
        <v>43843</v>
      </c>
      <c r="B12" s="3">
        <v>2.08</v>
      </c>
    </row>
    <row r="13" spans="1:2" ht="13.9" x14ac:dyDescent="0.35">
      <c r="A13" s="2">
        <v>43844</v>
      </c>
      <c r="B13" s="3">
        <v>2.5499999999999998</v>
      </c>
    </row>
    <row r="14" spans="1:2" ht="13.9" x14ac:dyDescent="0.35">
      <c r="A14" s="2">
        <v>43845</v>
      </c>
      <c r="B14" s="3">
        <v>2.6</v>
      </c>
    </row>
    <row r="15" spans="1:2" ht="13.9" x14ac:dyDescent="0.35">
      <c r="A15" s="2">
        <v>43846</v>
      </c>
      <c r="B15" s="3">
        <v>2.61</v>
      </c>
    </row>
    <row r="16" spans="1:2" ht="13.9" x14ac:dyDescent="0.35">
      <c r="A16" s="2">
        <v>43847</v>
      </c>
      <c r="B16" s="3">
        <v>2.35</v>
      </c>
    </row>
    <row r="17" spans="1:2" ht="13.9" x14ac:dyDescent="0.35">
      <c r="A17" s="2">
        <v>43850</v>
      </c>
      <c r="B17" s="3">
        <v>2.23</v>
      </c>
    </row>
    <row r="18" spans="1:2" ht="13.9" x14ac:dyDescent="0.35">
      <c r="A18" s="2">
        <v>43851</v>
      </c>
      <c r="B18" s="3">
        <v>1.86</v>
      </c>
    </row>
    <row r="19" spans="1:2" ht="13.9" x14ac:dyDescent="0.35">
      <c r="A19" s="2">
        <v>43852</v>
      </c>
      <c r="B19" s="3">
        <v>1.48</v>
      </c>
    </row>
    <row r="20" spans="1:2" ht="13.9" x14ac:dyDescent="0.35">
      <c r="A20" s="2">
        <v>43853</v>
      </c>
      <c r="B20" s="3">
        <v>2.37</v>
      </c>
    </row>
    <row r="21" spans="1:2" ht="13.9" x14ac:dyDescent="0.35">
      <c r="A21" s="2">
        <v>43864</v>
      </c>
      <c r="B21" s="3">
        <v>2.5</v>
      </c>
    </row>
    <row r="22" spans="1:2" ht="13.9" x14ac:dyDescent="0.35">
      <c r="A22" s="2">
        <v>43865</v>
      </c>
      <c r="B22" s="3">
        <v>2.2200000000000002</v>
      </c>
    </row>
    <row r="23" spans="1:2" ht="13.9" x14ac:dyDescent="0.35">
      <c r="A23" s="2">
        <v>43866</v>
      </c>
      <c r="B23" s="3">
        <v>2.1</v>
      </c>
    </row>
    <row r="24" spans="1:2" ht="13.9" x14ac:dyDescent="0.35">
      <c r="A24" s="2">
        <v>43867</v>
      </c>
      <c r="B24" s="3">
        <v>1.68</v>
      </c>
    </row>
    <row r="25" spans="1:2" ht="13.9" x14ac:dyDescent="0.35">
      <c r="A25" s="2">
        <v>43868</v>
      </c>
      <c r="B25" s="3">
        <v>1.5</v>
      </c>
    </row>
    <row r="26" spans="1:2" ht="13.9" x14ac:dyDescent="0.35">
      <c r="A26" s="2">
        <v>43871</v>
      </c>
      <c r="B26" s="3">
        <v>1.58</v>
      </c>
    </row>
    <row r="27" spans="1:2" ht="13.9" x14ac:dyDescent="0.35">
      <c r="A27" s="2">
        <v>43872</v>
      </c>
      <c r="B27" s="3">
        <v>1.53</v>
      </c>
    </row>
    <row r="28" spans="1:2" ht="13.9" x14ac:dyDescent="0.35">
      <c r="A28" s="2">
        <v>43873</v>
      </c>
      <c r="B28" s="3">
        <v>1.5</v>
      </c>
    </row>
    <row r="29" spans="1:2" ht="13.9" x14ac:dyDescent="0.35">
      <c r="A29" s="2">
        <v>43874</v>
      </c>
      <c r="B29" s="3">
        <v>1.42</v>
      </c>
    </row>
    <row r="30" spans="1:2" ht="13.9" x14ac:dyDescent="0.35">
      <c r="A30" s="2">
        <v>43875</v>
      </c>
      <c r="B30" s="3">
        <v>1.23</v>
      </c>
    </row>
    <row r="31" spans="1:2" ht="13.9" x14ac:dyDescent="0.35">
      <c r="A31" s="2">
        <v>43878</v>
      </c>
      <c r="B31" s="3">
        <v>1.42</v>
      </c>
    </row>
    <row r="32" spans="1:2" ht="13.9" x14ac:dyDescent="0.35">
      <c r="A32" s="2">
        <v>43879</v>
      </c>
      <c r="B32" s="3">
        <v>1.5</v>
      </c>
    </row>
    <row r="33" spans="1:2" ht="13.9" x14ac:dyDescent="0.35">
      <c r="A33" s="2">
        <v>43880</v>
      </c>
      <c r="B33" s="3">
        <v>1.7</v>
      </c>
    </row>
    <row r="34" spans="1:2" ht="13.9" x14ac:dyDescent="0.35">
      <c r="A34" s="2">
        <v>43881</v>
      </c>
      <c r="B34" s="3">
        <v>1.38</v>
      </c>
    </row>
    <row r="35" spans="1:2" ht="13.9" x14ac:dyDescent="0.35">
      <c r="A35" s="2">
        <v>43882</v>
      </c>
      <c r="B35" s="3">
        <v>1.35</v>
      </c>
    </row>
    <row r="36" spans="1:2" ht="13.9" x14ac:dyDescent="0.35">
      <c r="A36" s="2">
        <v>43885</v>
      </c>
      <c r="B36" s="3">
        <v>1.52</v>
      </c>
    </row>
    <row r="37" spans="1:2" ht="13.9" x14ac:dyDescent="0.35">
      <c r="A37" s="2">
        <v>43886</v>
      </c>
      <c r="B37" s="3">
        <v>1.59</v>
      </c>
    </row>
    <row r="38" spans="1:2" ht="13.9" x14ac:dyDescent="0.35">
      <c r="A38" s="2">
        <v>43887</v>
      </c>
      <c r="B38" s="3">
        <v>1.43</v>
      </c>
    </row>
    <row r="39" spans="1:2" ht="13.9" x14ac:dyDescent="0.35">
      <c r="A39" s="2">
        <v>43888</v>
      </c>
      <c r="B39" s="3">
        <v>1.32</v>
      </c>
    </row>
    <row r="40" spans="1:2" ht="13.9" x14ac:dyDescent="0.35">
      <c r="A40" s="2">
        <v>43889</v>
      </c>
      <c r="B40" s="3">
        <v>1.64</v>
      </c>
    </row>
    <row r="41" spans="1:2" ht="13.9" x14ac:dyDescent="0.35">
      <c r="A41" s="2">
        <v>43892</v>
      </c>
      <c r="B41" s="3">
        <v>1.71</v>
      </c>
    </row>
    <row r="42" spans="1:2" ht="13.9" x14ac:dyDescent="0.35">
      <c r="A42" s="2">
        <v>43893</v>
      </c>
      <c r="B42" s="3">
        <v>1.6</v>
      </c>
    </row>
    <row r="43" spans="1:2" ht="13.9" x14ac:dyDescent="0.35">
      <c r="A43" s="2">
        <v>43894</v>
      </c>
      <c r="B43" s="3">
        <v>1.45</v>
      </c>
    </row>
    <row r="44" spans="1:2" ht="13.9" x14ac:dyDescent="0.35">
      <c r="A44" s="2">
        <v>43895</v>
      </c>
      <c r="B44" s="3">
        <v>1.55</v>
      </c>
    </row>
    <row r="45" spans="1:2" ht="13.9" x14ac:dyDescent="0.35">
      <c r="A45" s="2">
        <v>43896</v>
      </c>
      <c r="B45" s="3">
        <v>1.36</v>
      </c>
    </row>
    <row r="46" spans="1:2" ht="13.9" x14ac:dyDescent="0.35">
      <c r="A46" s="2">
        <v>43899</v>
      </c>
      <c r="B46" s="3">
        <v>1.57</v>
      </c>
    </row>
    <row r="47" spans="1:2" ht="13.9" x14ac:dyDescent="0.35">
      <c r="A47" s="2">
        <v>43900</v>
      </c>
      <c r="B47" s="3">
        <v>2</v>
      </c>
    </row>
    <row r="48" spans="1:2" ht="13.9" x14ac:dyDescent="0.35">
      <c r="A48" s="2">
        <v>43901</v>
      </c>
      <c r="B48" s="3">
        <v>2.1</v>
      </c>
    </row>
    <row r="49" spans="1:2" ht="13.9" x14ac:dyDescent="0.35">
      <c r="A49" s="2">
        <v>43902</v>
      </c>
      <c r="B49" s="3">
        <v>1.7</v>
      </c>
    </row>
    <row r="50" spans="1:2" ht="13.9" x14ac:dyDescent="0.35">
      <c r="A50" s="2">
        <v>43903</v>
      </c>
      <c r="B50" s="3">
        <v>1.41</v>
      </c>
    </row>
    <row r="51" spans="1:2" ht="13.9" x14ac:dyDescent="0.35">
      <c r="A51" s="2">
        <v>43906</v>
      </c>
      <c r="B51" s="3">
        <v>1.22</v>
      </c>
    </row>
    <row r="52" spans="1:2" ht="13.9" x14ac:dyDescent="0.35">
      <c r="A52" s="2">
        <v>43907</v>
      </c>
      <c r="B52" s="3">
        <v>1.08</v>
      </c>
    </row>
    <row r="53" spans="1:2" ht="13.9" x14ac:dyDescent="0.35">
      <c r="A53" s="2">
        <v>43908</v>
      </c>
      <c r="B53" s="3">
        <v>0.96</v>
      </c>
    </row>
    <row r="54" spans="1:2" ht="13.9" x14ac:dyDescent="0.35">
      <c r="A54" s="2">
        <v>43909</v>
      </c>
      <c r="B54" s="3">
        <v>0.83</v>
      </c>
    </row>
    <row r="55" spans="1:2" ht="13.9" x14ac:dyDescent="0.35">
      <c r="A55" s="2">
        <v>43910</v>
      </c>
      <c r="B55" s="3">
        <v>1</v>
      </c>
    </row>
    <row r="56" spans="1:2" ht="13.9" x14ac:dyDescent="0.35">
      <c r="A56" s="2">
        <v>43913</v>
      </c>
      <c r="B56" s="3">
        <v>0.84</v>
      </c>
    </row>
    <row r="57" spans="1:2" ht="13.9" x14ac:dyDescent="0.35">
      <c r="A57" s="2">
        <v>43914</v>
      </c>
      <c r="B57" s="3">
        <v>0.82</v>
      </c>
    </row>
    <row r="58" spans="1:2" ht="13.9" x14ac:dyDescent="0.35">
      <c r="A58" s="2">
        <v>43915</v>
      </c>
      <c r="B58" s="3">
        <v>0.84</v>
      </c>
    </row>
    <row r="59" spans="1:2" ht="13.9" x14ac:dyDescent="0.35">
      <c r="A59" s="2">
        <v>43916</v>
      </c>
      <c r="B59" s="3">
        <v>0.88</v>
      </c>
    </row>
    <row r="60" spans="1:2" ht="13.9" x14ac:dyDescent="0.35">
      <c r="A60" s="2">
        <v>43917</v>
      </c>
      <c r="B60" s="3">
        <v>1.1000000000000001</v>
      </c>
    </row>
    <row r="61" spans="1:2" ht="13.9" x14ac:dyDescent="0.35">
      <c r="A61" s="2">
        <v>43920</v>
      </c>
      <c r="B61" s="3">
        <v>1.36</v>
      </c>
    </row>
    <row r="62" spans="1:2" ht="13.9" x14ac:dyDescent="0.35">
      <c r="A62" s="2">
        <v>43921</v>
      </c>
      <c r="B62" s="3">
        <v>1.61</v>
      </c>
    </row>
    <row r="63" spans="1:2" ht="13.9" x14ac:dyDescent="0.35">
      <c r="A63" s="2">
        <v>43922</v>
      </c>
      <c r="B63" s="3">
        <v>1.1000000000000001</v>
      </c>
    </row>
    <row r="64" spans="1:2" ht="13.9" x14ac:dyDescent="0.35">
      <c r="A64" s="2">
        <v>43923</v>
      </c>
      <c r="B64" s="3">
        <v>1.1000000000000001</v>
      </c>
    </row>
    <row r="65" spans="1:2" ht="13.9" x14ac:dyDescent="0.35">
      <c r="A65" s="2">
        <v>43924</v>
      </c>
      <c r="B65" s="3">
        <v>0.97</v>
      </c>
    </row>
    <row r="66" spans="1:2" ht="13.9" x14ac:dyDescent="0.35">
      <c r="A66" s="2">
        <v>43928</v>
      </c>
      <c r="B66" s="3">
        <v>0.79</v>
      </c>
    </row>
    <row r="67" spans="1:2" ht="13.9" x14ac:dyDescent="0.35">
      <c r="A67" s="2">
        <v>43929</v>
      </c>
      <c r="B67" s="3">
        <v>0.89</v>
      </c>
    </row>
    <row r="68" spans="1:2" ht="13.9" x14ac:dyDescent="0.35">
      <c r="A68" s="2">
        <v>43930</v>
      </c>
      <c r="B68" s="3">
        <v>1.1599999999999999</v>
      </c>
    </row>
    <row r="69" spans="1:2" ht="13.9" x14ac:dyDescent="0.35">
      <c r="A69" s="2">
        <v>43931</v>
      </c>
      <c r="B69" s="3">
        <v>1.32</v>
      </c>
    </row>
    <row r="70" spans="1:2" ht="13.9" x14ac:dyDescent="0.35">
      <c r="A70" s="2">
        <v>43934</v>
      </c>
      <c r="B70" s="3">
        <v>1.34</v>
      </c>
    </row>
    <row r="71" spans="1:2" ht="13.9" x14ac:dyDescent="0.35">
      <c r="A71" s="2">
        <v>43935</v>
      </c>
      <c r="B71" s="3">
        <v>0.97</v>
      </c>
    </row>
    <row r="72" spans="1:2" ht="13.9" x14ac:dyDescent="0.35">
      <c r="A72" s="2">
        <v>43936</v>
      </c>
      <c r="B72" s="3">
        <v>0.78</v>
      </c>
    </row>
    <row r="73" spans="1:2" ht="13.9" x14ac:dyDescent="0.35">
      <c r="A73" s="2">
        <v>43937</v>
      </c>
      <c r="B73" s="3">
        <v>0.65</v>
      </c>
    </row>
    <row r="74" spans="1:2" ht="13.9" x14ac:dyDescent="0.35">
      <c r="A74" s="2">
        <v>43938</v>
      </c>
      <c r="B74" s="3">
        <v>0.72</v>
      </c>
    </row>
    <row r="75" spans="1:2" ht="13.9" x14ac:dyDescent="0.35">
      <c r="A75" s="2">
        <v>43941</v>
      </c>
      <c r="B75" s="3">
        <v>0.9</v>
      </c>
    </row>
    <row r="76" spans="1:2" ht="13.9" x14ac:dyDescent="0.35">
      <c r="A76" s="2">
        <v>43942</v>
      </c>
      <c r="B76" s="3">
        <v>0.9</v>
      </c>
    </row>
    <row r="77" spans="1:2" ht="13.9" x14ac:dyDescent="0.35">
      <c r="A77" s="2">
        <v>43943</v>
      </c>
      <c r="B77" s="3">
        <v>0.9</v>
      </c>
    </row>
    <row r="78" spans="1:2" ht="13.9" x14ac:dyDescent="0.35">
      <c r="A78" s="2">
        <v>43944</v>
      </c>
      <c r="B78" s="3">
        <v>0.89</v>
      </c>
    </row>
    <row r="79" spans="1:2" ht="13.9" x14ac:dyDescent="0.35">
      <c r="A79" s="2">
        <v>43945</v>
      </c>
      <c r="B79" s="3">
        <v>0.92</v>
      </c>
    </row>
    <row r="80" spans="1:2" ht="13.9" x14ac:dyDescent="0.35">
      <c r="A80" s="2">
        <v>43948</v>
      </c>
      <c r="B80" s="3">
        <v>0.87</v>
      </c>
    </row>
    <row r="81" spans="1:2" ht="13.9" x14ac:dyDescent="0.35">
      <c r="A81" s="2">
        <v>43949</v>
      </c>
      <c r="B81" s="3">
        <v>0.89</v>
      </c>
    </row>
    <row r="82" spans="1:2" ht="13.9" x14ac:dyDescent="0.35">
      <c r="A82" s="2">
        <v>43950</v>
      </c>
      <c r="B82" s="3">
        <v>0.66</v>
      </c>
    </row>
    <row r="83" spans="1:2" ht="13.9" x14ac:dyDescent="0.35">
      <c r="A83" s="2">
        <v>43951</v>
      </c>
      <c r="B83" s="3">
        <v>1.6</v>
      </c>
    </row>
    <row r="84" spans="1:2" ht="13.9" x14ac:dyDescent="0.35">
      <c r="A84" s="2">
        <v>43957</v>
      </c>
      <c r="B84" s="3">
        <v>1.46</v>
      </c>
    </row>
    <row r="85" spans="1:2" ht="13.9" x14ac:dyDescent="0.35">
      <c r="A85" s="2">
        <v>43958</v>
      </c>
      <c r="B85" s="3">
        <v>1.1399999999999999</v>
      </c>
    </row>
    <row r="86" spans="1:2" ht="13.9" x14ac:dyDescent="0.35">
      <c r="A86" s="2">
        <v>43959</v>
      </c>
      <c r="B86" s="3">
        <v>0.91</v>
      </c>
    </row>
    <row r="87" spans="1:2" ht="13.9" x14ac:dyDescent="0.35">
      <c r="A87" s="2">
        <v>43962</v>
      </c>
      <c r="B87" s="3">
        <v>0.86319999999999997</v>
      </c>
    </row>
    <row r="88" spans="1:2" ht="13.9" x14ac:dyDescent="0.35">
      <c r="A88" s="2">
        <v>43963</v>
      </c>
      <c r="B88" s="3">
        <v>0.82</v>
      </c>
    </row>
    <row r="89" spans="1:2" ht="13.9" x14ac:dyDescent="0.35">
      <c r="A89" s="2">
        <v>43964</v>
      </c>
      <c r="B89" s="3">
        <v>0.69</v>
      </c>
    </row>
    <row r="90" spans="1:2" ht="13.9" x14ac:dyDescent="0.35">
      <c r="A90" s="2">
        <v>43965</v>
      </c>
      <c r="B90" s="3">
        <v>0.74</v>
      </c>
    </row>
    <row r="91" spans="1:2" ht="13.9" x14ac:dyDescent="0.35">
      <c r="A91" s="2">
        <v>43966</v>
      </c>
      <c r="B91" s="3">
        <v>0.86</v>
      </c>
    </row>
    <row r="92" spans="1:2" ht="13.9" x14ac:dyDescent="0.35">
      <c r="A92" s="2">
        <v>43969</v>
      </c>
      <c r="B92" s="3">
        <v>0.91</v>
      </c>
    </row>
    <row r="93" spans="1:2" ht="13.9" x14ac:dyDescent="0.35">
      <c r="A93" s="2">
        <v>43970</v>
      </c>
      <c r="B93" s="3">
        <v>1.38</v>
      </c>
    </row>
    <row r="94" spans="1:2" ht="13.9" x14ac:dyDescent="0.35">
      <c r="A94" s="2">
        <v>43971</v>
      </c>
      <c r="B94" s="3">
        <v>1.21</v>
      </c>
    </row>
    <row r="95" spans="1:2" ht="13.9" x14ac:dyDescent="0.35">
      <c r="A95" s="2">
        <v>43972</v>
      </c>
      <c r="B95" s="3">
        <v>1.1499999999999999</v>
      </c>
    </row>
    <row r="96" spans="1:2" ht="13.9" x14ac:dyDescent="0.35">
      <c r="A96" s="2">
        <v>43973</v>
      </c>
      <c r="B96" s="3">
        <v>1.0900000000000001</v>
      </c>
    </row>
    <row r="97" spans="1:2" ht="13.9" x14ac:dyDescent="0.35">
      <c r="A97" s="2">
        <v>43976</v>
      </c>
      <c r="B97" s="3">
        <v>1.47</v>
      </c>
    </row>
    <row r="98" spans="1:2" ht="13.9" x14ac:dyDescent="0.35">
      <c r="A98" s="2">
        <v>43977</v>
      </c>
      <c r="B98" s="3">
        <v>1.6</v>
      </c>
    </row>
    <row r="99" spans="1:2" ht="13.9" x14ac:dyDescent="0.35">
      <c r="A99" s="2">
        <v>43978</v>
      </c>
      <c r="B99" s="3">
        <v>2.11</v>
      </c>
    </row>
    <row r="100" spans="1:2" ht="13.9" x14ac:dyDescent="0.35">
      <c r="A100" s="2">
        <v>43979</v>
      </c>
      <c r="B100" s="3">
        <v>2.11</v>
      </c>
    </row>
    <row r="101" spans="1:2" ht="13.9" x14ac:dyDescent="0.35">
      <c r="A101" s="2">
        <v>43980</v>
      </c>
      <c r="B101" s="3">
        <v>1.6</v>
      </c>
    </row>
    <row r="102" spans="1:2" ht="13.9" x14ac:dyDescent="0.35">
      <c r="A102" s="2">
        <v>43983</v>
      </c>
      <c r="B102" s="3">
        <v>1.4</v>
      </c>
    </row>
    <row r="103" spans="1:2" ht="13.9" x14ac:dyDescent="0.35">
      <c r="A103" s="2">
        <v>43984</v>
      </c>
      <c r="B103" s="3">
        <v>1.4</v>
      </c>
    </row>
    <row r="104" spans="1:2" ht="13.9" x14ac:dyDescent="0.35">
      <c r="A104" s="2">
        <v>43985</v>
      </c>
      <c r="B104" s="3">
        <v>1.8</v>
      </c>
    </row>
    <row r="105" spans="1:2" ht="13.9" x14ac:dyDescent="0.35">
      <c r="A105" s="2">
        <v>43986</v>
      </c>
      <c r="B105" s="3">
        <v>1.5</v>
      </c>
    </row>
    <row r="106" spans="1:2" ht="13.9" x14ac:dyDescent="0.35">
      <c r="A106" s="2">
        <v>43987</v>
      </c>
      <c r="B106" s="3">
        <v>1.4</v>
      </c>
    </row>
    <row r="107" spans="1:2" ht="13.9" x14ac:dyDescent="0.35">
      <c r="A107" s="2">
        <v>43990</v>
      </c>
      <c r="B107" s="3">
        <v>1.88</v>
      </c>
    </row>
    <row r="108" spans="1:2" ht="13.9" x14ac:dyDescent="0.35">
      <c r="A108" s="2">
        <v>43991</v>
      </c>
      <c r="B108" s="3">
        <v>1.8</v>
      </c>
    </row>
    <row r="109" spans="1:2" ht="13.9" x14ac:dyDescent="0.35">
      <c r="A109" s="2">
        <v>43992</v>
      </c>
      <c r="B109" s="3">
        <v>1.8</v>
      </c>
    </row>
    <row r="110" spans="1:2" ht="13.9" x14ac:dyDescent="0.35">
      <c r="A110" s="2">
        <v>43993</v>
      </c>
      <c r="B110" s="3">
        <v>1.75</v>
      </c>
    </row>
    <row r="111" spans="1:2" ht="13.9" x14ac:dyDescent="0.35">
      <c r="A111" s="2">
        <v>43994</v>
      </c>
      <c r="B111" s="3">
        <v>1.51</v>
      </c>
    </row>
    <row r="112" spans="1:2" ht="13.9" x14ac:dyDescent="0.35">
      <c r="A112" s="2">
        <v>43997</v>
      </c>
      <c r="B112" s="3">
        <v>1.52</v>
      </c>
    </row>
    <row r="113" spans="1:2" ht="13.9" x14ac:dyDescent="0.35">
      <c r="A113" s="2">
        <v>43998</v>
      </c>
      <c r="B113" s="3">
        <v>1.75</v>
      </c>
    </row>
    <row r="114" spans="1:2" ht="13.9" x14ac:dyDescent="0.35">
      <c r="A114" s="2">
        <v>43999</v>
      </c>
      <c r="B114" s="3">
        <v>1.9</v>
      </c>
    </row>
    <row r="115" spans="1:2" ht="13.9" x14ac:dyDescent="0.35">
      <c r="A115" s="2">
        <v>44000</v>
      </c>
      <c r="B115" s="3">
        <v>2.11</v>
      </c>
    </row>
    <row r="116" spans="1:2" ht="13.9" x14ac:dyDescent="0.35">
      <c r="A116" s="2">
        <v>44001</v>
      </c>
      <c r="B116" s="3">
        <v>2.13</v>
      </c>
    </row>
    <row r="117" spans="1:2" ht="13.9" x14ac:dyDescent="0.35">
      <c r="A117" s="2">
        <v>44004</v>
      </c>
      <c r="B117" s="3">
        <v>2.13</v>
      </c>
    </row>
    <row r="118" spans="1:2" ht="13.9" x14ac:dyDescent="0.35">
      <c r="A118" s="2">
        <v>44005</v>
      </c>
      <c r="B118" s="3">
        <v>1.9710000000000001</v>
      </c>
    </row>
    <row r="119" spans="1:2" ht="13.9" x14ac:dyDescent="0.35">
      <c r="A119" s="2">
        <v>44006</v>
      </c>
      <c r="B119" s="3">
        <v>1.48</v>
      </c>
    </row>
    <row r="120" spans="1:2" ht="13.9" x14ac:dyDescent="0.35">
      <c r="A120" s="2">
        <v>44011</v>
      </c>
      <c r="B120" s="3">
        <v>1.02</v>
      </c>
    </row>
    <row r="121" spans="1:2" ht="13.9" x14ac:dyDescent="0.35">
      <c r="A121" s="2">
        <v>44012</v>
      </c>
      <c r="B121" s="3">
        <v>1.83</v>
      </c>
    </row>
    <row r="122" spans="1:2" ht="13.9" x14ac:dyDescent="0.35">
      <c r="A122" s="2">
        <v>44013</v>
      </c>
      <c r="B122" s="3">
        <v>1.96</v>
      </c>
    </row>
    <row r="123" spans="1:2" ht="13.9" x14ac:dyDescent="0.35">
      <c r="A123" s="2">
        <v>44014</v>
      </c>
      <c r="B123" s="3">
        <v>1.72</v>
      </c>
    </row>
    <row r="124" spans="1:2" ht="13.9" x14ac:dyDescent="0.35">
      <c r="A124" s="2">
        <v>44015</v>
      </c>
      <c r="B124" s="3">
        <v>1.35</v>
      </c>
    </row>
    <row r="125" spans="1:2" ht="13.9" x14ac:dyDescent="0.35">
      <c r="A125" s="2">
        <v>44018</v>
      </c>
      <c r="B125" s="3">
        <v>1.4</v>
      </c>
    </row>
    <row r="126" spans="1:2" ht="13.9" x14ac:dyDescent="0.35">
      <c r="A126" s="2">
        <v>44019</v>
      </c>
      <c r="B126" s="3">
        <v>1.72</v>
      </c>
    </row>
    <row r="127" spans="1:2" ht="13.9" x14ac:dyDescent="0.35">
      <c r="A127" s="2">
        <v>44020</v>
      </c>
      <c r="B127" s="3">
        <v>2.09</v>
      </c>
    </row>
    <row r="128" spans="1:2" ht="13.9" x14ac:dyDescent="0.35">
      <c r="A128" s="2">
        <v>44021</v>
      </c>
      <c r="B128" s="3">
        <v>2.2000000000000002</v>
      </c>
    </row>
    <row r="129" spans="1:2" ht="13.9" x14ac:dyDescent="0.35">
      <c r="A129" s="2">
        <v>44022</v>
      </c>
      <c r="B129" s="3">
        <v>2.17</v>
      </c>
    </row>
    <row r="130" spans="1:2" ht="13.9" x14ac:dyDescent="0.35">
      <c r="A130" s="2">
        <v>44025</v>
      </c>
      <c r="B130" s="3">
        <v>2.12</v>
      </c>
    </row>
    <row r="131" spans="1:2" ht="13.9" x14ac:dyDescent="0.35">
      <c r="A131" s="2">
        <v>44026</v>
      </c>
      <c r="B131" s="3">
        <v>1.66</v>
      </c>
    </row>
    <row r="132" spans="1:2" ht="13.9" x14ac:dyDescent="0.35">
      <c r="A132" s="2">
        <v>44027</v>
      </c>
      <c r="B132" s="3">
        <v>2.04</v>
      </c>
    </row>
    <row r="133" spans="1:2" ht="13.9" x14ac:dyDescent="0.35">
      <c r="A133" s="2">
        <v>44028</v>
      </c>
      <c r="B133" s="3">
        <v>2.2999999999999998</v>
      </c>
    </row>
    <row r="134" spans="1:2" ht="13.9" x14ac:dyDescent="0.35">
      <c r="A134" s="2">
        <v>44029</v>
      </c>
      <c r="B134" s="3">
        <v>2.31</v>
      </c>
    </row>
    <row r="135" spans="1:2" ht="13.9" x14ac:dyDescent="0.35">
      <c r="A135" s="2">
        <v>44032</v>
      </c>
      <c r="B135" s="3">
        <v>1.93</v>
      </c>
    </row>
    <row r="136" spans="1:2" ht="13.9" x14ac:dyDescent="0.35">
      <c r="A136" s="2">
        <v>44033</v>
      </c>
      <c r="B136" s="3">
        <v>1.35</v>
      </c>
    </row>
    <row r="137" spans="1:2" ht="13.9" x14ac:dyDescent="0.35">
      <c r="A137" s="2">
        <v>44034</v>
      </c>
      <c r="B137" s="3">
        <v>1.34</v>
      </c>
    </row>
    <row r="138" spans="1:2" ht="13.9" x14ac:dyDescent="0.35">
      <c r="A138" s="2">
        <v>44035</v>
      </c>
      <c r="B138" s="3">
        <v>1.85</v>
      </c>
    </row>
    <row r="139" spans="1:2" ht="13.9" x14ac:dyDescent="0.35">
      <c r="A139" s="2">
        <v>44036</v>
      </c>
      <c r="B139" s="3">
        <v>1.8</v>
      </c>
    </row>
    <row r="140" spans="1:2" ht="13.9" x14ac:dyDescent="0.35">
      <c r="A140" s="2">
        <v>44039</v>
      </c>
      <c r="B140" s="3">
        <v>1.7</v>
      </c>
    </row>
    <row r="141" spans="1:2" ht="13.9" x14ac:dyDescent="0.35">
      <c r="A141" s="2">
        <v>44040</v>
      </c>
      <c r="B141" s="3">
        <v>1.2</v>
      </c>
    </row>
    <row r="142" spans="1:2" ht="13.9" x14ac:dyDescent="0.35">
      <c r="A142" s="2">
        <v>44041</v>
      </c>
      <c r="B142" s="3">
        <v>1.45</v>
      </c>
    </row>
    <row r="143" spans="1:2" ht="13.9" x14ac:dyDescent="0.35">
      <c r="A143" s="2">
        <v>44042</v>
      </c>
      <c r="B143" s="3">
        <v>1.36</v>
      </c>
    </row>
    <row r="144" spans="1:2" ht="13.9" x14ac:dyDescent="0.35">
      <c r="A144" s="2">
        <v>44043</v>
      </c>
      <c r="B144" s="3">
        <v>1.82</v>
      </c>
    </row>
    <row r="145" spans="1:2" ht="13.9" x14ac:dyDescent="0.35">
      <c r="A145" s="2">
        <v>44046</v>
      </c>
      <c r="B145" s="3">
        <v>1.58</v>
      </c>
    </row>
    <row r="146" spans="1:2" ht="13.9" x14ac:dyDescent="0.35">
      <c r="A146" s="2">
        <v>44047</v>
      </c>
      <c r="B146" s="3">
        <v>1.9</v>
      </c>
    </row>
    <row r="147" spans="1:2" ht="13.9" x14ac:dyDescent="0.35">
      <c r="A147" s="2">
        <v>44048</v>
      </c>
      <c r="B147" s="3">
        <v>1.67</v>
      </c>
    </row>
    <row r="148" spans="1:2" ht="13.9" x14ac:dyDescent="0.35">
      <c r="A148" s="2">
        <v>44049</v>
      </c>
      <c r="B148" s="3">
        <v>1.75</v>
      </c>
    </row>
    <row r="149" spans="1:2" ht="13.9" x14ac:dyDescent="0.35">
      <c r="A149" s="2">
        <v>44050</v>
      </c>
      <c r="B149" s="3">
        <v>2.06</v>
      </c>
    </row>
    <row r="150" spans="1:2" ht="13.9" x14ac:dyDescent="0.35">
      <c r="A150" s="2">
        <v>44053</v>
      </c>
      <c r="B150" s="3">
        <v>2</v>
      </c>
    </row>
    <row r="151" spans="1:2" ht="13.9" x14ac:dyDescent="0.35">
      <c r="A151" s="2">
        <v>44054</v>
      </c>
      <c r="B151" s="3">
        <v>1.8</v>
      </c>
    </row>
    <row r="152" spans="1:2" ht="13.9" x14ac:dyDescent="0.35">
      <c r="A152" s="2">
        <v>44055</v>
      </c>
      <c r="B152" s="3">
        <v>1.9</v>
      </c>
    </row>
    <row r="153" spans="1:2" ht="13.9" x14ac:dyDescent="0.35">
      <c r="A153" s="2">
        <v>44056</v>
      </c>
      <c r="B153" s="3">
        <v>2.16</v>
      </c>
    </row>
    <row r="154" spans="1:2" ht="13.9" x14ac:dyDescent="0.35">
      <c r="A154" s="2">
        <v>44057</v>
      </c>
      <c r="B154" s="3">
        <v>1.65</v>
      </c>
    </row>
    <row r="155" spans="1:2" ht="13.9" x14ac:dyDescent="0.35">
      <c r="A155" s="2">
        <v>44060</v>
      </c>
      <c r="B155" s="3">
        <v>1.65</v>
      </c>
    </row>
    <row r="156" spans="1:2" ht="13.9" x14ac:dyDescent="0.35">
      <c r="A156" s="2">
        <v>44061</v>
      </c>
      <c r="B156" s="3">
        <v>2.12</v>
      </c>
    </row>
    <row r="157" spans="1:2" ht="13.9" x14ac:dyDescent="0.35">
      <c r="A157" s="2">
        <v>44062</v>
      </c>
      <c r="B157" s="3">
        <v>1.6</v>
      </c>
    </row>
    <row r="158" spans="1:2" ht="13.9" x14ac:dyDescent="0.35">
      <c r="A158" s="2">
        <v>44063</v>
      </c>
      <c r="B158" s="3">
        <v>2.19</v>
      </c>
    </row>
    <row r="159" spans="1:2" ht="13.9" x14ac:dyDescent="0.35">
      <c r="A159" s="2">
        <v>44064</v>
      </c>
      <c r="B159" s="3">
        <v>1.5</v>
      </c>
    </row>
    <row r="160" spans="1:2" ht="13.9" x14ac:dyDescent="0.35">
      <c r="A160" s="2">
        <v>44067</v>
      </c>
      <c r="B160" s="3">
        <v>2.33</v>
      </c>
    </row>
    <row r="161" spans="1:2" ht="13.9" x14ac:dyDescent="0.35">
      <c r="A161" s="2">
        <v>44068</v>
      </c>
      <c r="B161" s="3">
        <v>1.6</v>
      </c>
    </row>
    <row r="162" spans="1:2" ht="13.9" x14ac:dyDescent="0.35">
      <c r="A162" s="2">
        <v>44069</v>
      </c>
      <c r="B162" s="3">
        <v>1.5</v>
      </c>
    </row>
    <row r="163" spans="1:2" ht="13.9" x14ac:dyDescent="0.35">
      <c r="A163" s="2">
        <v>44070</v>
      </c>
      <c r="B163" s="3">
        <v>1.45</v>
      </c>
    </row>
    <row r="164" spans="1:2" ht="13.9" x14ac:dyDescent="0.35">
      <c r="A164" s="2">
        <v>44071</v>
      </c>
      <c r="B164" s="3">
        <v>1.35</v>
      </c>
    </row>
    <row r="165" spans="1:2" ht="13.9" x14ac:dyDescent="0.35">
      <c r="A165" s="2">
        <v>44074</v>
      </c>
      <c r="B165" s="3">
        <v>2.09</v>
      </c>
    </row>
    <row r="166" spans="1:2" ht="13.9" x14ac:dyDescent="0.35">
      <c r="A166" s="2">
        <v>44075</v>
      </c>
      <c r="B166" s="3">
        <v>2.1</v>
      </c>
    </row>
    <row r="167" spans="1:2" ht="13.9" x14ac:dyDescent="0.35">
      <c r="A167" s="2">
        <v>44076</v>
      </c>
      <c r="B167" s="3">
        <v>2</v>
      </c>
    </row>
    <row r="168" spans="1:2" ht="13.9" x14ac:dyDescent="0.35">
      <c r="A168" s="2">
        <v>44077</v>
      </c>
      <c r="B168" s="3">
        <v>1.76</v>
      </c>
    </row>
    <row r="169" spans="1:2" ht="13.9" x14ac:dyDescent="0.35">
      <c r="A169" s="2">
        <v>44078</v>
      </c>
      <c r="B169" s="3">
        <v>2</v>
      </c>
    </row>
    <row r="170" spans="1:2" ht="13.9" x14ac:dyDescent="0.35">
      <c r="A170" s="2">
        <v>44081</v>
      </c>
      <c r="B170" s="3">
        <v>2.08</v>
      </c>
    </row>
    <row r="171" spans="1:2" ht="13.9" x14ac:dyDescent="0.35">
      <c r="A171" s="2">
        <v>44082</v>
      </c>
      <c r="B171" s="3">
        <v>1.95</v>
      </c>
    </row>
    <row r="172" spans="1:2" ht="13.9" x14ac:dyDescent="0.35">
      <c r="A172" s="2">
        <v>44083</v>
      </c>
      <c r="B172" s="3">
        <v>1.6</v>
      </c>
    </row>
    <row r="173" spans="1:2" ht="13.9" x14ac:dyDescent="0.35">
      <c r="A173" s="2">
        <v>44084</v>
      </c>
      <c r="B173" s="3">
        <v>1.34</v>
      </c>
    </row>
    <row r="174" spans="1:2" ht="13.9" x14ac:dyDescent="0.35">
      <c r="A174" s="2">
        <v>44085</v>
      </c>
      <c r="B174" s="3">
        <v>1.52</v>
      </c>
    </row>
    <row r="175" spans="1:2" ht="13.9" x14ac:dyDescent="0.35">
      <c r="A175" s="2">
        <v>44088</v>
      </c>
      <c r="B175" s="3">
        <v>1.6</v>
      </c>
    </row>
    <row r="176" spans="1:2" ht="13.9" x14ac:dyDescent="0.35">
      <c r="A176" s="2">
        <v>44089</v>
      </c>
      <c r="B176" s="3">
        <v>1.65</v>
      </c>
    </row>
    <row r="177" spans="1:2" ht="13.9" x14ac:dyDescent="0.35">
      <c r="A177" s="2">
        <v>44090</v>
      </c>
      <c r="B177" s="3">
        <v>1.45</v>
      </c>
    </row>
    <row r="178" spans="1:2" ht="13.9" x14ac:dyDescent="0.35">
      <c r="A178" s="2">
        <v>44091</v>
      </c>
      <c r="B178" s="3">
        <v>1.79</v>
      </c>
    </row>
    <row r="179" spans="1:2" ht="13.9" x14ac:dyDescent="0.35">
      <c r="A179" s="2">
        <v>44092</v>
      </c>
      <c r="B179" s="3">
        <v>2.12</v>
      </c>
    </row>
    <row r="180" spans="1:2" ht="13.9" x14ac:dyDescent="0.35">
      <c r="A180" s="2">
        <v>44095</v>
      </c>
      <c r="B180" s="3">
        <v>2.25</v>
      </c>
    </row>
    <row r="181" spans="1:2" ht="13.9" x14ac:dyDescent="0.35">
      <c r="A181" s="2">
        <v>44096</v>
      </c>
      <c r="B181" s="3">
        <v>1.8</v>
      </c>
    </row>
    <row r="182" spans="1:2" ht="13.9" x14ac:dyDescent="0.35">
      <c r="A182" s="2">
        <v>44097</v>
      </c>
      <c r="B182" s="3">
        <v>1.5</v>
      </c>
    </row>
    <row r="183" spans="1:2" ht="13.9" x14ac:dyDescent="0.35">
      <c r="A183" s="2">
        <v>44098</v>
      </c>
      <c r="B183" s="3">
        <v>1.4</v>
      </c>
    </row>
    <row r="184" spans="1:2" ht="13.9" x14ac:dyDescent="0.35">
      <c r="A184" s="2">
        <v>44099</v>
      </c>
      <c r="B184" s="3">
        <v>1.08</v>
      </c>
    </row>
    <row r="185" spans="1:2" ht="13.9" x14ac:dyDescent="0.35">
      <c r="A185" s="2">
        <v>44102</v>
      </c>
      <c r="B185" s="3">
        <v>0.6</v>
      </c>
    </row>
    <row r="186" spans="1:2" ht="13.9" x14ac:dyDescent="0.35">
      <c r="A186" s="2">
        <v>44103</v>
      </c>
      <c r="B186" s="3">
        <v>0.89500000000000002</v>
      </c>
    </row>
    <row r="187" spans="1:2" ht="13.9" x14ac:dyDescent="0.35">
      <c r="A187" s="2">
        <v>44104</v>
      </c>
      <c r="B187" s="3">
        <v>1.9</v>
      </c>
    </row>
    <row r="188" spans="1:2" ht="13.9" x14ac:dyDescent="0.35">
      <c r="A188" s="2">
        <v>44113</v>
      </c>
      <c r="B188" s="3">
        <v>2.0299999999999998</v>
      </c>
    </row>
    <row r="189" spans="1:2" ht="13.9" x14ac:dyDescent="0.35">
      <c r="A189" s="2">
        <v>44116</v>
      </c>
      <c r="B189" s="3">
        <v>1.51</v>
      </c>
    </row>
    <row r="190" spans="1:2" ht="13.9" x14ac:dyDescent="0.35">
      <c r="A190" s="2">
        <v>44117</v>
      </c>
      <c r="B190" s="3">
        <v>1.7</v>
      </c>
    </row>
    <row r="191" spans="1:2" ht="13.9" x14ac:dyDescent="0.35">
      <c r="A191" s="2">
        <v>44118</v>
      </c>
      <c r="B191" s="3">
        <v>1.97</v>
      </c>
    </row>
    <row r="192" spans="1:2" ht="13.9" x14ac:dyDescent="0.35">
      <c r="A192" s="2">
        <v>44119</v>
      </c>
      <c r="B192" s="3">
        <v>2.0299999999999998</v>
      </c>
    </row>
    <row r="193" spans="1:2" ht="13.9" x14ac:dyDescent="0.35">
      <c r="A193" s="2">
        <v>44120</v>
      </c>
      <c r="B193" s="3">
        <v>2</v>
      </c>
    </row>
    <row r="194" spans="1:2" ht="13.9" x14ac:dyDescent="0.35">
      <c r="A194" s="2">
        <v>44123</v>
      </c>
      <c r="B194" s="3">
        <v>2.2000000000000002</v>
      </c>
    </row>
    <row r="195" spans="1:2" ht="13.9" x14ac:dyDescent="0.35">
      <c r="A195" s="2">
        <v>44124</v>
      </c>
      <c r="B195" s="3">
        <v>1.8</v>
      </c>
    </row>
    <row r="196" spans="1:2" ht="13.9" x14ac:dyDescent="0.35">
      <c r="A196" s="2">
        <v>44125</v>
      </c>
      <c r="B196" s="3">
        <v>1.8</v>
      </c>
    </row>
    <row r="197" spans="1:2" ht="13.9" x14ac:dyDescent="0.35">
      <c r="A197" s="2">
        <v>44126</v>
      </c>
      <c r="B197" s="3">
        <v>1.92</v>
      </c>
    </row>
    <row r="198" spans="1:2" ht="13.9" x14ac:dyDescent="0.35">
      <c r="A198" s="2">
        <v>44127</v>
      </c>
      <c r="B198" s="3">
        <v>2.15</v>
      </c>
    </row>
    <row r="199" spans="1:2" ht="13.9" x14ac:dyDescent="0.35">
      <c r="A199" s="2">
        <v>44130</v>
      </c>
      <c r="B199" s="3">
        <v>2.2200000000000002</v>
      </c>
    </row>
    <row r="200" spans="1:2" ht="13.9" x14ac:dyDescent="0.35">
      <c r="A200" s="2">
        <v>44131</v>
      </c>
      <c r="B200" s="3">
        <v>1.8</v>
      </c>
    </row>
    <row r="201" spans="1:2" ht="13.9" x14ac:dyDescent="0.35">
      <c r="A201" s="2">
        <v>44132</v>
      </c>
      <c r="B201" s="3">
        <v>2.38</v>
      </c>
    </row>
    <row r="202" spans="1:2" ht="13.9" x14ac:dyDescent="0.35">
      <c r="A202" s="2">
        <v>44133</v>
      </c>
      <c r="B202" s="3">
        <v>2.1</v>
      </c>
    </row>
    <row r="203" spans="1:2" ht="13.9" x14ac:dyDescent="0.35">
      <c r="A203" s="2">
        <v>44134</v>
      </c>
      <c r="B203" s="3">
        <v>2.6</v>
      </c>
    </row>
    <row r="204" spans="1:2" ht="13.9" x14ac:dyDescent="0.35">
      <c r="A204" s="2">
        <v>44137</v>
      </c>
      <c r="B204" s="3">
        <v>1.8</v>
      </c>
    </row>
    <row r="205" spans="1:2" ht="13.9" x14ac:dyDescent="0.35">
      <c r="A205" s="2">
        <v>44138</v>
      </c>
      <c r="B205" s="3">
        <v>1.81</v>
      </c>
    </row>
    <row r="206" spans="1:2" ht="13.9" x14ac:dyDescent="0.35">
      <c r="A206" s="2">
        <v>44139</v>
      </c>
      <c r="B206" s="3">
        <v>1.39</v>
      </c>
    </row>
    <row r="207" spans="1:2" ht="13.9" x14ac:dyDescent="0.35">
      <c r="A207" s="2">
        <v>44140</v>
      </c>
      <c r="B207" s="3">
        <v>1.38</v>
      </c>
    </row>
    <row r="208" spans="1:2" ht="13.9" x14ac:dyDescent="0.35">
      <c r="A208" s="2">
        <v>44141</v>
      </c>
      <c r="B208" s="3">
        <v>1.79</v>
      </c>
    </row>
    <row r="209" spans="1:2" ht="13.9" x14ac:dyDescent="0.35">
      <c r="A209" s="2">
        <v>44144</v>
      </c>
      <c r="B209" s="3">
        <v>2.25</v>
      </c>
    </row>
    <row r="210" spans="1:2" ht="13.9" x14ac:dyDescent="0.35">
      <c r="A210" s="2">
        <v>44145</v>
      </c>
      <c r="B210" s="3">
        <v>2.1</v>
      </c>
    </row>
    <row r="211" spans="1:2" ht="13.9" x14ac:dyDescent="0.35">
      <c r="A211" s="2">
        <v>44146</v>
      </c>
      <c r="B211" s="3">
        <v>2.35</v>
      </c>
    </row>
    <row r="212" spans="1:2" ht="13.9" x14ac:dyDescent="0.35">
      <c r="A212" s="2">
        <v>44147</v>
      </c>
      <c r="B212" s="3">
        <v>2.6</v>
      </c>
    </row>
    <row r="213" spans="1:2" ht="13.9" x14ac:dyDescent="0.35">
      <c r="A213" s="2">
        <v>44148</v>
      </c>
      <c r="B213" s="3">
        <v>1.6</v>
      </c>
    </row>
    <row r="214" spans="1:2" ht="13.9" x14ac:dyDescent="0.35">
      <c r="A214" s="2">
        <v>44151</v>
      </c>
      <c r="B214" s="3">
        <v>2.2000000000000002</v>
      </c>
    </row>
    <row r="215" spans="1:2" ht="13.9" x14ac:dyDescent="0.35">
      <c r="A215" s="2">
        <v>44152</v>
      </c>
      <c r="B215" s="3">
        <v>1.79</v>
      </c>
    </row>
    <row r="216" spans="1:2" ht="13.9" x14ac:dyDescent="0.35">
      <c r="A216" s="2">
        <v>44153</v>
      </c>
      <c r="B216" s="3">
        <v>1.72</v>
      </c>
    </row>
    <row r="217" spans="1:2" ht="13.9" x14ac:dyDescent="0.35">
      <c r="A217" s="2">
        <v>44154</v>
      </c>
      <c r="B217" s="3">
        <v>1.5</v>
      </c>
    </row>
    <row r="218" spans="1:2" ht="13.9" x14ac:dyDescent="0.35">
      <c r="A218" s="2">
        <v>44155</v>
      </c>
      <c r="B218" s="3">
        <v>1.93</v>
      </c>
    </row>
    <row r="219" spans="1:2" ht="13.9" x14ac:dyDescent="0.35">
      <c r="A219" s="2">
        <v>44158</v>
      </c>
      <c r="B219" s="3">
        <v>1.85</v>
      </c>
    </row>
    <row r="220" spans="1:2" ht="13.9" x14ac:dyDescent="0.35">
      <c r="A220" s="2">
        <v>44159</v>
      </c>
      <c r="B220" s="3">
        <v>1.8</v>
      </c>
    </row>
    <row r="221" spans="1:2" ht="13.9" x14ac:dyDescent="0.35">
      <c r="A221" s="2">
        <v>44160</v>
      </c>
      <c r="B221" s="3">
        <v>1.5</v>
      </c>
    </row>
    <row r="222" spans="1:2" ht="13.9" x14ac:dyDescent="0.35">
      <c r="A222" s="2">
        <v>44161</v>
      </c>
      <c r="B222" s="3">
        <v>1.1000000000000001</v>
      </c>
    </row>
    <row r="223" spans="1:2" ht="13.9" x14ac:dyDescent="0.35">
      <c r="A223" s="2">
        <v>44162</v>
      </c>
      <c r="B223" s="3">
        <v>0.82</v>
      </c>
    </row>
    <row r="224" spans="1:2" ht="13.9" x14ac:dyDescent="0.35">
      <c r="A224" s="2">
        <v>44165</v>
      </c>
      <c r="B224" s="3">
        <v>0.75</v>
      </c>
    </row>
    <row r="225" spans="1:2" ht="13.9" x14ac:dyDescent="0.35">
      <c r="A225" s="2">
        <v>44166</v>
      </c>
      <c r="B225" s="3">
        <v>0.76</v>
      </c>
    </row>
    <row r="226" spans="1:2" ht="13.9" x14ac:dyDescent="0.35">
      <c r="A226" s="2">
        <v>44167</v>
      </c>
      <c r="B226" s="3">
        <v>0.68</v>
      </c>
    </row>
    <row r="227" spans="1:2" ht="13.9" x14ac:dyDescent="0.35">
      <c r="A227" s="2">
        <v>44168</v>
      </c>
      <c r="B227" s="3">
        <v>0.85</v>
      </c>
    </row>
    <row r="228" spans="1:2" ht="13.9" x14ac:dyDescent="0.35">
      <c r="A228" s="2">
        <v>44169</v>
      </c>
      <c r="B228" s="3">
        <v>1.1000000000000001</v>
      </c>
    </row>
    <row r="229" spans="1:2" ht="13.9" x14ac:dyDescent="0.35">
      <c r="A229" s="2">
        <v>44172</v>
      </c>
      <c r="B229" s="3">
        <v>1.25</v>
      </c>
    </row>
    <row r="230" spans="1:2" ht="13.9" x14ac:dyDescent="0.35">
      <c r="A230" s="2">
        <v>44173</v>
      </c>
      <c r="B230" s="3">
        <v>1.27</v>
      </c>
    </row>
    <row r="231" spans="1:2" ht="13.9" x14ac:dyDescent="0.35">
      <c r="A231" s="2">
        <v>44174</v>
      </c>
      <c r="B231" s="3">
        <v>1.05</v>
      </c>
    </row>
    <row r="232" spans="1:2" ht="13.9" x14ac:dyDescent="0.35">
      <c r="A232" s="2">
        <v>44175</v>
      </c>
      <c r="B232" s="3">
        <v>0.99</v>
      </c>
    </row>
    <row r="233" spans="1:2" ht="13.9" x14ac:dyDescent="0.35">
      <c r="A233" s="2">
        <v>44176</v>
      </c>
      <c r="B233" s="3">
        <v>1.6</v>
      </c>
    </row>
    <row r="234" spans="1:2" ht="13.9" x14ac:dyDescent="0.35">
      <c r="A234" s="2">
        <v>44179</v>
      </c>
      <c r="B234" s="3">
        <v>1.7</v>
      </c>
    </row>
    <row r="235" spans="1:2" ht="13.9" x14ac:dyDescent="0.35">
      <c r="A235" s="2">
        <v>44180</v>
      </c>
      <c r="B235" s="3">
        <v>1.4</v>
      </c>
    </row>
    <row r="236" spans="1:2" ht="13.9" x14ac:dyDescent="0.35">
      <c r="A236" s="2">
        <v>44181</v>
      </c>
      <c r="B236" s="3">
        <v>0.97</v>
      </c>
    </row>
    <row r="237" spans="1:2" ht="13.9" x14ac:dyDescent="0.35">
      <c r="A237" s="2">
        <v>44182</v>
      </c>
      <c r="B237" s="3">
        <v>1.38</v>
      </c>
    </row>
    <row r="238" spans="1:2" ht="13.9" x14ac:dyDescent="0.35">
      <c r="A238" s="2">
        <v>44183</v>
      </c>
      <c r="B238" s="3">
        <v>1.71</v>
      </c>
    </row>
    <row r="239" spans="1:2" ht="13.9" x14ac:dyDescent="0.35">
      <c r="A239" s="2">
        <v>44186</v>
      </c>
      <c r="B239" s="3">
        <v>1.25</v>
      </c>
    </row>
    <row r="240" spans="1:2" ht="13.9" x14ac:dyDescent="0.35">
      <c r="A240" s="2">
        <v>44187</v>
      </c>
      <c r="B240" s="3">
        <v>0.97</v>
      </c>
    </row>
    <row r="241" spans="1:2" ht="13.9" x14ac:dyDescent="0.35">
      <c r="A241" s="2">
        <v>44188</v>
      </c>
      <c r="B241" s="3">
        <v>0.4</v>
      </c>
    </row>
    <row r="242" spans="1:2" ht="13.9" x14ac:dyDescent="0.35">
      <c r="A242" s="2">
        <v>44189</v>
      </c>
      <c r="B242" s="3">
        <v>0.6</v>
      </c>
    </row>
    <row r="243" spans="1:2" ht="13.9" x14ac:dyDescent="0.35">
      <c r="A243" s="2">
        <v>44190</v>
      </c>
      <c r="B243" s="3">
        <v>0.77</v>
      </c>
    </row>
    <row r="244" spans="1:2" ht="13.9" x14ac:dyDescent="0.35">
      <c r="A244" s="2">
        <v>44193</v>
      </c>
      <c r="B244" s="3">
        <v>0.65</v>
      </c>
    </row>
    <row r="245" spans="1:2" ht="13.9" x14ac:dyDescent="0.35">
      <c r="A245" s="2">
        <v>44194</v>
      </c>
      <c r="B245" s="3">
        <v>0.61</v>
      </c>
    </row>
    <row r="246" spans="1:2" ht="13.9" x14ac:dyDescent="0.35">
      <c r="A246" s="2">
        <v>44195</v>
      </c>
      <c r="B246" s="3">
        <v>0.65</v>
      </c>
    </row>
    <row r="247" spans="1:2" ht="13.9" x14ac:dyDescent="0.35">
      <c r="A247" s="2">
        <v>44196</v>
      </c>
      <c r="B247" s="3">
        <v>0.8</v>
      </c>
    </row>
    <row r="248" spans="1:2" ht="13.9" x14ac:dyDescent="0.35">
      <c r="A248" s="2">
        <v>44200</v>
      </c>
      <c r="B248" s="3">
        <v>0.87</v>
      </c>
    </row>
    <row r="249" spans="1:2" ht="13.9" x14ac:dyDescent="0.35">
      <c r="A249" s="2">
        <v>44201</v>
      </c>
      <c r="B249" s="3">
        <v>0.71</v>
      </c>
    </row>
    <row r="250" spans="1:2" ht="13.9" x14ac:dyDescent="0.35">
      <c r="A250" s="2">
        <v>44202</v>
      </c>
      <c r="B250" s="3">
        <v>0.6</v>
      </c>
    </row>
    <row r="251" spans="1:2" ht="13.9" x14ac:dyDescent="0.35">
      <c r="A251" s="2">
        <v>44203</v>
      </c>
      <c r="B251" s="3">
        <v>0.91</v>
      </c>
    </row>
    <row r="252" spans="1:2" ht="13.9" x14ac:dyDescent="0.35">
      <c r="A252" s="2">
        <v>44204</v>
      </c>
      <c r="B252" s="3">
        <v>0.94</v>
      </c>
    </row>
    <row r="253" spans="1:2" ht="13.9" x14ac:dyDescent="0.35">
      <c r="A253" s="2">
        <v>44207</v>
      </c>
      <c r="B253" s="3">
        <v>1.21</v>
      </c>
    </row>
    <row r="254" spans="1:2" ht="13.9" x14ac:dyDescent="0.35">
      <c r="A254" s="2">
        <v>44208</v>
      </c>
      <c r="B254" s="3">
        <v>1.35</v>
      </c>
    </row>
    <row r="255" spans="1:2" ht="13.9" x14ac:dyDescent="0.35">
      <c r="A255" s="2">
        <v>44209</v>
      </c>
      <c r="B255" s="3">
        <v>1.39</v>
      </c>
    </row>
    <row r="256" spans="1:2" ht="13.9" x14ac:dyDescent="0.35">
      <c r="A256" s="2">
        <v>44210</v>
      </c>
      <c r="B256" s="3">
        <v>1.67</v>
      </c>
    </row>
    <row r="257" spans="1:2" ht="13.9" x14ac:dyDescent="0.35">
      <c r="A257" s="2">
        <v>44211</v>
      </c>
      <c r="B257" s="3">
        <v>1.75</v>
      </c>
    </row>
    <row r="258" spans="1:2" ht="13.9" x14ac:dyDescent="0.35">
      <c r="A258" s="2">
        <v>44214</v>
      </c>
      <c r="B258" s="3">
        <v>2.14</v>
      </c>
    </row>
    <row r="259" spans="1:2" ht="13.9" x14ac:dyDescent="0.35">
      <c r="A259" s="2">
        <v>44215</v>
      </c>
      <c r="B259" s="3">
        <v>2.5</v>
      </c>
    </row>
    <row r="260" spans="1:2" ht="13.9" x14ac:dyDescent="0.35">
      <c r="A260" s="2">
        <v>44216</v>
      </c>
      <c r="B260" s="3">
        <v>2.1</v>
      </c>
    </row>
    <row r="261" spans="1:2" ht="13.9" x14ac:dyDescent="0.35">
      <c r="A261" s="2">
        <v>44217</v>
      </c>
      <c r="B261" s="3">
        <v>2</v>
      </c>
    </row>
    <row r="262" spans="1:2" ht="13.9" x14ac:dyDescent="0.35">
      <c r="A262" s="2">
        <v>44218</v>
      </c>
      <c r="B262" s="3">
        <v>2.15</v>
      </c>
    </row>
    <row r="263" spans="1:2" ht="13.9" x14ac:dyDescent="0.35">
      <c r="A263" s="2">
        <v>44221</v>
      </c>
      <c r="B263" s="3">
        <v>2.5</v>
      </c>
    </row>
    <row r="264" spans="1:2" ht="13.9" x14ac:dyDescent="0.35">
      <c r="A264" s="2">
        <v>44222</v>
      </c>
      <c r="B264" s="3">
        <v>2.7</v>
      </c>
    </row>
    <row r="265" spans="1:2" ht="13.9" x14ac:dyDescent="0.35">
      <c r="A265" s="2">
        <v>44223</v>
      </c>
      <c r="B265" s="3">
        <v>3.1</v>
      </c>
    </row>
    <row r="266" spans="1:2" ht="13.9" x14ac:dyDescent="0.35">
      <c r="A266" s="2">
        <v>44224</v>
      </c>
      <c r="B266" s="3">
        <v>3.05</v>
      </c>
    </row>
    <row r="267" spans="1:2" ht="13.9" x14ac:dyDescent="0.35">
      <c r="A267" s="2">
        <v>44225</v>
      </c>
      <c r="B267" s="3">
        <v>3.34</v>
      </c>
    </row>
    <row r="268" spans="1:2" ht="13.9" x14ac:dyDescent="0.35">
      <c r="A268" s="2">
        <v>44228</v>
      </c>
      <c r="B268" s="3">
        <v>2.2999999999999998</v>
      </c>
    </row>
    <row r="269" spans="1:2" ht="13.9" x14ac:dyDescent="0.35">
      <c r="A269" s="2">
        <v>44229</v>
      </c>
      <c r="B269" s="3">
        <v>1.82</v>
      </c>
    </row>
    <row r="270" spans="1:2" ht="13.9" x14ac:dyDescent="0.35">
      <c r="A270" s="2">
        <v>44230</v>
      </c>
      <c r="B270" s="3">
        <v>1.87</v>
      </c>
    </row>
    <row r="271" spans="1:2" ht="13.9" x14ac:dyDescent="0.35">
      <c r="A271" s="2">
        <v>44231</v>
      </c>
      <c r="B271" s="3">
        <v>2</v>
      </c>
    </row>
    <row r="272" spans="1:2" ht="13.9" x14ac:dyDescent="0.35">
      <c r="A272" s="2">
        <v>44232</v>
      </c>
      <c r="B272" s="3">
        <v>1.89</v>
      </c>
    </row>
    <row r="273" spans="1:2" ht="13.9" x14ac:dyDescent="0.35">
      <c r="A273" s="2">
        <v>44235</v>
      </c>
      <c r="B273" s="3">
        <v>1.9</v>
      </c>
    </row>
    <row r="274" spans="1:2" ht="13.9" x14ac:dyDescent="0.35">
      <c r="A274" s="2">
        <v>44236</v>
      </c>
      <c r="B274" s="3">
        <v>1.75</v>
      </c>
    </row>
    <row r="275" spans="1:2" ht="13.9" x14ac:dyDescent="0.35">
      <c r="A275" s="2">
        <v>44237</v>
      </c>
      <c r="B275" s="3">
        <v>1.65</v>
      </c>
    </row>
    <row r="276" spans="1:2" ht="13.9" x14ac:dyDescent="0.35">
      <c r="A276" s="2">
        <v>44245</v>
      </c>
      <c r="B276" s="3">
        <v>2.2999999999999998</v>
      </c>
    </row>
    <row r="277" spans="1:2" ht="13.9" x14ac:dyDescent="0.35">
      <c r="A277" s="2">
        <v>44246</v>
      </c>
      <c r="B277" s="3">
        <v>1.82</v>
      </c>
    </row>
    <row r="278" spans="1:2" ht="13.9" x14ac:dyDescent="0.35">
      <c r="A278" s="2">
        <v>44249</v>
      </c>
      <c r="B278" s="3">
        <v>1.7</v>
      </c>
    </row>
    <row r="279" spans="1:2" ht="13.9" x14ac:dyDescent="0.35">
      <c r="A279" s="2">
        <v>44250</v>
      </c>
      <c r="B279" s="3">
        <v>1.94</v>
      </c>
    </row>
    <row r="280" spans="1:2" ht="13.9" x14ac:dyDescent="0.35">
      <c r="A280" s="2">
        <v>44251</v>
      </c>
      <c r="B280" s="3">
        <v>1.23</v>
      </c>
    </row>
    <row r="281" spans="1:2" ht="13.9" x14ac:dyDescent="0.35">
      <c r="A281" s="2">
        <v>44252</v>
      </c>
      <c r="B281" s="3">
        <v>1.7</v>
      </c>
    </row>
    <row r="282" spans="1:2" ht="13.9" x14ac:dyDescent="0.35">
      <c r="A282" s="2">
        <v>44253</v>
      </c>
      <c r="B282" s="3">
        <v>2.12</v>
      </c>
    </row>
    <row r="283" spans="1:2" ht="13.9" x14ac:dyDescent="0.35">
      <c r="A283" s="2">
        <v>44256</v>
      </c>
      <c r="B283" s="3">
        <v>1.75</v>
      </c>
    </row>
    <row r="284" spans="1:2" ht="13.9" x14ac:dyDescent="0.35">
      <c r="A284" s="2">
        <v>44257</v>
      </c>
      <c r="B284" s="3">
        <v>1.35</v>
      </c>
    </row>
    <row r="285" spans="1:2" ht="13.9" x14ac:dyDescent="0.35">
      <c r="A285" s="2">
        <v>44258</v>
      </c>
      <c r="B285" s="3">
        <v>1.5</v>
      </c>
    </row>
    <row r="286" spans="1:2" ht="13.9" x14ac:dyDescent="0.35">
      <c r="A286" s="2">
        <v>44259</v>
      </c>
      <c r="B286" s="3">
        <v>1.89</v>
      </c>
    </row>
    <row r="287" spans="1:2" ht="13.9" x14ac:dyDescent="0.35">
      <c r="A287" s="2">
        <v>44260</v>
      </c>
      <c r="B287" s="3">
        <v>1.6</v>
      </c>
    </row>
    <row r="288" spans="1:2" ht="13.9" x14ac:dyDescent="0.35">
      <c r="A288" s="2">
        <v>44263</v>
      </c>
      <c r="B288" s="3">
        <v>1.72</v>
      </c>
    </row>
    <row r="289" spans="1:2" ht="13.9" x14ac:dyDescent="0.35">
      <c r="A289" s="2">
        <v>44264</v>
      </c>
      <c r="B289" s="3">
        <v>1.6</v>
      </c>
    </row>
    <row r="290" spans="1:2" ht="13.9" x14ac:dyDescent="0.35">
      <c r="A290" s="2">
        <v>44265</v>
      </c>
      <c r="B290" s="3">
        <v>1.74</v>
      </c>
    </row>
    <row r="291" spans="1:2" ht="13.9" x14ac:dyDescent="0.35">
      <c r="A291" s="2">
        <v>44266</v>
      </c>
      <c r="B291" s="3">
        <v>1.8</v>
      </c>
    </row>
    <row r="292" spans="1:2" ht="13.9" x14ac:dyDescent="0.35">
      <c r="A292" s="2">
        <v>44267</v>
      </c>
      <c r="B292" s="3">
        <v>1.8</v>
      </c>
    </row>
    <row r="293" spans="1:2" ht="13.9" x14ac:dyDescent="0.35">
      <c r="A293" s="2">
        <v>44270</v>
      </c>
      <c r="B293" s="3">
        <v>1.76</v>
      </c>
    </row>
    <row r="294" spans="1:2" ht="13.9" x14ac:dyDescent="0.35">
      <c r="A294" s="2">
        <v>44271</v>
      </c>
      <c r="B294" s="3">
        <v>2.12</v>
      </c>
    </row>
    <row r="295" spans="1:2" ht="13.9" x14ac:dyDescent="0.35">
      <c r="A295" s="2">
        <v>44272</v>
      </c>
      <c r="B295" s="3">
        <v>2</v>
      </c>
    </row>
    <row r="296" spans="1:2" ht="13.9" x14ac:dyDescent="0.35">
      <c r="A296" s="2">
        <v>44273</v>
      </c>
      <c r="B296" s="3">
        <v>2</v>
      </c>
    </row>
    <row r="297" spans="1:2" ht="13.9" x14ac:dyDescent="0.35">
      <c r="A297" s="2">
        <v>44274</v>
      </c>
      <c r="B297" s="3">
        <v>1.85</v>
      </c>
    </row>
    <row r="298" spans="1:2" ht="13.9" x14ac:dyDescent="0.35">
      <c r="A298" s="2">
        <v>44277</v>
      </c>
      <c r="B298" s="3">
        <v>1.9</v>
      </c>
    </row>
    <row r="299" spans="1:2" ht="13.9" x14ac:dyDescent="0.35">
      <c r="A299" s="2">
        <v>44278</v>
      </c>
      <c r="B299" s="3">
        <v>1.7</v>
      </c>
    </row>
    <row r="300" spans="1:2" ht="13.9" x14ac:dyDescent="0.35">
      <c r="A300" s="2">
        <v>44279</v>
      </c>
      <c r="B300" s="3">
        <v>2.2000000000000002</v>
      </c>
    </row>
    <row r="301" spans="1:2" ht="13.9" x14ac:dyDescent="0.35">
      <c r="A301" s="2">
        <v>44280</v>
      </c>
      <c r="B301" s="3">
        <v>2</v>
      </c>
    </row>
    <row r="302" spans="1:2" ht="13.9" x14ac:dyDescent="0.35">
      <c r="A302" s="2">
        <v>44281</v>
      </c>
      <c r="B302" s="3">
        <v>1.74</v>
      </c>
    </row>
    <row r="303" spans="1:2" ht="13.9" x14ac:dyDescent="0.35">
      <c r="A303" s="2">
        <v>44284</v>
      </c>
      <c r="B303" s="3">
        <v>1.6</v>
      </c>
    </row>
    <row r="304" spans="1:2" ht="13.9" x14ac:dyDescent="0.35">
      <c r="A304" s="2">
        <v>44285</v>
      </c>
      <c r="B304" s="3">
        <v>1.6</v>
      </c>
    </row>
    <row r="305" spans="1:2" ht="13.9" x14ac:dyDescent="0.35">
      <c r="A305" s="2">
        <v>44286</v>
      </c>
      <c r="B305" s="3">
        <v>1.7</v>
      </c>
    </row>
    <row r="306" spans="1:2" ht="13.9" x14ac:dyDescent="0.35">
      <c r="A306" s="2">
        <v>44287</v>
      </c>
      <c r="B306" s="3">
        <v>1.65</v>
      </c>
    </row>
    <row r="307" spans="1:2" ht="13.9" x14ac:dyDescent="0.35">
      <c r="A307" s="2">
        <v>44288</v>
      </c>
      <c r="B307" s="3">
        <v>1.72</v>
      </c>
    </row>
    <row r="308" spans="1:2" ht="13.9" x14ac:dyDescent="0.35">
      <c r="A308" s="2">
        <v>44292</v>
      </c>
      <c r="B308" s="3">
        <v>1.77</v>
      </c>
    </row>
    <row r="309" spans="1:2" ht="13.9" x14ac:dyDescent="0.35">
      <c r="A309" s="2">
        <v>44293</v>
      </c>
      <c r="B309" s="3">
        <v>1.75</v>
      </c>
    </row>
    <row r="310" spans="1:2" ht="13.9" x14ac:dyDescent="0.35">
      <c r="A310" s="2">
        <v>44294</v>
      </c>
      <c r="B310" s="3">
        <v>1.75</v>
      </c>
    </row>
    <row r="311" spans="1:2" ht="13.9" x14ac:dyDescent="0.35">
      <c r="A311" s="2">
        <v>44295</v>
      </c>
      <c r="B311" s="3">
        <v>1.8</v>
      </c>
    </row>
    <row r="312" spans="1:2" ht="13.9" x14ac:dyDescent="0.35">
      <c r="A312" s="2">
        <v>44298</v>
      </c>
      <c r="B312" s="3">
        <v>1.77</v>
      </c>
    </row>
    <row r="313" spans="1:2" ht="13.9" x14ac:dyDescent="0.35">
      <c r="A313" s="2">
        <v>44299</v>
      </c>
      <c r="B313" s="3">
        <v>1.78</v>
      </c>
    </row>
    <row r="314" spans="1:2" ht="13.9" x14ac:dyDescent="0.35">
      <c r="A314" s="2">
        <v>44300</v>
      </c>
      <c r="B314" s="3">
        <v>1.8</v>
      </c>
    </row>
    <row r="315" spans="1:2" ht="13.9" x14ac:dyDescent="0.35">
      <c r="A315" s="2">
        <v>44301</v>
      </c>
      <c r="B315" s="3">
        <v>1.9</v>
      </c>
    </row>
    <row r="316" spans="1:2" ht="13.9" x14ac:dyDescent="0.35">
      <c r="A316" s="2">
        <v>44302</v>
      </c>
      <c r="B316" s="3">
        <v>1.6</v>
      </c>
    </row>
    <row r="317" spans="1:2" ht="13.9" x14ac:dyDescent="0.35">
      <c r="A317" s="2">
        <v>44305</v>
      </c>
      <c r="B317" s="3">
        <v>1.7</v>
      </c>
    </row>
    <row r="318" spans="1:2" ht="13.9" x14ac:dyDescent="0.35">
      <c r="A318" s="2">
        <v>44306</v>
      </c>
      <c r="B318" s="3">
        <v>1.7</v>
      </c>
    </row>
    <row r="319" spans="1:2" ht="13.9" x14ac:dyDescent="0.35">
      <c r="A319" s="2">
        <v>44307</v>
      </c>
      <c r="B319" s="3">
        <v>1.6</v>
      </c>
    </row>
    <row r="320" spans="1:2" ht="13.9" x14ac:dyDescent="0.35">
      <c r="A320" s="2">
        <v>44308</v>
      </c>
      <c r="B320" s="3">
        <v>1.96</v>
      </c>
    </row>
    <row r="321" spans="1:2" ht="13.9" x14ac:dyDescent="0.35">
      <c r="A321" s="2">
        <v>44309</v>
      </c>
      <c r="B321" s="3">
        <v>1.9</v>
      </c>
    </row>
    <row r="322" spans="1:2" ht="13.9" x14ac:dyDescent="0.35">
      <c r="A322" s="2">
        <v>44312</v>
      </c>
      <c r="B322" s="3">
        <v>2</v>
      </c>
    </row>
    <row r="323" spans="1:2" ht="13.9" x14ac:dyDescent="0.35">
      <c r="A323" s="2">
        <v>44313</v>
      </c>
      <c r="B323" s="3">
        <v>1.73</v>
      </c>
    </row>
    <row r="324" spans="1:2" ht="13.9" x14ac:dyDescent="0.35">
      <c r="A324" s="2">
        <v>44314</v>
      </c>
      <c r="B324" s="3">
        <v>1.75</v>
      </c>
    </row>
    <row r="325" spans="1:2" ht="13.9" x14ac:dyDescent="0.35">
      <c r="A325" s="2">
        <v>44315</v>
      </c>
      <c r="B325" s="3">
        <v>1.65</v>
      </c>
    </row>
    <row r="326" spans="1:2" ht="13.9" x14ac:dyDescent="0.35">
      <c r="A326" s="2">
        <v>44316</v>
      </c>
      <c r="B326" s="3">
        <v>2.25</v>
      </c>
    </row>
    <row r="327" spans="1:2" ht="13.9" x14ac:dyDescent="0.35">
      <c r="A327" s="2">
        <v>44322</v>
      </c>
      <c r="B327" s="3">
        <v>2.06</v>
      </c>
    </row>
    <row r="328" spans="1:2" ht="13.9" x14ac:dyDescent="0.35">
      <c r="A328" s="2">
        <v>44323</v>
      </c>
      <c r="B328" s="3">
        <v>1.59</v>
      </c>
    </row>
    <row r="329" spans="1:2" ht="13.9" x14ac:dyDescent="0.35">
      <c r="A329" s="2">
        <v>44326</v>
      </c>
      <c r="B329" s="3">
        <v>1.66</v>
      </c>
    </row>
    <row r="330" spans="1:2" ht="13.9" x14ac:dyDescent="0.35">
      <c r="A330" s="2">
        <v>44327</v>
      </c>
      <c r="B330" s="3">
        <v>1.78</v>
      </c>
    </row>
    <row r="331" spans="1:2" ht="13.9" x14ac:dyDescent="0.35">
      <c r="A331" s="2">
        <v>44328</v>
      </c>
      <c r="B331" s="3">
        <v>1.96</v>
      </c>
    </row>
    <row r="332" spans="1:2" ht="13.9" x14ac:dyDescent="0.35">
      <c r="A332" s="2">
        <v>44329</v>
      </c>
      <c r="B332" s="3">
        <v>1.8</v>
      </c>
    </row>
    <row r="333" spans="1:2" ht="13.9" x14ac:dyDescent="0.35">
      <c r="A333" s="2">
        <v>44330</v>
      </c>
      <c r="B333" s="3">
        <v>1.84</v>
      </c>
    </row>
    <row r="334" spans="1:2" ht="13.9" x14ac:dyDescent="0.35">
      <c r="A334" s="2">
        <v>44333</v>
      </c>
      <c r="B334" s="3">
        <v>1.65</v>
      </c>
    </row>
    <row r="335" spans="1:2" ht="13.9" x14ac:dyDescent="0.35">
      <c r="A335" s="2">
        <v>44334</v>
      </c>
      <c r="B335" s="3">
        <v>1.99</v>
      </c>
    </row>
    <row r="336" spans="1:2" ht="13.9" x14ac:dyDescent="0.35">
      <c r="A336" s="2">
        <v>44335</v>
      </c>
      <c r="B336" s="3">
        <v>2.0299999999999998</v>
      </c>
    </row>
    <row r="337" spans="1:2" ht="13.9" x14ac:dyDescent="0.35">
      <c r="A337" s="2">
        <v>44336</v>
      </c>
      <c r="B337" s="3">
        <v>2.08</v>
      </c>
    </row>
    <row r="338" spans="1:2" ht="13.9" x14ac:dyDescent="0.35">
      <c r="A338" s="2">
        <v>44337</v>
      </c>
      <c r="B338" s="3">
        <v>2.0099999999999998</v>
      </c>
    </row>
    <row r="339" spans="1:2" ht="13.9" x14ac:dyDescent="0.35">
      <c r="A339" s="2">
        <v>44340</v>
      </c>
      <c r="B339" s="3">
        <v>1.8</v>
      </c>
    </row>
    <row r="340" spans="1:2" ht="13.9" x14ac:dyDescent="0.35">
      <c r="A340" s="2">
        <v>44341</v>
      </c>
      <c r="B340" s="3">
        <v>2.16</v>
      </c>
    </row>
    <row r="341" spans="1:2" ht="13.9" x14ac:dyDescent="0.35">
      <c r="A341" s="2">
        <v>44342</v>
      </c>
      <c r="B341" s="3">
        <v>1.9</v>
      </c>
    </row>
    <row r="342" spans="1:2" ht="13.9" x14ac:dyDescent="0.35">
      <c r="A342" s="2">
        <v>44343</v>
      </c>
      <c r="B342" s="3">
        <v>2</v>
      </c>
    </row>
    <row r="343" spans="1:2" ht="13.9" x14ac:dyDescent="0.35">
      <c r="A343" s="2">
        <v>44344</v>
      </c>
      <c r="B343" s="3">
        <v>1.7</v>
      </c>
    </row>
    <row r="344" spans="1:2" ht="13.9" x14ac:dyDescent="0.35">
      <c r="A344" s="2">
        <v>44347</v>
      </c>
      <c r="B344" s="3">
        <v>2.2799999999999998</v>
      </c>
    </row>
    <row r="345" spans="1:2" ht="13.9" x14ac:dyDescent="0.35">
      <c r="A345" s="2">
        <v>44348</v>
      </c>
      <c r="B345" s="3">
        <v>2.17</v>
      </c>
    </row>
    <row r="346" spans="1:2" ht="13.9" x14ac:dyDescent="0.35">
      <c r="A346" s="2">
        <v>44349</v>
      </c>
      <c r="B346" s="3">
        <v>2</v>
      </c>
    </row>
    <row r="347" spans="1:2" ht="13.9" x14ac:dyDescent="0.35">
      <c r="A347" s="2">
        <v>44350</v>
      </c>
      <c r="B347" s="3">
        <v>1.85</v>
      </c>
    </row>
    <row r="348" spans="1:2" ht="13.9" x14ac:dyDescent="0.35">
      <c r="A348" s="2">
        <v>44351</v>
      </c>
      <c r="B348" s="3">
        <v>2.2200000000000002</v>
      </c>
    </row>
    <row r="349" spans="1:2" x14ac:dyDescent="0.3">
      <c r="A349" s="4">
        <v>44354</v>
      </c>
      <c r="B349" s="5">
        <v>2.2999999999999998</v>
      </c>
    </row>
    <row r="350" spans="1:2" x14ac:dyDescent="0.3">
      <c r="A350" s="4">
        <v>44355</v>
      </c>
      <c r="B350" s="5">
        <v>2.09</v>
      </c>
    </row>
    <row r="351" spans="1:2" x14ac:dyDescent="0.3">
      <c r="A351" s="4">
        <v>44356</v>
      </c>
      <c r="B351" s="5">
        <v>1.9</v>
      </c>
    </row>
    <row r="352" spans="1:2" x14ac:dyDescent="0.3">
      <c r="A352" s="4">
        <v>44357</v>
      </c>
      <c r="B352" s="5">
        <v>1.88</v>
      </c>
    </row>
    <row r="353" spans="1:2" x14ac:dyDescent="0.3">
      <c r="A353" s="4">
        <v>44358</v>
      </c>
      <c r="B353" s="5">
        <v>2</v>
      </c>
    </row>
    <row r="354" spans="1:2" x14ac:dyDescent="0.3">
      <c r="A354" s="4">
        <v>44362</v>
      </c>
      <c r="B354" s="5">
        <v>2.1</v>
      </c>
    </row>
    <row r="355" spans="1:2" x14ac:dyDescent="0.3">
      <c r="A355" s="4">
        <v>44363</v>
      </c>
      <c r="B355" s="5">
        <v>1.75</v>
      </c>
    </row>
    <row r="356" spans="1:2" x14ac:dyDescent="0.3">
      <c r="A356" s="4">
        <v>44364</v>
      </c>
      <c r="B356" s="5">
        <v>1.85</v>
      </c>
    </row>
    <row r="357" spans="1:2" x14ac:dyDescent="0.3">
      <c r="A357" s="4">
        <v>44365</v>
      </c>
      <c r="B357" s="5">
        <v>2.0299999999999998</v>
      </c>
    </row>
    <row r="358" spans="1:2" x14ac:dyDescent="0.3">
      <c r="A358" s="4">
        <v>44368</v>
      </c>
      <c r="B358" s="5">
        <v>2</v>
      </c>
    </row>
    <row r="359" spans="1:2" x14ac:dyDescent="0.3">
      <c r="A359" s="4">
        <v>44369</v>
      </c>
      <c r="B359" s="5">
        <v>1.85</v>
      </c>
    </row>
    <row r="360" spans="1:2" x14ac:dyDescent="0.3">
      <c r="A360" s="4">
        <v>44370</v>
      </c>
      <c r="B360" s="5">
        <v>2.09</v>
      </c>
    </row>
    <row r="361" spans="1:2" x14ac:dyDescent="0.3">
      <c r="A361" s="4">
        <v>44371</v>
      </c>
      <c r="B361" s="5">
        <v>1.82</v>
      </c>
    </row>
    <row r="362" spans="1:2" x14ac:dyDescent="0.3">
      <c r="A362" s="4">
        <v>44372</v>
      </c>
      <c r="B362" s="5">
        <v>1.4</v>
      </c>
    </row>
    <row r="363" spans="1:2" x14ac:dyDescent="0.3">
      <c r="A363" s="4">
        <v>44375</v>
      </c>
      <c r="B363" s="5">
        <v>1.57</v>
      </c>
    </row>
    <row r="364" spans="1:2" x14ac:dyDescent="0.3">
      <c r="A364" s="4">
        <v>44376</v>
      </c>
      <c r="B364" s="5">
        <v>1.3</v>
      </c>
    </row>
    <row r="365" spans="1:2" x14ac:dyDescent="0.3">
      <c r="A365" s="4">
        <v>44377</v>
      </c>
      <c r="B365" s="5">
        <v>2.15</v>
      </c>
    </row>
    <row r="366" spans="1:2" x14ac:dyDescent="0.3">
      <c r="A366" s="4">
        <v>44378</v>
      </c>
      <c r="B366" s="5">
        <v>1.65</v>
      </c>
    </row>
    <row r="367" spans="1:2" x14ac:dyDescent="0.3">
      <c r="A367" s="4">
        <v>44379</v>
      </c>
      <c r="B367" s="5">
        <v>1.4</v>
      </c>
    </row>
    <row r="368" spans="1:2" x14ac:dyDescent="0.3">
      <c r="A368" s="4">
        <v>44382</v>
      </c>
      <c r="B368" s="5">
        <v>1.67</v>
      </c>
    </row>
    <row r="369" spans="1:2" x14ac:dyDescent="0.3">
      <c r="A369" s="4">
        <v>44383</v>
      </c>
      <c r="B369" s="5">
        <v>1.72</v>
      </c>
    </row>
    <row r="370" spans="1:2" x14ac:dyDescent="0.3">
      <c r="A370" s="4">
        <v>44384</v>
      </c>
      <c r="B370" s="5">
        <v>2.0499999999999998</v>
      </c>
    </row>
    <row r="371" spans="1:2" x14ac:dyDescent="0.3">
      <c r="A371" s="4">
        <v>44385</v>
      </c>
      <c r="B371" s="5">
        <v>1.9</v>
      </c>
    </row>
    <row r="372" spans="1:2" x14ac:dyDescent="0.3">
      <c r="A372" s="4">
        <v>44386</v>
      </c>
      <c r="B372" s="5">
        <v>1.71</v>
      </c>
    </row>
    <row r="373" spans="1:2" x14ac:dyDescent="0.3">
      <c r="A373" s="4">
        <v>44389</v>
      </c>
      <c r="B373" s="5">
        <v>1.45</v>
      </c>
    </row>
    <row r="374" spans="1:2" x14ac:dyDescent="0.3">
      <c r="A374" s="4">
        <v>44390</v>
      </c>
      <c r="B374" s="5">
        <v>2.08</v>
      </c>
    </row>
    <row r="375" spans="1:2" x14ac:dyDescent="0.3">
      <c r="A375" s="4">
        <v>44391</v>
      </c>
      <c r="B375" s="5">
        <v>2</v>
      </c>
    </row>
    <row r="376" spans="1:2" x14ac:dyDescent="0.3">
      <c r="A376" s="4">
        <v>44392</v>
      </c>
      <c r="B376" s="5">
        <v>1.9</v>
      </c>
    </row>
    <row r="377" spans="1:2" x14ac:dyDescent="0.3">
      <c r="A377" s="4">
        <v>44393</v>
      </c>
      <c r="B377" s="5">
        <v>2.09</v>
      </c>
    </row>
    <row r="378" spans="1:2" x14ac:dyDescent="0.3">
      <c r="A378" s="4">
        <v>44396</v>
      </c>
      <c r="B378" s="5">
        <v>1.9</v>
      </c>
    </row>
    <row r="379" spans="1:2" x14ac:dyDescent="0.3">
      <c r="A379" s="4">
        <v>44397</v>
      </c>
      <c r="B379" s="5">
        <v>1.87</v>
      </c>
    </row>
    <row r="380" spans="1:2" x14ac:dyDescent="0.3">
      <c r="A380" s="4">
        <v>44398</v>
      </c>
      <c r="B380" s="5">
        <v>1.74</v>
      </c>
    </row>
    <row r="381" spans="1:2" x14ac:dyDescent="0.3">
      <c r="A381" s="4">
        <v>44399</v>
      </c>
      <c r="B381" s="5">
        <v>2.1</v>
      </c>
    </row>
    <row r="382" spans="1:2" x14ac:dyDescent="0.3">
      <c r="A382" s="4">
        <v>44400</v>
      </c>
      <c r="B382" s="5">
        <v>1.9</v>
      </c>
    </row>
    <row r="383" spans="1:2" x14ac:dyDescent="0.3">
      <c r="A383" s="4">
        <v>44403</v>
      </c>
      <c r="B383" s="5">
        <v>2.13</v>
      </c>
    </row>
    <row r="384" spans="1:2" x14ac:dyDescent="0.3">
      <c r="A384" s="4">
        <v>44404</v>
      </c>
      <c r="B384" s="5">
        <v>2.2000000000000002</v>
      </c>
    </row>
    <row r="385" spans="1:2" x14ac:dyDescent="0.3">
      <c r="A385" s="4">
        <v>44405</v>
      </c>
      <c r="B385" s="5">
        <v>1.7</v>
      </c>
    </row>
    <row r="386" spans="1:2" x14ac:dyDescent="0.3">
      <c r="A386" s="4">
        <v>44406</v>
      </c>
      <c r="B386" s="5">
        <v>1.64</v>
      </c>
    </row>
    <row r="387" spans="1:2" x14ac:dyDescent="0.3">
      <c r="A387" s="4">
        <v>44407</v>
      </c>
      <c r="B387" s="5">
        <v>2.15</v>
      </c>
    </row>
    <row r="388" spans="1:2" x14ac:dyDescent="0.3">
      <c r="A388" s="4">
        <v>44410</v>
      </c>
      <c r="B388" s="5">
        <v>1.6</v>
      </c>
    </row>
    <row r="389" spans="1:2" x14ac:dyDescent="0.3">
      <c r="A389" s="4">
        <v>44411</v>
      </c>
      <c r="B389" s="5">
        <v>1.55</v>
      </c>
    </row>
    <row r="390" spans="1:2" x14ac:dyDescent="0.3">
      <c r="A390" s="4">
        <v>44412</v>
      </c>
      <c r="B390" s="5">
        <v>1.7</v>
      </c>
    </row>
    <row r="391" spans="1:2" x14ac:dyDescent="0.3">
      <c r="A391" s="4">
        <v>44413</v>
      </c>
      <c r="B391" s="5">
        <v>1.7</v>
      </c>
    </row>
    <row r="392" spans="1:2" x14ac:dyDescent="0.3">
      <c r="A392" s="4">
        <v>44414</v>
      </c>
      <c r="B392" s="5">
        <v>1.9</v>
      </c>
    </row>
    <row r="393" spans="1:2" x14ac:dyDescent="0.3">
      <c r="A393" s="4">
        <v>44417</v>
      </c>
      <c r="B393" s="5">
        <v>1.9</v>
      </c>
    </row>
    <row r="394" spans="1:2" x14ac:dyDescent="0.3">
      <c r="A394" s="4">
        <v>44418</v>
      </c>
      <c r="B394" s="5">
        <v>1.85</v>
      </c>
    </row>
    <row r="395" spans="1:2" x14ac:dyDescent="0.3">
      <c r="A395" s="4">
        <v>44419</v>
      </c>
      <c r="B395" s="5">
        <v>2.1</v>
      </c>
    </row>
    <row r="396" spans="1:2" x14ac:dyDescent="0.3">
      <c r="A396" s="4">
        <v>44420</v>
      </c>
      <c r="B396" s="5">
        <v>1.95</v>
      </c>
    </row>
    <row r="397" spans="1:2" x14ac:dyDescent="0.3">
      <c r="A397" s="4">
        <v>44421</v>
      </c>
      <c r="B397" s="5">
        <v>1.8</v>
      </c>
    </row>
    <row r="398" spans="1:2" x14ac:dyDescent="0.3">
      <c r="A398" s="4">
        <v>44424</v>
      </c>
      <c r="B398" s="5">
        <v>1.61</v>
      </c>
    </row>
    <row r="399" spans="1:2" x14ac:dyDescent="0.3">
      <c r="A399" s="4">
        <v>44425</v>
      </c>
      <c r="B399" s="5">
        <v>1.8</v>
      </c>
    </row>
    <row r="400" spans="1:2" x14ac:dyDescent="0.3">
      <c r="A400" s="4">
        <v>44426</v>
      </c>
      <c r="B400" s="5">
        <v>1.75</v>
      </c>
    </row>
    <row r="401" spans="1:2" x14ac:dyDescent="0.3">
      <c r="A401" s="4">
        <v>44427</v>
      </c>
      <c r="B401" s="5">
        <v>1.85</v>
      </c>
    </row>
    <row r="402" spans="1:2" x14ac:dyDescent="0.3">
      <c r="A402" s="4">
        <v>44428</v>
      </c>
      <c r="B402" s="5">
        <v>2.06</v>
      </c>
    </row>
    <row r="403" spans="1:2" x14ac:dyDescent="0.3">
      <c r="A403" s="4">
        <v>44431</v>
      </c>
      <c r="B403" s="5">
        <v>2.0499999999999998</v>
      </c>
    </row>
    <row r="404" spans="1:2" x14ac:dyDescent="0.3">
      <c r="A404" s="4">
        <v>44432</v>
      </c>
      <c r="B404" s="5">
        <v>1.89</v>
      </c>
    </row>
    <row r="405" spans="1:2" x14ac:dyDescent="0.3">
      <c r="A405" s="4">
        <v>44433</v>
      </c>
      <c r="B405" s="5">
        <v>2.21</v>
      </c>
    </row>
    <row r="406" spans="1:2" x14ac:dyDescent="0.3">
      <c r="A406" s="4">
        <v>44434</v>
      </c>
      <c r="B406" s="5">
        <v>2.1800000000000002</v>
      </c>
    </row>
    <row r="407" spans="1:2" x14ac:dyDescent="0.3">
      <c r="A407" s="4">
        <v>44435</v>
      </c>
      <c r="B407" s="5">
        <v>1.85</v>
      </c>
    </row>
    <row r="408" spans="1:2" x14ac:dyDescent="0.3">
      <c r="A408" s="4">
        <v>44438</v>
      </c>
      <c r="B408" s="5">
        <v>1.82</v>
      </c>
    </row>
    <row r="409" spans="1:2" x14ac:dyDescent="0.3">
      <c r="A409" s="4">
        <v>44439</v>
      </c>
      <c r="B409" s="5">
        <v>2.2999999999999998</v>
      </c>
    </row>
    <row r="410" spans="1:2" x14ac:dyDescent="0.3">
      <c r="A410" s="4">
        <v>44440</v>
      </c>
      <c r="B410" s="5">
        <v>1.64</v>
      </c>
    </row>
    <row r="411" spans="1:2" x14ac:dyDescent="0.3">
      <c r="A411" s="4">
        <v>44441</v>
      </c>
      <c r="B411" s="5">
        <v>1.9</v>
      </c>
    </row>
    <row r="412" spans="1:2" x14ac:dyDescent="0.3">
      <c r="A412" s="4">
        <v>44442</v>
      </c>
      <c r="B412" s="5">
        <v>1.8</v>
      </c>
    </row>
    <row r="413" spans="1:2" x14ac:dyDescent="0.3">
      <c r="A413" s="4">
        <v>44445</v>
      </c>
      <c r="B413" s="5">
        <v>2.12</v>
      </c>
    </row>
    <row r="414" spans="1:2" x14ac:dyDescent="0.3">
      <c r="A414" s="4">
        <v>44446</v>
      </c>
      <c r="B414" s="5">
        <v>2</v>
      </c>
    </row>
    <row r="415" spans="1:2" x14ac:dyDescent="0.3">
      <c r="A415" s="4">
        <v>44447</v>
      </c>
      <c r="B415" s="5">
        <v>2.09</v>
      </c>
    </row>
    <row r="416" spans="1:2" x14ac:dyDescent="0.3">
      <c r="A416" s="4">
        <v>44448</v>
      </c>
      <c r="B416" s="5">
        <v>1.8</v>
      </c>
    </row>
    <row r="417" spans="1:2" x14ac:dyDescent="0.3">
      <c r="A417" s="4">
        <v>44449</v>
      </c>
      <c r="B417" s="5">
        <v>2.15</v>
      </c>
    </row>
    <row r="418" spans="1:2" x14ac:dyDescent="0.3">
      <c r="A418" s="4">
        <v>44452</v>
      </c>
      <c r="B418" s="5">
        <v>2.2000000000000002</v>
      </c>
    </row>
    <row r="419" spans="1:2" x14ac:dyDescent="0.3">
      <c r="A419" s="4">
        <v>44453</v>
      </c>
      <c r="B419" s="5">
        <v>2.34</v>
      </c>
    </row>
    <row r="420" spans="1:2" x14ac:dyDescent="0.3">
      <c r="A420" s="4">
        <v>44454</v>
      </c>
      <c r="B420" s="5">
        <v>2.2000000000000002</v>
      </c>
    </row>
    <row r="421" spans="1:2" x14ac:dyDescent="0.3">
      <c r="A421" s="4">
        <v>44455</v>
      </c>
      <c r="B421" s="5">
        <v>1.82</v>
      </c>
    </row>
    <row r="422" spans="1:2" x14ac:dyDescent="0.3">
      <c r="A422" s="4">
        <v>44456</v>
      </c>
      <c r="B422" s="5">
        <v>1.9</v>
      </c>
    </row>
    <row r="423" spans="1:2" x14ac:dyDescent="0.3">
      <c r="A423" s="4">
        <v>44461</v>
      </c>
      <c r="B423" s="5">
        <v>1.67</v>
      </c>
    </row>
    <row r="424" spans="1:2" x14ac:dyDescent="0.3">
      <c r="A424" s="4">
        <v>44462</v>
      </c>
      <c r="B424" s="5">
        <v>1.75</v>
      </c>
    </row>
    <row r="425" spans="1:2" x14ac:dyDescent="0.3">
      <c r="A425" s="4">
        <v>44463</v>
      </c>
      <c r="B425" s="5">
        <v>1.5</v>
      </c>
    </row>
    <row r="426" spans="1:2" x14ac:dyDescent="0.3">
      <c r="A426" s="4">
        <v>44466</v>
      </c>
      <c r="B426" s="5">
        <v>1.65</v>
      </c>
    </row>
    <row r="427" spans="1:2" x14ac:dyDescent="0.3">
      <c r="A427" s="4">
        <v>44467</v>
      </c>
      <c r="B427" s="5">
        <v>1.48</v>
      </c>
    </row>
    <row r="428" spans="1:2" x14ac:dyDescent="0.3">
      <c r="A428" s="4">
        <v>44468</v>
      </c>
      <c r="B428" s="5">
        <v>1.35</v>
      </c>
    </row>
    <row r="429" spans="1:2" x14ac:dyDescent="0.3">
      <c r="A429" s="4">
        <v>44469</v>
      </c>
      <c r="B429" s="5">
        <v>2</v>
      </c>
    </row>
    <row r="430" spans="1:2" x14ac:dyDescent="0.3">
      <c r="A430" s="4">
        <v>44477</v>
      </c>
      <c r="B430" s="5">
        <v>1.65</v>
      </c>
    </row>
    <row r="431" spans="1:2" x14ac:dyDescent="0.3">
      <c r="A431" s="4">
        <v>44480</v>
      </c>
      <c r="B431" s="5">
        <v>1.7</v>
      </c>
    </row>
    <row r="432" spans="1:2" x14ac:dyDescent="0.3">
      <c r="A432" s="4">
        <v>44481</v>
      </c>
      <c r="B432" s="5">
        <v>1.9</v>
      </c>
    </row>
    <row r="433" spans="1:2" x14ac:dyDescent="0.3">
      <c r="A433" s="4">
        <v>44482</v>
      </c>
      <c r="B433" s="5">
        <v>2.15</v>
      </c>
    </row>
    <row r="434" spans="1:2" x14ac:dyDescent="0.3">
      <c r="A434" s="4">
        <v>44483</v>
      </c>
      <c r="B434" s="5">
        <v>1.95</v>
      </c>
    </row>
    <row r="435" spans="1:2" x14ac:dyDescent="0.3">
      <c r="A435" s="4">
        <v>44484</v>
      </c>
      <c r="B435" s="5">
        <v>2.0499999999999998</v>
      </c>
    </row>
    <row r="436" spans="1:2" x14ac:dyDescent="0.3">
      <c r="A436" s="4">
        <v>44487</v>
      </c>
      <c r="B436" s="5">
        <v>2.2999999999999998</v>
      </c>
    </row>
    <row r="437" spans="1:2" x14ac:dyDescent="0.3">
      <c r="A437" s="4">
        <v>44488</v>
      </c>
      <c r="B437" s="5">
        <v>1.73</v>
      </c>
    </row>
    <row r="438" spans="1:2" x14ac:dyDescent="0.3">
      <c r="A438" s="4">
        <v>44489</v>
      </c>
      <c r="B438" s="5">
        <v>1.62</v>
      </c>
    </row>
    <row r="439" spans="1:2" x14ac:dyDescent="0.3">
      <c r="A439" s="4">
        <v>44490</v>
      </c>
      <c r="B439" s="5">
        <v>1.6</v>
      </c>
    </row>
    <row r="440" spans="1:2" x14ac:dyDescent="0.3">
      <c r="A440" s="4">
        <v>44491</v>
      </c>
      <c r="B440" s="5">
        <v>1.9</v>
      </c>
    </row>
    <row r="441" spans="1:2" x14ac:dyDescent="0.3">
      <c r="A441" s="4">
        <v>44494</v>
      </c>
      <c r="B441" s="5">
        <v>1.49</v>
      </c>
    </row>
    <row r="442" spans="1:2" x14ac:dyDescent="0.3">
      <c r="A442" s="4">
        <v>44495</v>
      </c>
      <c r="B442" s="5">
        <v>1.45</v>
      </c>
    </row>
    <row r="443" spans="1:2" x14ac:dyDescent="0.3">
      <c r="A443" s="4">
        <v>44496</v>
      </c>
      <c r="B443" s="5">
        <v>1.92</v>
      </c>
    </row>
    <row r="444" spans="1:2" x14ac:dyDescent="0.3">
      <c r="A444" s="4">
        <v>44497</v>
      </c>
      <c r="B444" s="5">
        <v>1.8</v>
      </c>
    </row>
    <row r="445" spans="1:2" x14ac:dyDescent="0.3">
      <c r="A445" s="4">
        <v>44498</v>
      </c>
      <c r="B445" s="5">
        <v>2.12</v>
      </c>
    </row>
    <row r="446" spans="1:2" x14ac:dyDescent="0.3">
      <c r="A446" s="4">
        <v>44501</v>
      </c>
      <c r="B446" s="5">
        <v>1.7</v>
      </c>
    </row>
    <row r="447" spans="1:2" x14ac:dyDescent="0.3">
      <c r="A447" s="4">
        <v>44502</v>
      </c>
      <c r="B447" s="5">
        <v>1.65</v>
      </c>
    </row>
    <row r="448" spans="1:2" x14ac:dyDescent="0.3">
      <c r="A448" s="4">
        <v>44503</v>
      </c>
      <c r="B448" s="5">
        <v>1.99</v>
      </c>
    </row>
    <row r="449" spans="1:2" x14ac:dyDescent="0.3">
      <c r="A449" s="4">
        <v>44504</v>
      </c>
      <c r="B449" s="5">
        <v>1.91</v>
      </c>
    </row>
    <row r="450" spans="1:2" x14ac:dyDescent="0.3">
      <c r="A450" s="4">
        <v>44505</v>
      </c>
      <c r="B450" s="5">
        <v>1.95</v>
      </c>
    </row>
    <row r="451" spans="1:2" x14ac:dyDescent="0.3">
      <c r="A451" s="4">
        <v>44508</v>
      </c>
      <c r="B451" s="5">
        <v>1.9</v>
      </c>
    </row>
    <row r="452" spans="1:2" x14ac:dyDescent="0.3">
      <c r="A452" s="4">
        <v>44509</v>
      </c>
      <c r="B452" s="5">
        <v>2.13</v>
      </c>
    </row>
    <row r="453" spans="1:2" x14ac:dyDescent="0.3">
      <c r="A453" s="4">
        <v>44510</v>
      </c>
      <c r="B453" s="5">
        <v>1.57</v>
      </c>
    </row>
    <row r="454" spans="1:2" x14ac:dyDescent="0.3">
      <c r="A454" s="4">
        <v>44511</v>
      </c>
      <c r="B454" s="5">
        <v>1.57</v>
      </c>
    </row>
    <row r="455" spans="1:2" x14ac:dyDescent="0.3">
      <c r="A455" s="4">
        <v>44512</v>
      </c>
      <c r="B455" s="5">
        <v>1.85</v>
      </c>
    </row>
    <row r="456" spans="1:2" x14ac:dyDescent="0.3">
      <c r="A456" s="4">
        <v>44515</v>
      </c>
      <c r="B456" s="5">
        <v>1.7</v>
      </c>
    </row>
    <row r="457" spans="1:2" x14ac:dyDescent="0.3">
      <c r="A457" s="4">
        <v>44516</v>
      </c>
      <c r="B457" s="5">
        <v>1.92</v>
      </c>
    </row>
    <row r="458" spans="1:2" x14ac:dyDescent="0.3">
      <c r="A458" s="4">
        <v>44517</v>
      </c>
      <c r="B458" s="5">
        <v>1.75</v>
      </c>
    </row>
    <row r="459" spans="1:2" x14ac:dyDescent="0.3">
      <c r="A459" s="4">
        <v>44518</v>
      </c>
      <c r="B459" s="5">
        <v>1.8</v>
      </c>
    </row>
    <row r="460" spans="1:2" x14ac:dyDescent="0.3">
      <c r="A460" s="4">
        <v>44519</v>
      </c>
      <c r="B460" s="5">
        <v>2.0099999999999998</v>
      </c>
    </row>
    <row r="461" spans="1:2" x14ac:dyDescent="0.3">
      <c r="A461" s="4">
        <v>44522</v>
      </c>
      <c r="B461" s="5">
        <v>1.95</v>
      </c>
    </row>
    <row r="462" spans="1:2" x14ac:dyDescent="0.3">
      <c r="A462" s="4">
        <v>44523</v>
      </c>
      <c r="B462" s="5">
        <v>2</v>
      </c>
    </row>
    <row r="463" spans="1:2" x14ac:dyDescent="0.3">
      <c r="A463" s="4">
        <v>44524</v>
      </c>
      <c r="B463" s="5">
        <v>1.8</v>
      </c>
    </row>
    <row r="464" spans="1:2" x14ac:dyDescent="0.3">
      <c r="A464" s="4">
        <v>44525</v>
      </c>
      <c r="B464" s="5">
        <v>1.83</v>
      </c>
    </row>
    <row r="465" spans="1:2" x14ac:dyDescent="0.3">
      <c r="A465" s="4">
        <v>44526</v>
      </c>
      <c r="B465" s="5">
        <v>1.68</v>
      </c>
    </row>
    <row r="466" spans="1:2" x14ac:dyDescent="0.3">
      <c r="A466" s="4">
        <v>44529</v>
      </c>
      <c r="B466" s="5">
        <v>1.9</v>
      </c>
    </row>
    <row r="467" spans="1:2" x14ac:dyDescent="0.3">
      <c r="A467" s="4">
        <v>44530</v>
      </c>
      <c r="B467" s="5">
        <v>1.78</v>
      </c>
    </row>
    <row r="468" spans="1:2" x14ac:dyDescent="0.3">
      <c r="A468" s="4">
        <v>44531</v>
      </c>
      <c r="B468" s="5">
        <v>1.5</v>
      </c>
    </row>
    <row r="469" spans="1:2" x14ac:dyDescent="0.3">
      <c r="A469" s="4">
        <v>44532</v>
      </c>
      <c r="B469" s="5">
        <v>1.75</v>
      </c>
    </row>
    <row r="470" spans="1:2" x14ac:dyDescent="0.3">
      <c r="A470" s="4">
        <v>44533</v>
      </c>
      <c r="B470" s="5">
        <v>1.9</v>
      </c>
    </row>
    <row r="471" spans="1:2" x14ac:dyDescent="0.3">
      <c r="A471" s="4">
        <v>44536</v>
      </c>
      <c r="B471" s="5">
        <v>1.9</v>
      </c>
    </row>
    <row r="472" spans="1:2" x14ac:dyDescent="0.3">
      <c r="A472" s="4">
        <v>44537</v>
      </c>
      <c r="B472" s="5">
        <v>2.08</v>
      </c>
    </row>
    <row r="473" spans="1:2" x14ac:dyDescent="0.3">
      <c r="A473" s="4">
        <v>44538</v>
      </c>
      <c r="B473" s="5">
        <v>1.8</v>
      </c>
    </row>
    <row r="474" spans="1:2" x14ac:dyDescent="0.3">
      <c r="A474" s="4">
        <v>44539</v>
      </c>
      <c r="B474" s="5">
        <v>2</v>
      </c>
    </row>
    <row r="475" spans="1:2" x14ac:dyDescent="0.3">
      <c r="A475" s="4">
        <v>44540</v>
      </c>
      <c r="B475" s="5">
        <v>1.82</v>
      </c>
    </row>
    <row r="476" spans="1:2" x14ac:dyDescent="0.3">
      <c r="A476" s="4">
        <v>44543</v>
      </c>
      <c r="B476" s="5">
        <v>1.9</v>
      </c>
    </row>
    <row r="477" spans="1:2" x14ac:dyDescent="0.3">
      <c r="A477" s="4">
        <v>44544</v>
      </c>
      <c r="B477" s="5">
        <v>2.17</v>
      </c>
    </row>
    <row r="478" spans="1:2" x14ac:dyDescent="0.3">
      <c r="A478" s="4">
        <v>44545</v>
      </c>
      <c r="B478" s="5">
        <v>1.8</v>
      </c>
    </row>
    <row r="479" spans="1:2" x14ac:dyDescent="0.3">
      <c r="A479" s="4">
        <v>44546</v>
      </c>
      <c r="B479" s="5">
        <v>1.8</v>
      </c>
    </row>
    <row r="480" spans="1:2" x14ac:dyDescent="0.3">
      <c r="A480" s="4">
        <v>44547</v>
      </c>
      <c r="B480" s="5">
        <v>1.6</v>
      </c>
    </row>
    <row r="481" spans="1:2" x14ac:dyDescent="0.3">
      <c r="A481" s="4">
        <v>44550</v>
      </c>
      <c r="B481" s="5">
        <v>1.78</v>
      </c>
    </row>
    <row r="482" spans="1:2" x14ac:dyDescent="0.3">
      <c r="A482" s="4">
        <v>44551</v>
      </c>
      <c r="B482" s="5">
        <v>1.4</v>
      </c>
    </row>
    <row r="483" spans="1:2" x14ac:dyDescent="0.3">
      <c r="A483" s="4">
        <v>44552</v>
      </c>
      <c r="B483" s="5">
        <v>1.65</v>
      </c>
    </row>
    <row r="484" spans="1:2" x14ac:dyDescent="0.3">
      <c r="A484" s="4">
        <v>44553</v>
      </c>
      <c r="B484" s="5">
        <v>1.5</v>
      </c>
    </row>
    <row r="485" spans="1:2" x14ac:dyDescent="0.3">
      <c r="A485" s="4">
        <v>44554</v>
      </c>
      <c r="B485" s="5">
        <v>1.7</v>
      </c>
    </row>
    <row r="486" spans="1:2" x14ac:dyDescent="0.3">
      <c r="A486" s="4">
        <v>44557</v>
      </c>
      <c r="B486" s="5">
        <v>1.4</v>
      </c>
    </row>
    <row r="487" spans="1:2" x14ac:dyDescent="0.3">
      <c r="A487" s="4">
        <v>44558</v>
      </c>
      <c r="B487" s="5">
        <v>1.57</v>
      </c>
    </row>
    <row r="488" spans="1:2" x14ac:dyDescent="0.3">
      <c r="A488" s="4">
        <v>44559</v>
      </c>
      <c r="B488" s="5">
        <v>1.5</v>
      </c>
    </row>
    <row r="489" spans="1:2" x14ac:dyDescent="0.3">
      <c r="A489" s="4">
        <v>44560</v>
      </c>
      <c r="B489" s="5">
        <v>1.2</v>
      </c>
    </row>
    <row r="490" spans="1:2" x14ac:dyDescent="0.3">
      <c r="A490" s="4">
        <v>44561</v>
      </c>
      <c r="B490" s="5">
        <v>2.0499999999999998</v>
      </c>
    </row>
    <row r="491" spans="1:2" x14ac:dyDescent="0.3">
      <c r="A491" s="4">
        <v>44565</v>
      </c>
      <c r="B491" s="5">
        <v>1.43</v>
      </c>
    </row>
    <row r="492" spans="1:2" x14ac:dyDescent="0.3">
      <c r="A492" s="4">
        <v>44566</v>
      </c>
      <c r="B492" s="5">
        <v>1.6</v>
      </c>
    </row>
    <row r="493" spans="1:2" x14ac:dyDescent="0.3">
      <c r="A493" s="4">
        <v>44567</v>
      </c>
      <c r="B493" s="5">
        <v>1.9</v>
      </c>
    </row>
    <row r="494" spans="1:2" x14ac:dyDescent="0.3">
      <c r="A494" s="4">
        <v>44568</v>
      </c>
      <c r="B494" s="5">
        <v>1.84</v>
      </c>
    </row>
    <row r="495" spans="1:2" x14ac:dyDescent="0.3">
      <c r="A495" s="4">
        <v>44571</v>
      </c>
      <c r="B495" s="5">
        <v>1.7</v>
      </c>
    </row>
    <row r="496" spans="1:2" x14ac:dyDescent="0.3">
      <c r="A496" s="4">
        <v>44572</v>
      </c>
      <c r="B496" s="5">
        <v>1.83</v>
      </c>
    </row>
    <row r="497" spans="1:2" x14ac:dyDescent="0.3">
      <c r="A497" s="4">
        <v>44573</v>
      </c>
      <c r="B497" s="5">
        <v>1.99</v>
      </c>
    </row>
    <row r="498" spans="1:2" x14ac:dyDescent="0.3">
      <c r="A498" s="4">
        <v>44574</v>
      </c>
      <c r="B498" s="5">
        <v>1.72</v>
      </c>
    </row>
    <row r="499" spans="1:2" x14ac:dyDescent="0.3">
      <c r="A499" s="4">
        <v>44575</v>
      </c>
      <c r="B499" s="5">
        <v>2.2000000000000002</v>
      </c>
    </row>
    <row r="500" spans="1:2" x14ac:dyDescent="0.3">
      <c r="A500" s="4">
        <v>44578</v>
      </c>
      <c r="B500" s="5">
        <v>1.95</v>
      </c>
    </row>
    <row r="501" spans="1:2" x14ac:dyDescent="0.3">
      <c r="A501" s="4">
        <v>44579</v>
      </c>
      <c r="B501" s="5">
        <v>1.92</v>
      </c>
    </row>
    <row r="502" spans="1:2" x14ac:dyDescent="0.3">
      <c r="A502" s="4">
        <v>44580</v>
      </c>
      <c r="B502" s="5">
        <v>2.02</v>
      </c>
    </row>
    <row r="503" spans="1:2" x14ac:dyDescent="0.3">
      <c r="A503" s="4">
        <v>44581</v>
      </c>
      <c r="B503" s="5">
        <v>2.0499999999999998</v>
      </c>
    </row>
    <row r="504" spans="1:2" x14ac:dyDescent="0.3">
      <c r="A504" s="4">
        <v>44582</v>
      </c>
      <c r="B504" s="5">
        <v>1.9</v>
      </c>
    </row>
    <row r="505" spans="1:2" x14ac:dyDescent="0.3">
      <c r="A505" s="4">
        <v>44585</v>
      </c>
      <c r="B505" s="5">
        <v>1.7</v>
      </c>
    </row>
    <row r="506" spans="1:2" x14ac:dyDescent="0.3">
      <c r="A506" s="4">
        <v>44586</v>
      </c>
      <c r="B506" s="5">
        <v>1.9</v>
      </c>
    </row>
    <row r="507" spans="1:2" x14ac:dyDescent="0.3">
      <c r="A507" s="4">
        <v>44587</v>
      </c>
      <c r="B507" s="5">
        <v>1.6</v>
      </c>
    </row>
    <row r="508" spans="1:2" x14ac:dyDescent="0.3">
      <c r="A508" s="4">
        <v>44588</v>
      </c>
      <c r="B508" s="5">
        <v>1.45</v>
      </c>
    </row>
    <row r="509" spans="1:2" x14ac:dyDescent="0.3">
      <c r="A509" s="4">
        <v>44589</v>
      </c>
      <c r="B509" s="5">
        <v>1.25</v>
      </c>
    </row>
    <row r="510" spans="1:2" x14ac:dyDescent="0.3">
      <c r="A510" s="4">
        <v>44599</v>
      </c>
      <c r="B510" s="5">
        <v>1.65</v>
      </c>
    </row>
    <row r="511" spans="1:2" x14ac:dyDescent="0.3">
      <c r="A511" s="4">
        <v>44600</v>
      </c>
      <c r="B511" s="5">
        <v>1.6</v>
      </c>
    </row>
    <row r="512" spans="1:2" x14ac:dyDescent="0.3">
      <c r="A512" s="4">
        <v>44601</v>
      </c>
      <c r="B512" s="5">
        <v>1.65</v>
      </c>
    </row>
    <row r="513" spans="1:2" x14ac:dyDescent="0.3">
      <c r="A513" s="4">
        <v>44602</v>
      </c>
      <c r="B513" s="5">
        <v>1.66</v>
      </c>
    </row>
    <row r="514" spans="1:2" x14ac:dyDescent="0.3">
      <c r="A514" s="4">
        <v>44603</v>
      </c>
      <c r="B514" s="5">
        <v>1.8</v>
      </c>
    </row>
    <row r="515" spans="1:2" x14ac:dyDescent="0.3">
      <c r="A515" s="4">
        <v>44606</v>
      </c>
      <c r="B515" s="5">
        <v>1.75</v>
      </c>
    </row>
    <row r="516" spans="1:2" x14ac:dyDescent="0.3">
      <c r="A516" s="4">
        <v>44607</v>
      </c>
      <c r="B516" s="5">
        <v>1.85</v>
      </c>
    </row>
    <row r="517" spans="1:2" x14ac:dyDescent="0.3">
      <c r="A517" s="4">
        <v>44608</v>
      </c>
      <c r="B517" s="5">
        <v>1.93</v>
      </c>
    </row>
    <row r="518" spans="1:2" x14ac:dyDescent="0.3">
      <c r="A518" s="4">
        <v>44609</v>
      </c>
      <c r="B518" s="5">
        <v>1.87</v>
      </c>
    </row>
    <row r="519" spans="1:2" x14ac:dyDescent="0.3">
      <c r="A519" s="4">
        <v>44610</v>
      </c>
      <c r="B519" s="5">
        <v>2</v>
      </c>
    </row>
    <row r="520" spans="1:2" x14ac:dyDescent="0.3">
      <c r="A520" s="4">
        <v>44613</v>
      </c>
      <c r="B520" s="5">
        <v>2.2000000000000002</v>
      </c>
    </row>
    <row r="521" spans="1:2" x14ac:dyDescent="0.3">
      <c r="A521" s="4">
        <v>44614</v>
      </c>
      <c r="B521" s="5">
        <v>1.7</v>
      </c>
    </row>
    <row r="522" spans="1:2" x14ac:dyDescent="0.3">
      <c r="A522" s="4">
        <v>44615</v>
      </c>
      <c r="B522" s="5">
        <v>2.0499999999999998</v>
      </c>
    </row>
    <row r="523" spans="1:2" x14ac:dyDescent="0.3">
      <c r="A523" s="4">
        <v>44616</v>
      </c>
      <c r="B523" s="5">
        <v>2.2000000000000002</v>
      </c>
    </row>
    <row r="524" spans="1:2" x14ac:dyDescent="0.3">
      <c r="A524" s="4">
        <v>44617</v>
      </c>
      <c r="B524" s="5">
        <v>1.74</v>
      </c>
    </row>
    <row r="525" spans="1:2" x14ac:dyDescent="0.3">
      <c r="A525" s="4">
        <v>44620</v>
      </c>
      <c r="B525" s="5">
        <v>2.1</v>
      </c>
    </row>
    <row r="526" spans="1:2" x14ac:dyDescent="0.3">
      <c r="A526" s="4">
        <v>44621</v>
      </c>
      <c r="B526" s="5">
        <v>1.4</v>
      </c>
    </row>
    <row r="527" spans="1:2" x14ac:dyDescent="0.3">
      <c r="A527" s="4">
        <v>44622</v>
      </c>
      <c r="B527" s="5">
        <v>1.68</v>
      </c>
    </row>
    <row r="528" spans="1:2" x14ac:dyDescent="0.3">
      <c r="A528" s="4">
        <v>44623</v>
      </c>
      <c r="B528" s="5">
        <v>1.74</v>
      </c>
    </row>
    <row r="529" spans="1:2" x14ac:dyDescent="0.3">
      <c r="A529" s="4">
        <v>44624</v>
      </c>
      <c r="B529" s="5">
        <v>1.82</v>
      </c>
    </row>
    <row r="530" spans="1:2" x14ac:dyDescent="0.3">
      <c r="A530" s="4">
        <v>44627</v>
      </c>
      <c r="B530" s="5">
        <v>2.0299999999999998</v>
      </c>
    </row>
    <row r="531" spans="1:2" x14ac:dyDescent="0.3">
      <c r="A531" s="4">
        <v>44628</v>
      </c>
      <c r="B531" s="5">
        <v>1.8</v>
      </c>
    </row>
    <row r="532" spans="1:2" x14ac:dyDescent="0.3">
      <c r="A532" s="4">
        <v>44629</v>
      </c>
      <c r="B532" s="5">
        <v>2.02</v>
      </c>
    </row>
    <row r="533" spans="1:2" x14ac:dyDescent="0.3">
      <c r="A533" s="4">
        <v>44630</v>
      </c>
      <c r="B533" s="5">
        <v>1.8</v>
      </c>
    </row>
    <row r="534" spans="1:2" x14ac:dyDescent="0.3">
      <c r="A534" s="4">
        <v>44631</v>
      </c>
      <c r="B534" s="5">
        <v>1.56</v>
      </c>
    </row>
    <row r="535" spans="1:2" x14ac:dyDescent="0.3">
      <c r="A535" s="4">
        <v>44634</v>
      </c>
      <c r="B535" s="5">
        <v>2</v>
      </c>
    </row>
    <row r="536" spans="1:2" x14ac:dyDescent="0.3">
      <c r="A536" s="4">
        <v>44635</v>
      </c>
      <c r="B536" s="5">
        <v>1.66</v>
      </c>
    </row>
    <row r="537" spans="1:2" x14ac:dyDescent="0.3">
      <c r="A537" s="4">
        <v>44636</v>
      </c>
      <c r="B537" s="5">
        <v>1.75</v>
      </c>
    </row>
    <row r="538" spans="1:2" x14ac:dyDescent="0.3">
      <c r="A538" s="4">
        <v>44637</v>
      </c>
      <c r="B538" s="5">
        <v>2</v>
      </c>
    </row>
    <row r="539" spans="1:2" x14ac:dyDescent="0.3">
      <c r="A539" s="4">
        <v>44638</v>
      </c>
      <c r="B539" s="5">
        <v>1.74</v>
      </c>
    </row>
    <row r="540" spans="1:2" x14ac:dyDescent="0.3">
      <c r="A540" s="4">
        <v>44641</v>
      </c>
      <c r="B540" s="5">
        <v>2</v>
      </c>
    </row>
    <row r="541" spans="1:2" x14ac:dyDescent="0.3">
      <c r="A541" s="4">
        <v>44642</v>
      </c>
      <c r="B541" s="5">
        <v>1.7</v>
      </c>
    </row>
    <row r="542" spans="1:2" x14ac:dyDescent="0.3">
      <c r="A542" s="4">
        <v>44643</v>
      </c>
      <c r="B542" s="5">
        <v>1.9</v>
      </c>
    </row>
    <row r="543" spans="1:2" x14ac:dyDescent="0.3">
      <c r="A543" s="4">
        <v>44644</v>
      </c>
      <c r="B543" s="5">
        <v>1.7</v>
      </c>
    </row>
    <row r="544" spans="1:2" x14ac:dyDescent="0.3">
      <c r="A544" s="4">
        <v>44645</v>
      </c>
      <c r="B544" s="5">
        <v>1.7</v>
      </c>
    </row>
    <row r="545" spans="1:2" x14ac:dyDescent="0.3">
      <c r="A545" s="4">
        <v>44648</v>
      </c>
      <c r="B545" s="5">
        <v>1.89</v>
      </c>
    </row>
    <row r="546" spans="1:2" x14ac:dyDescent="0.3">
      <c r="A546" s="4">
        <v>44649</v>
      </c>
      <c r="B546" s="5">
        <v>1.45</v>
      </c>
    </row>
    <row r="547" spans="1:2" x14ac:dyDescent="0.3">
      <c r="A547" s="4">
        <v>44650</v>
      </c>
      <c r="B547" s="5">
        <v>1.6</v>
      </c>
    </row>
    <row r="548" spans="1:2" x14ac:dyDescent="0.3">
      <c r="A548" s="4">
        <v>44651</v>
      </c>
      <c r="B548" s="5">
        <v>1.95</v>
      </c>
    </row>
    <row r="549" spans="1:2" x14ac:dyDescent="0.3">
      <c r="A549" s="4">
        <v>44652</v>
      </c>
      <c r="B549" s="5">
        <v>1.62</v>
      </c>
    </row>
    <row r="550" spans="1:2" x14ac:dyDescent="0.3">
      <c r="A550" s="4">
        <v>44657</v>
      </c>
      <c r="B550" s="5">
        <v>1.6</v>
      </c>
    </row>
    <row r="551" spans="1:2" x14ac:dyDescent="0.3">
      <c r="A551" s="4">
        <v>44658</v>
      </c>
      <c r="B551" s="5">
        <v>1.7</v>
      </c>
    </row>
    <row r="552" spans="1:2" x14ac:dyDescent="0.3">
      <c r="A552" s="4">
        <v>44659</v>
      </c>
      <c r="B552" s="5">
        <v>1.75</v>
      </c>
    </row>
    <row r="553" spans="1:2" x14ac:dyDescent="0.3">
      <c r="A553" s="4">
        <v>44662</v>
      </c>
      <c r="B553" s="5">
        <v>1.6</v>
      </c>
    </row>
    <row r="554" spans="1:2" x14ac:dyDescent="0.3">
      <c r="A554" s="4">
        <v>44663</v>
      </c>
      <c r="B554" s="5">
        <v>1.75</v>
      </c>
    </row>
    <row r="555" spans="1:2" x14ac:dyDescent="0.3">
      <c r="A555" s="4">
        <v>44664</v>
      </c>
      <c r="B555" s="5">
        <v>1.5</v>
      </c>
    </row>
    <row r="556" spans="1:2" x14ac:dyDescent="0.3">
      <c r="A556" s="4">
        <v>44665</v>
      </c>
      <c r="B556" s="5">
        <v>1.5</v>
      </c>
    </row>
    <row r="557" spans="1:2" x14ac:dyDescent="0.3">
      <c r="A557" s="4">
        <v>44666</v>
      </c>
      <c r="B557" s="5">
        <v>1.4</v>
      </c>
    </row>
    <row r="558" spans="1:2" x14ac:dyDescent="0.3">
      <c r="A558" s="4">
        <v>44669</v>
      </c>
      <c r="B558" s="5">
        <v>1.25</v>
      </c>
    </row>
    <row r="559" spans="1:2" x14ac:dyDescent="0.3">
      <c r="A559" s="4">
        <v>44670</v>
      </c>
      <c r="B559" s="5">
        <v>1.4</v>
      </c>
    </row>
    <row r="560" spans="1:2" x14ac:dyDescent="0.3">
      <c r="A560" s="4">
        <v>44671</v>
      </c>
      <c r="B560" s="5">
        <v>1.3</v>
      </c>
    </row>
    <row r="561" spans="1:2" x14ac:dyDescent="0.3">
      <c r="A561" s="4">
        <v>44672</v>
      </c>
      <c r="B561" s="5">
        <v>1.29</v>
      </c>
    </row>
    <row r="562" spans="1:2" x14ac:dyDescent="0.3">
      <c r="A562" s="4">
        <v>44673</v>
      </c>
      <c r="B562" s="5">
        <v>1.28</v>
      </c>
    </row>
    <row r="563" spans="1:2" x14ac:dyDescent="0.3">
      <c r="A563" s="4">
        <v>44676</v>
      </c>
      <c r="B563" s="5">
        <v>1.25</v>
      </c>
    </row>
    <row r="564" spans="1:2" x14ac:dyDescent="0.3">
      <c r="A564" s="4">
        <v>44677</v>
      </c>
      <c r="B564" s="5">
        <v>1.2</v>
      </c>
    </row>
    <row r="565" spans="1:2" x14ac:dyDescent="0.3">
      <c r="A565" s="4">
        <v>44678</v>
      </c>
      <c r="B565" s="5">
        <v>1.37</v>
      </c>
    </row>
    <row r="566" spans="1:2" x14ac:dyDescent="0.3">
      <c r="A566" s="4">
        <v>44679</v>
      </c>
      <c r="B566" s="5">
        <v>1.3</v>
      </c>
    </row>
    <row r="567" spans="1:2" x14ac:dyDescent="0.3">
      <c r="A567" s="4">
        <v>44680</v>
      </c>
      <c r="B567" s="5">
        <v>1.34</v>
      </c>
    </row>
    <row r="568" spans="1:2" x14ac:dyDescent="0.3">
      <c r="A568" s="4">
        <v>44686</v>
      </c>
      <c r="B568" s="5">
        <v>1.29</v>
      </c>
    </row>
    <row r="569" spans="1:2" x14ac:dyDescent="0.3">
      <c r="A569" s="4">
        <v>44687</v>
      </c>
      <c r="B569" s="5">
        <v>1.22</v>
      </c>
    </row>
    <row r="570" spans="1:2" x14ac:dyDescent="0.3">
      <c r="A570" s="4">
        <v>44690</v>
      </c>
      <c r="B570" s="5">
        <v>1.3</v>
      </c>
    </row>
    <row r="571" spans="1:2" x14ac:dyDescent="0.3">
      <c r="A571" s="4">
        <v>44691</v>
      </c>
      <c r="B571" s="5">
        <v>1.31</v>
      </c>
    </row>
    <row r="572" spans="1:2" x14ac:dyDescent="0.3">
      <c r="A572" s="4">
        <v>44692</v>
      </c>
      <c r="B572" s="5">
        <v>1.32</v>
      </c>
    </row>
    <row r="573" spans="1:2" x14ac:dyDescent="0.3">
      <c r="A573" s="4">
        <v>44693</v>
      </c>
      <c r="B573" s="5">
        <v>1.2</v>
      </c>
    </row>
    <row r="574" spans="1:2" x14ac:dyDescent="0.3">
      <c r="A574" s="4">
        <v>44694</v>
      </c>
      <c r="B574" s="5">
        <v>1.1499999999999999</v>
      </c>
    </row>
    <row r="575" spans="1:2" x14ac:dyDescent="0.3">
      <c r="A575" s="4">
        <v>44697</v>
      </c>
      <c r="B575" s="5">
        <v>1.31</v>
      </c>
    </row>
    <row r="576" spans="1:2" x14ac:dyDescent="0.3">
      <c r="A576" s="4">
        <v>44698</v>
      </c>
      <c r="B576" s="5">
        <v>1.32</v>
      </c>
    </row>
    <row r="577" spans="1:2" x14ac:dyDescent="0.3">
      <c r="A577" s="4">
        <v>44699</v>
      </c>
      <c r="B577" s="5">
        <v>1.34</v>
      </c>
    </row>
    <row r="578" spans="1:2" x14ac:dyDescent="0.3">
      <c r="A578" s="4">
        <v>44700</v>
      </c>
      <c r="B578" s="5">
        <v>1.2</v>
      </c>
    </row>
    <row r="579" spans="1:2" x14ac:dyDescent="0.3">
      <c r="A579" s="4">
        <v>44701</v>
      </c>
      <c r="B579" s="5">
        <v>1.5</v>
      </c>
    </row>
    <row r="580" spans="1:2" x14ac:dyDescent="0.3">
      <c r="A580" s="4">
        <v>44704</v>
      </c>
      <c r="B580" s="5">
        <v>1.33</v>
      </c>
    </row>
    <row r="581" spans="1:2" x14ac:dyDescent="0.3">
      <c r="A581" s="4">
        <v>44705</v>
      </c>
      <c r="B581" s="5">
        <v>1.35</v>
      </c>
    </row>
    <row r="582" spans="1:2" x14ac:dyDescent="0.3">
      <c r="A582" s="4">
        <v>44706</v>
      </c>
      <c r="B582" s="5">
        <v>1.3</v>
      </c>
    </row>
    <row r="583" spans="1:2" x14ac:dyDescent="0.3">
      <c r="A583" s="4">
        <v>44707</v>
      </c>
      <c r="B583" s="5">
        <v>1.1499999999999999</v>
      </c>
    </row>
    <row r="584" spans="1:2" x14ac:dyDescent="0.3">
      <c r="A584" s="4">
        <v>44708</v>
      </c>
      <c r="B584" s="5">
        <v>1.37</v>
      </c>
    </row>
    <row r="585" spans="1:2" x14ac:dyDescent="0.3">
      <c r="A585" s="4">
        <v>44711</v>
      </c>
      <c r="B585" s="5">
        <v>1.35</v>
      </c>
    </row>
    <row r="586" spans="1:2" x14ac:dyDescent="0.3">
      <c r="A586" s="4">
        <v>44712</v>
      </c>
      <c r="B586" s="5">
        <v>1.0900000000000001</v>
      </c>
    </row>
    <row r="587" spans="1:2" x14ac:dyDescent="0.3">
      <c r="A587" s="4">
        <v>44713</v>
      </c>
      <c r="B587" s="5">
        <v>1.4</v>
      </c>
    </row>
    <row r="588" spans="1:2" x14ac:dyDescent="0.3">
      <c r="A588" s="4">
        <v>44714</v>
      </c>
      <c r="B588" s="5">
        <v>1.55</v>
      </c>
    </row>
    <row r="589" spans="1:2" x14ac:dyDescent="0.3">
      <c r="A589" s="4">
        <v>44718</v>
      </c>
      <c r="B589" s="5">
        <v>1.45</v>
      </c>
    </row>
    <row r="590" spans="1:2" x14ac:dyDescent="0.3">
      <c r="A590" s="4">
        <v>44719</v>
      </c>
      <c r="B590" s="5">
        <v>1.1000000000000001</v>
      </c>
    </row>
    <row r="591" spans="1:2" x14ac:dyDescent="0.3">
      <c r="A591" s="4">
        <v>44720</v>
      </c>
      <c r="B591" s="5">
        <v>1.35</v>
      </c>
    </row>
    <row r="592" spans="1:2" x14ac:dyDescent="0.3">
      <c r="A592" s="4">
        <v>44721</v>
      </c>
      <c r="B592" s="5">
        <v>1.3</v>
      </c>
    </row>
    <row r="593" spans="1:2" x14ac:dyDescent="0.3">
      <c r="A593" s="4">
        <v>44722</v>
      </c>
      <c r="B593" s="5">
        <v>1.45</v>
      </c>
    </row>
    <row r="594" spans="1:2" x14ac:dyDescent="0.3">
      <c r="A594" s="4">
        <v>44725</v>
      </c>
      <c r="B594" s="5">
        <v>1.1000000000000001</v>
      </c>
    </row>
    <row r="595" spans="1:2" x14ac:dyDescent="0.3">
      <c r="A595" s="4">
        <v>44726</v>
      </c>
      <c r="B595" s="5">
        <v>1.32</v>
      </c>
    </row>
    <row r="596" spans="1:2" x14ac:dyDescent="0.3">
      <c r="A596" s="4">
        <v>44727</v>
      </c>
      <c r="B596" s="5">
        <v>1.42</v>
      </c>
    </row>
    <row r="597" spans="1:2" x14ac:dyDescent="0.3">
      <c r="A597" s="4">
        <v>44728</v>
      </c>
      <c r="B597" s="5">
        <v>1.41</v>
      </c>
    </row>
    <row r="598" spans="1:2" x14ac:dyDescent="0.3">
      <c r="A598" s="4">
        <v>44729</v>
      </c>
      <c r="B598" s="5">
        <v>1.3</v>
      </c>
    </row>
    <row r="599" spans="1:2" x14ac:dyDescent="0.3">
      <c r="A599" s="4">
        <v>44732</v>
      </c>
      <c r="B599" s="5">
        <v>1.6</v>
      </c>
    </row>
    <row r="600" spans="1:2" x14ac:dyDescent="0.3">
      <c r="A600" s="4">
        <v>44733</v>
      </c>
      <c r="B600" s="5">
        <v>1.35</v>
      </c>
    </row>
    <row r="601" spans="1:2" x14ac:dyDescent="0.3">
      <c r="A601" s="4">
        <v>44734</v>
      </c>
      <c r="B601" s="5">
        <v>1.39</v>
      </c>
    </row>
    <row r="602" spans="1:2" x14ac:dyDescent="0.3">
      <c r="A602" s="4">
        <v>44735</v>
      </c>
      <c r="B602" s="5">
        <v>1.43</v>
      </c>
    </row>
    <row r="603" spans="1:2" x14ac:dyDescent="0.3">
      <c r="A603" s="4">
        <v>44736</v>
      </c>
      <c r="B603" s="5">
        <v>1.35</v>
      </c>
    </row>
    <row r="604" spans="1:2" x14ac:dyDescent="0.3">
      <c r="A604" s="4">
        <v>44739</v>
      </c>
      <c r="B604" s="5">
        <v>1.43</v>
      </c>
    </row>
    <row r="605" spans="1:2" x14ac:dyDescent="0.3">
      <c r="A605" s="4">
        <v>44740</v>
      </c>
      <c r="B605" s="5">
        <v>1.3</v>
      </c>
    </row>
    <row r="606" spans="1:2" x14ac:dyDescent="0.3">
      <c r="A606" s="4">
        <v>44741</v>
      </c>
      <c r="B606" s="5">
        <v>1.1000000000000001</v>
      </c>
    </row>
    <row r="607" spans="1:2" x14ac:dyDescent="0.3">
      <c r="A607" s="4">
        <v>44742</v>
      </c>
      <c r="B607" s="5">
        <v>1.95</v>
      </c>
    </row>
    <row r="608" spans="1:2" x14ac:dyDescent="0.3">
      <c r="A608" s="4">
        <v>44743</v>
      </c>
      <c r="B608" s="5">
        <v>0.95</v>
      </c>
    </row>
    <row r="609" spans="1:2" x14ac:dyDescent="0.3">
      <c r="A609" s="4">
        <v>44746</v>
      </c>
      <c r="B609" s="5">
        <v>1.2</v>
      </c>
    </row>
    <row r="610" spans="1:2" x14ac:dyDescent="0.3">
      <c r="A610" s="4">
        <v>44747</v>
      </c>
      <c r="B610" s="5">
        <v>1.2</v>
      </c>
    </row>
    <row r="611" spans="1:2" x14ac:dyDescent="0.3">
      <c r="A611" s="4">
        <v>44748</v>
      </c>
      <c r="B611" s="5">
        <v>1.22</v>
      </c>
    </row>
    <row r="612" spans="1:2" x14ac:dyDescent="0.3">
      <c r="A612" s="4">
        <v>44749</v>
      </c>
      <c r="B612" s="5">
        <v>1.35</v>
      </c>
    </row>
    <row r="613" spans="1:2" x14ac:dyDescent="0.3">
      <c r="A613" s="4">
        <v>44750</v>
      </c>
      <c r="B613" s="5">
        <v>1.5</v>
      </c>
    </row>
    <row r="614" spans="1:2" x14ac:dyDescent="0.3">
      <c r="A614" s="4">
        <v>44753</v>
      </c>
      <c r="B614" s="5">
        <v>1.25</v>
      </c>
    </row>
    <row r="615" spans="1:2" x14ac:dyDescent="0.3">
      <c r="A615" s="4">
        <v>44754</v>
      </c>
      <c r="B615" s="5">
        <v>1</v>
      </c>
    </row>
    <row r="616" spans="1:2" x14ac:dyDescent="0.3">
      <c r="A616" s="4">
        <v>44755</v>
      </c>
      <c r="B616" s="5">
        <v>1.55</v>
      </c>
    </row>
    <row r="617" spans="1:2" x14ac:dyDescent="0.3">
      <c r="A617" s="4">
        <v>44756</v>
      </c>
      <c r="B617" s="5">
        <v>1.21</v>
      </c>
    </row>
    <row r="618" spans="1:2" x14ac:dyDescent="0.3">
      <c r="A618" s="4">
        <v>44757</v>
      </c>
      <c r="B618" s="5">
        <v>1.25</v>
      </c>
    </row>
    <row r="619" spans="1:2" x14ac:dyDescent="0.3">
      <c r="A619" s="4">
        <v>44760</v>
      </c>
      <c r="B619" s="5">
        <v>1.22</v>
      </c>
    </row>
    <row r="620" spans="1:2" x14ac:dyDescent="0.3">
      <c r="A620" s="4">
        <v>44761</v>
      </c>
      <c r="B620" s="5">
        <v>1.2</v>
      </c>
    </row>
    <row r="621" spans="1:2" x14ac:dyDescent="0.3">
      <c r="A621" s="4">
        <v>44762</v>
      </c>
      <c r="B621" s="5">
        <v>1.28</v>
      </c>
    </row>
    <row r="622" spans="1:2" x14ac:dyDescent="0.3">
      <c r="A622" s="4">
        <v>44763</v>
      </c>
      <c r="B622" s="5">
        <v>1.01</v>
      </c>
    </row>
    <row r="623" spans="1:2" x14ac:dyDescent="0.3">
      <c r="A623" s="4">
        <v>44764</v>
      </c>
      <c r="B623" s="5">
        <v>1.1000000000000001</v>
      </c>
    </row>
    <row r="624" spans="1:2" x14ac:dyDescent="0.3">
      <c r="A624" s="4">
        <v>44767</v>
      </c>
      <c r="B624" s="5">
        <v>1.05</v>
      </c>
    </row>
    <row r="625" spans="1:2" x14ac:dyDescent="0.3">
      <c r="A625" s="4">
        <v>44768</v>
      </c>
      <c r="B625" s="5">
        <v>0.98</v>
      </c>
    </row>
    <row r="626" spans="1:2" x14ac:dyDescent="0.3">
      <c r="A626" s="4">
        <v>44769</v>
      </c>
      <c r="B626" s="5">
        <v>0.91</v>
      </c>
    </row>
    <row r="627" spans="1:2" x14ac:dyDescent="0.3">
      <c r="A627" s="4">
        <v>44770</v>
      </c>
      <c r="B627" s="5">
        <v>1.1000000000000001</v>
      </c>
    </row>
    <row r="628" spans="1:2" x14ac:dyDescent="0.3">
      <c r="A628" s="4">
        <v>44771</v>
      </c>
      <c r="B628" s="5">
        <v>1.6</v>
      </c>
    </row>
    <row r="629" spans="1:2" x14ac:dyDescent="0.3">
      <c r="A629" s="4">
        <v>44774</v>
      </c>
      <c r="B629" s="5">
        <v>1.1499999999999999</v>
      </c>
    </row>
    <row r="630" spans="1:2" x14ac:dyDescent="0.3">
      <c r="A630" s="4">
        <v>44775</v>
      </c>
      <c r="B630" s="5">
        <v>1.2</v>
      </c>
    </row>
    <row r="631" spans="1:2" x14ac:dyDescent="0.3">
      <c r="A631" s="4">
        <v>44776</v>
      </c>
      <c r="B631" s="5">
        <v>1.02</v>
      </c>
    </row>
    <row r="632" spans="1:2" x14ac:dyDescent="0.3">
      <c r="A632" s="4">
        <v>44777</v>
      </c>
      <c r="B632" s="5">
        <v>0.92</v>
      </c>
    </row>
    <row r="633" spans="1:2" x14ac:dyDescent="0.3">
      <c r="A633" s="4">
        <v>44778</v>
      </c>
      <c r="B633" s="5">
        <v>1.05</v>
      </c>
    </row>
    <row r="634" spans="1:2" x14ac:dyDescent="0.3">
      <c r="A634" s="4">
        <v>44781</v>
      </c>
      <c r="B634" s="5">
        <v>0.95</v>
      </c>
    </row>
    <row r="635" spans="1:2" x14ac:dyDescent="0.3">
      <c r="A635" s="4">
        <v>44782</v>
      </c>
      <c r="B635" s="5">
        <v>0.89</v>
      </c>
    </row>
    <row r="636" spans="1:2" x14ac:dyDescent="0.3">
      <c r="A636" s="4">
        <v>44783</v>
      </c>
      <c r="B636" s="5">
        <v>1.07</v>
      </c>
    </row>
    <row r="637" spans="1:2" x14ac:dyDescent="0.3">
      <c r="A637" s="4">
        <v>44784</v>
      </c>
      <c r="B637" s="5">
        <v>1.05</v>
      </c>
    </row>
    <row r="638" spans="1:2" x14ac:dyDescent="0.3">
      <c r="A638" s="4">
        <v>44785</v>
      </c>
      <c r="B638" s="5">
        <v>1.05</v>
      </c>
    </row>
    <row r="639" spans="1:2" x14ac:dyDescent="0.3">
      <c r="A639" s="4">
        <v>44788</v>
      </c>
      <c r="B639" s="5">
        <v>1.03</v>
      </c>
    </row>
    <row r="640" spans="1:2" x14ac:dyDescent="0.3">
      <c r="A640" s="4">
        <v>44789</v>
      </c>
      <c r="B640" s="5">
        <v>1.05</v>
      </c>
    </row>
    <row r="641" spans="1:2" x14ac:dyDescent="0.3">
      <c r="A641" s="4">
        <v>44790</v>
      </c>
      <c r="B641" s="5">
        <v>1.3</v>
      </c>
    </row>
    <row r="642" spans="1:2" x14ac:dyDescent="0.3">
      <c r="A642" s="4">
        <v>44791</v>
      </c>
      <c r="B642" s="5">
        <v>1.1000000000000001</v>
      </c>
    </row>
    <row r="643" spans="1:2" x14ac:dyDescent="0.3">
      <c r="A643" s="4">
        <v>44792</v>
      </c>
      <c r="B643" s="5">
        <v>0.95</v>
      </c>
    </row>
    <row r="644" spans="1:2" x14ac:dyDescent="0.3">
      <c r="A644" s="4">
        <v>44795</v>
      </c>
      <c r="B644" s="5">
        <v>1.18</v>
      </c>
    </row>
    <row r="645" spans="1:2" x14ac:dyDescent="0.3">
      <c r="A645" s="4">
        <v>44796</v>
      </c>
      <c r="B645" s="5">
        <v>1.4</v>
      </c>
    </row>
    <row r="646" spans="1:2" x14ac:dyDescent="0.3">
      <c r="A646" s="4">
        <v>44797</v>
      </c>
      <c r="B646" s="5">
        <v>1.3</v>
      </c>
    </row>
    <row r="647" spans="1:2" x14ac:dyDescent="0.3">
      <c r="A647" s="4">
        <v>44798</v>
      </c>
      <c r="B647" s="5">
        <v>1.2</v>
      </c>
    </row>
    <row r="648" spans="1:2" x14ac:dyDescent="0.3">
      <c r="A648" s="4">
        <v>44799</v>
      </c>
      <c r="B648" s="5">
        <v>1.25</v>
      </c>
    </row>
    <row r="649" spans="1:2" x14ac:dyDescent="0.3">
      <c r="A649" s="4">
        <v>44802</v>
      </c>
      <c r="B649" s="5">
        <v>0.8</v>
      </c>
    </row>
    <row r="650" spans="1:2" x14ac:dyDescent="0.3">
      <c r="A650" s="4">
        <v>44803</v>
      </c>
      <c r="B650" s="5">
        <v>0.9</v>
      </c>
    </row>
    <row r="651" spans="1:2" x14ac:dyDescent="0.3">
      <c r="A651" s="4">
        <v>44804</v>
      </c>
      <c r="B651" s="5">
        <v>1.46</v>
      </c>
    </row>
    <row r="652" spans="1:2" x14ac:dyDescent="0.3">
      <c r="A652" s="4">
        <v>44805</v>
      </c>
      <c r="B652" s="5">
        <v>1.28</v>
      </c>
    </row>
    <row r="653" spans="1:2" x14ac:dyDescent="0.3">
      <c r="A653" s="4">
        <v>44806</v>
      </c>
      <c r="B653" s="5">
        <v>0.95</v>
      </c>
    </row>
    <row r="654" spans="1:2" x14ac:dyDescent="0.3">
      <c r="A654" s="4">
        <v>44809</v>
      </c>
      <c r="B654" s="5">
        <v>1.03</v>
      </c>
    </row>
    <row r="655" spans="1:2" x14ac:dyDescent="0.3">
      <c r="A655" s="4">
        <v>44810</v>
      </c>
      <c r="B655" s="5">
        <v>1.1000000000000001</v>
      </c>
    </row>
    <row r="656" spans="1:2" x14ac:dyDescent="0.3">
      <c r="A656" s="4">
        <v>44811</v>
      </c>
      <c r="B656" s="5">
        <v>1.1100000000000001</v>
      </c>
    </row>
    <row r="657" spans="1:2" x14ac:dyDescent="0.3">
      <c r="A657" s="4">
        <v>44812</v>
      </c>
      <c r="B657" s="5">
        <v>1.1000000000000001</v>
      </c>
    </row>
    <row r="658" spans="1:2" x14ac:dyDescent="0.3">
      <c r="A658" s="4">
        <v>44813</v>
      </c>
      <c r="B658" s="5">
        <v>1.1299999999999999</v>
      </c>
    </row>
    <row r="659" spans="1:2" x14ac:dyDescent="0.3">
      <c r="A659" s="4">
        <v>44817</v>
      </c>
      <c r="B659" s="5">
        <v>1.1599999999999999</v>
      </c>
    </row>
    <row r="660" spans="1:2" x14ac:dyDescent="0.3">
      <c r="A660" s="4">
        <v>44818</v>
      </c>
      <c r="B660" s="5">
        <v>0.97</v>
      </c>
    </row>
    <row r="661" spans="1:2" x14ac:dyDescent="0.3">
      <c r="A661" s="4">
        <v>44819</v>
      </c>
      <c r="B661" s="5">
        <v>1.2</v>
      </c>
    </row>
    <row r="662" spans="1:2" x14ac:dyDescent="0.3">
      <c r="A662" s="4">
        <v>44820</v>
      </c>
      <c r="B662" s="5">
        <v>1</v>
      </c>
    </row>
    <row r="663" spans="1:2" x14ac:dyDescent="0.3">
      <c r="A663" s="4">
        <v>44823</v>
      </c>
      <c r="B663" s="5">
        <v>1.04</v>
      </c>
    </row>
    <row r="664" spans="1:2" x14ac:dyDescent="0.3">
      <c r="A664" s="4">
        <v>44824</v>
      </c>
      <c r="B664" s="5">
        <v>1</v>
      </c>
    </row>
    <row r="665" spans="1:2" x14ac:dyDescent="0.3">
      <c r="A665" s="4">
        <v>44825</v>
      </c>
      <c r="B665" s="5">
        <v>1.45</v>
      </c>
    </row>
    <row r="666" spans="1:2" x14ac:dyDescent="0.3">
      <c r="A666" s="4">
        <v>44826</v>
      </c>
      <c r="B666" s="5">
        <v>1.46</v>
      </c>
    </row>
    <row r="667" spans="1:2" x14ac:dyDescent="0.3">
      <c r="A667" s="4">
        <v>44827</v>
      </c>
      <c r="B667" s="5">
        <v>1.46</v>
      </c>
    </row>
    <row r="668" spans="1:2" x14ac:dyDescent="0.3">
      <c r="A668" s="4">
        <v>44830</v>
      </c>
      <c r="B668" s="5">
        <v>1.42</v>
      </c>
    </row>
    <row r="669" spans="1:2" x14ac:dyDescent="0.3">
      <c r="A669" s="4">
        <v>44831</v>
      </c>
      <c r="B669" s="5">
        <v>1.22</v>
      </c>
    </row>
    <row r="670" spans="1:2" x14ac:dyDescent="0.3">
      <c r="A670" s="4">
        <v>44832</v>
      </c>
      <c r="B670" s="5">
        <v>1.26</v>
      </c>
    </row>
    <row r="671" spans="1:2" x14ac:dyDescent="0.3">
      <c r="A671" s="4">
        <v>44833</v>
      </c>
      <c r="B671" s="5">
        <v>1.1000000000000001</v>
      </c>
    </row>
    <row r="672" spans="1:2" x14ac:dyDescent="0.3">
      <c r="A672" s="4">
        <v>44834</v>
      </c>
      <c r="B672" s="5">
        <v>2.02</v>
      </c>
    </row>
    <row r="673" spans="1:2" x14ac:dyDescent="0.3">
      <c r="A673" s="4">
        <v>44844</v>
      </c>
      <c r="B673" s="5">
        <v>1</v>
      </c>
    </row>
    <row r="674" spans="1:2" x14ac:dyDescent="0.3">
      <c r="A674" s="4">
        <v>44845</v>
      </c>
      <c r="B674" s="5">
        <v>0.7</v>
      </c>
    </row>
    <row r="675" spans="1:2" x14ac:dyDescent="0.3">
      <c r="A675" s="4">
        <v>44846</v>
      </c>
      <c r="B675" s="5">
        <v>1</v>
      </c>
    </row>
    <row r="676" spans="1:2" x14ac:dyDescent="0.3">
      <c r="A676" s="4">
        <v>44847</v>
      </c>
      <c r="B676" s="5">
        <v>1</v>
      </c>
    </row>
    <row r="677" spans="1:2" x14ac:dyDescent="0.3">
      <c r="A677" s="4">
        <v>44848</v>
      </c>
      <c r="B677" s="5">
        <v>1.1315</v>
      </c>
    </row>
    <row r="678" spans="1:2" x14ac:dyDescent="0.3">
      <c r="A678" s="4">
        <v>44851</v>
      </c>
      <c r="B678" s="5">
        <v>1.1499999999999999</v>
      </c>
    </row>
    <row r="679" spans="1:2" x14ac:dyDescent="0.3">
      <c r="A679" s="4">
        <v>44852</v>
      </c>
      <c r="B679" s="5">
        <v>1.1200000000000001</v>
      </c>
    </row>
    <row r="680" spans="1:2" x14ac:dyDescent="0.3">
      <c r="A680" s="4">
        <v>44853</v>
      </c>
      <c r="B680" s="5">
        <v>1.1000000000000001</v>
      </c>
    </row>
    <row r="681" spans="1:2" x14ac:dyDescent="0.3">
      <c r="A681" s="4">
        <v>44854</v>
      </c>
      <c r="B681" s="5">
        <v>1.25</v>
      </c>
    </row>
    <row r="682" spans="1:2" x14ac:dyDescent="0.3">
      <c r="A682" s="4">
        <v>44855</v>
      </c>
      <c r="B682" s="5">
        <v>1.1200000000000001</v>
      </c>
    </row>
    <row r="683" spans="1:2" x14ac:dyDescent="0.3">
      <c r="A683" s="4">
        <v>44858</v>
      </c>
      <c r="B683" s="5">
        <v>1.42</v>
      </c>
    </row>
    <row r="684" spans="1:2" x14ac:dyDescent="0.3">
      <c r="A684" s="4">
        <v>44859</v>
      </c>
      <c r="B684" s="5">
        <v>1.36</v>
      </c>
    </row>
    <row r="685" spans="1:2" x14ac:dyDescent="0.3">
      <c r="A685" s="4">
        <v>44860</v>
      </c>
      <c r="B685" s="5">
        <v>1.6</v>
      </c>
    </row>
    <row r="686" spans="1:2" x14ac:dyDescent="0.3">
      <c r="A686" s="4">
        <v>44861</v>
      </c>
      <c r="B686" s="5">
        <v>1.73</v>
      </c>
    </row>
    <row r="687" spans="1:2" x14ac:dyDescent="0.3">
      <c r="A687" s="4">
        <v>44862</v>
      </c>
      <c r="B687" s="5">
        <v>1.4</v>
      </c>
    </row>
    <row r="688" spans="1:2" x14ac:dyDescent="0.3">
      <c r="A688" s="4">
        <v>44865</v>
      </c>
      <c r="B688" s="5">
        <v>1.76</v>
      </c>
    </row>
    <row r="689" spans="1:2" x14ac:dyDescent="0.3">
      <c r="A689" s="4">
        <v>44866</v>
      </c>
      <c r="B689" s="5">
        <v>1.35</v>
      </c>
    </row>
    <row r="690" spans="1:2" x14ac:dyDescent="0.3">
      <c r="A690" s="4">
        <v>44867</v>
      </c>
      <c r="B690" s="5">
        <v>1.4</v>
      </c>
    </row>
    <row r="691" spans="1:2" x14ac:dyDescent="0.3">
      <c r="A691" s="4">
        <v>44868</v>
      </c>
      <c r="B691" s="5">
        <v>1.35</v>
      </c>
    </row>
    <row r="692" spans="1:2" x14ac:dyDescent="0.3">
      <c r="A692" s="4">
        <v>44869</v>
      </c>
      <c r="B692" s="5">
        <v>1.35</v>
      </c>
    </row>
    <row r="693" spans="1:2" x14ac:dyDescent="0.3">
      <c r="A693" s="4">
        <v>44872</v>
      </c>
      <c r="B693" s="5">
        <v>1.45</v>
      </c>
    </row>
    <row r="694" spans="1:2" x14ac:dyDescent="0.3">
      <c r="A694" s="4">
        <v>44873</v>
      </c>
      <c r="B694" s="5">
        <v>1.75</v>
      </c>
    </row>
    <row r="695" spans="1:2" x14ac:dyDescent="0.3">
      <c r="A695" s="4">
        <v>44874</v>
      </c>
      <c r="B695" s="5">
        <v>1.5</v>
      </c>
    </row>
    <row r="696" spans="1:2" x14ac:dyDescent="0.3">
      <c r="A696" s="4">
        <v>44875</v>
      </c>
      <c r="B696" s="5">
        <v>1.85</v>
      </c>
    </row>
    <row r="697" spans="1:2" x14ac:dyDescent="0.3">
      <c r="A697" s="4">
        <v>44876</v>
      </c>
      <c r="B697" s="5">
        <v>1.7</v>
      </c>
    </row>
    <row r="698" spans="1:2" x14ac:dyDescent="0.3">
      <c r="A698" s="4">
        <v>44879</v>
      </c>
      <c r="B698" s="5">
        <v>1.65</v>
      </c>
    </row>
    <row r="699" spans="1:2" x14ac:dyDescent="0.3">
      <c r="A699" s="4">
        <v>44880</v>
      </c>
      <c r="B699" s="5">
        <v>2</v>
      </c>
    </row>
    <row r="700" spans="1:2" x14ac:dyDescent="0.3">
      <c r="A700" s="4">
        <v>44881</v>
      </c>
      <c r="B700" s="5">
        <v>1.81</v>
      </c>
    </row>
    <row r="701" spans="1:2" x14ac:dyDescent="0.3">
      <c r="A701" s="4">
        <v>44882</v>
      </c>
      <c r="B701" s="5">
        <v>1.66</v>
      </c>
    </row>
    <row r="702" spans="1:2" x14ac:dyDescent="0.3">
      <c r="A702" s="4">
        <v>44883</v>
      </c>
      <c r="B702" s="5">
        <v>1.32</v>
      </c>
    </row>
    <row r="703" spans="1:2" x14ac:dyDescent="0.3">
      <c r="A703" s="4">
        <v>44886</v>
      </c>
      <c r="B703" s="5">
        <v>1.3</v>
      </c>
    </row>
    <row r="704" spans="1:2" x14ac:dyDescent="0.3">
      <c r="A704" s="4">
        <v>44887</v>
      </c>
      <c r="B704" s="5">
        <v>0.7</v>
      </c>
    </row>
    <row r="705" spans="1:2" x14ac:dyDescent="0.3">
      <c r="A705" s="4">
        <v>44888</v>
      </c>
      <c r="B705" s="5">
        <v>1.04</v>
      </c>
    </row>
    <row r="706" spans="1:2" x14ac:dyDescent="0.3">
      <c r="A706" s="4">
        <v>44889</v>
      </c>
      <c r="B706" s="5">
        <v>1.04</v>
      </c>
    </row>
    <row r="707" spans="1:2" x14ac:dyDescent="0.3">
      <c r="A707" s="4">
        <v>44890</v>
      </c>
      <c r="B707" s="5">
        <v>1.04</v>
      </c>
    </row>
    <row r="708" spans="1:2" x14ac:dyDescent="0.3">
      <c r="A708" s="4">
        <v>44893</v>
      </c>
      <c r="B708" s="5">
        <v>1.03</v>
      </c>
    </row>
    <row r="709" spans="1:2" x14ac:dyDescent="0.3">
      <c r="A709" s="4">
        <v>44894</v>
      </c>
      <c r="B709" s="5">
        <v>0.85</v>
      </c>
    </row>
    <row r="710" spans="1:2" x14ac:dyDescent="0.3">
      <c r="A710" s="4">
        <v>44895</v>
      </c>
      <c r="B710" s="5">
        <v>1.57</v>
      </c>
    </row>
    <row r="711" spans="1:2" x14ac:dyDescent="0.3">
      <c r="A711" s="4">
        <v>44896</v>
      </c>
      <c r="B711" s="5">
        <v>1.02</v>
      </c>
    </row>
    <row r="712" spans="1:2" x14ac:dyDescent="0.3">
      <c r="A712" s="4">
        <v>44897</v>
      </c>
      <c r="B712" s="5">
        <v>1.06</v>
      </c>
    </row>
    <row r="713" spans="1:2" x14ac:dyDescent="0.3">
      <c r="A713" s="4">
        <v>44900</v>
      </c>
      <c r="B713" s="5">
        <v>1.08</v>
      </c>
    </row>
    <row r="714" spans="1:2" x14ac:dyDescent="0.3">
      <c r="A714" s="4">
        <v>44901</v>
      </c>
      <c r="B714" s="5">
        <v>0.9</v>
      </c>
    </row>
    <row r="715" spans="1:2" x14ac:dyDescent="0.3">
      <c r="A715" s="4">
        <v>44902</v>
      </c>
      <c r="B715" s="5">
        <v>1.1499999999999999</v>
      </c>
    </row>
    <row r="716" spans="1:2" x14ac:dyDescent="0.3">
      <c r="A716" s="4">
        <v>44903</v>
      </c>
      <c r="B716" s="5">
        <v>0.99</v>
      </c>
    </row>
    <row r="717" spans="1:2" x14ac:dyDescent="0.3">
      <c r="A717" s="4">
        <v>44904</v>
      </c>
      <c r="B717" s="5">
        <v>1</v>
      </c>
    </row>
    <row r="718" spans="1:2" x14ac:dyDescent="0.3">
      <c r="A718" s="4">
        <v>44907</v>
      </c>
      <c r="B718" s="5">
        <v>0.95</v>
      </c>
    </row>
    <row r="719" spans="1:2" x14ac:dyDescent="0.3">
      <c r="A719" s="4">
        <v>44908</v>
      </c>
      <c r="B719" s="5">
        <v>1</v>
      </c>
    </row>
    <row r="720" spans="1:2" x14ac:dyDescent="0.3">
      <c r="A720" s="4">
        <v>44909</v>
      </c>
      <c r="B720" s="5">
        <v>1.2</v>
      </c>
    </row>
    <row r="721" spans="1:2" x14ac:dyDescent="0.3">
      <c r="A721" s="4">
        <v>44910</v>
      </c>
      <c r="B721" s="5">
        <v>1.2</v>
      </c>
    </row>
    <row r="722" spans="1:2" x14ac:dyDescent="0.3">
      <c r="A722" s="4">
        <v>44911</v>
      </c>
      <c r="B722" s="5">
        <v>0.95</v>
      </c>
    </row>
    <row r="723" spans="1:2" x14ac:dyDescent="0.3">
      <c r="A723" s="4">
        <v>44914</v>
      </c>
      <c r="B723" s="5">
        <v>1.2</v>
      </c>
    </row>
    <row r="724" spans="1:2" x14ac:dyDescent="0.3">
      <c r="A724" s="4">
        <v>44915</v>
      </c>
      <c r="B724" s="5">
        <v>1.2</v>
      </c>
    </row>
    <row r="725" spans="1:2" x14ac:dyDescent="0.3">
      <c r="A725" s="4">
        <v>44916</v>
      </c>
      <c r="B725" s="5">
        <v>0.6</v>
      </c>
    </row>
    <row r="726" spans="1:2" x14ac:dyDescent="0.3">
      <c r="A726" s="4">
        <v>44917</v>
      </c>
      <c r="B726" s="5">
        <v>0.45</v>
      </c>
    </row>
    <row r="727" spans="1:2" x14ac:dyDescent="0.3">
      <c r="A727" s="4">
        <v>44918</v>
      </c>
      <c r="B727" s="5">
        <v>0.38</v>
      </c>
    </row>
    <row r="728" spans="1:2" x14ac:dyDescent="0.3">
      <c r="A728" s="4">
        <v>44921</v>
      </c>
      <c r="B728" s="5">
        <v>0.4965</v>
      </c>
    </row>
    <row r="729" spans="1:2" x14ac:dyDescent="0.3">
      <c r="A729" s="4">
        <v>44922</v>
      </c>
      <c r="B729" s="5">
        <v>0.56000000000000005</v>
      </c>
    </row>
    <row r="730" spans="1:2" x14ac:dyDescent="0.3">
      <c r="A730" s="4">
        <v>44923</v>
      </c>
      <c r="B730" s="5">
        <v>0.35</v>
      </c>
    </row>
    <row r="731" spans="1:2" x14ac:dyDescent="0.3">
      <c r="A731" s="4">
        <v>44924</v>
      </c>
      <c r="B731" s="5">
        <v>0.38</v>
      </c>
    </row>
    <row r="732" spans="1:2" x14ac:dyDescent="0.3">
      <c r="A732" s="4">
        <v>44925</v>
      </c>
      <c r="B732" s="5">
        <v>2.2000000000000002</v>
      </c>
    </row>
    <row r="733" spans="1:2" x14ac:dyDescent="0.3">
      <c r="A733" s="4">
        <v>44929</v>
      </c>
      <c r="B733" s="5">
        <v>0.98</v>
      </c>
    </row>
    <row r="734" spans="1:2" x14ac:dyDescent="0.3">
      <c r="A734" s="4">
        <v>44930</v>
      </c>
      <c r="B734" s="5">
        <v>1.1000000000000001</v>
      </c>
    </row>
    <row r="735" spans="1:2" x14ac:dyDescent="0.3">
      <c r="A735" s="4">
        <v>44931</v>
      </c>
      <c r="B735" s="5">
        <v>0.55000000000000004</v>
      </c>
    </row>
    <row r="736" spans="1:2" x14ac:dyDescent="0.3">
      <c r="A736" s="4">
        <v>44932</v>
      </c>
      <c r="B736" s="5">
        <v>1</v>
      </c>
    </row>
    <row r="737" spans="1:2" x14ac:dyDescent="0.3">
      <c r="A737" s="4">
        <v>44935</v>
      </c>
      <c r="B737" s="5">
        <v>0.6</v>
      </c>
    </row>
    <row r="738" spans="1:2" x14ac:dyDescent="0.3">
      <c r="A738" s="4">
        <v>44936</v>
      </c>
      <c r="B738" s="5">
        <v>1.63</v>
      </c>
    </row>
    <row r="739" spans="1:2" x14ac:dyDescent="0.3">
      <c r="A739" s="4">
        <v>44937</v>
      </c>
      <c r="B739" s="5">
        <v>1.37</v>
      </c>
    </row>
    <row r="740" spans="1:2" x14ac:dyDescent="0.3">
      <c r="A740" s="4">
        <v>44938</v>
      </c>
      <c r="B740" s="5">
        <v>1.1000000000000001</v>
      </c>
    </row>
    <row r="741" spans="1:2" x14ac:dyDescent="0.3">
      <c r="A741" s="4">
        <v>44939</v>
      </c>
      <c r="B741" s="5">
        <v>2</v>
      </c>
    </row>
    <row r="742" spans="1:2" x14ac:dyDescent="0.3">
      <c r="A742" s="4">
        <v>44942</v>
      </c>
      <c r="B742" s="5">
        <v>1.65</v>
      </c>
    </row>
    <row r="743" spans="1:2" x14ac:dyDescent="0.3">
      <c r="A743" s="4">
        <v>44943</v>
      </c>
      <c r="B743" s="5">
        <v>1.48</v>
      </c>
    </row>
    <row r="744" spans="1:2" x14ac:dyDescent="0.3">
      <c r="A744" s="4">
        <v>44944</v>
      </c>
      <c r="B744" s="5">
        <v>1.44</v>
      </c>
    </row>
    <row r="745" spans="1:2" x14ac:dyDescent="0.3">
      <c r="A745" s="4">
        <v>44945</v>
      </c>
      <c r="B745" s="5">
        <v>1.6</v>
      </c>
    </row>
    <row r="746" spans="1:2" x14ac:dyDescent="0.3">
      <c r="A746" s="4">
        <v>44946</v>
      </c>
      <c r="B746" s="5">
        <v>1.69</v>
      </c>
    </row>
    <row r="747" spans="1:2" x14ac:dyDescent="0.3">
      <c r="A747" s="4">
        <v>44956</v>
      </c>
      <c r="B747" s="5">
        <v>1.43</v>
      </c>
    </row>
    <row r="748" spans="1:2" x14ac:dyDescent="0.3">
      <c r="A748" s="4">
        <v>44957</v>
      </c>
      <c r="B748" s="5">
        <v>2</v>
      </c>
    </row>
    <row r="749" spans="1:2" x14ac:dyDescent="0.3">
      <c r="A749" s="4">
        <v>44958</v>
      </c>
      <c r="B749" s="5">
        <v>1.55</v>
      </c>
    </row>
    <row r="750" spans="1:2" x14ac:dyDescent="0.3">
      <c r="A750" s="4">
        <v>44959</v>
      </c>
      <c r="B750" s="5">
        <v>1.35</v>
      </c>
    </row>
    <row r="751" spans="1:2" x14ac:dyDescent="0.3">
      <c r="A751" s="4">
        <v>44960</v>
      </c>
      <c r="B751" s="5">
        <v>1.5</v>
      </c>
    </row>
    <row r="752" spans="1:2" x14ac:dyDescent="0.3">
      <c r="A752" s="4">
        <v>44963</v>
      </c>
      <c r="B752" s="5">
        <v>1.85</v>
      </c>
    </row>
    <row r="753" spans="1:2" x14ac:dyDescent="0.3">
      <c r="A753" s="4">
        <v>44964</v>
      </c>
      <c r="B753" s="5">
        <v>2.5</v>
      </c>
    </row>
    <row r="754" spans="1:2" x14ac:dyDescent="0.3">
      <c r="A754" s="4">
        <v>44965</v>
      </c>
      <c r="B754" s="5">
        <v>2</v>
      </c>
    </row>
    <row r="755" spans="1:2" x14ac:dyDescent="0.3">
      <c r="A755" s="4">
        <v>44966</v>
      </c>
      <c r="B755" s="5">
        <v>1.82</v>
      </c>
    </row>
    <row r="756" spans="1:2" x14ac:dyDescent="0.3">
      <c r="A756" s="4">
        <v>44967</v>
      </c>
      <c r="B756" s="5">
        <v>1.55</v>
      </c>
    </row>
    <row r="757" spans="1:2" x14ac:dyDescent="0.3">
      <c r="A757" s="4">
        <v>44970</v>
      </c>
      <c r="B757" s="5">
        <v>1.35</v>
      </c>
    </row>
    <row r="758" spans="1:2" x14ac:dyDescent="0.3">
      <c r="A758" s="4">
        <v>44971</v>
      </c>
      <c r="B758" s="5">
        <v>1.4</v>
      </c>
    </row>
    <row r="759" spans="1:2" x14ac:dyDescent="0.3">
      <c r="A759" s="4">
        <v>44972</v>
      </c>
      <c r="B759" s="5">
        <v>1.94</v>
      </c>
    </row>
    <row r="760" spans="1:2" x14ac:dyDescent="0.3">
      <c r="A760" s="4">
        <v>44973</v>
      </c>
      <c r="B760" s="5">
        <v>2.2000000000000002</v>
      </c>
    </row>
    <row r="761" spans="1:2" x14ac:dyDescent="0.3">
      <c r="A761" s="4">
        <v>44974</v>
      </c>
      <c r="B761" s="5">
        <v>1.7</v>
      </c>
    </row>
    <row r="762" spans="1:2" x14ac:dyDescent="0.3">
      <c r="A762" s="4">
        <v>44977</v>
      </c>
      <c r="B762" s="5">
        <v>2</v>
      </c>
    </row>
    <row r="763" spans="1:2" x14ac:dyDescent="0.3">
      <c r="A763" s="4">
        <v>44978</v>
      </c>
      <c r="B763" s="5">
        <v>1.7</v>
      </c>
    </row>
    <row r="764" spans="1:2" x14ac:dyDescent="0.3">
      <c r="A764" s="4">
        <v>44979</v>
      </c>
      <c r="B764" s="5">
        <v>1.55</v>
      </c>
    </row>
    <row r="765" spans="1:2" x14ac:dyDescent="0.3">
      <c r="A765" s="4">
        <v>44980</v>
      </c>
      <c r="B765" s="5">
        <v>1.45</v>
      </c>
    </row>
    <row r="766" spans="1:2" x14ac:dyDescent="0.3">
      <c r="A766" s="4">
        <v>44981</v>
      </c>
      <c r="B766" s="5">
        <v>1.44</v>
      </c>
    </row>
    <row r="767" spans="1:2" x14ac:dyDescent="0.3">
      <c r="A767" s="4">
        <v>44984</v>
      </c>
      <c r="B767" s="5">
        <v>1.84</v>
      </c>
    </row>
    <row r="768" spans="1:2" x14ac:dyDescent="0.3">
      <c r="A768" s="4">
        <v>44985</v>
      </c>
      <c r="B768" s="5">
        <v>1.8</v>
      </c>
    </row>
    <row r="769" spans="1:2" x14ac:dyDescent="0.3">
      <c r="A769" s="4">
        <v>44986</v>
      </c>
      <c r="B769" s="5">
        <v>1.7</v>
      </c>
    </row>
    <row r="770" spans="1:2" x14ac:dyDescent="0.3">
      <c r="A770" s="4">
        <v>44987</v>
      </c>
      <c r="B770" s="5">
        <v>1.1499999999999999</v>
      </c>
    </row>
    <row r="771" spans="1:2" x14ac:dyDescent="0.3">
      <c r="A771" s="4">
        <v>44988</v>
      </c>
      <c r="B771" s="5">
        <v>1.3</v>
      </c>
    </row>
    <row r="772" spans="1:2" x14ac:dyDescent="0.3">
      <c r="A772" s="4">
        <v>44991</v>
      </c>
      <c r="B772" s="5">
        <v>1.25</v>
      </c>
    </row>
    <row r="773" spans="1:2" x14ac:dyDescent="0.3">
      <c r="A773" s="4">
        <v>44992</v>
      </c>
      <c r="B773" s="5">
        <v>1.28</v>
      </c>
    </row>
    <row r="774" spans="1:2" x14ac:dyDescent="0.3">
      <c r="A774" s="4">
        <v>44993</v>
      </c>
      <c r="B774" s="5">
        <v>1.39</v>
      </c>
    </row>
    <row r="775" spans="1:2" x14ac:dyDescent="0.3">
      <c r="A775" s="4">
        <v>44994</v>
      </c>
      <c r="B775" s="5">
        <v>1.5</v>
      </c>
    </row>
    <row r="776" spans="1:2" x14ac:dyDescent="0.3">
      <c r="A776" s="4">
        <v>44995</v>
      </c>
      <c r="B776" s="5">
        <v>1.9</v>
      </c>
    </row>
    <row r="777" spans="1:2" x14ac:dyDescent="0.3">
      <c r="A777" s="4">
        <v>44998</v>
      </c>
      <c r="B777" s="5">
        <v>1.8</v>
      </c>
    </row>
    <row r="778" spans="1:2" x14ac:dyDescent="0.3">
      <c r="A778" s="4">
        <v>44999</v>
      </c>
      <c r="B778" s="5">
        <v>1.7</v>
      </c>
    </row>
    <row r="779" spans="1:2" x14ac:dyDescent="0.3">
      <c r="A779" s="4">
        <v>45000</v>
      </c>
      <c r="B779" s="5">
        <v>2.1</v>
      </c>
    </row>
    <row r="780" spans="1:2" x14ac:dyDescent="0.3">
      <c r="A780" s="4">
        <v>45001</v>
      </c>
      <c r="B780" s="5">
        <v>1.8</v>
      </c>
    </row>
    <row r="781" spans="1:2" x14ac:dyDescent="0.3">
      <c r="A781" s="4">
        <v>45002</v>
      </c>
      <c r="B781" s="5">
        <v>2.2599999999999998</v>
      </c>
    </row>
    <row r="782" spans="1:2" x14ac:dyDescent="0.3">
      <c r="A782" s="4">
        <v>45005</v>
      </c>
      <c r="B782" s="5">
        <v>2</v>
      </c>
    </row>
    <row r="783" spans="1:2" x14ac:dyDescent="0.3">
      <c r="A783" s="4">
        <v>45006</v>
      </c>
      <c r="B783" s="5">
        <v>1.96</v>
      </c>
    </row>
    <row r="784" spans="1:2" x14ac:dyDescent="0.3">
      <c r="A784" s="4">
        <v>45007</v>
      </c>
      <c r="B784" s="5">
        <v>1.64</v>
      </c>
    </row>
    <row r="785" spans="1:2" x14ac:dyDescent="0.3">
      <c r="A785" s="4">
        <v>45008</v>
      </c>
      <c r="B785" s="5">
        <v>1.3</v>
      </c>
    </row>
    <row r="786" spans="1:2" x14ac:dyDescent="0.3">
      <c r="A786" s="4">
        <v>45009</v>
      </c>
      <c r="B786" s="5">
        <v>1.2</v>
      </c>
    </row>
    <row r="787" spans="1:2" x14ac:dyDescent="0.3">
      <c r="A787" s="4">
        <v>45012</v>
      </c>
      <c r="B787" s="5">
        <v>0.79</v>
      </c>
    </row>
    <row r="788" spans="1:2" x14ac:dyDescent="0.3">
      <c r="A788" s="4">
        <v>45013</v>
      </c>
      <c r="B788" s="5">
        <v>1.05</v>
      </c>
    </row>
    <row r="789" spans="1:2" x14ac:dyDescent="0.3">
      <c r="A789" s="4">
        <v>45014</v>
      </c>
      <c r="B789" s="5">
        <v>0.75</v>
      </c>
    </row>
    <row r="790" spans="1:2" x14ac:dyDescent="0.3">
      <c r="A790" s="4">
        <v>45015</v>
      </c>
      <c r="B790" s="5">
        <v>0.4</v>
      </c>
    </row>
    <row r="791" spans="1:2" x14ac:dyDescent="0.3">
      <c r="A791" s="4">
        <v>45016</v>
      </c>
      <c r="B791" s="5">
        <v>1.34</v>
      </c>
    </row>
    <row r="792" spans="1:2" x14ac:dyDescent="0.3">
      <c r="A792" s="4">
        <v>45019</v>
      </c>
      <c r="B792" s="5">
        <v>0.86</v>
      </c>
    </row>
    <row r="793" spans="1:2" x14ac:dyDescent="0.3">
      <c r="A793" s="4">
        <v>45020</v>
      </c>
      <c r="B793" s="5">
        <v>1.1499999999999999</v>
      </c>
    </row>
    <row r="794" spans="1:2" x14ac:dyDescent="0.3">
      <c r="A794" s="4">
        <v>45022</v>
      </c>
      <c r="B794" s="5">
        <v>1.36</v>
      </c>
    </row>
    <row r="795" spans="1:2" x14ac:dyDescent="0.3">
      <c r="A795" s="4">
        <v>45023</v>
      </c>
      <c r="B795" s="5">
        <v>1.32</v>
      </c>
    </row>
    <row r="796" spans="1:2" x14ac:dyDescent="0.3">
      <c r="A796" s="4">
        <v>45026</v>
      </c>
      <c r="B796" s="5">
        <v>1</v>
      </c>
    </row>
    <row r="797" spans="1:2" x14ac:dyDescent="0.3">
      <c r="A797" s="4">
        <v>45027</v>
      </c>
      <c r="B797" s="5">
        <v>1</v>
      </c>
    </row>
    <row r="798" spans="1:2" x14ac:dyDescent="0.3">
      <c r="A798" s="4">
        <v>45028</v>
      </c>
      <c r="B798" s="5">
        <v>1.1499999999999999</v>
      </c>
    </row>
    <row r="799" spans="1:2" x14ac:dyDescent="0.3">
      <c r="A799" s="4">
        <v>45029</v>
      </c>
      <c r="B799" s="5">
        <v>1.3</v>
      </c>
    </row>
    <row r="800" spans="1:2" x14ac:dyDescent="0.3">
      <c r="A800" s="4">
        <v>45030</v>
      </c>
      <c r="B800" s="5">
        <v>1.3</v>
      </c>
    </row>
    <row r="801" spans="1:2" x14ac:dyDescent="0.3">
      <c r="A801" s="4">
        <v>45033</v>
      </c>
      <c r="B801" s="5">
        <v>1.8</v>
      </c>
    </row>
    <row r="802" spans="1:2" x14ac:dyDescent="0.3">
      <c r="A802" s="4">
        <v>45034</v>
      </c>
      <c r="B802" s="5">
        <v>2.54</v>
      </c>
    </row>
    <row r="803" spans="1:2" x14ac:dyDescent="0.3">
      <c r="A803" s="4">
        <v>45035</v>
      </c>
      <c r="B803" s="5">
        <v>1.95</v>
      </c>
    </row>
    <row r="804" spans="1:2" x14ac:dyDescent="0.3">
      <c r="A804" s="4">
        <v>45036</v>
      </c>
      <c r="B804" s="5">
        <v>1.75</v>
      </c>
    </row>
    <row r="805" spans="1:2" x14ac:dyDescent="0.3">
      <c r="A805" s="4">
        <v>45037</v>
      </c>
      <c r="B805" s="5">
        <v>1.78</v>
      </c>
    </row>
    <row r="806" spans="1:2" x14ac:dyDescent="0.3">
      <c r="A806" s="4">
        <v>45040</v>
      </c>
      <c r="B806" s="5">
        <v>1.3</v>
      </c>
    </row>
    <row r="807" spans="1:2" x14ac:dyDescent="0.3">
      <c r="A807" s="4">
        <v>45041</v>
      </c>
      <c r="B807" s="5">
        <v>1.19</v>
      </c>
    </row>
    <row r="808" spans="1:2" x14ac:dyDescent="0.3">
      <c r="A808" s="4">
        <v>45042</v>
      </c>
      <c r="B808" s="5">
        <v>0.9</v>
      </c>
    </row>
    <row r="809" spans="1:2" x14ac:dyDescent="0.3">
      <c r="A809" s="4">
        <v>45043</v>
      </c>
      <c r="B809" s="5">
        <v>0.8</v>
      </c>
    </row>
    <row r="810" spans="1:2" x14ac:dyDescent="0.3">
      <c r="A810" s="4">
        <v>45044</v>
      </c>
      <c r="B810" s="5">
        <v>1.64</v>
      </c>
    </row>
    <row r="811" spans="1:2" x14ac:dyDescent="0.3">
      <c r="A811" s="4">
        <v>45050</v>
      </c>
      <c r="B811" s="5">
        <v>1.2</v>
      </c>
    </row>
    <row r="812" spans="1:2" x14ac:dyDescent="0.3">
      <c r="A812" s="4">
        <v>45051</v>
      </c>
      <c r="B812" s="5">
        <v>1.22</v>
      </c>
    </row>
    <row r="813" spans="1:2" x14ac:dyDescent="0.3">
      <c r="A813" s="4">
        <v>45054</v>
      </c>
      <c r="B813" s="5">
        <v>1.3</v>
      </c>
    </row>
    <row r="814" spans="1:2" x14ac:dyDescent="0.3">
      <c r="A814" s="4">
        <v>45055</v>
      </c>
      <c r="B814" s="5">
        <v>1.04</v>
      </c>
    </row>
    <row r="815" spans="1:2" x14ac:dyDescent="0.3">
      <c r="A815" s="4">
        <v>45056</v>
      </c>
      <c r="B815" s="5">
        <v>1.5</v>
      </c>
    </row>
    <row r="816" spans="1:2" x14ac:dyDescent="0.3">
      <c r="A816" s="4">
        <v>45057</v>
      </c>
      <c r="B816" s="5">
        <v>0.9</v>
      </c>
    </row>
    <row r="817" spans="1:2" x14ac:dyDescent="0.3">
      <c r="A817" s="4">
        <v>45058</v>
      </c>
      <c r="B817" s="5">
        <v>1.1499999999999999</v>
      </c>
    </row>
    <row r="818" spans="1:2" x14ac:dyDescent="0.3">
      <c r="A818" s="4">
        <v>45061</v>
      </c>
      <c r="B818" s="5">
        <v>1.18</v>
      </c>
    </row>
    <row r="819" spans="1:2" x14ac:dyDescent="0.3">
      <c r="A819" s="4">
        <v>45062</v>
      </c>
      <c r="B819" s="5">
        <v>1.1499999999999999</v>
      </c>
    </row>
    <row r="820" spans="1:2" x14ac:dyDescent="0.3">
      <c r="A820" s="4">
        <v>45063</v>
      </c>
      <c r="B820" s="5">
        <v>1.1000000000000001</v>
      </c>
    </row>
    <row r="821" spans="1:2" x14ac:dyDescent="0.3">
      <c r="A821" s="4">
        <v>45064</v>
      </c>
      <c r="B821" s="5">
        <v>1</v>
      </c>
    </row>
    <row r="822" spans="1:2" x14ac:dyDescent="0.3">
      <c r="A822" s="4">
        <v>45065</v>
      </c>
      <c r="B822" s="5">
        <v>1.2</v>
      </c>
    </row>
    <row r="823" spans="1:2" x14ac:dyDescent="0.3">
      <c r="A823" s="4">
        <v>45068</v>
      </c>
      <c r="B823" s="5">
        <v>1</v>
      </c>
    </row>
    <row r="824" spans="1:2" x14ac:dyDescent="0.3">
      <c r="A824" s="4">
        <v>45069</v>
      </c>
      <c r="B824" s="5">
        <v>1.1499999999999999</v>
      </c>
    </row>
    <row r="825" spans="1:2" x14ac:dyDescent="0.3">
      <c r="A825" s="4">
        <v>45070</v>
      </c>
      <c r="B825" s="5">
        <v>1.2</v>
      </c>
    </row>
    <row r="826" spans="1:2" x14ac:dyDescent="0.3">
      <c r="A826" s="4">
        <v>45071</v>
      </c>
      <c r="B826" s="5">
        <v>1.08</v>
      </c>
    </row>
    <row r="827" spans="1:2" x14ac:dyDescent="0.3">
      <c r="A827" s="4">
        <v>45072</v>
      </c>
      <c r="B827" s="5">
        <v>1.2</v>
      </c>
    </row>
    <row r="828" spans="1:2" x14ac:dyDescent="0.3">
      <c r="A828" s="4">
        <v>45075</v>
      </c>
      <c r="B828" s="5">
        <v>1.18</v>
      </c>
    </row>
    <row r="829" spans="1:2" x14ac:dyDescent="0.3">
      <c r="A829" s="4">
        <v>45076</v>
      </c>
      <c r="B829" s="5">
        <v>1.1000000000000001</v>
      </c>
    </row>
    <row r="830" spans="1:2" x14ac:dyDescent="0.3">
      <c r="A830" s="4">
        <v>45077</v>
      </c>
      <c r="B830" s="5">
        <v>1.65</v>
      </c>
    </row>
    <row r="831" spans="1:2" x14ac:dyDescent="0.3">
      <c r="A831" s="4">
        <v>45078</v>
      </c>
      <c r="B831" s="5">
        <v>1.6</v>
      </c>
    </row>
    <row r="832" spans="1:2" x14ac:dyDescent="0.3">
      <c r="A832" s="4">
        <v>45079</v>
      </c>
      <c r="B832" s="5">
        <v>1.2</v>
      </c>
    </row>
    <row r="833" spans="1:2" x14ac:dyDescent="0.3">
      <c r="A833" s="4">
        <v>45082</v>
      </c>
      <c r="B833" s="5">
        <v>1.1000000000000001</v>
      </c>
    </row>
    <row r="834" spans="1:2" x14ac:dyDescent="0.3">
      <c r="A834" s="4">
        <v>45083</v>
      </c>
      <c r="B834" s="5">
        <v>1.2</v>
      </c>
    </row>
    <row r="835" spans="1:2" x14ac:dyDescent="0.3">
      <c r="A835" s="4">
        <v>45084</v>
      </c>
      <c r="B835" s="5">
        <v>1.39</v>
      </c>
    </row>
    <row r="836" spans="1:2" x14ac:dyDescent="0.3">
      <c r="A836" s="4">
        <v>45085</v>
      </c>
      <c r="B836" s="5">
        <v>1.3</v>
      </c>
    </row>
    <row r="837" spans="1:2" x14ac:dyDescent="0.3">
      <c r="A837" s="4">
        <v>45086</v>
      </c>
      <c r="B837" s="5">
        <v>1.55</v>
      </c>
    </row>
    <row r="838" spans="1:2" x14ac:dyDescent="0.3">
      <c r="A838" s="4">
        <v>45089</v>
      </c>
      <c r="B838" s="5">
        <v>1.25</v>
      </c>
    </row>
    <row r="839" spans="1:2" x14ac:dyDescent="0.3">
      <c r="A839" s="4">
        <v>45090</v>
      </c>
      <c r="B839" s="5">
        <v>1.25</v>
      </c>
    </row>
    <row r="840" spans="1:2" x14ac:dyDescent="0.3">
      <c r="A840" s="4">
        <v>45091</v>
      </c>
      <c r="B840" s="5">
        <v>1.3</v>
      </c>
    </row>
    <row r="841" spans="1:2" x14ac:dyDescent="0.3">
      <c r="A841" s="4">
        <v>45092</v>
      </c>
      <c r="B841" s="5">
        <v>1.54</v>
      </c>
    </row>
    <row r="842" spans="1:2" x14ac:dyDescent="0.3">
      <c r="A842" s="4">
        <v>45093</v>
      </c>
      <c r="B842" s="5">
        <v>1.8</v>
      </c>
    </row>
    <row r="843" spans="1:2" x14ac:dyDescent="0.3">
      <c r="A843" s="4">
        <v>45096</v>
      </c>
      <c r="B843" s="5">
        <v>1.79</v>
      </c>
    </row>
    <row r="844" spans="1:2" x14ac:dyDescent="0.3">
      <c r="A844" s="4">
        <v>45097</v>
      </c>
      <c r="B844" s="5">
        <v>1.85</v>
      </c>
    </row>
    <row r="845" spans="1:2" x14ac:dyDescent="0.3">
      <c r="A845" s="4">
        <v>45098</v>
      </c>
      <c r="B845" s="5">
        <v>1.85</v>
      </c>
    </row>
    <row r="846" spans="1:2" x14ac:dyDescent="0.3">
      <c r="A846" s="4">
        <v>45103</v>
      </c>
      <c r="B846" s="5">
        <v>0.7</v>
      </c>
    </row>
    <row r="847" spans="1:2" x14ac:dyDescent="0.3">
      <c r="A847" s="4">
        <v>45104</v>
      </c>
      <c r="B847" s="5">
        <v>0.95</v>
      </c>
    </row>
    <row r="848" spans="1:2" x14ac:dyDescent="0.3">
      <c r="A848" s="4">
        <v>45105</v>
      </c>
      <c r="B848" s="5">
        <v>1.1000000000000001</v>
      </c>
    </row>
    <row r="849" spans="1:2" x14ac:dyDescent="0.3">
      <c r="A849" s="4">
        <v>45106</v>
      </c>
      <c r="B849" s="5">
        <v>0.7</v>
      </c>
    </row>
    <row r="850" spans="1:2" x14ac:dyDescent="0.3">
      <c r="A850" s="4">
        <v>45107</v>
      </c>
      <c r="B850" s="5">
        <v>1.4</v>
      </c>
    </row>
    <row r="851" spans="1:2" x14ac:dyDescent="0.3">
      <c r="A851" s="4">
        <v>45110</v>
      </c>
      <c r="B851" s="5">
        <v>0.68</v>
      </c>
    </row>
    <row r="852" spans="1:2" x14ac:dyDescent="0.3">
      <c r="A852" s="4">
        <v>45111</v>
      </c>
      <c r="B852" s="5">
        <v>1.1499999999999999</v>
      </c>
    </row>
    <row r="853" spans="1:2" x14ac:dyDescent="0.3">
      <c r="A853" s="4">
        <v>45112</v>
      </c>
      <c r="B853" s="5">
        <v>1.1000000000000001</v>
      </c>
    </row>
    <row r="854" spans="1:2" x14ac:dyDescent="0.3">
      <c r="A854" s="4">
        <v>45113</v>
      </c>
      <c r="B854" s="5">
        <v>1.2</v>
      </c>
    </row>
    <row r="855" spans="1:2" x14ac:dyDescent="0.3">
      <c r="A855" s="4">
        <v>45114</v>
      </c>
      <c r="B855" s="5">
        <v>1.1499999999999999</v>
      </c>
    </row>
    <row r="856" spans="1:2" x14ac:dyDescent="0.3">
      <c r="A856" s="4">
        <v>45117</v>
      </c>
      <c r="B856" s="5">
        <v>1.1000000000000001</v>
      </c>
    </row>
    <row r="857" spans="1:2" x14ac:dyDescent="0.3">
      <c r="A857" s="4">
        <v>45118</v>
      </c>
      <c r="B857" s="5">
        <v>0.99</v>
      </c>
    </row>
    <row r="858" spans="1:2" x14ac:dyDescent="0.3">
      <c r="A858" s="4">
        <v>45119</v>
      </c>
      <c r="B858" s="5">
        <v>1.2</v>
      </c>
    </row>
    <row r="859" spans="1:2" x14ac:dyDescent="0.3">
      <c r="A859" s="4">
        <v>45120</v>
      </c>
      <c r="B859" s="5">
        <v>1.45</v>
      </c>
    </row>
    <row r="860" spans="1:2" x14ac:dyDescent="0.3">
      <c r="A860" s="4">
        <v>45121</v>
      </c>
      <c r="B860" s="5">
        <v>1.32</v>
      </c>
    </row>
    <row r="861" spans="1:2" x14ac:dyDescent="0.3">
      <c r="A861" s="4">
        <v>45124</v>
      </c>
      <c r="B861" s="5">
        <v>1.2</v>
      </c>
    </row>
    <row r="862" spans="1:2" x14ac:dyDescent="0.3">
      <c r="A862" s="4">
        <v>45125</v>
      </c>
      <c r="B862" s="5">
        <v>1.3</v>
      </c>
    </row>
    <row r="863" spans="1:2" x14ac:dyDescent="0.3">
      <c r="A863" s="4">
        <v>45126</v>
      </c>
      <c r="B863" s="5">
        <v>1.4</v>
      </c>
    </row>
    <row r="864" spans="1:2" x14ac:dyDescent="0.3">
      <c r="A864" s="4">
        <v>45127</v>
      </c>
      <c r="B864" s="5">
        <v>1.4</v>
      </c>
    </row>
    <row r="865" spans="1:2" x14ac:dyDescent="0.3">
      <c r="A865" s="4">
        <v>45128</v>
      </c>
      <c r="B865" s="5">
        <v>1.63</v>
      </c>
    </row>
    <row r="866" spans="1:2" x14ac:dyDescent="0.3">
      <c r="A866" s="4">
        <v>45131</v>
      </c>
      <c r="B866" s="5">
        <v>1.48</v>
      </c>
    </row>
    <row r="867" spans="1:2" x14ac:dyDescent="0.3">
      <c r="A867" s="4">
        <v>45132</v>
      </c>
      <c r="B867" s="5">
        <v>1.34</v>
      </c>
    </row>
    <row r="868" spans="1:2" x14ac:dyDescent="0.3">
      <c r="A868" s="4">
        <v>45133</v>
      </c>
      <c r="B868" s="5">
        <v>1.25</v>
      </c>
    </row>
    <row r="869" spans="1:2" x14ac:dyDescent="0.3">
      <c r="A869" s="4">
        <v>45134</v>
      </c>
      <c r="B869" s="5">
        <v>1.25</v>
      </c>
    </row>
    <row r="870" spans="1:2" x14ac:dyDescent="0.3">
      <c r="A870" s="4">
        <v>45135</v>
      </c>
      <c r="B870" s="5">
        <v>1.1000000000000001</v>
      </c>
    </row>
    <row r="871" spans="1:2" x14ac:dyDescent="0.3">
      <c r="A871" s="4">
        <v>45138</v>
      </c>
      <c r="B871" s="5">
        <v>1.65</v>
      </c>
    </row>
    <row r="872" spans="1:2" x14ac:dyDescent="0.3">
      <c r="A872" s="4">
        <v>45139</v>
      </c>
      <c r="B872" s="5">
        <v>1.1000000000000001</v>
      </c>
    </row>
    <row r="873" spans="1:2" x14ac:dyDescent="0.3">
      <c r="A873" s="4">
        <v>45140</v>
      </c>
      <c r="B873" s="5">
        <v>1.0900000000000001</v>
      </c>
    </row>
    <row r="874" spans="1:2" x14ac:dyDescent="0.3">
      <c r="A874" s="4">
        <v>45141</v>
      </c>
      <c r="B874" s="5">
        <v>1.04</v>
      </c>
    </row>
    <row r="875" spans="1:2" x14ac:dyDescent="0.3">
      <c r="A875" s="4">
        <v>45142</v>
      </c>
      <c r="B875" s="5">
        <v>1.5</v>
      </c>
    </row>
    <row r="876" spans="1:2" x14ac:dyDescent="0.3">
      <c r="A876" s="4">
        <v>45145</v>
      </c>
      <c r="B876" s="5">
        <v>1.45</v>
      </c>
    </row>
    <row r="877" spans="1:2" x14ac:dyDescent="0.3">
      <c r="A877" s="4">
        <v>45146</v>
      </c>
      <c r="B877" s="5">
        <v>1.27</v>
      </c>
    </row>
    <row r="878" spans="1:2" x14ac:dyDescent="0.3">
      <c r="A878" s="4">
        <v>45147</v>
      </c>
      <c r="B878" s="5">
        <v>1.34</v>
      </c>
    </row>
    <row r="879" spans="1:2" x14ac:dyDescent="0.3">
      <c r="A879" s="4">
        <v>45148</v>
      </c>
      <c r="B879" s="5">
        <v>1.25</v>
      </c>
    </row>
    <row r="880" spans="1:2" x14ac:dyDescent="0.3">
      <c r="A880" s="4">
        <v>45149</v>
      </c>
      <c r="B880" s="5">
        <v>1.36</v>
      </c>
    </row>
    <row r="881" spans="1:2" x14ac:dyDescent="0.3">
      <c r="A881" s="4">
        <v>45152</v>
      </c>
      <c r="B881" s="5">
        <v>1.69</v>
      </c>
    </row>
    <row r="882" spans="1:2" x14ac:dyDescent="0.3">
      <c r="A882" s="4">
        <v>45153</v>
      </c>
      <c r="B882" s="5">
        <v>1.8</v>
      </c>
    </row>
    <row r="883" spans="1:2" x14ac:dyDescent="0.3">
      <c r="A883" s="4">
        <v>45154</v>
      </c>
      <c r="B883" s="5">
        <v>1.6</v>
      </c>
    </row>
    <row r="884" spans="1:2" x14ac:dyDescent="0.3">
      <c r="A884" s="4">
        <v>45155</v>
      </c>
      <c r="B884" s="5">
        <v>1.75</v>
      </c>
    </row>
    <row r="885" spans="1:2" x14ac:dyDescent="0.3">
      <c r="A885" s="4">
        <v>45156</v>
      </c>
      <c r="B885" s="5">
        <v>1.6</v>
      </c>
    </row>
    <row r="886" spans="1:2" x14ac:dyDescent="0.3">
      <c r="A886" s="4">
        <v>45159</v>
      </c>
      <c r="B886" s="5">
        <v>1.8</v>
      </c>
    </row>
    <row r="887" spans="1:2" x14ac:dyDescent="0.3">
      <c r="A887" s="4">
        <v>45160</v>
      </c>
      <c r="B887" s="5">
        <v>1.5</v>
      </c>
    </row>
    <row r="888" spans="1:2" x14ac:dyDescent="0.3">
      <c r="A888" s="4">
        <v>45161</v>
      </c>
      <c r="B888" s="5">
        <v>1.7</v>
      </c>
    </row>
    <row r="889" spans="1:2" x14ac:dyDescent="0.3">
      <c r="A889" s="4">
        <v>45162</v>
      </c>
      <c r="B889" s="5">
        <v>1.61</v>
      </c>
    </row>
    <row r="890" spans="1:2" x14ac:dyDescent="0.3">
      <c r="A890" s="4">
        <v>45163</v>
      </c>
      <c r="B890" s="5">
        <v>1.6</v>
      </c>
    </row>
    <row r="891" spans="1:2" x14ac:dyDescent="0.3">
      <c r="A891" s="4">
        <v>45166</v>
      </c>
      <c r="B891" s="5">
        <v>1.8</v>
      </c>
    </row>
    <row r="892" spans="1:2" x14ac:dyDescent="0.3">
      <c r="A892" s="4">
        <v>45167</v>
      </c>
      <c r="B892" s="5">
        <v>1.58</v>
      </c>
    </row>
    <row r="893" spans="1:2" x14ac:dyDescent="0.3">
      <c r="A893" s="4">
        <v>45168</v>
      </c>
      <c r="B893" s="5">
        <v>1.44</v>
      </c>
    </row>
    <row r="894" spans="1:2" x14ac:dyDescent="0.3">
      <c r="A894" s="4">
        <v>45169</v>
      </c>
      <c r="B894" s="5">
        <v>2.35</v>
      </c>
    </row>
    <row r="895" spans="1:2" x14ac:dyDescent="0.3">
      <c r="A895" s="4">
        <v>45170</v>
      </c>
      <c r="B895" s="5">
        <v>1.55</v>
      </c>
    </row>
    <row r="896" spans="1:2" x14ac:dyDescent="0.3">
      <c r="A896" s="4">
        <v>45173</v>
      </c>
      <c r="B896" s="5">
        <v>1.55</v>
      </c>
    </row>
    <row r="897" spans="1:2" x14ac:dyDescent="0.3">
      <c r="A897" s="4">
        <v>45174</v>
      </c>
      <c r="B897" s="5">
        <v>1.3</v>
      </c>
    </row>
    <row r="898" spans="1:2" x14ac:dyDescent="0.3">
      <c r="A898" s="4">
        <v>45175</v>
      </c>
      <c r="B898" s="5">
        <v>1.7</v>
      </c>
    </row>
    <row r="899" spans="1:2" x14ac:dyDescent="0.3">
      <c r="A899" s="4">
        <v>45176</v>
      </c>
      <c r="B899" s="5">
        <v>1.76</v>
      </c>
    </row>
    <row r="900" spans="1:2" x14ac:dyDescent="0.3">
      <c r="A900" s="4">
        <v>45177</v>
      </c>
      <c r="B900" s="5">
        <v>1.8</v>
      </c>
    </row>
    <row r="901" spans="1:2" x14ac:dyDescent="0.3">
      <c r="A901" s="4">
        <v>45180</v>
      </c>
      <c r="B901" s="5">
        <v>1.55</v>
      </c>
    </row>
    <row r="902" spans="1:2" x14ac:dyDescent="0.3">
      <c r="A902" s="4">
        <v>45181</v>
      </c>
      <c r="B902" s="5">
        <v>1.35</v>
      </c>
    </row>
    <row r="903" spans="1:2" x14ac:dyDescent="0.3">
      <c r="A903" s="4">
        <v>45182</v>
      </c>
      <c r="B903" s="5">
        <v>1.52</v>
      </c>
    </row>
    <row r="904" spans="1:2" x14ac:dyDescent="0.3">
      <c r="A904" s="4">
        <v>45183</v>
      </c>
      <c r="B904" s="5">
        <v>1.3</v>
      </c>
    </row>
    <row r="905" spans="1:2" x14ac:dyDescent="0.3">
      <c r="A905" s="4">
        <v>45184</v>
      </c>
      <c r="B905" s="5">
        <v>1.85</v>
      </c>
    </row>
    <row r="906" spans="1:2" x14ac:dyDescent="0.3">
      <c r="A906" s="4">
        <v>45187</v>
      </c>
      <c r="B906" s="5">
        <v>1.9</v>
      </c>
    </row>
    <row r="907" spans="1:2" x14ac:dyDescent="0.3">
      <c r="A907" s="4">
        <v>45188</v>
      </c>
      <c r="B907" s="5">
        <v>1.75</v>
      </c>
    </row>
    <row r="908" spans="1:2" x14ac:dyDescent="0.3">
      <c r="A908" s="4">
        <v>45189</v>
      </c>
      <c r="B908" s="5">
        <v>1.55</v>
      </c>
    </row>
    <row r="909" spans="1:2" x14ac:dyDescent="0.3">
      <c r="A909" s="4">
        <v>45190</v>
      </c>
      <c r="B909" s="5">
        <v>1.8</v>
      </c>
    </row>
    <row r="910" spans="1:2" x14ac:dyDescent="0.3">
      <c r="A910" s="4">
        <v>45191</v>
      </c>
      <c r="B910" s="5">
        <v>1.9</v>
      </c>
    </row>
    <row r="911" spans="1:2" x14ac:dyDescent="0.3">
      <c r="A911" s="4">
        <v>45194</v>
      </c>
      <c r="B911" s="5">
        <v>1.7</v>
      </c>
    </row>
    <row r="912" spans="1:2" x14ac:dyDescent="0.3">
      <c r="A912" s="4">
        <v>45195</v>
      </c>
      <c r="B912" s="5">
        <v>1.75</v>
      </c>
    </row>
    <row r="913" spans="1:2" x14ac:dyDescent="0.3">
      <c r="A913" s="4">
        <v>45196</v>
      </c>
      <c r="B913" s="5">
        <v>1.6957</v>
      </c>
    </row>
    <row r="914" spans="1:2" x14ac:dyDescent="0.3">
      <c r="A914" s="4">
        <v>45197</v>
      </c>
      <c r="B914" s="5">
        <v>2.2000000000000002</v>
      </c>
    </row>
    <row r="915" spans="1:2" x14ac:dyDescent="0.3">
      <c r="A915" s="4">
        <v>45208</v>
      </c>
      <c r="B915" s="5">
        <v>1.75</v>
      </c>
    </row>
    <row r="916" spans="1:2" x14ac:dyDescent="0.3">
      <c r="A916" s="4">
        <v>45209</v>
      </c>
      <c r="B916" s="5">
        <v>1.33</v>
      </c>
    </row>
    <row r="917" spans="1:2" x14ac:dyDescent="0.3">
      <c r="A917" s="4">
        <v>45210</v>
      </c>
      <c r="B917" s="5">
        <v>1.65</v>
      </c>
    </row>
    <row r="918" spans="1:2" x14ac:dyDescent="0.3">
      <c r="A918" s="4">
        <v>45211</v>
      </c>
      <c r="B918" s="5">
        <v>1.7</v>
      </c>
    </row>
    <row r="919" spans="1:2" x14ac:dyDescent="0.3">
      <c r="A919" s="4">
        <v>45212</v>
      </c>
      <c r="B919" s="5">
        <v>1.7</v>
      </c>
    </row>
    <row r="920" spans="1:2" x14ac:dyDescent="0.3">
      <c r="A920" s="4">
        <v>45215</v>
      </c>
      <c r="B920" s="5">
        <v>1.7</v>
      </c>
    </row>
    <row r="921" spans="1:2" x14ac:dyDescent="0.3">
      <c r="A921" s="4">
        <v>45216</v>
      </c>
      <c r="B921" s="5">
        <v>1.75</v>
      </c>
    </row>
    <row r="922" spans="1:2" x14ac:dyDescent="0.3">
      <c r="A922" s="4">
        <v>45217</v>
      </c>
      <c r="B922" s="5">
        <v>1.83</v>
      </c>
    </row>
    <row r="923" spans="1:2" x14ac:dyDescent="0.3">
      <c r="A923" s="4">
        <v>45218</v>
      </c>
      <c r="B923" s="5">
        <v>1.86</v>
      </c>
    </row>
    <row r="924" spans="1:2" x14ac:dyDescent="0.3">
      <c r="A924" s="4">
        <v>45219</v>
      </c>
      <c r="B924" s="5">
        <v>1.7</v>
      </c>
    </row>
    <row r="925" spans="1:2" x14ac:dyDescent="0.3">
      <c r="A925" s="4">
        <v>45222</v>
      </c>
      <c r="B925" s="5">
        <v>2</v>
      </c>
    </row>
    <row r="926" spans="1:2" x14ac:dyDescent="0.3">
      <c r="A926" s="4">
        <v>45223</v>
      </c>
      <c r="B926" s="5">
        <v>1.45</v>
      </c>
    </row>
    <row r="927" spans="1:2" x14ac:dyDescent="0.3">
      <c r="A927" s="4">
        <v>45224</v>
      </c>
      <c r="B927" s="5">
        <v>1.46</v>
      </c>
    </row>
    <row r="928" spans="1:2" x14ac:dyDescent="0.3">
      <c r="A928" s="4">
        <v>45225</v>
      </c>
      <c r="B928" s="5">
        <v>1.5</v>
      </c>
    </row>
    <row r="929" spans="1:2" x14ac:dyDescent="0.3">
      <c r="A929" s="4">
        <v>45226</v>
      </c>
      <c r="B929" s="5">
        <v>1.6</v>
      </c>
    </row>
    <row r="930" spans="1:2" x14ac:dyDescent="0.3">
      <c r="A930" s="4">
        <v>45229</v>
      </c>
      <c r="B930" s="5">
        <v>1.45</v>
      </c>
    </row>
    <row r="931" spans="1:2" x14ac:dyDescent="0.3">
      <c r="A931" s="4">
        <v>45230</v>
      </c>
      <c r="B931" s="5">
        <v>2.64</v>
      </c>
    </row>
    <row r="932" spans="1:2" x14ac:dyDescent="0.3">
      <c r="A932" s="4">
        <v>45231</v>
      </c>
      <c r="B932" s="5">
        <v>1.29</v>
      </c>
    </row>
    <row r="933" spans="1:2" x14ac:dyDescent="0.3">
      <c r="A933" s="4">
        <v>45232</v>
      </c>
      <c r="B933" s="5">
        <v>1</v>
      </c>
    </row>
    <row r="934" spans="1:2" x14ac:dyDescent="0.3">
      <c r="A934" s="4">
        <v>45233</v>
      </c>
      <c r="B934" s="5">
        <v>1.65</v>
      </c>
    </row>
    <row r="935" spans="1:2" x14ac:dyDescent="0.3">
      <c r="A935" s="4">
        <v>45236</v>
      </c>
      <c r="B935" s="5">
        <v>1.61</v>
      </c>
    </row>
    <row r="936" spans="1:2" x14ac:dyDescent="0.3">
      <c r="A936" s="4">
        <v>45237</v>
      </c>
      <c r="B936" s="5">
        <v>1.6</v>
      </c>
    </row>
    <row r="937" spans="1:2" x14ac:dyDescent="0.3">
      <c r="A937" s="4">
        <v>45238</v>
      </c>
      <c r="B937" s="5">
        <v>1.45</v>
      </c>
    </row>
    <row r="938" spans="1:2" x14ac:dyDescent="0.3">
      <c r="A938" s="4">
        <v>45239</v>
      </c>
      <c r="B938" s="5">
        <v>1.3</v>
      </c>
    </row>
    <row r="939" spans="1:2" x14ac:dyDescent="0.3">
      <c r="A939" s="4">
        <v>45240</v>
      </c>
      <c r="B939" s="5">
        <v>1.71</v>
      </c>
    </row>
    <row r="940" spans="1:2" x14ac:dyDescent="0.3">
      <c r="A940" s="4">
        <v>45243</v>
      </c>
      <c r="B940" s="5">
        <v>1.5</v>
      </c>
    </row>
    <row r="941" spans="1:2" x14ac:dyDescent="0.3">
      <c r="A941" s="4">
        <v>45244</v>
      </c>
      <c r="B941" s="5">
        <v>1.42</v>
      </c>
    </row>
    <row r="942" spans="1:2" x14ac:dyDescent="0.3">
      <c r="A942" s="4">
        <v>45245</v>
      </c>
      <c r="B942" s="5">
        <v>1.62</v>
      </c>
    </row>
    <row r="943" spans="1:2" x14ac:dyDescent="0.3">
      <c r="A943" s="4">
        <v>45246</v>
      </c>
      <c r="B943" s="5">
        <v>1.42</v>
      </c>
    </row>
    <row r="944" spans="1:2" x14ac:dyDescent="0.3">
      <c r="A944" s="4">
        <v>45247</v>
      </c>
      <c r="B944" s="5">
        <v>1.89</v>
      </c>
    </row>
    <row r="945" spans="1:2" x14ac:dyDescent="0.3">
      <c r="A945" s="4">
        <v>45250</v>
      </c>
      <c r="B945" s="5">
        <v>1.8</v>
      </c>
    </row>
    <row r="946" spans="1:2" x14ac:dyDescent="0.3">
      <c r="A946" s="4">
        <v>45251</v>
      </c>
      <c r="B946" s="5">
        <v>1.85</v>
      </c>
    </row>
    <row r="947" spans="1:2" x14ac:dyDescent="0.3">
      <c r="A947" s="4">
        <v>45252</v>
      </c>
      <c r="B947" s="5">
        <v>1.88</v>
      </c>
    </row>
    <row r="948" spans="1:2" x14ac:dyDescent="0.3">
      <c r="A948" s="4">
        <v>45253</v>
      </c>
      <c r="B948" s="5">
        <v>1.78</v>
      </c>
    </row>
    <row r="949" spans="1:2" x14ac:dyDescent="0.3">
      <c r="A949" s="4">
        <v>45254</v>
      </c>
      <c r="B949" s="5">
        <v>1.68</v>
      </c>
    </row>
    <row r="950" spans="1:2" x14ac:dyDescent="0.3">
      <c r="A950" s="4">
        <v>45257</v>
      </c>
      <c r="B950" s="5">
        <v>1.31</v>
      </c>
    </row>
    <row r="951" spans="1:2" x14ac:dyDescent="0.3">
      <c r="A951" s="4">
        <v>45258</v>
      </c>
      <c r="B951" s="5">
        <v>1.7</v>
      </c>
    </row>
    <row r="952" spans="1:2" x14ac:dyDescent="0.3">
      <c r="A952" s="4">
        <v>45259</v>
      </c>
      <c r="B952" s="5">
        <v>1.2</v>
      </c>
    </row>
    <row r="953" spans="1:2" x14ac:dyDescent="0.3">
      <c r="A953" s="4">
        <v>45260</v>
      </c>
      <c r="B953" s="5">
        <v>1.5</v>
      </c>
    </row>
    <row r="954" spans="1:2" x14ac:dyDescent="0.3">
      <c r="A954" s="4">
        <v>45261</v>
      </c>
      <c r="B954" s="5">
        <v>1.61</v>
      </c>
    </row>
    <row r="955" spans="1:2" x14ac:dyDescent="0.3">
      <c r="A955" s="4">
        <v>45264</v>
      </c>
      <c r="B955" s="5">
        <v>1.7</v>
      </c>
    </row>
    <row r="956" spans="1:2" x14ac:dyDescent="0.3">
      <c r="A956" s="4">
        <v>45265</v>
      </c>
      <c r="B956" s="5">
        <v>1.7</v>
      </c>
    </row>
    <row r="957" spans="1:2" x14ac:dyDescent="0.3">
      <c r="A957" s="4">
        <v>45266</v>
      </c>
      <c r="B957" s="5">
        <v>1.6</v>
      </c>
    </row>
    <row r="958" spans="1:2" x14ac:dyDescent="0.3">
      <c r="A958" s="4">
        <v>45267</v>
      </c>
      <c r="B958" s="5">
        <v>1.71</v>
      </c>
    </row>
    <row r="959" spans="1:2" x14ac:dyDescent="0.3">
      <c r="A959" s="4">
        <v>45268</v>
      </c>
      <c r="B959" s="5">
        <v>1.6</v>
      </c>
    </row>
    <row r="960" spans="1:2" x14ac:dyDescent="0.3">
      <c r="A960" s="4">
        <v>45271</v>
      </c>
      <c r="B960" s="5">
        <v>1.5</v>
      </c>
    </row>
    <row r="961" spans="1:2" x14ac:dyDescent="0.3">
      <c r="A961" s="4">
        <v>45272</v>
      </c>
      <c r="B961" s="5">
        <v>1.45</v>
      </c>
    </row>
    <row r="962" spans="1:2" x14ac:dyDescent="0.3">
      <c r="A962" s="4">
        <v>45273</v>
      </c>
      <c r="B962" s="5">
        <v>2</v>
      </c>
    </row>
    <row r="963" spans="1:2" x14ac:dyDescent="0.3">
      <c r="A963" s="4">
        <v>45274</v>
      </c>
      <c r="B963" s="5">
        <v>1.65</v>
      </c>
    </row>
    <row r="964" spans="1:2" x14ac:dyDescent="0.3">
      <c r="A964" s="4">
        <v>45275</v>
      </c>
      <c r="B964" s="5">
        <v>1.41</v>
      </c>
    </row>
    <row r="965" spans="1:2" x14ac:dyDescent="0.3">
      <c r="A965" s="4">
        <v>45278</v>
      </c>
      <c r="B965" s="5">
        <v>1.4</v>
      </c>
    </row>
    <row r="966" spans="1:2" x14ac:dyDescent="0.3">
      <c r="A966" s="4">
        <v>45279</v>
      </c>
      <c r="B966" s="5">
        <v>1.2</v>
      </c>
    </row>
    <row r="967" spans="1:2" x14ac:dyDescent="0.3">
      <c r="A967" s="4">
        <v>45280</v>
      </c>
      <c r="B967" s="5">
        <v>1.2</v>
      </c>
    </row>
    <row r="968" spans="1:2" x14ac:dyDescent="0.3">
      <c r="A968" s="4">
        <v>45281</v>
      </c>
      <c r="B968" s="5">
        <v>1.35</v>
      </c>
    </row>
    <row r="969" spans="1:2" x14ac:dyDescent="0.3">
      <c r="A969" s="4">
        <v>45282</v>
      </c>
      <c r="B969" s="5">
        <v>1.58</v>
      </c>
    </row>
    <row r="970" spans="1:2" x14ac:dyDescent="0.3">
      <c r="A970" s="4">
        <v>45285</v>
      </c>
      <c r="B970" s="5">
        <v>1.1000000000000001</v>
      </c>
    </row>
    <row r="971" spans="1:2" x14ac:dyDescent="0.3">
      <c r="A971" s="4">
        <v>45286</v>
      </c>
      <c r="B971" s="5">
        <v>1.1000000000000001</v>
      </c>
    </row>
    <row r="972" spans="1:2" x14ac:dyDescent="0.3">
      <c r="A972" s="4">
        <v>45287</v>
      </c>
      <c r="B972" s="5">
        <v>1.1499999999999999</v>
      </c>
    </row>
    <row r="973" spans="1:2" x14ac:dyDescent="0.3">
      <c r="A973" s="4">
        <v>45288</v>
      </c>
      <c r="B973" s="5">
        <v>1.3</v>
      </c>
    </row>
    <row r="974" spans="1:2" x14ac:dyDescent="0.3">
      <c r="A974" s="4">
        <v>45289</v>
      </c>
      <c r="B974" s="5">
        <v>1.5</v>
      </c>
    </row>
    <row r="975" spans="1:2" x14ac:dyDescent="0.3">
      <c r="A975" s="4">
        <v>45293</v>
      </c>
      <c r="B975" s="5">
        <v>1.6</v>
      </c>
    </row>
    <row r="976" spans="1:2" x14ac:dyDescent="0.3">
      <c r="A976" s="4">
        <v>45294</v>
      </c>
      <c r="B976" s="5">
        <v>1.5</v>
      </c>
    </row>
    <row r="977" spans="1:2" x14ac:dyDescent="0.3">
      <c r="A977" s="4">
        <v>45295</v>
      </c>
      <c r="B977" s="5">
        <v>1.6</v>
      </c>
    </row>
    <row r="978" spans="1:2" x14ac:dyDescent="0.3">
      <c r="A978" s="4">
        <v>45296</v>
      </c>
      <c r="B978" s="5">
        <v>1.6</v>
      </c>
    </row>
    <row r="979" spans="1:2" x14ac:dyDescent="0.3">
      <c r="A979" s="4">
        <v>45299</v>
      </c>
      <c r="B979" s="5">
        <v>1.7</v>
      </c>
    </row>
    <row r="980" spans="1:2" x14ac:dyDescent="0.3">
      <c r="A980" s="4">
        <v>45300</v>
      </c>
      <c r="B980" s="5">
        <v>1.6</v>
      </c>
    </row>
    <row r="981" spans="1:2" x14ac:dyDescent="0.3">
      <c r="A981" s="4">
        <v>45301</v>
      </c>
      <c r="B981" s="5">
        <v>1.59</v>
      </c>
    </row>
    <row r="982" spans="1:2" x14ac:dyDescent="0.3">
      <c r="A982" s="4">
        <v>45302</v>
      </c>
      <c r="B982" s="5">
        <v>1.65</v>
      </c>
    </row>
    <row r="983" spans="1:2" x14ac:dyDescent="0.3">
      <c r="A983" s="4">
        <v>45303</v>
      </c>
      <c r="B983" s="5">
        <v>1.8</v>
      </c>
    </row>
    <row r="984" spans="1:2" x14ac:dyDescent="0.3">
      <c r="A984" s="4">
        <v>45306</v>
      </c>
      <c r="B984" s="5">
        <v>1.75</v>
      </c>
    </row>
    <row r="985" spans="1:2" x14ac:dyDescent="0.3">
      <c r="A985" s="4">
        <v>45307</v>
      </c>
      <c r="B985" s="5">
        <v>1.75</v>
      </c>
    </row>
    <row r="986" spans="1:2" x14ac:dyDescent="0.3">
      <c r="A986" s="4">
        <v>45308</v>
      </c>
      <c r="B986" s="5">
        <v>1.55</v>
      </c>
    </row>
    <row r="987" spans="1:2" x14ac:dyDescent="0.3">
      <c r="A987" s="4">
        <v>45309</v>
      </c>
      <c r="B987" s="5">
        <v>1.55</v>
      </c>
    </row>
    <row r="988" spans="1:2" x14ac:dyDescent="0.3">
      <c r="A988" s="4">
        <v>45310</v>
      </c>
      <c r="B988" s="5">
        <v>1.73</v>
      </c>
    </row>
    <row r="989" spans="1:2" x14ac:dyDescent="0.3">
      <c r="A989" s="4">
        <v>45313</v>
      </c>
      <c r="B989" s="5">
        <v>1.76</v>
      </c>
    </row>
    <row r="990" spans="1:2" x14ac:dyDescent="0.3">
      <c r="A990" s="4">
        <v>45314</v>
      </c>
      <c r="B990" s="5">
        <v>1.39</v>
      </c>
    </row>
    <row r="991" spans="1:2" x14ac:dyDescent="0.3">
      <c r="A991" s="4">
        <v>45315</v>
      </c>
      <c r="B991" s="5">
        <v>2.1</v>
      </c>
    </row>
    <row r="992" spans="1:2" x14ac:dyDescent="0.3">
      <c r="A992" s="4">
        <v>45316</v>
      </c>
      <c r="B992" s="5">
        <v>1.65</v>
      </c>
    </row>
    <row r="993" spans="1:2" x14ac:dyDescent="0.3">
      <c r="A993" s="4">
        <v>45317</v>
      </c>
      <c r="B993" s="5">
        <v>1.75</v>
      </c>
    </row>
    <row r="994" spans="1:2" x14ac:dyDescent="0.3">
      <c r="A994" s="4">
        <v>45320</v>
      </c>
      <c r="B994" s="5">
        <v>1.64</v>
      </c>
    </row>
    <row r="995" spans="1:2" x14ac:dyDescent="0.3">
      <c r="A995" s="4">
        <v>45321</v>
      </c>
      <c r="B995" s="5">
        <v>1.62</v>
      </c>
    </row>
    <row r="996" spans="1:2" x14ac:dyDescent="0.3">
      <c r="A996" s="4">
        <v>45322</v>
      </c>
      <c r="B996" s="5">
        <v>1.25</v>
      </c>
    </row>
    <row r="997" spans="1:2" x14ac:dyDescent="0.3">
      <c r="A997" s="4">
        <v>45323</v>
      </c>
      <c r="B997" s="5">
        <v>1.45</v>
      </c>
    </row>
    <row r="998" spans="1:2" x14ac:dyDescent="0.3">
      <c r="A998" s="4">
        <v>45324</v>
      </c>
      <c r="B998" s="5">
        <v>1.5</v>
      </c>
    </row>
    <row r="999" spans="1:2" x14ac:dyDescent="0.3">
      <c r="A999" s="4">
        <v>45327</v>
      </c>
      <c r="B999" s="5">
        <v>1.5</v>
      </c>
    </row>
    <row r="1000" spans="1:2" x14ac:dyDescent="0.3">
      <c r="A1000" s="4">
        <v>45328</v>
      </c>
      <c r="B1000" s="5">
        <v>2.4</v>
      </c>
    </row>
    <row r="1001" spans="1:2" x14ac:dyDescent="0.3">
      <c r="A1001" s="4">
        <v>45329</v>
      </c>
      <c r="B1001" s="5">
        <v>1.69</v>
      </c>
    </row>
    <row r="1002" spans="1:2" x14ac:dyDescent="0.3">
      <c r="A1002" s="4">
        <v>45330</v>
      </c>
      <c r="B1002" s="5">
        <v>1.5</v>
      </c>
    </row>
    <row r="1003" spans="1:2" x14ac:dyDescent="0.3">
      <c r="A1003" s="4">
        <v>45341</v>
      </c>
      <c r="B1003" s="5">
        <v>1.55</v>
      </c>
    </row>
    <row r="1004" spans="1:2" x14ac:dyDescent="0.3">
      <c r="A1004" s="4">
        <v>45342</v>
      </c>
      <c r="B1004" s="5">
        <v>1.75</v>
      </c>
    </row>
    <row r="1005" spans="1:2" x14ac:dyDescent="0.3">
      <c r="A1005" s="4">
        <v>45343</v>
      </c>
      <c r="B1005" s="5">
        <v>1.72</v>
      </c>
    </row>
    <row r="1006" spans="1:2" x14ac:dyDescent="0.3">
      <c r="A1006" s="4">
        <v>45344</v>
      </c>
      <c r="B1006" s="5">
        <v>1.85</v>
      </c>
    </row>
    <row r="1007" spans="1:2" x14ac:dyDescent="0.3">
      <c r="A1007" s="4">
        <v>45345</v>
      </c>
      <c r="B1007" s="5">
        <v>1.64</v>
      </c>
    </row>
    <row r="1008" spans="1:2" x14ac:dyDescent="0.3">
      <c r="A1008" s="4">
        <v>45348</v>
      </c>
      <c r="B1008" s="5">
        <v>1.78</v>
      </c>
    </row>
    <row r="1009" spans="1:2" x14ac:dyDescent="0.3">
      <c r="A1009" s="4">
        <v>45349</v>
      </c>
      <c r="B1009" s="5">
        <v>1.6</v>
      </c>
    </row>
    <row r="1010" spans="1:2" x14ac:dyDescent="0.3">
      <c r="A1010" s="4">
        <v>45350</v>
      </c>
      <c r="B1010" s="5">
        <v>1.21</v>
      </c>
    </row>
    <row r="1011" spans="1:2" x14ac:dyDescent="0.3">
      <c r="A1011" s="4">
        <v>45351</v>
      </c>
      <c r="B1011" s="5">
        <v>1.63</v>
      </c>
    </row>
    <row r="1012" spans="1:2" x14ac:dyDescent="0.3">
      <c r="A1012" s="4">
        <v>45352</v>
      </c>
      <c r="B1012" s="5">
        <v>1.7</v>
      </c>
    </row>
    <row r="1013" spans="1:2" x14ac:dyDescent="0.3">
      <c r="A1013" s="4">
        <v>45355</v>
      </c>
      <c r="B1013" s="5">
        <v>1.5</v>
      </c>
    </row>
    <row r="1014" spans="1:2" x14ac:dyDescent="0.3">
      <c r="A1014" s="4">
        <v>45356</v>
      </c>
      <c r="B1014" s="5">
        <v>1.55</v>
      </c>
    </row>
    <row r="1015" spans="1:2" x14ac:dyDescent="0.3">
      <c r="A1015" s="4">
        <v>45357</v>
      </c>
      <c r="B1015" s="5">
        <v>1.8</v>
      </c>
    </row>
    <row r="1016" spans="1:2" x14ac:dyDescent="0.3">
      <c r="A1016" s="4">
        <v>45358</v>
      </c>
      <c r="B1016" s="5">
        <v>1.73</v>
      </c>
    </row>
    <row r="1017" spans="1:2" x14ac:dyDescent="0.3">
      <c r="A1017" s="4">
        <v>45359</v>
      </c>
      <c r="B1017" s="5">
        <v>1.8</v>
      </c>
    </row>
    <row r="1018" spans="1:2" x14ac:dyDescent="0.3">
      <c r="A1018" s="4">
        <v>45362</v>
      </c>
      <c r="B1018" s="5">
        <v>1.57</v>
      </c>
    </row>
    <row r="1019" spans="1:2" x14ac:dyDescent="0.3">
      <c r="A1019" s="4">
        <v>45363</v>
      </c>
      <c r="B1019" s="5">
        <v>1.59</v>
      </c>
    </row>
    <row r="1020" spans="1:2" x14ac:dyDescent="0.3">
      <c r="A1020" s="4">
        <v>45364</v>
      </c>
      <c r="B1020" s="5">
        <v>1.76</v>
      </c>
    </row>
    <row r="1021" spans="1:2" x14ac:dyDescent="0.3">
      <c r="A1021" s="4">
        <v>45365</v>
      </c>
      <c r="B1021" s="5">
        <v>1.7</v>
      </c>
    </row>
    <row r="1022" spans="1:2" x14ac:dyDescent="0.3">
      <c r="A1022" s="4">
        <v>45366</v>
      </c>
      <c r="B1022" s="5">
        <v>1.5</v>
      </c>
    </row>
    <row r="1023" spans="1:2" x14ac:dyDescent="0.3">
      <c r="A1023" s="4">
        <v>45369</v>
      </c>
      <c r="B1023" s="5">
        <v>1.74</v>
      </c>
    </row>
    <row r="1024" spans="1:2" x14ac:dyDescent="0.3">
      <c r="A1024" s="4">
        <v>45370</v>
      </c>
      <c r="B1024" s="5">
        <v>1.76</v>
      </c>
    </row>
    <row r="1025" spans="1:2" x14ac:dyDescent="0.3">
      <c r="A1025" s="4">
        <v>45371</v>
      </c>
      <c r="B1025" s="5">
        <v>1.76</v>
      </c>
    </row>
    <row r="1026" spans="1:2" x14ac:dyDescent="0.3">
      <c r="A1026" s="4">
        <v>45372</v>
      </c>
      <c r="B1026" s="5">
        <v>1.75</v>
      </c>
    </row>
    <row r="1027" spans="1:2" x14ac:dyDescent="0.3">
      <c r="A1027" s="4">
        <v>45373</v>
      </c>
      <c r="B1027" s="5">
        <v>1.77</v>
      </c>
    </row>
    <row r="1028" spans="1:2" x14ac:dyDescent="0.3">
      <c r="A1028" s="4">
        <v>45376</v>
      </c>
      <c r="B1028" s="5">
        <v>1.9</v>
      </c>
    </row>
    <row r="1029" spans="1:2" x14ac:dyDescent="0.3">
      <c r="A1029" s="4">
        <v>45377</v>
      </c>
      <c r="B1029" s="5">
        <v>1.6</v>
      </c>
    </row>
    <row r="1030" spans="1:2" x14ac:dyDescent="0.3">
      <c r="A1030" s="4">
        <v>45378</v>
      </c>
      <c r="B1030" s="5">
        <v>1.4</v>
      </c>
    </row>
    <row r="1031" spans="1:2" x14ac:dyDescent="0.3">
      <c r="A1031" s="4">
        <v>45379</v>
      </c>
      <c r="B1031" s="5">
        <v>1.6</v>
      </c>
    </row>
    <row r="1032" spans="1:2" x14ac:dyDescent="0.3">
      <c r="A1032" s="4">
        <v>45380</v>
      </c>
      <c r="B1032" s="5">
        <v>1.46</v>
      </c>
    </row>
    <row r="1033" spans="1:2" x14ac:dyDescent="0.3">
      <c r="A1033" s="4">
        <v>45383</v>
      </c>
      <c r="B1033" s="5">
        <v>1.35</v>
      </c>
    </row>
    <row r="1034" spans="1:2" x14ac:dyDescent="0.3">
      <c r="A1034" s="4">
        <v>45384</v>
      </c>
      <c r="B1034" s="5">
        <v>1.55</v>
      </c>
    </row>
    <row r="1035" spans="1:2" x14ac:dyDescent="0.3">
      <c r="A1035" s="4">
        <v>45385</v>
      </c>
      <c r="B1035" s="5">
        <v>1.75</v>
      </c>
    </row>
    <row r="1036" spans="1:2" x14ac:dyDescent="0.3">
      <c r="A1036" s="4">
        <v>45390</v>
      </c>
      <c r="B1036" s="5">
        <v>1.55</v>
      </c>
    </row>
    <row r="1037" spans="1:2" x14ac:dyDescent="0.3">
      <c r="A1037" s="4">
        <v>45391</v>
      </c>
      <c r="B1037" s="5">
        <v>1.5</v>
      </c>
    </row>
    <row r="1038" spans="1:2" x14ac:dyDescent="0.3">
      <c r="A1038" s="4">
        <v>45392</v>
      </c>
      <c r="B1038" s="5">
        <v>1.7</v>
      </c>
    </row>
    <row r="1039" spans="1:2" x14ac:dyDescent="0.3">
      <c r="A1039" s="4">
        <v>45393</v>
      </c>
      <c r="B1039" s="5">
        <v>1.8</v>
      </c>
    </row>
    <row r="1040" spans="1:2" x14ac:dyDescent="0.3">
      <c r="A1040" s="4">
        <v>45394</v>
      </c>
      <c r="B1040" s="5">
        <v>1.72</v>
      </c>
    </row>
    <row r="1041" spans="1:2" x14ac:dyDescent="0.3">
      <c r="A1041" s="4">
        <v>45397</v>
      </c>
      <c r="B1041" s="5">
        <v>1.8</v>
      </c>
    </row>
    <row r="1042" spans="1:2" x14ac:dyDescent="0.3">
      <c r="A1042" s="4">
        <v>45398</v>
      </c>
      <c r="B1042" s="5">
        <v>1.72</v>
      </c>
    </row>
    <row r="1043" spans="1:2" x14ac:dyDescent="0.3">
      <c r="A1043" s="4">
        <v>45399</v>
      </c>
      <c r="B1043" s="5">
        <v>1.75</v>
      </c>
    </row>
    <row r="1044" spans="1:2" x14ac:dyDescent="0.3">
      <c r="A1044" s="4">
        <v>45400</v>
      </c>
      <c r="B1044" s="5">
        <v>1.55</v>
      </c>
    </row>
    <row r="1045" spans="1:2" x14ac:dyDescent="0.3">
      <c r="A1045" s="4">
        <v>45401</v>
      </c>
      <c r="B1045" s="5">
        <v>1.75</v>
      </c>
    </row>
    <row r="1046" spans="1:2" x14ac:dyDescent="0.3">
      <c r="A1046" s="4">
        <v>45404</v>
      </c>
      <c r="B1046" s="5">
        <v>1.5</v>
      </c>
    </row>
    <row r="1047" spans="1:2" x14ac:dyDescent="0.3">
      <c r="A1047" s="4">
        <v>45405</v>
      </c>
      <c r="B1047" s="5">
        <v>1.75</v>
      </c>
    </row>
    <row r="1048" spans="1:2" x14ac:dyDescent="0.3">
      <c r="A1048" s="4">
        <v>45406</v>
      </c>
      <c r="B1048" s="5">
        <v>1.64</v>
      </c>
    </row>
    <row r="1049" spans="1:2" x14ac:dyDescent="0.3">
      <c r="A1049" s="4">
        <v>45407</v>
      </c>
      <c r="B1049" s="5">
        <v>1.85</v>
      </c>
    </row>
    <row r="1050" spans="1:2" x14ac:dyDescent="0.3">
      <c r="A1050" s="4">
        <v>45408</v>
      </c>
      <c r="B1050" s="5">
        <v>1.59</v>
      </c>
    </row>
    <row r="1051" spans="1:2" x14ac:dyDescent="0.3">
      <c r="A1051" s="4">
        <v>45411</v>
      </c>
      <c r="B1051" s="5">
        <v>1.65</v>
      </c>
    </row>
    <row r="1052" spans="1:2" x14ac:dyDescent="0.3">
      <c r="A1052" s="4">
        <v>45412</v>
      </c>
      <c r="B1052" s="5">
        <v>1.9</v>
      </c>
    </row>
    <row r="1053" spans="1:2" x14ac:dyDescent="0.3">
      <c r="A1053" s="4">
        <v>45418</v>
      </c>
      <c r="B1053" s="5">
        <v>1.4</v>
      </c>
    </row>
    <row r="1054" spans="1:2" x14ac:dyDescent="0.3">
      <c r="A1054" s="4">
        <v>45419</v>
      </c>
      <c r="B1054" s="5">
        <v>1.65</v>
      </c>
    </row>
    <row r="1055" spans="1:2" x14ac:dyDescent="0.3">
      <c r="A1055" s="4">
        <v>45420</v>
      </c>
      <c r="B1055" s="5">
        <v>1.4</v>
      </c>
    </row>
    <row r="1056" spans="1:2" x14ac:dyDescent="0.3">
      <c r="A1056" s="4">
        <v>45421</v>
      </c>
      <c r="B1056" s="5">
        <v>1.65</v>
      </c>
    </row>
    <row r="1057" spans="1:2" x14ac:dyDescent="0.3">
      <c r="A1057" s="4">
        <v>45422</v>
      </c>
      <c r="B1057" s="5">
        <v>1.81</v>
      </c>
    </row>
    <row r="1058" spans="1:2" x14ac:dyDescent="0.3">
      <c r="A1058" s="4">
        <v>45425</v>
      </c>
      <c r="B1058" s="5">
        <v>1.45</v>
      </c>
    </row>
    <row r="1059" spans="1:2" x14ac:dyDescent="0.3">
      <c r="A1059" s="4">
        <v>45426</v>
      </c>
      <c r="B1059" s="5">
        <v>1.55</v>
      </c>
    </row>
    <row r="1060" spans="1:2" x14ac:dyDescent="0.3">
      <c r="A1060" s="4">
        <v>45427</v>
      </c>
      <c r="B1060" s="5">
        <v>1.7</v>
      </c>
    </row>
    <row r="1061" spans="1:2" x14ac:dyDescent="0.3">
      <c r="A1061" s="4">
        <v>45428</v>
      </c>
      <c r="B1061" s="5">
        <v>1.77</v>
      </c>
    </row>
    <row r="1062" spans="1:2" x14ac:dyDescent="0.3">
      <c r="A1062" s="4">
        <v>45429</v>
      </c>
      <c r="B1062" s="5">
        <v>1.72</v>
      </c>
    </row>
    <row r="1063" spans="1:2" x14ac:dyDescent="0.3">
      <c r="A1063" s="4">
        <v>45432</v>
      </c>
      <c r="B1063" s="5">
        <v>1.72</v>
      </c>
    </row>
    <row r="1064" spans="1:2" x14ac:dyDescent="0.3">
      <c r="A1064" s="4">
        <v>45433</v>
      </c>
      <c r="B1064" s="5">
        <v>1.5</v>
      </c>
    </row>
    <row r="1065" spans="1:2" x14ac:dyDescent="0.3">
      <c r="A1065" s="4">
        <v>45434</v>
      </c>
      <c r="B1065" s="5">
        <v>1.65</v>
      </c>
    </row>
    <row r="1066" spans="1:2" x14ac:dyDescent="0.3">
      <c r="A1066" s="4">
        <v>45435</v>
      </c>
      <c r="B1066" s="5">
        <v>1.5</v>
      </c>
    </row>
    <row r="1067" spans="1:2" x14ac:dyDescent="0.3">
      <c r="A1067" s="4">
        <v>45436</v>
      </c>
      <c r="B1067" s="5">
        <v>1.75</v>
      </c>
    </row>
    <row r="1068" spans="1:2" x14ac:dyDescent="0.3">
      <c r="A1068" s="4">
        <v>45439</v>
      </c>
      <c r="B1068" s="5">
        <v>1.78</v>
      </c>
    </row>
    <row r="1069" spans="1:2" x14ac:dyDescent="0.3">
      <c r="A1069" s="4">
        <v>45440</v>
      </c>
      <c r="B1069" s="5">
        <v>1.44</v>
      </c>
    </row>
    <row r="1070" spans="1:2" x14ac:dyDescent="0.3">
      <c r="A1070" s="4">
        <v>45441</v>
      </c>
      <c r="B1070" s="5">
        <v>1.55</v>
      </c>
    </row>
    <row r="1071" spans="1:2" x14ac:dyDescent="0.3">
      <c r="A1071" s="4">
        <v>45442</v>
      </c>
      <c r="B1071" s="5">
        <v>1.63</v>
      </c>
    </row>
    <row r="1072" spans="1:2" x14ac:dyDescent="0.3">
      <c r="A1072" s="4">
        <v>45443</v>
      </c>
      <c r="B1072" s="5">
        <v>1.85</v>
      </c>
    </row>
    <row r="1073" spans="1:2" x14ac:dyDescent="0.3">
      <c r="A1073" s="4">
        <v>45446</v>
      </c>
      <c r="B1073" s="5">
        <v>2</v>
      </c>
    </row>
    <row r="1074" spans="1:2" x14ac:dyDescent="0.3">
      <c r="A1074" s="4">
        <v>45447</v>
      </c>
      <c r="B1074" s="5">
        <v>1.5</v>
      </c>
    </row>
    <row r="1075" spans="1:2" x14ac:dyDescent="0.3">
      <c r="A1075" s="4">
        <v>45448</v>
      </c>
      <c r="B1075" s="5">
        <v>1.8</v>
      </c>
    </row>
    <row r="1076" spans="1:2" x14ac:dyDescent="0.3">
      <c r="A1076" s="4">
        <v>45449</v>
      </c>
      <c r="B1076" s="5">
        <v>1.7</v>
      </c>
    </row>
    <row r="1077" spans="1:2" x14ac:dyDescent="0.3">
      <c r="A1077" s="4">
        <v>45450</v>
      </c>
      <c r="B1077" s="5">
        <v>1.73</v>
      </c>
    </row>
    <row r="1078" spans="1:2" x14ac:dyDescent="0.3">
      <c r="A1078" s="4">
        <v>45454</v>
      </c>
      <c r="B1078" s="5">
        <v>1.69</v>
      </c>
    </row>
    <row r="1079" spans="1:2" x14ac:dyDescent="0.3">
      <c r="A1079" s="4">
        <v>45455</v>
      </c>
      <c r="B1079" s="5">
        <v>1.5</v>
      </c>
    </row>
    <row r="1080" spans="1:2" x14ac:dyDescent="0.3">
      <c r="A1080" s="4">
        <v>45456</v>
      </c>
      <c r="B1080" s="5">
        <v>1.65</v>
      </c>
    </row>
    <row r="1081" spans="1:2" x14ac:dyDescent="0.3">
      <c r="A1081" s="4">
        <v>45457</v>
      </c>
      <c r="B1081" s="5">
        <v>1.8</v>
      </c>
    </row>
    <row r="1082" spans="1:2" x14ac:dyDescent="0.3">
      <c r="A1082" s="4">
        <v>45460</v>
      </c>
      <c r="B1082" s="5">
        <v>1.7</v>
      </c>
    </row>
    <row r="1083" spans="1:2" x14ac:dyDescent="0.3">
      <c r="A1083" s="4">
        <v>45461</v>
      </c>
      <c r="B1083" s="5">
        <v>1.8</v>
      </c>
    </row>
    <row r="1084" spans="1:2" x14ac:dyDescent="0.3">
      <c r="A1084" s="4">
        <v>45462</v>
      </c>
      <c r="B1084" s="5">
        <v>1.9</v>
      </c>
    </row>
    <row r="1085" spans="1:2" x14ac:dyDescent="0.3">
      <c r="A1085" s="4">
        <v>45463</v>
      </c>
      <c r="B1085" s="5">
        <v>1.9</v>
      </c>
    </row>
    <row r="1086" spans="1:2" x14ac:dyDescent="0.3">
      <c r="A1086" s="4">
        <v>45464</v>
      </c>
      <c r="B1086" s="5">
        <v>1.7</v>
      </c>
    </row>
    <row r="1087" spans="1:2" x14ac:dyDescent="0.3">
      <c r="A1087" s="4">
        <v>45467</v>
      </c>
      <c r="B1087" s="5">
        <v>1.9</v>
      </c>
    </row>
    <row r="1088" spans="1:2" x14ac:dyDescent="0.3">
      <c r="A1088" s="4">
        <v>45468</v>
      </c>
      <c r="B1088" s="5">
        <v>1.7</v>
      </c>
    </row>
    <row r="1089" spans="1:2" x14ac:dyDescent="0.3">
      <c r="A1089" s="4">
        <v>45469</v>
      </c>
      <c r="B1089" s="5">
        <v>1.5</v>
      </c>
    </row>
    <row r="1090" spans="1:2" x14ac:dyDescent="0.3">
      <c r="A1090" s="4">
        <v>45470</v>
      </c>
      <c r="B1090" s="5">
        <v>1.6</v>
      </c>
    </row>
    <row r="1091" spans="1:2" x14ac:dyDescent="0.3">
      <c r="A1091" s="4">
        <v>45471</v>
      </c>
      <c r="B1091" s="5">
        <v>1.56</v>
      </c>
    </row>
    <row r="1092" spans="1:2" x14ac:dyDescent="0.3">
      <c r="A1092" s="4">
        <v>45474</v>
      </c>
      <c r="B1092" s="5">
        <v>1.4</v>
      </c>
    </row>
    <row r="1093" spans="1:2" x14ac:dyDescent="0.3">
      <c r="A1093" s="4">
        <v>45475</v>
      </c>
      <c r="B1093" s="5">
        <v>1.6</v>
      </c>
    </row>
    <row r="1094" spans="1:2" x14ac:dyDescent="0.3">
      <c r="A1094" s="4">
        <v>45476</v>
      </c>
      <c r="B1094" s="5">
        <v>1.7</v>
      </c>
    </row>
    <row r="1095" spans="1:2" x14ac:dyDescent="0.3">
      <c r="A1095" s="4">
        <v>45477</v>
      </c>
      <c r="B1095" s="5">
        <v>1.5</v>
      </c>
    </row>
    <row r="1096" spans="1:2" x14ac:dyDescent="0.3">
      <c r="A1096" s="4">
        <v>45478</v>
      </c>
      <c r="B1096" s="5">
        <v>1.77</v>
      </c>
    </row>
    <row r="1097" spans="1:2" x14ac:dyDescent="0.3">
      <c r="A1097" s="4">
        <v>45481</v>
      </c>
      <c r="B1097" s="5">
        <v>1.7</v>
      </c>
    </row>
    <row r="1098" spans="1:2" x14ac:dyDescent="0.3">
      <c r="A1098" s="4">
        <v>45482</v>
      </c>
      <c r="B1098" s="5">
        <v>1.7</v>
      </c>
    </row>
    <row r="1099" spans="1:2" x14ac:dyDescent="0.3">
      <c r="A1099" s="4">
        <v>45483</v>
      </c>
      <c r="B1099" s="5">
        <v>1.4</v>
      </c>
    </row>
    <row r="1100" spans="1:2" x14ac:dyDescent="0.3">
      <c r="A1100" s="4">
        <v>45484</v>
      </c>
      <c r="B1100" s="5">
        <v>1.6</v>
      </c>
    </row>
    <row r="1101" spans="1:2" x14ac:dyDescent="0.3">
      <c r="A1101" s="4">
        <v>45485</v>
      </c>
      <c r="B1101" s="5">
        <v>1.69</v>
      </c>
    </row>
    <row r="1102" spans="1:2" x14ac:dyDescent="0.3">
      <c r="A1102" s="4">
        <v>45488</v>
      </c>
      <c r="B1102" s="5">
        <v>1.95</v>
      </c>
    </row>
    <row r="1103" spans="1:2" x14ac:dyDescent="0.3">
      <c r="A1103" s="4">
        <v>45489</v>
      </c>
      <c r="B1103" s="5">
        <v>1.8</v>
      </c>
    </row>
    <row r="1104" spans="1:2" x14ac:dyDescent="0.3">
      <c r="A1104" s="4">
        <v>45490</v>
      </c>
      <c r="B1104" s="5">
        <v>1.9</v>
      </c>
    </row>
    <row r="1105" spans="1:2" x14ac:dyDescent="0.3">
      <c r="A1105" s="4">
        <v>45491</v>
      </c>
      <c r="B1105" s="5">
        <v>1.96</v>
      </c>
    </row>
    <row r="1106" spans="1:2" x14ac:dyDescent="0.3">
      <c r="A1106" s="4">
        <v>45492</v>
      </c>
      <c r="B1106" s="5">
        <v>1.85</v>
      </c>
    </row>
    <row r="1107" spans="1:2" x14ac:dyDescent="0.3">
      <c r="A1107" s="4">
        <v>45495</v>
      </c>
      <c r="B1107" s="5">
        <v>1.69</v>
      </c>
    </row>
    <row r="1108" spans="1:2" x14ac:dyDescent="0.3">
      <c r="A1108" s="4">
        <v>45496</v>
      </c>
      <c r="B1108" s="5">
        <v>1.75</v>
      </c>
    </row>
    <row r="1109" spans="1:2" x14ac:dyDescent="0.3">
      <c r="A1109" s="4">
        <v>45497</v>
      </c>
      <c r="B1109" s="5">
        <v>1.79</v>
      </c>
    </row>
    <row r="1110" spans="1:2" x14ac:dyDescent="0.3">
      <c r="A1110" s="4">
        <v>45498</v>
      </c>
      <c r="B1110" s="5">
        <v>1.6</v>
      </c>
    </row>
    <row r="1111" spans="1:2" x14ac:dyDescent="0.3">
      <c r="A1111" s="4">
        <v>45499</v>
      </c>
      <c r="B1111" s="5">
        <v>1.69</v>
      </c>
    </row>
    <row r="1112" spans="1:2" x14ac:dyDescent="0.3">
      <c r="A1112" s="4">
        <v>45502</v>
      </c>
      <c r="B1112" s="5">
        <v>1.6</v>
      </c>
    </row>
    <row r="1113" spans="1:2" x14ac:dyDescent="0.3">
      <c r="A1113" s="4">
        <v>45503</v>
      </c>
      <c r="B1113" s="5">
        <v>1.64</v>
      </c>
    </row>
    <row r="1114" spans="1:2" x14ac:dyDescent="0.3">
      <c r="A1114" s="4">
        <v>45504</v>
      </c>
      <c r="B1114" s="5">
        <v>1.6</v>
      </c>
    </row>
    <row r="1115" spans="1:2" x14ac:dyDescent="0.3">
      <c r="A1115" s="4">
        <v>45505</v>
      </c>
      <c r="B1115" s="5">
        <v>1.6</v>
      </c>
    </row>
    <row r="1116" spans="1:2" x14ac:dyDescent="0.3">
      <c r="A1116" s="4">
        <v>45506</v>
      </c>
      <c r="B1116" s="5">
        <v>1.56</v>
      </c>
    </row>
    <row r="1117" spans="1:2" x14ac:dyDescent="0.3">
      <c r="A1117" s="4">
        <v>45509</v>
      </c>
      <c r="B1117" s="5">
        <v>1.5</v>
      </c>
    </row>
    <row r="1118" spans="1:2" x14ac:dyDescent="0.3">
      <c r="A1118" s="4">
        <v>45510</v>
      </c>
      <c r="B1118" s="5">
        <v>1.61</v>
      </c>
    </row>
    <row r="1119" spans="1:2" x14ac:dyDescent="0.3">
      <c r="A1119" s="4">
        <v>45511</v>
      </c>
      <c r="B1119" s="5">
        <v>1.65</v>
      </c>
    </row>
    <row r="1120" spans="1:2" x14ac:dyDescent="0.3">
      <c r="A1120" s="4">
        <v>45512</v>
      </c>
      <c r="B1120" s="5">
        <v>1.8</v>
      </c>
    </row>
    <row r="1121" spans="1:2" x14ac:dyDescent="0.3">
      <c r="A1121" s="4">
        <v>45513</v>
      </c>
      <c r="B1121" s="5">
        <v>1.8</v>
      </c>
    </row>
    <row r="1122" spans="1:2" x14ac:dyDescent="0.3">
      <c r="A1122" s="4">
        <v>45516</v>
      </c>
      <c r="B1122" s="5">
        <v>2.02</v>
      </c>
    </row>
    <row r="1123" spans="1:2" x14ac:dyDescent="0.3">
      <c r="A1123" s="4">
        <v>45517</v>
      </c>
      <c r="B1123" s="5">
        <v>1.65</v>
      </c>
    </row>
    <row r="1124" spans="1:2" x14ac:dyDescent="0.3">
      <c r="A1124" s="4">
        <v>45518</v>
      </c>
      <c r="B1124" s="5">
        <v>1.88</v>
      </c>
    </row>
    <row r="1125" spans="1:2" x14ac:dyDescent="0.3">
      <c r="A1125" s="4">
        <v>45519</v>
      </c>
      <c r="B1125" s="5">
        <v>1.7</v>
      </c>
    </row>
    <row r="1126" spans="1:2" x14ac:dyDescent="0.3">
      <c r="A1126" s="4">
        <v>45520</v>
      </c>
      <c r="B1126" s="5">
        <v>1.85</v>
      </c>
    </row>
    <row r="1127" spans="1:2" x14ac:dyDescent="0.3">
      <c r="A1127" s="4">
        <v>45523</v>
      </c>
      <c r="B1127" s="5">
        <v>1.9</v>
      </c>
    </row>
    <row r="1128" spans="1:2" x14ac:dyDescent="0.3">
      <c r="A1128" s="4">
        <v>45524</v>
      </c>
      <c r="B1128" s="5">
        <v>1.85</v>
      </c>
    </row>
    <row r="1129" spans="1:2" x14ac:dyDescent="0.3">
      <c r="A1129" s="4">
        <v>45525</v>
      </c>
      <c r="B1129" s="5">
        <v>1.7</v>
      </c>
    </row>
    <row r="1130" spans="1:2" x14ac:dyDescent="0.3">
      <c r="A1130" s="4">
        <v>45526</v>
      </c>
      <c r="B1130" s="5">
        <v>1.75</v>
      </c>
    </row>
    <row r="1131" spans="1:2" x14ac:dyDescent="0.3">
      <c r="A1131" s="4">
        <v>45527</v>
      </c>
      <c r="B1131" s="5">
        <v>1.82</v>
      </c>
    </row>
    <row r="1132" spans="1:2" x14ac:dyDescent="0.3">
      <c r="A1132" s="4">
        <v>45530</v>
      </c>
      <c r="B1132" s="5">
        <v>1.5</v>
      </c>
    </row>
    <row r="1133" spans="1:2" x14ac:dyDescent="0.3">
      <c r="A1133" s="4">
        <v>45531</v>
      </c>
      <c r="B1133" s="5">
        <v>1.4</v>
      </c>
    </row>
    <row r="1134" spans="1:2" x14ac:dyDescent="0.3">
      <c r="A1134" s="4">
        <v>45532</v>
      </c>
      <c r="B1134" s="5">
        <v>1.5</v>
      </c>
    </row>
    <row r="1135" spans="1:2" x14ac:dyDescent="0.3">
      <c r="A1135" s="4">
        <v>45533</v>
      </c>
      <c r="B1135" s="5">
        <v>1.49</v>
      </c>
    </row>
    <row r="1136" spans="1:2" x14ac:dyDescent="0.3">
      <c r="A1136" s="4">
        <v>45534</v>
      </c>
      <c r="B1136" s="5">
        <v>1.65</v>
      </c>
    </row>
    <row r="1137" spans="1:2" x14ac:dyDescent="0.3">
      <c r="A1137" s="4">
        <v>45537</v>
      </c>
      <c r="B1137" s="5">
        <v>1.52</v>
      </c>
    </row>
    <row r="1138" spans="1:2" x14ac:dyDescent="0.3">
      <c r="A1138" s="4">
        <v>45538</v>
      </c>
      <c r="B1138" s="5">
        <v>1.49</v>
      </c>
    </row>
    <row r="1139" spans="1:2" x14ac:dyDescent="0.3">
      <c r="A1139" s="4">
        <v>45539</v>
      </c>
      <c r="B1139" s="5">
        <v>1.54</v>
      </c>
    </row>
    <row r="1140" spans="1:2" x14ac:dyDescent="0.3">
      <c r="A1140" s="4">
        <v>45540</v>
      </c>
      <c r="B1140" s="5">
        <v>1.54</v>
      </c>
    </row>
    <row r="1141" spans="1:2" x14ac:dyDescent="0.3">
      <c r="A1141" s="4">
        <v>45541</v>
      </c>
      <c r="B1141" s="5">
        <v>1.75</v>
      </c>
    </row>
    <row r="1142" spans="1:2" x14ac:dyDescent="0.3">
      <c r="A1142" s="4">
        <v>45544</v>
      </c>
      <c r="B1142" s="5">
        <v>1.75</v>
      </c>
    </row>
    <row r="1143" spans="1:2" x14ac:dyDescent="0.3">
      <c r="A1143" s="4">
        <v>45545</v>
      </c>
      <c r="B1143" s="5">
        <v>1.64</v>
      </c>
    </row>
    <row r="1144" spans="1:2" x14ac:dyDescent="0.3">
      <c r="A1144" s="4">
        <v>45546</v>
      </c>
      <c r="B1144" s="5">
        <v>1.65</v>
      </c>
    </row>
    <row r="1145" spans="1:2" x14ac:dyDescent="0.3">
      <c r="A1145" s="4">
        <v>45547</v>
      </c>
      <c r="B1145" s="5">
        <v>1.7</v>
      </c>
    </row>
    <row r="1146" spans="1:2" x14ac:dyDescent="0.3">
      <c r="A1146" s="4">
        <v>45548</v>
      </c>
      <c r="B1146" s="5">
        <v>1.67</v>
      </c>
    </row>
    <row r="1147" spans="1:2" x14ac:dyDescent="0.3">
      <c r="A1147" s="4">
        <v>45553</v>
      </c>
      <c r="B1147" s="5">
        <v>2</v>
      </c>
    </row>
    <row r="1148" spans="1:2" x14ac:dyDescent="0.3">
      <c r="A1148" s="4">
        <v>45554</v>
      </c>
      <c r="B1148" s="5">
        <v>1.75</v>
      </c>
    </row>
    <row r="1149" spans="1:2" x14ac:dyDescent="0.3">
      <c r="A1149" s="4">
        <v>45555</v>
      </c>
      <c r="B1149" s="5">
        <v>1.85</v>
      </c>
    </row>
    <row r="1150" spans="1:2" x14ac:dyDescent="0.3">
      <c r="A1150" s="4">
        <v>45558</v>
      </c>
      <c r="B1150" s="5">
        <v>1.8</v>
      </c>
    </row>
    <row r="1151" spans="1:2" x14ac:dyDescent="0.3">
      <c r="A1151" s="4">
        <v>45559</v>
      </c>
      <c r="B1151" s="5">
        <v>1.5</v>
      </c>
    </row>
    <row r="1152" spans="1:2" x14ac:dyDescent="0.3">
      <c r="A1152" s="4">
        <v>45560</v>
      </c>
      <c r="B1152" s="5">
        <v>1.63</v>
      </c>
    </row>
    <row r="1153" spans="1:2" x14ac:dyDescent="0.3">
      <c r="A1153" s="4">
        <v>45561</v>
      </c>
      <c r="B1153" s="5">
        <v>1.47</v>
      </c>
    </row>
    <row r="1154" spans="1:2" x14ac:dyDescent="0.3">
      <c r="A1154" s="4">
        <v>45562</v>
      </c>
      <c r="B1154" s="5">
        <v>1.35</v>
      </c>
    </row>
    <row r="1155" spans="1:2" x14ac:dyDescent="0.3">
      <c r="A1155" s="4">
        <v>45565</v>
      </c>
      <c r="B1155" s="5">
        <v>1.35</v>
      </c>
    </row>
    <row r="1156" spans="1:2" x14ac:dyDescent="0.3">
      <c r="A1156" s="4">
        <v>45573</v>
      </c>
      <c r="B1156" s="5">
        <v>1.49</v>
      </c>
    </row>
    <row r="1157" spans="1:2" x14ac:dyDescent="0.3">
      <c r="A1157" s="4">
        <v>45574</v>
      </c>
      <c r="B1157" s="5">
        <v>1.3</v>
      </c>
    </row>
    <row r="1158" spans="1:2" x14ac:dyDescent="0.3">
      <c r="A1158" s="4">
        <v>45575</v>
      </c>
      <c r="B1158" s="5">
        <v>1.45</v>
      </c>
    </row>
    <row r="1159" spans="1:2" x14ac:dyDescent="0.3">
      <c r="A1159" s="4">
        <v>45576</v>
      </c>
      <c r="B1159" s="5">
        <v>1.4</v>
      </c>
    </row>
    <row r="1160" spans="1:2" x14ac:dyDescent="0.3">
      <c r="A1160" s="4">
        <v>45579</v>
      </c>
      <c r="B1160" s="5">
        <v>1.3</v>
      </c>
    </row>
    <row r="1161" spans="1:2" x14ac:dyDescent="0.3">
      <c r="A1161" s="4">
        <v>45580</v>
      </c>
      <c r="B1161" s="5">
        <v>1.42</v>
      </c>
    </row>
    <row r="1162" spans="1:2" x14ac:dyDescent="0.3">
      <c r="A1162" s="4">
        <v>45581</v>
      </c>
      <c r="B1162" s="5">
        <v>1.6</v>
      </c>
    </row>
    <row r="1163" spans="1:2" x14ac:dyDescent="0.3">
      <c r="A1163" s="4">
        <v>45582</v>
      </c>
      <c r="B1163" s="5">
        <v>1.43</v>
      </c>
    </row>
    <row r="1164" spans="1:2" x14ac:dyDescent="0.3">
      <c r="A1164" s="4">
        <v>45583</v>
      </c>
      <c r="B1164" s="5">
        <v>1.6</v>
      </c>
    </row>
    <row r="1165" spans="1:2" x14ac:dyDescent="0.3">
      <c r="A1165" s="4">
        <v>45586</v>
      </c>
      <c r="B1165" s="5">
        <v>1.25</v>
      </c>
    </row>
    <row r="1166" spans="1:2" x14ac:dyDescent="0.3">
      <c r="A1166" s="4">
        <v>45587</v>
      </c>
      <c r="B1166" s="5">
        <v>1.52</v>
      </c>
    </row>
    <row r="1167" spans="1:2" x14ac:dyDescent="0.3">
      <c r="A1167" s="4">
        <v>45588</v>
      </c>
      <c r="B1167" s="5">
        <v>1.4</v>
      </c>
    </row>
    <row r="1168" spans="1:2" x14ac:dyDescent="0.3">
      <c r="A1168" s="4">
        <v>45589</v>
      </c>
      <c r="B1168" s="5">
        <v>1.38</v>
      </c>
    </row>
    <row r="1169" spans="1:2" x14ac:dyDescent="0.3">
      <c r="A1169" s="4">
        <v>45590</v>
      </c>
      <c r="B1169" s="5">
        <v>1.5</v>
      </c>
    </row>
    <row r="1170" spans="1:2" x14ac:dyDescent="0.3">
      <c r="A1170" s="4">
        <v>45593</v>
      </c>
      <c r="B1170" s="5">
        <v>1.3</v>
      </c>
    </row>
    <row r="1171" spans="1:2" x14ac:dyDescent="0.3">
      <c r="A1171" s="4">
        <v>45594</v>
      </c>
      <c r="B1171" s="5">
        <v>1.3</v>
      </c>
    </row>
    <row r="1172" spans="1:2" x14ac:dyDescent="0.3">
      <c r="A1172" s="4">
        <v>45595</v>
      </c>
      <c r="B1172" s="5">
        <v>1.3</v>
      </c>
    </row>
    <row r="1173" spans="1:2" x14ac:dyDescent="0.3">
      <c r="A1173" s="4">
        <v>45596</v>
      </c>
      <c r="B1173" s="5">
        <v>1.2</v>
      </c>
    </row>
    <row r="1174" spans="1:2" x14ac:dyDescent="0.3">
      <c r="A1174" s="4">
        <v>45597</v>
      </c>
      <c r="B1174" s="5">
        <v>1.55</v>
      </c>
    </row>
    <row r="1175" spans="1:2" x14ac:dyDescent="0.3">
      <c r="A1175" s="4">
        <v>45600</v>
      </c>
      <c r="B1175" s="5">
        <v>1.2</v>
      </c>
    </row>
    <row r="1176" spans="1:2" x14ac:dyDescent="0.3">
      <c r="A1176" s="4">
        <v>45601</v>
      </c>
      <c r="B1176" s="5">
        <v>1.3</v>
      </c>
    </row>
    <row r="1177" spans="1:2" x14ac:dyDescent="0.3">
      <c r="A1177" s="4">
        <v>45602</v>
      </c>
      <c r="B1177" s="5">
        <v>1.33</v>
      </c>
    </row>
    <row r="1178" spans="1:2" x14ac:dyDescent="0.3">
      <c r="A1178" s="4">
        <v>45603</v>
      </c>
      <c r="B1178" s="5">
        <v>1.6</v>
      </c>
    </row>
    <row r="1179" spans="1:2" x14ac:dyDescent="0.3">
      <c r="A1179" s="4">
        <v>45604</v>
      </c>
      <c r="B1179" s="5">
        <v>1.52</v>
      </c>
    </row>
    <row r="1180" spans="1:2" x14ac:dyDescent="0.3">
      <c r="A1180" s="4">
        <v>45607</v>
      </c>
      <c r="B1180" s="5">
        <v>1.6</v>
      </c>
    </row>
    <row r="1181" spans="1:2" x14ac:dyDescent="0.3">
      <c r="A1181" s="4">
        <v>45608</v>
      </c>
      <c r="B1181" s="5">
        <v>1.5</v>
      </c>
    </row>
    <row r="1182" spans="1:2" x14ac:dyDescent="0.3">
      <c r="A1182" s="4">
        <v>45609</v>
      </c>
      <c r="B1182" s="5">
        <v>1.7</v>
      </c>
    </row>
    <row r="1183" spans="1:2" x14ac:dyDescent="0.3">
      <c r="A1183" s="4">
        <v>45610</v>
      </c>
      <c r="B1183" s="5">
        <v>1.4</v>
      </c>
    </row>
    <row r="1184" spans="1:2" x14ac:dyDescent="0.3">
      <c r="A1184" s="4">
        <v>45611</v>
      </c>
      <c r="B1184" s="5">
        <v>1.52</v>
      </c>
    </row>
    <row r="1185" spans="1:2" x14ac:dyDescent="0.3">
      <c r="A1185" s="4">
        <v>45614</v>
      </c>
      <c r="B1185" s="5">
        <v>1.47</v>
      </c>
    </row>
    <row r="1186" spans="1:2" x14ac:dyDescent="0.3">
      <c r="A1186" s="4">
        <v>45615</v>
      </c>
      <c r="B1186" s="5">
        <v>1.4</v>
      </c>
    </row>
    <row r="1187" spans="1:2" x14ac:dyDescent="0.3">
      <c r="A1187" s="4">
        <v>45616</v>
      </c>
      <c r="B1187" s="5">
        <v>1.45</v>
      </c>
    </row>
    <row r="1188" spans="1:2" x14ac:dyDescent="0.3">
      <c r="A1188" s="4">
        <v>45617</v>
      </c>
      <c r="B1188" s="5">
        <v>1.46</v>
      </c>
    </row>
    <row r="1189" spans="1:2" x14ac:dyDescent="0.3">
      <c r="A1189" s="4">
        <v>45618</v>
      </c>
      <c r="B1189" s="5">
        <v>1.8</v>
      </c>
    </row>
    <row r="1190" spans="1:2" x14ac:dyDescent="0.3">
      <c r="A1190" s="4">
        <v>45621</v>
      </c>
      <c r="B1190" s="5">
        <v>1.47</v>
      </c>
    </row>
    <row r="1191" spans="1:2" x14ac:dyDescent="0.3">
      <c r="A1191" s="4">
        <v>45622</v>
      </c>
      <c r="B1191" s="5">
        <v>1.18</v>
      </c>
    </row>
    <row r="1192" spans="1:2" x14ac:dyDescent="0.3">
      <c r="A1192" s="4">
        <v>45623</v>
      </c>
      <c r="B1192" s="5">
        <v>1.27</v>
      </c>
    </row>
    <row r="1193" spans="1:2" x14ac:dyDescent="0.3">
      <c r="A1193" s="4">
        <v>45624</v>
      </c>
      <c r="B1193" s="5">
        <v>1.3</v>
      </c>
    </row>
    <row r="1194" spans="1:2" x14ac:dyDescent="0.3">
      <c r="A1194" s="4">
        <v>45625</v>
      </c>
      <c r="B1194" s="5">
        <v>1.3</v>
      </c>
    </row>
    <row r="1195" spans="1:2" x14ac:dyDescent="0.3">
      <c r="A1195" s="4">
        <v>45628</v>
      </c>
      <c r="B1195" s="5">
        <v>1.29</v>
      </c>
    </row>
    <row r="1196" spans="1:2" x14ac:dyDescent="0.3">
      <c r="A1196" s="4">
        <v>45629</v>
      </c>
      <c r="B1196" s="5">
        <v>1.37</v>
      </c>
    </row>
    <row r="1197" spans="1:2" x14ac:dyDescent="0.3">
      <c r="A1197" s="4">
        <v>45630</v>
      </c>
      <c r="B1197" s="5">
        <v>1.39</v>
      </c>
    </row>
    <row r="1198" spans="1:2" x14ac:dyDescent="0.3">
      <c r="A1198" s="4">
        <v>45631</v>
      </c>
      <c r="B1198" s="5">
        <v>1.5</v>
      </c>
    </row>
    <row r="1199" spans="1:2" x14ac:dyDescent="0.3">
      <c r="A1199" s="4">
        <v>45632</v>
      </c>
      <c r="B1199" s="5">
        <v>1.5</v>
      </c>
    </row>
    <row r="1200" spans="1:2" x14ac:dyDescent="0.3">
      <c r="A1200" s="4">
        <v>45635</v>
      </c>
      <c r="B1200" s="5">
        <v>1.5</v>
      </c>
    </row>
    <row r="1201" spans="1:2" x14ac:dyDescent="0.3">
      <c r="A1201" s="4">
        <v>45636</v>
      </c>
      <c r="B1201" s="5">
        <v>1.35</v>
      </c>
    </row>
    <row r="1202" spans="1:2" x14ac:dyDescent="0.3">
      <c r="A1202" s="4">
        <v>45637</v>
      </c>
      <c r="B1202" s="5">
        <v>1.45</v>
      </c>
    </row>
    <row r="1203" spans="1:2" x14ac:dyDescent="0.3">
      <c r="A1203" s="4">
        <v>45638</v>
      </c>
      <c r="B1203" s="5">
        <v>1.4</v>
      </c>
    </row>
    <row r="1204" spans="1:2" x14ac:dyDescent="0.3">
      <c r="A1204" s="4">
        <v>45639</v>
      </c>
      <c r="B1204" s="5">
        <v>1.35</v>
      </c>
    </row>
    <row r="1205" spans="1:2" x14ac:dyDescent="0.3">
      <c r="A1205" s="4">
        <v>45642</v>
      </c>
      <c r="B1205" s="5">
        <v>1.45</v>
      </c>
    </row>
    <row r="1206" spans="1:2" x14ac:dyDescent="0.3">
      <c r="A1206" s="4">
        <v>45643</v>
      </c>
      <c r="B1206" s="5">
        <v>1.4</v>
      </c>
    </row>
    <row r="1207" spans="1:2" x14ac:dyDescent="0.3">
      <c r="A1207" s="4">
        <v>45644</v>
      </c>
      <c r="B1207" s="5">
        <v>1.28</v>
      </c>
    </row>
    <row r="1208" spans="1:2" x14ac:dyDescent="0.3">
      <c r="A1208" s="4">
        <v>45645</v>
      </c>
      <c r="B1208" s="5">
        <v>1.55</v>
      </c>
    </row>
    <row r="1209" spans="1:2" x14ac:dyDescent="0.3">
      <c r="A1209" s="4">
        <v>45646</v>
      </c>
      <c r="B1209" s="5">
        <v>1</v>
      </c>
    </row>
    <row r="1210" spans="1:2" x14ac:dyDescent="0.3">
      <c r="A1210" s="4">
        <v>45649</v>
      </c>
      <c r="B1210" s="5">
        <v>1.3</v>
      </c>
    </row>
    <row r="1211" spans="1:2" x14ac:dyDescent="0.3">
      <c r="A1211" s="4">
        <v>45650</v>
      </c>
      <c r="B1211" s="5">
        <v>1.29</v>
      </c>
    </row>
    <row r="1212" spans="1:2" x14ac:dyDescent="0.3">
      <c r="A1212" s="4">
        <v>45651</v>
      </c>
      <c r="B1212" s="5">
        <v>1.3</v>
      </c>
    </row>
    <row r="1213" spans="1:2" x14ac:dyDescent="0.3">
      <c r="A1213" s="4">
        <v>45652</v>
      </c>
      <c r="B1213" s="5">
        <v>1.35</v>
      </c>
    </row>
    <row r="1214" spans="1:2" x14ac:dyDescent="0.3">
      <c r="A1214" s="4">
        <v>45653</v>
      </c>
      <c r="B1214" s="5">
        <v>1.6</v>
      </c>
    </row>
    <row r="1215" spans="1:2" x14ac:dyDescent="0.3">
      <c r="A1215" s="4">
        <v>45656</v>
      </c>
      <c r="B1215" s="5">
        <v>1.35</v>
      </c>
    </row>
    <row r="1216" spans="1:2" x14ac:dyDescent="0.3">
      <c r="A1216" s="4">
        <v>45657</v>
      </c>
      <c r="B1216" s="5">
        <v>1.75</v>
      </c>
    </row>
    <row r="1217" spans="1:2" x14ac:dyDescent="0.3">
      <c r="A1217" s="4">
        <v>45659</v>
      </c>
      <c r="B1217" s="5">
        <v>1.49</v>
      </c>
    </row>
    <row r="1218" spans="1:2" x14ac:dyDescent="0.3">
      <c r="A1218" s="4">
        <v>45660</v>
      </c>
      <c r="B1218" s="5">
        <v>1.4</v>
      </c>
    </row>
    <row r="1219" spans="1:2" x14ac:dyDescent="0.3">
      <c r="A1219" s="4">
        <v>45663</v>
      </c>
      <c r="B1219" s="5">
        <v>1.55</v>
      </c>
    </row>
    <row r="1220" spans="1:2" x14ac:dyDescent="0.3">
      <c r="A1220" s="4">
        <v>45664</v>
      </c>
      <c r="B1220" s="5">
        <v>1.4</v>
      </c>
    </row>
    <row r="1221" spans="1:2" x14ac:dyDescent="0.3">
      <c r="A1221" s="4">
        <v>45665</v>
      </c>
      <c r="B1221" s="5">
        <v>1.4</v>
      </c>
    </row>
    <row r="1222" spans="1:2" x14ac:dyDescent="0.3">
      <c r="A1222" s="4">
        <v>45666</v>
      </c>
      <c r="B1222" s="5">
        <v>1.58</v>
      </c>
    </row>
    <row r="1223" spans="1:2" x14ac:dyDescent="0.3">
      <c r="A1223" s="4">
        <v>45667</v>
      </c>
      <c r="B1223" s="5">
        <v>1.75</v>
      </c>
    </row>
    <row r="1224" spans="1:2" x14ac:dyDescent="0.3">
      <c r="A1224" s="4">
        <v>45670</v>
      </c>
      <c r="B1224" s="5">
        <v>1.85</v>
      </c>
    </row>
    <row r="1225" spans="1:2" x14ac:dyDescent="0.3">
      <c r="A1225" s="4">
        <v>45671</v>
      </c>
      <c r="B1225" s="5">
        <v>1.5</v>
      </c>
    </row>
    <row r="1226" spans="1:2" x14ac:dyDescent="0.3">
      <c r="A1226" s="4">
        <v>45672</v>
      </c>
      <c r="B1226" s="5">
        <v>1.85</v>
      </c>
    </row>
    <row r="1227" spans="1:2" x14ac:dyDescent="0.3">
      <c r="A1227" s="4">
        <v>45673</v>
      </c>
      <c r="B1227" s="5">
        <v>2</v>
      </c>
    </row>
    <row r="1228" spans="1:2" x14ac:dyDescent="0.3">
      <c r="A1228" s="4">
        <v>45674</v>
      </c>
      <c r="B1228" s="5">
        <v>1.5</v>
      </c>
    </row>
    <row r="1229" spans="1:2" x14ac:dyDescent="0.3">
      <c r="A1229" s="4">
        <v>45677</v>
      </c>
      <c r="B1229" s="5">
        <v>1.5</v>
      </c>
    </row>
    <row r="1230" spans="1:2" x14ac:dyDescent="0.3">
      <c r="A1230" s="4">
        <v>45678</v>
      </c>
      <c r="B1230" s="5">
        <v>1.7</v>
      </c>
    </row>
    <row r="1231" spans="1:2" x14ac:dyDescent="0.3">
      <c r="A1231" s="4">
        <v>45679</v>
      </c>
      <c r="B1231" s="5">
        <v>1.85</v>
      </c>
    </row>
    <row r="1232" spans="1:2" x14ac:dyDescent="0.3">
      <c r="A1232" s="4">
        <v>45680</v>
      </c>
      <c r="B1232" s="5">
        <v>1.5</v>
      </c>
    </row>
    <row r="1233" spans="1:2" x14ac:dyDescent="0.3">
      <c r="A1233" s="4">
        <v>45681</v>
      </c>
      <c r="B1233" s="5">
        <v>1.5</v>
      </c>
    </row>
    <row r="1234" spans="1:2" x14ac:dyDescent="0.3">
      <c r="A1234" s="4">
        <v>45684</v>
      </c>
      <c r="B1234" s="5">
        <v>1.7</v>
      </c>
    </row>
    <row r="1235" spans="1:2" x14ac:dyDescent="0.3">
      <c r="A1235" s="4">
        <v>45693</v>
      </c>
      <c r="B1235" s="5">
        <v>1.7</v>
      </c>
    </row>
    <row r="1236" spans="1:2" x14ac:dyDescent="0.3">
      <c r="A1236" s="4">
        <v>45694</v>
      </c>
      <c r="B1236" s="5">
        <v>1.5</v>
      </c>
    </row>
    <row r="1237" spans="1:2" x14ac:dyDescent="0.3">
      <c r="A1237" s="4">
        <v>45695</v>
      </c>
      <c r="B1237" s="5">
        <v>1.8</v>
      </c>
    </row>
    <row r="1238" spans="1:2" x14ac:dyDescent="0.3">
      <c r="A1238" s="4">
        <v>45698</v>
      </c>
      <c r="B1238" s="5">
        <v>1.5</v>
      </c>
    </row>
    <row r="1239" spans="1:2" x14ac:dyDescent="0.3">
      <c r="A1239" s="4">
        <v>45699</v>
      </c>
      <c r="B1239" s="5">
        <v>1.5</v>
      </c>
    </row>
    <row r="1240" spans="1:2" x14ac:dyDescent="0.3">
      <c r="A1240" s="4">
        <v>45700</v>
      </c>
      <c r="B1240" s="5">
        <v>1.7</v>
      </c>
    </row>
    <row r="1241" spans="1:2" x14ac:dyDescent="0.3">
      <c r="A1241" s="4">
        <v>45701</v>
      </c>
      <c r="B1241" s="5">
        <v>1.9</v>
      </c>
    </row>
    <row r="1242" spans="1:2" x14ac:dyDescent="0.3">
      <c r="A1242" s="4">
        <v>45702</v>
      </c>
      <c r="B1242" s="5">
        <v>1.78</v>
      </c>
    </row>
    <row r="1243" spans="1:2" x14ac:dyDescent="0.3">
      <c r="A1243" s="4">
        <v>45705</v>
      </c>
      <c r="B1243" s="5">
        <v>1.9</v>
      </c>
    </row>
    <row r="1244" spans="1:2" x14ac:dyDescent="0.3">
      <c r="A1244" s="4">
        <v>45706</v>
      </c>
      <c r="B1244" s="5">
        <v>1.65</v>
      </c>
    </row>
    <row r="1245" spans="1:2" x14ac:dyDescent="0.3">
      <c r="A1245" s="4">
        <v>45707</v>
      </c>
      <c r="B1245" s="5">
        <v>1.75</v>
      </c>
    </row>
    <row r="1246" spans="1:2" x14ac:dyDescent="0.3">
      <c r="A1246" s="4">
        <v>45708</v>
      </c>
      <c r="B1246" s="5">
        <v>1.946</v>
      </c>
    </row>
    <row r="1247" spans="1:2" x14ac:dyDescent="0.3">
      <c r="A1247" s="4">
        <v>45709</v>
      </c>
      <c r="B1247" s="5">
        <v>1.5</v>
      </c>
    </row>
    <row r="1248" spans="1:2" x14ac:dyDescent="0.3">
      <c r="A1248" s="4">
        <v>45712</v>
      </c>
      <c r="B1248" s="5">
        <v>1.7</v>
      </c>
    </row>
    <row r="1249" spans="1:2" x14ac:dyDescent="0.3">
      <c r="A1249" s="4">
        <v>45713</v>
      </c>
      <c r="B1249" s="5">
        <v>1.8</v>
      </c>
    </row>
    <row r="1250" spans="1:2" x14ac:dyDescent="0.3">
      <c r="A1250" s="4">
        <v>45714</v>
      </c>
      <c r="B1250" s="5">
        <v>1.6</v>
      </c>
    </row>
    <row r="1251" spans="1:2" x14ac:dyDescent="0.3">
      <c r="A1251" s="4">
        <v>45715</v>
      </c>
      <c r="B1251" s="5">
        <v>1.85</v>
      </c>
    </row>
    <row r="1252" spans="1:2" x14ac:dyDescent="0.3">
      <c r="A1252" s="4">
        <v>45716</v>
      </c>
      <c r="B1252" s="5">
        <v>1.6</v>
      </c>
    </row>
    <row r="1253" spans="1:2" x14ac:dyDescent="0.3">
      <c r="A1253" s="4">
        <v>45719</v>
      </c>
      <c r="B1253" s="5">
        <v>1.32</v>
      </c>
    </row>
    <row r="1254" spans="1:2" x14ac:dyDescent="0.3">
      <c r="A1254" s="4">
        <v>45720</v>
      </c>
      <c r="B1254" s="5">
        <v>1.35</v>
      </c>
    </row>
    <row r="1255" spans="1:2" x14ac:dyDescent="0.3">
      <c r="A1255" s="4">
        <v>45721</v>
      </c>
      <c r="B1255" s="5">
        <v>1.6</v>
      </c>
    </row>
    <row r="1256" spans="1:2" x14ac:dyDescent="0.3">
      <c r="A1256" s="4">
        <v>45722</v>
      </c>
      <c r="B1256" s="5">
        <v>1.4</v>
      </c>
    </row>
    <row r="1257" spans="1:2" x14ac:dyDescent="0.3">
      <c r="A1257" s="4">
        <v>45723</v>
      </c>
      <c r="B1257" s="5">
        <v>1.65</v>
      </c>
    </row>
    <row r="1258" spans="1:2" x14ac:dyDescent="0.3">
      <c r="A1258" s="4">
        <v>45726</v>
      </c>
      <c r="B1258" s="5">
        <v>1.55</v>
      </c>
    </row>
    <row r="1259" spans="1:2" x14ac:dyDescent="0.3">
      <c r="A1259" s="4">
        <v>45727</v>
      </c>
      <c r="B1259" s="5">
        <v>1.68</v>
      </c>
    </row>
    <row r="1260" spans="1:2" x14ac:dyDescent="0.3">
      <c r="A1260" s="4">
        <v>45728</v>
      </c>
      <c r="B1260" s="5">
        <v>1.7</v>
      </c>
    </row>
    <row r="1261" spans="1:2" x14ac:dyDescent="0.3">
      <c r="A1261" s="4">
        <v>45729</v>
      </c>
      <c r="B1261" s="5">
        <v>1.78</v>
      </c>
    </row>
    <row r="1262" spans="1:2" x14ac:dyDescent="0.3">
      <c r="A1262" s="4">
        <v>45730</v>
      </c>
      <c r="B1262" s="5">
        <v>1.75</v>
      </c>
    </row>
    <row r="1263" spans="1:2" x14ac:dyDescent="0.3">
      <c r="A1263" s="4">
        <v>45733</v>
      </c>
      <c r="B1263" s="5">
        <v>1.89</v>
      </c>
    </row>
    <row r="1264" spans="1:2" x14ac:dyDescent="0.3">
      <c r="A1264" s="4">
        <v>45734</v>
      </c>
      <c r="B1264" s="5">
        <v>1.78</v>
      </c>
    </row>
    <row r="1265" spans="1:2" x14ac:dyDescent="0.3">
      <c r="A1265" s="4">
        <v>45735</v>
      </c>
      <c r="B1265" s="5">
        <v>1.5</v>
      </c>
    </row>
    <row r="1266" spans="1:2" x14ac:dyDescent="0.3">
      <c r="A1266" s="4">
        <v>45736</v>
      </c>
      <c r="B1266" s="5">
        <v>1.6</v>
      </c>
    </row>
    <row r="1267" spans="1:2" x14ac:dyDescent="0.3">
      <c r="A1267" s="4">
        <v>45737</v>
      </c>
      <c r="B1267" s="5">
        <v>1.75</v>
      </c>
    </row>
    <row r="1268" spans="1:2" x14ac:dyDescent="0.3">
      <c r="A1268" s="4">
        <v>45740</v>
      </c>
      <c r="B1268" s="5">
        <v>1.75</v>
      </c>
    </row>
    <row r="1269" spans="1:2" x14ac:dyDescent="0.3">
      <c r="A1269" s="4">
        <v>45741</v>
      </c>
      <c r="B1269" s="5">
        <v>1.5</v>
      </c>
    </row>
    <row r="1270" spans="1:2" x14ac:dyDescent="0.3">
      <c r="A1270" s="4">
        <v>45742</v>
      </c>
      <c r="B1270" s="5">
        <v>1.41</v>
      </c>
    </row>
    <row r="1271" spans="1:2" x14ac:dyDescent="0.3">
      <c r="A1271" s="4">
        <v>45743</v>
      </c>
      <c r="B1271" s="5">
        <v>1.59</v>
      </c>
    </row>
    <row r="1272" spans="1:2" x14ac:dyDescent="0.3">
      <c r="A1272" s="4">
        <v>45744</v>
      </c>
      <c r="B1272" s="5">
        <v>1.7</v>
      </c>
    </row>
    <row r="1273" spans="1:2" x14ac:dyDescent="0.3">
      <c r="A1273" s="4">
        <v>45747</v>
      </c>
      <c r="B1273" s="5">
        <v>1.5</v>
      </c>
    </row>
    <row r="1274" spans="1:2" x14ac:dyDescent="0.3">
      <c r="A1274" s="4">
        <v>45748</v>
      </c>
      <c r="B1274" s="5">
        <v>1.5</v>
      </c>
    </row>
    <row r="1275" spans="1:2" x14ac:dyDescent="0.3">
      <c r="A1275" s="4">
        <v>45749</v>
      </c>
      <c r="B1275" s="5">
        <v>1.55</v>
      </c>
    </row>
    <row r="1276" spans="1:2" x14ac:dyDescent="0.3">
      <c r="A1276" s="4">
        <v>45750</v>
      </c>
      <c r="B1276" s="5">
        <v>1.7</v>
      </c>
    </row>
    <row r="1277" spans="1:2" x14ac:dyDescent="0.3">
      <c r="A1277" s="4">
        <v>45754</v>
      </c>
      <c r="B1277" s="5">
        <v>1.8</v>
      </c>
    </row>
    <row r="1278" spans="1:2" x14ac:dyDescent="0.3">
      <c r="A1278" s="4">
        <v>45755</v>
      </c>
      <c r="B1278" s="5">
        <v>1.65</v>
      </c>
    </row>
    <row r="1279" spans="1:2" x14ac:dyDescent="0.3">
      <c r="A1279" s="4">
        <v>45756</v>
      </c>
      <c r="B1279" s="5">
        <v>1.35</v>
      </c>
    </row>
    <row r="1280" spans="1:2" x14ac:dyDescent="0.3">
      <c r="A1280" s="4">
        <v>45757</v>
      </c>
      <c r="B1280" s="5">
        <v>1.5</v>
      </c>
    </row>
    <row r="1281" spans="1:2" x14ac:dyDescent="0.3">
      <c r="A1281" s="4">
        <v>45758</v>
      </c>
      <c r="B1281" s="5">
        <v>1.58</v>
      </c>
    </row>
    <row r="1282" spans="1:2" x14ac:dyDescent="0.3">
      <c r="A1282" s="4">
        <v>45761</v>
      </c>
      <c r="B1282" s="5">
        <v>1.5</v>
      </c>
    </row>
    <row r="1283" spans="1:2" x14ac:dyDescent="0.3">
      <c r="A1283" s="4">
        <v>45762</v>
      </c>
      <c r="B1283" s="5">
        <v>1.7</v>
      </c>
    </row>
    <row r="1284" spans="1:2" x14ac:dyDescent="0.3">
      <c r="A1284" s="4">
        <v>45763</v>
      </c>
      <c r="B1284" s="5">
        <v>1.55</v>
      </c>
    </row>
    <row r="1285" spans="1:2" x14ac:dyDescent="0.3">
      <c r="A1285" s="4">
        <v>45764</v>
      </c>
      <c r="B1285" s="5">
        <v>1.66</v>
      </c>
    </row>
    <row r="1286" spans="1:2" x14ac:dyDescent="0.3">
      <c r="A1286" s="4">
        <v>45765</v>
      </c>
      <c r="B1286" s="5">
        <v>1.6</v>
      </c>
    </row>
    <row r="1287" spans="1:2" x14ac:dyDescent="0.3">
      <c r="A1287" s="4">
        <v>45768</v>
      </c>
      <c r="B1287" s="5">
        <v>1.6</v>
      </c>
    </row>
    <row r="1288" spans="1:2" x14ac:dyDescent="0.3">
      <c r="A1288" s="4">
        <v>45769</v>
      </c>
      <c r="B1288" s="5">
        <v>1.5</v>
      </c>
    </row>
    <row r="1289" spans="1:2" x14ac:dyDescent="0.3">
      <c r="A1289" s="4">
        <v>45770</v>
      </c>
      <c r="B1289" s="5">
        <v>1.55</v>
      </c>
    </row>
    <row r="1290" spans="1:2" x14ac:dyDescent="0.3">
      <c r="A1290" s="4">
        <v>45771</v>
      </c>
      <c r="B1290" s="5">
        <v>1.5</v>
      </c>
    </row>
    <row r="1291" spans="1:2" x14ac:dyDescent="0.3">
      <c r="A1291" s="4">
        <v>45772</v>
      </c>
      <c r="B1291" s="5">
        <v>1.67</v>
      </c>
    </row>
    <row r="1292" spans="1:2" x14ac:dyDescent="0.3">
      <c r="A1292" s="4">
        <v>45775</v>
      </c>
      <c r="B1292" s="5">
        <v>1.45</v>
      </c>
    </row>
    <row r="1293" spans="1:2" x14ac:dyDescent="0.3">
      <c r="A1293" s="4">
        <v>45776</v>
      </c>
      <c r="B1293" s="5">
        <v>1.5</v>
      </c>
    </row>
    <row r="1294" spans="1:2" x14ac:dyDescent="0.3">
      <c r="A1294" s="4">
        <v>45777</v>
      </c>
      <c r="B1294" s="5">
        <v>1.78</v>
      </c>
    </row>
    <row r="1295" spans="1:2" x14ac:dyDescent="0.3">
      <c r="A1295" s="4">
        <v>45783</v>
      </c>
      <c r="B1295" s="5">
        <v>1.65</v>
      </c>
    </row>
    <row r="1296" spans="1:2" x14ac:dyDescent="0.3">
      <c r="A1296" s="4">
        <v>45784</v>
      </c>
      <c r="B1296" s="5">
        <v>1.6</v>
      </c>
    </row>
    <row r="1297" spans="1:2" x14ac:dyDescent="0.3">
      <c r="A1297" s="4">
        <v>45785</v>
      </c>
      <c r="B1297" s="5">
        <v>1.55</v>
      </c>
    </row>
    <row r="1298" spans="1:2" x14ac:dyDescent="0.3">
      <c r="A1298" s="4">
        <v>45786</v>
      </c>
      <c r="B1298" s="5">
        <v>1.45</v>
      </c>
    </row>
    <row r="1299" spans="1:2" x14ac:dyDescent="0.3">
      <c r="A1299" s="4">
        <v>45789</v>
      </c>
      <c r="B1299" s="5">
        <v>1.35</v>
      </c>
    </row>
    <row r="1300" spans="1:2" x14ac:dyDescent="0.3">
      <c r="A1300" s="4">
        <v>45790</v>
      </c>
      <c r="B1300" s="5">
        <v>1.5</v>
      </c>
    </row>
    <row r="1301" spans="1:2" x14ac:dyDescent="0.3">
      <c r="A1301" s="4">
        <v>45791</v>
      </c>
      <c r="B1301" s="5">
        <v>1.35</v>
      </c>
    </row>
    <row r="1302" spans="1:2" x14ac:dyDescent="0.3">
      <c r="A1302" s="4">
        <v>45792</v>
      </c>
      <c r="B1302" s="5">
        <v>1.35</v>
      </c>
    </row>
    <row r="1303" spans="1:2" x14ac:dyDescent="0.3">
      <c r="A1303" s="4">
        <v>45793</v>
      </c>
      <c r="B1303" s="5">
        <v>1.48</v>
      </c>
    </row>
    <row r="1304" spans="1:2" x14ac:dyDescent="0.3">
      <c r="A1304" s="4">
        <v>45796</v>
      </c>
      <c r="B1304" s="5">
        <v>1.53</v>
      </c>
    </row>
    <row r="1305" spans="1:2" x14ac:dyDescent="0.3">
      <c r="A1305" s="4">
        <v>45797</v>
      </c>
      <c r="B1305" s="5">
        <v>1.4</v>
      </c>
    </row>
    <row r="1306" spans="1:2" x14ac:dyDescent="0.3">
      <c r="A1306" s="4">
        <v>45798</v>
      </c>
      <c r="B1306" s="5">
        <v>1.4</v>
      </c>
    </row>
    <row r="1307" spans="1:2" x14ac:dyDescent="0.3">
      <c r="A1307" s="4">
        <v>45799</v>
      </c>
      <c r="B1307" s="5">
        <v>1.48</v>
      </c>
    </row>
    <row r="1308" spans="1:2" x14ac:dyDescent="0.3">
      <c r="A1308" s="4">
        <v>45800</v>
      </c>
      <c r="B1308" s="5">
        <v>1.45</v>
      </c>
    </row>
    <row r="1309" spans="1:2" x14ac:dyDescent="0.3">
      <c r="A1309" s="4">
        <v>45803</v>
      </c>
      <c r="B1309" s="5">
        <v>1.44</v>
      </c>
    </row>
    <row r="1310" spans="1:2" x14ac:dyDescent="0.3">
      <c r="A1310" s="4">
        <v>45804</v>
      </c>
      <c r="B1310" s="5">
        <v>1.45</v>
      </c>
    </row>
    <row r="1311" spans="1:2" x14ac:dyDescent="0.3">
      <c r="A1311" s="4">
        <v>45805</v>
      </c>
      <c r="B1311" s="5">
        <v>1.35</v>
      </c>
    </row>
    <row r="1312" spans="1:2" x14ac:dyDescent="0.3">
      <c r="A1312" s="4">
        <v>45806</v>
      </c>
      <c r="B1312" s="5">
        <v>1.38</v>
      </c>
    </row>
    <row r="1313" spans="1:2" x14ac:dyDescent="0.3">
      <c r="A1313" s="4">
        <v>45807</v>
      </c>
      <c r="B1313" s="5">
        <v>1.6</v>
      </c>
    </row>
    <row r="1314" spans="1:2" x14ac:dyDescent="0.3">
      <c r="A1314" s="4">
        <v>45811</v>
      </c>
      <c r="B1314" s="5">
        <v>1.41</v>
      </c>
    </row>
    <row r="1315" spans="1:2" x14ac:dyDescent="0.3">
      <c r="A1315" s="4">
        <v>45812</v>
      </c>
      <c r="B1315" s="5">
        <v>1.42</v>
      </c>
    </row>
    <row r="1316" spans="1:2" x14ac:dyDescent="0.3">
      <c r="A1316" s="4">
        <v>45813</v>
      </c>
      <c r="B1316" s="5">
        <v>1.4</v>
      </c>
    </row>
    <row r="1317" spans="1:2" x14ac:dyDescent="0.3">
      <c r="A1317" s="4">
        <v>45814</v>
      </c>
      <c r="B1317" s="5">
        <v>1.39</v>
      </c>
    </row>
    <row r="1318" spans="1:2" x14ac:dyDescent="0.3">
      <c r="A1318" s="4">
        <v>45817</v>
      </c>
      <c r="B1318" s="5">
        <v>1.33</v>
      </c>
    </row>
    <row r="1319" spans="1:2" x14ac:dyDescent="0.3">
      <c r="A1319" s="4">
        <v>45818</v>
      </c>
      <c r="B1319" s="5">
        <v>1.37</v>
      </c>
    </row>
    <row r="1320" spans="1:2" x14ac:dyDescent="0.3">
      <c r="A1320" s="4">
        <v>45819</v>
      </c>
      <c r="B1320" s="5">
        <v>1.39</v>
      </c>
    </row>
    <row r="1321" spans="1:2" x14ac:dyDescent="0.3">
      <c r="A1321" s="4">
        <v>45820</v>
      </c>
      <c r="B1321" s="5">
        <v>1.38</v>
      </c>
    </row>
    <row r="1322" spans="1:2" x14ac:dyDescent="0.3">
      <c r="A1322" s="4">
        <v>45821</v>
      </c>
      <c r="B1322" s="5">
        <v>1.45</v>
      </c>
    </row>
    <row r="1323" spans="1:2" x14ac:dyDescent="0.3">
      <c r="A1323" s="4">
        <v>45824</v>
      </c>
      <c r="B1323" s="5">
        <v>1.38</v>
      </c>
    </row>
    <row r="1324" spans="1:2" x14ac:dyDescent="0.3">
      <c r="A1324" s="4">
        <v>45825</v>
      </c>
      <c r="B1324" s="5">
        <v>1.38</v>
      </c>
    </row>
    <row r="1325" spans="1:2" x14ac:dyDescent="0.3">
      <c r="A1325" s="4">
        <v>45826</v>
      </c>
      <c r="B1325" s="5">
        <v>1.38</v>
      </c>
    </row>
    <row r="1326" spans="1:2" x14ac:dyDescent="0.3">
      <c r="A1326" s="4">
        <v>45827</v>
      </c>
      <c r="B1326" s="5">
        <v>1.38</v>
      </c>
    </row>
    <row r="1327" spans="1:2" x14ac:dyDescent="0.3">
      <c r="A1327" s="4">
        <v>45828</v>
      </c>
      <c r="B1327" s="5">
        <v>1.35</v>
      </c>
    </row>
    <row r="1328" spans="1:2" x14ac:dyDescent="0.3">
      <c r="A1328" s="4">
        <v>45831</v>
      </c>
      <c r="B1328" s="5">
        <v>1.35</v>
      </c>
    </row>
    <row r="1329" spans="1:2" x14ac:dyDescent="0.3">
      <c r="A1329" s="4">
        <v>45832</v>
      </c>
      <c r="B1329" s="5">
        <v>1.39</v>
      </c>
    </row>
    <row r="1330" spans="1:2" x14ac:dyDescent="0.3">
      <c r="A1330" s="4">
        <v>45833</v>
      </c>
      <c r="B1330" s="5">
        <v>1.42</v>
      </c>
    </row>
    <row r="1331" spans="1:2" x14ac:dyDescent="0.3">
      <c r="A1331" s="4">
        <v>45834</v>
      </c>
      <c r="B1331" s="5">
        <v>1.43</v>
      </c>
    </row>
    <row r="1332" spans="1:2" x14ac:dyDescent="0.3">
      <c r="A1332" s="4">
        <v>45835</v>
      </c>
      <c r="B1332" s="5">
        <v>1.29</v>
      </c>
    </row>
    <row r="1333" spans="1:2" x14ac:dyDescent="0.3">
      <c r="A1333" s="4">
        <v>45838</v>
      </c>
      <c r="B1333" s="5">
        <v>1.9</v>
      </c>
    </row>
    <row r="1334" spans="1:2" x14ac:dyDescent="0.3">
      <c r="A1334" s="4">
        <v>45839</v>
      </c>
      <c r="B1334" s="5">
        <v>1.29</v>
      </c>
    </row>
    <row r="1335" spans="1:2" x14ac:dyDescent="0.3">
      <c r="A1335" s="4">
        <v>45840</v>
      </c>
      <c r="B1335" s="5">
        <v>1.38</v>
      </c>
    </row>
    <row r="1336" spans="1:2" x14ac:dyDescent="0.3">
      <c r="A1336" s="4">
        <v>45841</v>
      </c>
      <c r="B1336" s="5">
        <v>1.3</v>
      </c>
    </row>
    <row r="1337" spans="1:2" x14ac:dyDescent="0.3">
      <c r="A1337" s="4">
        <v>45842</v>
      </c>
      <c r="B1337" s="5">
        <v>1.3</v>
      </c>
    </row>
    <row r="1338" spans="1:2" x14ac:dyDescent="0.3">
      <c r="A1338" s="4">
        <v>45845</v>
      </c>
      <c r="B1338" s="5">
        <v>1.39</v>
      </c>
    </row>
    <row r="1339" spans="1:2" x14ac:dyDescent="0.3">
      <c r="A1339" s="4">
        <v>45846</v>
      </c>
      <c r="B1339" s="5">
        <v>1.3</v>
      </c>
    </row>
    <row r="1340" spans="1:2" x14ac:dyDescent="0.3">
      <c r="A1340" s="4">
        <v>45847</v>
      </c>
      <c r="B1340" s="5">
        <v>1.35</v>
      </c>
    </row>
    <row r="1341" spans="1:2" x14ac:dyDescent="0.3">
      <c r="A1341" s="4">
        <v>45848</v>
      </c>
      <c r="B1341" s="5">
        <v>1.3</v>
      </c>
    </row>
    <row r="1342" spans="1:2" x14ac:dyDescent="0.3">
      <c r="A1342" s="4">
        <v>45849</v>
      </c>
      <c r="B1342" s="5">
        <v>1.35</v>
      </c>
    </row>
    <row r="1343" spans="1:2" x14ac:dyDescent="0.3">
      <c r="A1343" s="4">
        <v>45852</v>
      </c>
      <c r="B1343" s="5">
        <v>1.49</v>
      </c>
    </row>
    <row r="1344" spans="1:2" x14ac:dyDescent="0.3">
      <c r="A1344" s="4">
        <v>45853</v>
      </c>
      <c r="B1344" s="5">
        <v>1.3</v>
      </c>
    </row>
    <row r="1345" spans="1:2" x14ac:dyDescent="0.3">
      <c r="A1345" s="4">
        <v>45854</v>
      </c>
      <c r="B1345" s="5">
        <v>1.44</v>
      </c>
    </row>
    <row r="1346" spans="1:2" x14ac:dyDescent="0.3">
      <c r="A1346" s="4">
        <v>45855</v>
      </c>
      <c r="B1346" s="5">
        <v>1.39</v>
      </c>
    </row>
    <row r="1347" spans="1:2" x14ac:dyDescent="0.3">
      <c r="A1347" s="4">
        <v>45856</v>
      </c>
      <c r="B1347" s="5">
        <v>1.4</v>
      </c>
    </row>
    <row r="1348" spans="1:2" x14ac:dyDescent="0.3">
      <c r="A1348" s="4">
        <v>45859</v>
      </c>
      <c r="B1348" s="5">
        <v>1.25</v>
      </c>
    </row>
    <row r="1349" spans="1:2" x14ac:dyDescent="0.3">
      <c r="A1349" s="4">
        <v>45860</v>
      </c>
      <c r="B1349" s="5">
        <v>1.3</v>
      </c>
    </row>
    <row r="1350" spans="1:2" x14ac:dyDescent="0.3">
      <c r="A1350" s="4">
        <v>45861</v>
      </c>
      <c r="B1350" s="5">
        <v>1.39</v>
      </c>
    </row>
    <row r="1351" spans="1:2" x14ac:dyDescent="0.3">
      <c r="A1351" s="4">
        <v>45862</v>
      </c>
      <c r="B1351" s="5">
        <v>1.65</v>
      </c>
    </row>
    <row r="1352" spans="1:2" x14ac:dyDescent="0.3">
      <c r="A1352" s="4">
        <v>45863</v>
      </c>
      <c r="B1352" s="5">
        <v>1.55</v>
      </c>
    </row>
    <row r="1353" spans="1:2" x14ac:dyDescent="0.3">
      <c r="A1353" s="4">
        <v>45866</v>
      </c>
      <c r="B1353" s="5">
        <v>1.4</v>
      </c>
    </row>
    <row r="1354" spans="1:2" x14ac:dyDescent="0.3">
      <c r="A1354" s="4">
        <v>45867</v>
      </c>
      <c r="B1354" s="5">
        <v>1.3</v>
      </c>
    </row>
    <row r="1355" spans="1:2" x14ac:dyDescent="0.3">
      <c r="A1355" s="4">
        <v>45868</v>
      </c>
      <c r="B1355" s="5">
        <v>1.35</v>
      </c>
    </row>
    <row r="1356" spans="1:2" x14ac:dyDescent="0.3">
      <c r="A1356" s="4">
        <v>45869</v>
      </c>
      <c r="B1356" s="5">
        <v>1.2</v>
      </c>
    </row>
    <row r="1357" spans="1:2" x14ac:dyDescent="0.3">
      <c r="A1357" s="4">
        <v>45870</v>
      </c>
      <c r="B1357" s="5">
        <v>1.25</v>
      </c>
    </row>
    <row r="1358" spans="1:2" x14ac:dyDescent="0.3">
      <c r="A1358" s="4">
        <v>45873</v>
      </c>
      <c r="B1358" s="5">
        <v>1.34</v>
      </c>
    </row>
    <row r="1359" spans="1:2" x14ac:dyDescent="0.3">
      <c r="A1359" s="4">
        <v>45874</v>
      </c>
      <c r="B1359" s="5">
        <v>1.35</v>
      </c>
    </row>
    <row r="1360" spans="1:2" x14ac:dyDescent="0.3">
      <c r="A1360" s="4">
        <v>45875</v>
      </c>
      <c r="B1360" s="5">
        <v>1.3</v>
      </c>
    </row>
    <row r="1361" spans="1:2" x14ac:dyDescent="0.3">
      <c r="A1361" s="4">
        <v>45876</v>
      </c>
      <c r="B1361" s="5">
        <v>1.25</v>
      </c>
    </row>
    <row r="1362" spans="1:2" x14ac:dyDescent="0.3">
      <c r="A1362" s="4">
        <v>45877</v>
      </c>
      <c r="B1362" s="5">
        <v>1.29</v>
      </c>
    </row>
    <row r="1363" spans="1:2" x14ac:dyDescent="0.3">
      <c r="A1363" s="4">
        <v>45880</v>
      </c>
      <c r="B1363" s="5">
        <v>1.3</v>
      </c>
    </row>
    <row r="1364" spans="1:2" x14ac:dyDescent="0.3">
      <c r="A1364" s="4">
        <v>45881</v>
      </c>
      <c r="B1364" s="5">
        <v>1.3</v>
      </c>
    </row>
    <row r="1365" spans="1:2" x14ac:dyDescent="0.3">
      <c r="A1365" s="4">
        <v>45882</v>
      </c>
      <c r="B1365" s="5">
        <v>1.33</v>
      </c>
    </row>
    <row r="1366" spans="1:2" x14ac:dyDescent="0.3">
      <c r="A1366" s="4">
        <v>45883</v>
      </c>
      <c r="B1366" s="5">
        <v>1.32</v>
      </c>
    </row>
    <row r="1367" spans="1:2" x14ac:dyDescent="0.3">
      <c r="A1367" s="4">
        <v>45884</v>
      </c>
      <c r="B1367" s="5">
        <v>1.41</v>
      </c>
    </row>
    <row r="1368" spans="1:2" x14ac:dyDescent="0.3">
      <c r="A1368" s="4">
        <v>45887</v>
      </c>
      <c r="B1368" s="5">
        <v>1.45</v>
      </c>
    </row>
    <row r="1369" spans="1:2" x14ac:dyDescent="0.3">
      <c r="A1369" s="4">
        <v>45888</v>
      </c>
      <c r="B1369" s="5">
        <v>1.45</v>
      </c>
    </row>
    <row r="1370" spans="1:2" x14ac:dyDescent="0.3">
      <c r="A1370" s="4">
        <v>45889</v>
      </c>
      <c r="B1370" s="5">
        <v>1.45</v>
      </c>
    </row>
    <row r="1371" spans="1:2" x14ac:dyDescent="0.3">
      <c r="A1371" s="4">
        <v>45890</v>
      </c>
      <c r="B1371" s="5">
        <v>1.42</v>
      </c>
    </row>
    <row r="1372" spans="1:2" x14ac:dyDescent="0.3">
      <c r="A1372" s="4">
        <v>45891</v>
      </c>
      <c r="B1372" s="5">
        <v>1.45</v>
      </c>
    </row>
    <row r="1373" spans="1:2" x14ac:dyDescent="0.3">
      <c r="A1373" s="4">
        <v>45894</v>
      </c>
      <c r="B1373" s="5">
        <v>1.33</v>
      </c>
    </row>
    <row r="1374" spans="1:2" x14ac:dyDescent="0.3">
      <c r="A1374" s="4">
        <v>45895</v>
      </c>
      <c r="B1374" s="5">
        <v>1.2</v>
      </c>
    </row>
    <row r="1375" spans="1:2" x14ac:dyDescent="0.3">
      <c r="A1375" s="4">
        <v>45896</v>
      </c>
      <c r="B1375" s="5">
        <v>1.35</v>
      </c>
    </row>
    <row r="1376" spans="1:2" x14ac:dyDescent="0.3">
      <c r="A1376" s="4">
        <v>45897</v>
      </c>
      <c r="B1376" s="5">
        <v>1.35</v>
      </c>
    </row>
    <row r="1377" spans="1:2" x14ac:dyDescent="0.3">
      <c r="A1377" s="4">
        <v>45898</v>
      </c>
      <c r="B1377" s="5">
        <v>1.29</v>
      </c>
    </row>
    <row r="1378" spans="1:2" x14ac:dyDescent="0.3">
      <c r="A1378" s="4">
        <v>45901</v>
      </c>
      <c r="B1378" s="5">
        <v>1.25</v>
      </c>
    </row>
    <row r="1379" spans="1:2" x14ac:dyDescent="0.3">
      <c r="A1379" s="4">
        <v>45902</v>
      </c>
      <c r="B1379" s="5">
        <v>1.29</v>
      </c>
    </row>
    <row r="1380" spans="1:2" x14ac:dyDescent="0.3">
      <c r="A1380" s="4">
        <v>45903</v>
      </c>
      <c r="B1380" s="5">
        <v>1.3</v>
      </c>
    </row>
    <row r="1381" spans="1:2" x14ac:dyDescent="0.3">
      <c r="A1381" s="4">
        <v>45904</v>
      </c>
      <c r="B1381" s="5">
        <v>1.3</v>
      </c>
    </row>
    <row r="1382" spans="1:2" x14ac:dyDescent="0.3">
      <c r="A1382" s="4">
        <v>45905</v>
      </c>
      <c r="B1382" s="5">
        <v>1.3</v>
      </c>
    </row>
    <row r="1383" spans="1:2" x14ac:dyDescent="0.3">
      <c r="A1383" s="4">
        <v>45908</v>
      </c>
      <c r="B1383" s="5">
        <v>1.3</v>
      </c>
    </row>
    <row r="1384" spans="1:2" x14ac:dyDescent="0.3">
      <c r="A1384" s="4">
        <v>45909</v>
      </c>
      <c r="B1384" s="5">
        <v>1.3</v>
      </c>
    </row>
    <row r="1385" spans="1:2" x14ac:dyDescent="0.3">
      <c r="A1385" s="4">
        <v>45910</v>
      </c>
      <c r="B1385" s="5">
        <v>1.35</v>
      </c>
    </row>
    <row r="1386" spans="1:2" x14ac:dyDescent="0.3">
      <c r="A1386" s="4">
        <v>45911</v>
      </c>
      <c r="B1386" s="5">
        <v>1.34</v>
      </c>
    </row>
    <row r="1387" spans="1:2" x14ac:dyDescent="0.3">
      <c r="A1387" s="4">
        <v>45912</v>
      </c>
      <c r="B1387" s="5">
        <v>1.41</v>
      </c>
    </row>
    <row r="1388" spans="1:2" x14ac:dyDescent="0.3">
      <c r="A1388" s="4">
        <v>45915</v>
      </c>
      <c r="B1388" s="5">
        <v>1.45</v>
      </c>
    </row>
    <row r="1389" spans="1:2" x14ac:dyDescent="0.3">
      <c r="A1389" s="4">
        <v>45916</v>
      </c>
      <c r="B1389" s="5">
        <v>1.46</v>
      </c>
    </row>
    <row r="1390" spans="1:2" x14ac:dyDescent="0.3">
      <c r="A1390" s="4">
        <v>45917</v>
      </c>
      <c r="B1390" s="5">
        <v>1.45</v>
      </c>
    </row>
    <row r="1391" spans="1:2" x14ac:dyDescent="0.3">
      <c r="A1391" s="4">
        <v>45918</v>
      </c>
      <c r="B1391" s="5">
        <v>1.45</v>
      </c>
    </row>
    <row r="1392" spans="1:2" x14ac:dyDescent="0.3">
      <c r="A1392" s="4">
        <v>45919</v>
      </c>
      <c r="B1392" s="5">
        <v>1.49</v>
      </c>
    </row>
    <row r="1393" spans="1:2" x14ac:dyDescent="0.3">
      <c r="A1393" s="4">
        <v>45922</v>
      </c>
      <c r="B1393" s="5">
        <v>1.4</v>
      </c>
    </row>
    <row r="1394" spans="1:2" x14ac:dyDescent="0.3">
      <c r="A1394" s="4">
        <v>45923</v>
      </c>
      <c r="B1394" s="5">
        <v>1.4</v>
      </c>
    </row>
    <row r="1395" spans="1:2" x14ac:dyDescent="0.3">
      <c r="A1395" s="4">
        <v>45924</v>
      </c>
      <c r="B1395" s="5">
        <v>1.34</v>
      </c>
    </row>
    <row r="1396" spans="1:2" x14ac:dyDescent="0.3">
      <c r="A1396" s="4">
        <v>45925</v>
      </c>
      <c r="B1396" s="5">
        <v>1.3</v>
      </c>
    </row>
    <row r="1397" spans="1:2" x14ac:dyDescent="0.3">
      <c r="A1397" s="4">
        <v>45926</v>
      </c>
      <c r="B1397" s="5">
        <v>1.25</v>
      </c>
    </row>
    <row r="1398" spans="1:2" x14ac:dyDescent="0.3">
      <c r="A1398" s="4">
        <v>45929</v>
      </c>
      <c r="B1398" s="5">
        <v>1.3</v>
      </c>
    </row>
    <row r="1399" spans="1:2" x14ac:dyDescent="0.3">
      <c r="A1399" s="4">
        <v>45930</v>
      </c>
      <c r="B1399" s="5">
        <v>1.35</v>
      </c>
    </row>
    <row r="1400" spans="1:2" x14ac:dyDescent="0.3">
      <c r="A1400" s="4">
        <v>45939</v>
      </c>
      <c r="B1400" s="5">
        <v>1.3</v>
      </c>
    </row>
    <row r="1401" spans="1:2" x14ac:dyDescent="0.3">
      <c r="A1401" s="4">
        <v>45940</v>
      </c>
      <c r="B1401" s="5">
        <v>1.34</v>
      </c>
    </row>
    <row r="1402" spans="1:2" x14ac:dyDescent="0.3">
      <c r="A1402" s="4">
        <v>45943</v>
      </c>
      <c r="B1402" s="5">
        <v>1.28</v>
      </c>
    </row>
    <row r="1403" spans="1:2" x14ac:dyDescent="0.3">
      <c r="A1403" s="4">
        <v>45944</v>
      </c>
      <c r="B1403" s="5">
        <v>1.3</v>
      </c>
    </row>
    <row r="1404" spans="1:2" x14ac:dyDescent="0.3">
      <c r="A1404" s="4">
        <v>45945</v>
      </c>
      <c r="B1404" s="5">
        <v>1.29</v>
      </c>
    </row>
    <row r="1405" spans="1:2" x14ac:dyDescent="0.3">
      <c r="A1405" s="4">
        <v>45946</v>
      </c>
      <c r="B1405" s="5">
        <v>1.3</v>
      </c>
    </row>
    <row r="1406" spans="1:2" x14ac:dyDescent="0.3">
      <c r="A1406" s="4">
        <v>45947</v>
      </c>
      <c r="B1406" s="5">
        <v>1.35</v>
      </c>
    </row>
    <row r="1407" spans="1:2" x14ac:dyDescent="0.3">
      <c r="A1407" s="4">
        <v>45950</v>
      </c>
      <c r="B1407" s="5">
        <v>1.3</v>
      </c>
    </row>
    <row r="1408" spans="1:2" x14ac:dyDescent="0.3">
      <c r="A1408" s="4">
        <v>45951</v>
      </c>
      <c r="B1408" s="5">
        <v>1.3</v>
      </c>
    </row>
    <row r="1409" spans="1:2" x14ac:dyDescent="0.3">
      <c r="A1409" s="4">
        <v>45952</v>
      </c>
      <c r="B1409" s="5">
        <v>1.3</v>
      </c>
    </row>
    <row r="1410" spans="1:2" x14ac:dyDescent="0.3">
      <c r="A1410" s="4">
        <v>45953</v>
      </c>
      <c r="B1410" s="5">
        <v>1</v>
      </c>
    </row>
    <row r="1411" spans="1:2" x14ac:dyDescent="0.3">
      <c r="A1411" s="4">
        <v>45954</v>
      </c>
      <c r="B1411" s="5">
        <v>1.38</v>
      </c>
    </row>
    <row r="1412" spans="1:2" x14ac:dyDescent="0.3">
      <c r="A1412" s="4">
        <v>45957</v>
      </c>
      <c r="B1412" s="5">
        <v>1.3</v>
      </c>
    </row>
    <row r="1413" spans="1:2" x14ac:dyDescent="0.3">
      <c r="A1413" s="4">
        <v>45958</v>
      </c>
      <c r="B1413" s="5">
        <v>1.3</v>
      </c>
    </row>
    <row r="1414" spans="1:2" x14ac:dyDescent="0.3">
      <c r="A1414" s="4">
        <v>45959</v>
      </c>
      <c r="B1414" s="5">
        <v>1.34</v>
      </c>
    </row>
    <row r="1415" spans="1:2" x14ac:dyDescent="0.3">
      <c r="A1415" s="4">
        <v>45960</v>
      </c>
      <c r="B1415" s="5">
        <v>1.31</v>
      </c>
    </row>
    <row r="1416" spans="1:2" x14ac:dyDescent="0.3">
      <c r="A1416" s="4">
        <v>45961</v>
      </c>
      <c r="B1416" s="5">
        <v>1.35</v>
      </c>
    </row>
    <row r="1417" spans="1:2" x14ac:dyDescent="0.3">
      <c r="A1417" s="4">
        <v>45964</v>
      </c>
      <c r="B1417" s="5">
        <v>1.3</v>
      </c>
    </row>
    <row r="1418" spans="1:2" x14ac:dyDescent="0.3">
      <c r="A1418" s="4">
        <v>45965</v>
      </c>
      <c r="B1418" s="5">
        <v>1.29</v>
      </c>
    </row>
    <row r="1419" spans="1:2" x14ac:dyDescent="0.3">
      <c r="A1419" s="4">
        <v>45966</v>
      </c>
      <c r="B1419" s="5">
        <v>1.35</v>
      </c>
    </row>
    <row r="1420" spans="1:2" x14ac:dyDescent="0.3">
      <c r="A1420" s="4">
        <v>45967</v>
      </c>
      <c r="B1420" s="5">
        <v>1.25</v>
      </c>
    </row>
    <row r="1421" spans="1:2" x14ac:dyDescent="0.3">
      <c r="A1421" s="4">
        <v>45968</v>
      </c>
      <c r="B1421" s="5">
        <v>1.35</v>
      </c>
    </row>
    <row r="1422" spans="1:2" x14ac:dyDescent="0.3">
      <c r="A1422" s="4">
        <v>45971</v>
      </c>
      <c r="B1422" s="5">
        <v>1.45</v>
      </c>
    </row>
    <row r="1423" spans="1:2" x14ac:dyDescent="0.3">
      <c r="A1423" s="4">
        <v>45972</v>
      </c>
      <c r="B1423" s="5">
        <v>1.4</v>
      </c>
    </row>
    <row r="1424" spans="1:2" x14ac:dyDescent="0.3">
      <c r="A1424" s="4">
        <v>45973</v>
      </c>
      <c r="B1424" s="5">
        <v>1.39</v>
      </c>
    </row>
    <row r="1425" spans="1:2" x14ac:dyDescent="0.3">
      <c r="A1425" s="4">
        <v>45974</v>
      </c>
      <c r="B1425" s="5">
        <v>1.3</v>
      </c>
    </row>
    <row r="1426" spans="1:2" x14ac:dyDescent="0.3">
      <c r="A1426" s="4">
        <v>45975</v>
      </c>
      <c r="B1426" s="5">
        <v>1.4</v>
      </c>
    </row>
    <row r="1427" spans="1:2" x14ac:dyDescent="0.3">
      <c r="A1427" s="4">
        <v>45978</v>
      </c>
      <c r="B1427" s="5">
        <v>1.5</v>
      </c>
    </row>
    <row r="1428" spans="1:2" x14ac:dyDescent="0.3">
      <c r="A1428" s="4">
        <v>45979</v>
      </c>
      <c r="B1428" s="5">
        <v>1.45</v>
      </c>
    </row>
    <row r="1429" spans="1:2" x14ac:dyDescent="0.3">
      <c r="A1429" s="4">
        <v>45980</v>
      </c>
      <c r="B1429" s="5">
        <v>1.4</v>
      </c>
    </row>
    <row r="1430" spans="1:2" x14ac:dyDescent="0.3">
      <c r="A1430" s="4">
        <v>45981</v>
      </c>
      <c r="B1430" s="5">
        <v>1.3</v>
      </c>
    </row>
    <row r="1431" spans="1:2" x14ac:dyDescent="0.3">
      <c r="A1431" s="4">
        <v>45982</v>
      </c>
      <c r="B1431" s="5">
        <v>1.3</v>
      </c>
    </row>
    <row r="1432" spans="1:2" x14ac:dyDescent="0.3">
      <c r="A1432" s="4">
        <v>45985</v>
      </c>
      <c r="B1432" s="5">
        <v>1.3</v>
      </c>
    </row>
    <row r="1433" spans="1:2" x14ac:dyDescent="0.3">
      <c r="A1433" s="4">
        <v>45986</v>
      </c>
      <c r="B1433" s="5">
        <v>1.29</v>
      </c>
    </row>
    <row r="1434" spans="1:2" x14ac:dyDescent="0.3">
      <c r="A1434" s="4">
        <v>45987</v>
      </c>
      <c r="B1434" s="5">
        <v>1.28</v>
      </c>
    </row>
    <row r="1435" spans="1:2" x14ac:dyDescent="0.3">
      <c r="A1435" s="4">
        <v>45988</v>
      </c>
      <c r="B1435" s="5">
        <v>1.28</v>
      </c>
    </row>
    <row r="1436" spans="1:2" x14ac:dyDescent="0.3">
      <c r="A1436" s="4">
        <v>45989</v>
      </c>
      <c r="B1436" s="5">
        <v>1.28</v>
      </c>
    </row>
    <row r="1437" spans="1:2" x14ac:dyDescent="0.3">
      <c r="A1437" s="4">
        <v>45992</v>
      </c>
      <c r="B1437" s="5">
        <v>1.28</v>
      </c>
    </row>
    <row r="1438" spans="1:2" x14ac:dyDescent="0.3">
      <c r="A1438" s="4">
        <v>45993</v>
      </c>
      <c r="B1438" s="5">
        <v>1.28</v>
      </c>
    </row>
    <row r="1439" spans="1:2" x14ac:dyDescent="0.3">
      <c r="A1439" s="4">
        <v>45994</v>
      </c>
      <c r="B1439" s="5">
        <v>1.28</v>
      </c>
    </row>
    <row r="1440" spans="1:2" x14ac:dyDescent="0.3">
      <c r="A1440" s="4">
        <v>45995</v>
      </c>
      <c r="B1440" s="5">
        <v>1.4</v>
      </c>
    </row>
    <row r="1441" spans="1:2" x14ac:dyDescent="0.3">
      <c r="A1441" s="4">
        <v>45996</v>
      </c>
      <c r="B1441" s="5">
        <v>1.31</v>
      </c>
    </row>
    <row r="1442" spans="1:2" x14ac:dyDescent="0.3">
      <c r="A1442" s="4">
        <v>45999</v>
      </c>
      <c r="B1442" s="5">
        <v>1.2</v>
      </c>
    </row>
    <row r="1443" spans="1:2" x14ac:dyDescent="0.3">
      <c r="A1443" s="4">
        <v>46000</v>
      </c>
      <c r="B1443" s="5">
        <v>1.28</v>
      </c>
    </row>
    <row r="1444" spans="1:2" x14ac:dyDescent="0.3">
      <c r="A1444" s="4">
        <v>46001</v>
      </c>
      <c r="B1444" s="5">
        <v>1.25</v>
      </c>
    </row>
    <row r="1445" spans="1:2" x14ac:dyDescent="0.3">
      <c r="A1445" s="4">
        <v>46002</v>
      </c>
      <c r="B1445" s="5">
        <v>1.25</v>
      </c>
    </row>
    <row r="1446" spans="1:2" x14ac:dyDescent="0.3">
      <c r="A1446" s="4">
        <v>46003</v>
      </c>
      <c r="B1446" s="5">
        <v>1.3</v>
      </c>
    </row>
    <row r="1447" spans="1:2" x14ac:dyDescent="0.3">
      <c r="A1447" s="4">
        <v>46006</v>
      </c>
      <c r="B1447" s="5">
        <v>1.45</v>
      </c>
    </row>
    <row r="1448" spans="1:2" x14ac:dyDescent="0.3">
      <c r="A1448" s="4">
        <v>46007</v>
      </c>
      <c r="B1448" s="5">
        <v>1.31</v>
      </c>
    </row>
    <row r="1449" spans="1:2" x14ac:dyDescent="0.3">
      <c r="A1449" s="4">
        <v>46008</v>
      </c>
      <c r="B1449" s="5">
        <v>1.25</v>
      </c>
    </row>
    <row r="1450" spans="1:2" x14ac:dyDescent="0.3">
      <c r="A1450" s="4">
        <v>46009</v>
      </c>
      <c r="B1450" s="5">
        <v>1.25</v>
      </c>
    </row>
    <row r="1451" spans="1:2" x14ac:dyDescent="0.3">
      <c r="A1451" s="4">
        <v>46010</v>
      </c>
      <c r="B1451" s="5">
        <v>1.2</v>
      </c>
    </row>
    <row r="1452" spans="1:2" x14ac:dyDescent="0.3">
      <c r="A1452" s="4">
        <v>46013</v>
      </c>
      <c r="B1452" s="5">
        <v>1.45</v>
      </c>
    </row>
    <row r="1453" spans="1:2" x14ac:dyDescent="0.3">
      <c r="A1453" s="4">
        <v>46014</v>
      </c>
      <c r="B1453" s="5">
        <v>1.3</v>
      </c>
    </row>
    <row r="1454" spans="1:2" x14ac:dyDescent="0.3">
      <c r="A1454" s="4">
        <v>46015</v>
      </c>
      <c r="B1454" s="5">
        <v>1.2</v>
      </c>
    </row>
    <row r="1455" spans="1:2" x14ac:dyDescent="0.3">
      <c r="A1455" s="4">
        <v>46016</v>
      </c>
      <c r="B1455" s="5">
        <v>1.1000000000000001</v>
      </c>
    </row>
    <row r="1456" spans="1:2" x14ac:dyDescent="0.3">
      <c r="A1456" s="4">
        <v>46017</v>
      </c>
      <c r="B1456" s="5">
        <v>1.1000000000000001</v>
      </c>
    </row>
    <row r="1457" spans="1:2" x14ac:dyDescent="0.3">
      <c r="A1457" s="4">
        <v>46020</v>
      </c>
      <c r="B1457" s="5">
        <v>1.35</v>
      </c>
    </row>
    <row r="1458" spans="1:2" x14ac:dyDescent="0.3">
      <c r="A1458" s="4">
        <v>46021</v>
      </c>
      <c r="B1458" s="5">
        <v>1.23</v>
      </c>
    </row>
    <row r="1459" spans="1:2" x14ac:dyDescent="0.3">
      <c r="A1459" s="4">
        <v>46022</v>
      </c>
      <c r="B1459" s="5">
        <v>1.33</v>
      </c>
    </row>
    <row r="1460" spans="1:2" x14ac:dyDescent="0.3">
      <c r="A1460" s="4">
        <v>46027</v>
      </c>
      <c r="B1460" s="5">
        <v>1.25</v>
      </c>
    </row>
    <row r="1461" spans="1:2" x14ac:dyDescent="0.3">
      <c r="A1461" s="4">
        <v>46028</v>
      </c>
      <c r="B1461" s="5">
        <v>1.4</v>
      </c>
    </row>
    <row r="1462" spans="1:2" x14ac:dyDescent="0.3">
      <c r="A1462" s="4">
        <v>46029</v>
      </c>
      <c r="B1462" s="5">
        <v>1.3</v>
      </c>
    </row>
    <row r="1463" spans="1:2" x14ac:dyDescent="0.3">
      <c r="A1463" s="4">
        <v>46030</v>
      </c>
      <c r="B1463" s="5">
        <v>1.3</v>
      </c>
    </row>
    <row r="1464" spans="1:2" x14ac:dyDescent="0.3">
      <c r="A1464" s="4">
        <v>46031</v>
      </c>
      <c r="B1464" s="5">
        <v>1.28</v>
      </c>
    </row>
    <row r="1465" spans="1:2" x14ac:dyDescent="0.3">
      <c r="A1465" s="4">
        <v>46034</v>
      </c>
      <c r="B1465" s="5">
        <v>1.38</v>
      </c>
    </row>
    <row r="1466" spans="1:2" x14ac:dyDescent="0.3">
      <c r="A1466" s="4">
        <v>46035</v>
      </c>
      <c r="B1466" s="5">
        <v>1.32</v>
      </c>
    </row>
    <row r="1467" spans="1:2" x14ac:dyDescent="0.3">
      <c r="A1467" s="4">
        <v>46036</v>
      </c>
      <c r="B1467" s="5">
        <v>1.55</v>
      </c>
    </row>
    <row r="1468" spans="1:2" x14ac:dyDescent="0.3">
      <c r="A1468" s="4">
        <v>46037</v>
      </c>
      <c r="B1468" s="5">
        <v>1.35</v>
      </c>
    </row>
    <row r="1469" spans="1:2" x14ac:dyDescent="0.3">
      <c r="A1469" s="4">
        <v>46038</v>
      </c>
      <c r="B1469" s="5">
        <v>1.3</v>
      </c>
    </row>
    <row r="1470" spans="1:2" x14ac:dyDescent="0.3">
      <c r="A1470" s="4">
        <v>46041</v>
      </c>
      <c r="B1470" s="5">
        <v>1.3204</v>
      </c>
    </row>
    <row r="1471" spans="1:2" x14ac:dyDescent="0.3">
      <c r="A1471" s="4">
        <v>46042</v>
      </c>
      <c r="B1471" s="5">
        <v>1.3427</v>
      </c>
    </row>
    <row r="1472" spans="1:2" x14ac:dyDescent="0.3">
      <c r="A1472" s="4">
        <v>46043</v>
      </c>
      <c r="B1472" s="5">
        <v>1.3563000000000001</v>
      </c>
    </row>
    <row r="1473" spans="1:2" x14ac:dyDescent="0.3">
      <c r="A1473" s="4">
        <v>46044</v>
      </c>
      <c r="B1473" s="5">
        <v>1.4217</v>
      </c>
    </row>
    <row r="1474" spans="1:2" x14ac:dyDescent="0.3">
      <c r="A1474" s="4">
        <v>46045</v>
      </c>
      <c r="B1474" s="5">
        <v>1.4166000000000001</v>
      </c>
    </row>
    <row r="1475" spans="1:2" x14ac:dyDescent="0.3">
      <c r="A1475" s="4">
        <v>46048</v>
      </c>
      <c r="B1475" s="5">
        <v>1.4349000000000001</v>
      </c>
    </row>
    <row r="1476" spans="1:2" x14ac:dyDescent="0.3">
      <c r="A1476" s="4">
        <v>46049</v>
      </c>
      <c r="B1476" s="5">
        <v>1.3680000000000001</v>
      </c>
    </row>
    <row r="1477" spans="1:2" x14ac:dyDescent="0.3">
      <c r="A1477" s="4">
        <v>46050</v>
      </c>
      <c r="B1477" s="5">
        <v>1.3633</v>
      </c>
    </row>
    <row r="1478" spans="1:2" x14ac:dyDescent="0.3">
      <c r="A1478" s="4">
        <v>46051</v>
      </c>
      <c r="B1478" s="5">
        <v>1.3169</v>
      </c>
    </row>
    <row r="1479" spans="1:2" x14ac:dyDescent="0.3">
      <c r="A1479" s="4">
        <v>46052</v>
      </c>
      <c r="B1479" s="5">
        <v>1.3202</v>
      </c>
    </row>
    <row r="1480" spans="1:2" x14ac:dyDescent="0.3">
      <c r="A1480" s="4">
        <v>46055</v>
      </c>
      <c r="B1480" s="5">
        <v>1.3644000000000001</v>
      </c>
    </row>
    <row r="1481" spans="1:2" x14ac:dyDescent="0.3">
      <c r="A1481" s="4">
        <v>46056</v>
      </c>
      <c r="B1481" s="5">
        <v>1.3207</v>
      </c>
    </row>
    <row r="1482" spans="1:2" x14ac:dyDescent="0.3">
      <c r="A1482" s="4">
        <v>46057</v>
      </c>
      <c r="B1482" s="5">
        <v>1.3203</v>
      </c>
    </row>
    <row r="1483" spans="1:2" x14ac:dyDescent="0.3">
      <c r="A1483" s="4">
        <v>46058</v>
      </c>
      <c r="B1483" s="5">
        <v>1.2703</v>
      </c>
    </row>
    <row r="1484" spans="1:2" x14ac:dyDescent="0.3">
      <c r="A1484" s="4">
        <v>46059</v>
      </c>
      <c r="B1484" s="5">
        <v>1.2718</v>
      </c>
    </row>
    <row r="1485" spans="1:2" x14ac:dyDescent="0.3">
      <c r="A1485" s="4">
        <v>46062</v>
      </c>
      <c r="B1485" s="5">
        <v>1.3406</v>
      </c>
    </row>
    <row r="1486" spans="1:2" x14ac:dyDescent="0.3">
      <c r="A1486" s="4">
        <v>46063</v>
      </c>
      <c r="B1486" s="5">
        <v>1.3433999999999999</v>
      </c>
    </row>
    <row r="1487" spans="1:2" x14ac:dyDescent="0.3">
      <c r="A1487" s="4">
        <v>46064</v>
      </c>
      <c r="B1487" s="5">
        <v>1.3584000000000001</v>
      </c>
    </row>
    <row r="1488" spans="1:2" x14ac:dyDescent="0.3">
      <c r="A1488" s="4">
        <v>46065</v>
      </c>
      <c r="B1488" s="5">
        <v>1.3148</v>
      </c>
    </row>
    <row r="1489" spans="1:2" x14ac:dyDescent="0.3">
      <c r="A1489" s="4">
        <v>46066</v>
      </c>
      <c r="B1489" s="5">
        <v>1.25</v>
      </c>
    </row>
    <row r="1490" spans="1:2" x14ac:dyDescent="0.3">
      <c r="A1490" s="4">
        <v>46077</v>
      </c>
      <c r="B1490" s="5">
        <v>1.4012</v>
      </c>
    </row>
    <row r="1491" spans="1:2" x14ac:dyDescent="0.3">
      <c r="A1491" s="4">
        <v>46078</v>
      </c>
      <c r="B1491" s="5">
        <v>1.3642000000000001</v>
      </c>
    </row>
    <row r="1492" spans="1:2" x14ac:dyDescent="0.3">
      <c r="A1492" s="4">
        <v>46079</v>
      </c>
      <c r="B1492" s="5">
        <v>1.359</v>
      </c>
    </row>
    <row r="1493" spans="1:2" x14ac:dyDescent="0.3">
      <c r="A1493" s="4">
        <v>46080</v>
      </c>
      <c r="B1493" s="5">
        <v>1.2937000000000001</v>
      </c>
    </row>
    <row r="1494" spans="1:2" x14ac:dyDescent="0.3">
      <c r="A1494" s="4">
        <v>46083</v>
      </c>
      <c r="B1494" s="5">
        <v>1.2910999999999999</v>
      </c>
    </row>
    <row r="1495" spans="1:2" x14ac:dyDescent="0.3">
      <c r="A1495" s="4">
        <v>46084</v>
      </c>
      <c r="B1495" s="5">
        <v>1.2476</v>
      </c>
    </row>
    <row r="1496" spans="1:2" x14ac:dyDescent="0.3">
      <c r="A1496" s="4">
        <v>46085</v>
      </c>
      <c r="B1496" s="5">
        <v>1.2737000000000001</v>
      </c>
    </row>
    <row r="1497" spans="1:2" x14ac:dyDescent="0.3">
      <c r="A1497" s="4">
        <v>46086</v>
      </c>
      <c r="B1497" s="5">
        <v>1.2784</v>
      </c>
    </row>
    <row r="1498" spans="1:2" x14ac:dyDescent="0.3">
      <c r="A1498" s="4">
        <v>46087</v>
      </c>
      <c r="B1498" s="5">
        <v>1.3091999999999999</v>
      </c>
    </row>
    <row r="1499" spans="1:2" x14ac:dyDescent="0.3">
      <c r="A1499" s="4">
        <v>46090</v>
      </c>
      <c r="B1499" s="5">
        <v>1.3328</v>
      </c>
    </row>
    <row r="1500" spans="1:2" x14ac:dyDescent="0.3">
      <c r="A1500" s="4">
        <v>46091</v>
      </c>
      <c r="B1500" s="5">
        <v>1.3140000000000001</v>
      </c>
    </row>
    <row r="1501" spans="1:2" x14ac:dyDescent="0.3">
      <c r="A1501" s="4">
        <v>46092</v>
      </c>
      <c r="B1501" s="5">
        <v>1.36</v>
      </c>
    </row>
    <row r="1502" spans="1:2" x14ac:dyDescent="0.3">
      <c r="A1502" s="4">
        <v>46093</v>
      </c>
      <c r="B1502" s="5">
        <v>1.3216000000000001</v>
      </c>
    </row>
    <row r="1503" spans="1:2" x14ac:dyDescent="0.3">
      <c r="A1503" s="4">
        <v>46094</v>
      </c>
      <c r="B1503" s="5">
        <v>1.3454999999999999</v>
      </c>
    </row>
    <row r="1504" spans="1:2" x14ac:dyDescent="0.3">
      <c r="A1504" s="4">
        <v>46097</v>
      </c>
      <c r="B1504" s="5">
        <v>1.3142</v>
      </c>
    </row>
    <row r="1505" spans="1:2" x14ac:dyDescent="0.3">
      <c r="A1505" s="4">
        <v>46098</v>
      </c>
      <c r="B1505" s="5">
        <v>1.3049999999999999</v>
      </c>
    </row>
    <row r="1506" spans="1:2" x14ac:dyDescent="0.3">
      <c r="A1506" s="4">
        <v>46099</v>
      </c>
      <c r="B1506" s="5">
        <v>1.3048999999999999</v>
      </c>
    </row>
    <row r="1507" spans="1:2" x14ac:dyDescent="0.3">
      <c r="A1507" s="4">
        <v>46100</v>
      </c>
      <c r="B1507" s="5">
        <v>1.3091999999999999</v>
      </c>
    </row>
    <row r="1508" spans="1:2" x14ac:dyDescent="0.3">
      <c r="A1508" s="4">
        <v>46101</v>
      </c>
      <c r="B1508" s="5">
        <v>1.3076000000000001</v>
      </c>
    </row>
    <row r="1509" spans="1:2" x14ac:dyDescent="0.3">
      <c r="A1509" s="4">
        <v>46104</v>
      </c>
      <c r="B1509" s="5">
        <v>1.3117000000000001</v>
      </c>
    </row>
    <row r="1510" spans="1:2" x14ac:dyDescent="0.3">
      <c r="A1510" s="4">
        <v>46105</v>
      </c>
      <c r="B1510" s="5">
        <v>1.3084</v>
      </c>
    </row>
    <row r="1511" spans="1:2" x14ac:dyDescent="0.3">
      <c r="A1511" s="4">
        <v>46106</v>
      </c>
      <c r="B1511" s="5">
        <v>1.3234999999999999</v>
      </c>
    </row>
    <row r="1512" spans="1:2" x14ac:dyDescent="0.3">
      <c r="A1512" s="4">
        <v>46107</v>
      </c>
      <c r="B1512" s="5">
        <v>1.3064</v>
      </c>
    </row>
    <row r="1513" spans="1:2" x14ac:dyDescent="0.3">
      <c r="A1513" s="4">
        <v>46108</v>
      </c>
      <c r="B1513" s="5">
        <v>1.3023</v>
      </c>
    </row>
    <row r="1514" spans="1:2" x14ac:dyDescent="0.3">
      <c r="A1514" s="4">
        <v>46111</v>
      </c>
      <c r="B1514" s="5">
        <v>1.2645999999999999</v>
      </c>
    </row>
    <row r="1515" spans="1:2" x14ac:dyDescent="0.3">
      <c r="A1515" s="4">
        <v>46112</v>
      </c>
      <c r="B1515" s="5">
        <v>1.254</v>
      </c>
    </row>
    <row r="1516" spans="1:2" x14ac:dyDescent="0.3">
      <c r="A1516" s="4">
        <v>46113</v>
      </c>
      <c r="B1516" s="5">
        <v>1.2592000000000001</v>
      </c>
    </row>
    <row r="1517" spans="1:2" x14ac:dyDescent="0.3">
      <c r="A1517" s="4">
        <v>46114</v>
      </c>
      <c r="B1517" s="5">
        <v>1.2523</v>
      </c>
    </row>
    <row r="1518" spans="1:2" x14ac:dyDescent="0.3">
      <c r="A1518" s="4">
        <v>46115</v>
      </c>
      <c r="B1518" s="5">
        <v>1.2156</v>
      </c>
    </row>
    <row r="1519" spans="1:2" x14ac:dyDescent="0.3">
      <c r="A1519" s="4">
        <v>46119</v>
      </c>
      <c r="B1519" s="5">
        <v>1.2073</v>
      </c>
    </row>
    <row r="1520" spans="1:2" x14ac:dyDescent="0.3">
      <c r="A1520" s="4">
        <v>46120</v>
      </c>
      <c r="B1520" s="5">
        <v>1.2065999999999999</v>
      </c>
    </row>
    <row r="1521" spans="1:2" x14ac:dyDescent="0.3">
      <c r="A1521" s="4">
        <v>46121</v>
      </c>
      <c r="B1521" s="5">
        <v>1.2149000000000001</v>
      </c>
    </row>
    <row r="1522" spans="1:2" x14ac:dyDescent="0.3">
      <c r="A1522" s="4">
        <v>46122</v>
      </c>
      <c r="B1522" s="5">
        <v>1.2383</v>
      </c>
    </row>
    <row r="1523" spans="1:2" x14ac:dyDescent="0.3">
      <c r="A1523" s="4">
        <v>46125</v>
      </c>
      <c r="B1523" s="5">
        <v>1.2304999999999999</v>
      </c>
    </row>
    <row r="1524" spans="1:2" x14ac:dyDescent="0.3">
      <c r="A1524" s="4">
        <v>46126</v>
      </c>
      <c r="B1524" s="5">
        <v>1.212</v>
      </c>
    </row>
    <row r="1525" spans="1:2" x14ac:dyDescent="0.3">
      <c r="A1525" s="4">
        <v>46127</v>
      </c>
      <c r="B1525" s="5">
        <v>1.22</v>
      </c>
    </row>
    <row r="1526" spans="1:2" x14ac:dyDescent="0.3">
      <c r="A1526" s="4">
        <v>46128</v>
      </c>
      <c r="B1526" s="5">
        <v>1.2048000000000001</v>
      </c>
    </row>
    <row r="1527" spans="1:2" x14ac:dyDescent="0.3">
      <c r="A1527" s="4">
        <v>46129</v>
      </c>
      <c r="B1527" s="5">
        <v>1.2098</v>
      </c>
    </row>
    <row r="1528" spans="1:2" x14ac:dyDescent="0.3">
      <c r="A1528" s="4">
        <v>46132</v>
      </c>
      <c r="B1528" s="5">
        <v>1.2137</v>
      </c>
    </row>
    <row r="1529" spans="1:2" x14ac:dyDescent="0.3">
      <c r="A1529" s="4">
        <v>46133</v>
      </c>
      <c r="B1529" s="5">
        <v>1.2171000000000001</v>
      </c>
    </row>
    <row r="1530" spans="1:2" x14ac:dyDescent="0.3">
      <c r="A1530" s="4">
        <v>46134</v>
      </c>
      <c r="B1530" s="5">
        <v>1.2091000000000001</v>
      </c>
    </row>
    <row r="1531" spans="1:2" x14ac:dyDescent="0.3">
      <c r="A1531" s="4">
        <v>46135</v>
      </c>
      <c r="B1531" s="5">
        <v>1.2040999999999999</v>
      </c>
    </row>
    <row r="1532" spans="1:2" x14ac:dyDescent="0.3">
      <c r="A1532" s="4">
        <v>46136</v>
      </c>
      <c r="B1532" s="5">
        <v>1.2321</v>
      </c>
    </row>
    <row r="1533" spans="1:2" x14ac:dyDescent="0.3">
      <c r="A1533" s="4">
        <v>46139</v>
      </c>
      <c r="B1533" s="5">
        <v>1.2472000000000001</v>
      </c>
    </row>
    <row r="1534" spans="1:2" x14ac:dyDescent="0.3">
      <c r="A1534" s="4">
        <v>46140</v>
      </c>
      <c r="B1534" s="5">
        <v>1.2363</v>
      </c>
    </row>
    <row r="1535" spans="1:2" x14ac:dyDescent="0.3">
      <c r="A1535" s="4">
        <v>46141</v>
      </c>
      <c r="B1535" s="5">
        <v>1.2414000000000001</v>
      </c>
    </row>
    <row r="1536" spans="1:2" x14ac:dyDescent="0.3">
      <c r="A1536" s="4">
        <v>46142</v>
      </c>
      <c r="B1536" s="5">
        <v>1.3098000000000001</v>
      </c>
    </row>
    <row r="1537" spans="1:2" x14ac:dyDescent="0.3">
      <c r="A1537" s="4">
        <v>46148</v>
      </c>
      <c r="B1537" s="5">
        <v>1.2795000000000001</v>
      </c>
    </row>
    <row r="1538" spans="1:2" x14ac:dyDescent="0.3">
      <c r="A1538" s="4">
        <v>46149</v>
      </c>
      <c r="B1538" s="5">
        <v>1.2337</v>
      </c>
    </row>
    <row r="1539" spans="1:2" x14ac:dyDescent="0.3">
      <c r="A1539" s="4">
        <v>46150</v>
      </c>
      <c r="B1539" s="5">
        <v>1.2013</v>
      </c>
    </row>
    <row r="1540" spans="1:2" x14ac:dyDescent="0.3">
      <c r="A1540" s="4">
        <v>46153</v>
      </c>
      <c r="B1540" s="5">
        <v>1.2058</v>
      </c>
    </row>
    <row r="1541" spans="1:2" x14ac:dyDescent="0.3">
      <c r="A1541" s="4">
        <v>46154</v>
      </c>
      <c r="B1541" s="5">
        <v>1.248</v>
      </c>
    </row>
    <row r="1542" spans="1:2" x14ac:dyDescent="0.3">
      <c r="A1542" s="4">
        <v>46155</v>
      </c>
      <c r="B1542" s="5">
        <v>1.248</v>
      </c>
    </row>
  </sheetData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G1542"/>
  <sheetViews>
    <sheetView topLeftCell="D1" zoomScale="115" zoomScaleNormal="115" workbookViewId="0">
      <pane ySplit="4" topLeftCell="A1526" activePane="bottomLeft" state="frozen"/>
      <selection pane="bottomLeft" activeCell="E1537" sqref="E1537"/>
    </sheetView>
  </sheetViews>
  <sheetFormatPr defaultColWidth="9" defaultRowHeight="13.5" x14ac:dyDescent="0.3"/>
  <cols>
    <col min="1" max="1" width="11.6640625" hidden="1" customWidth="1"/>
    <col min="2" max="2" width="13.6640625" hidden="1" customWidth="1"/>
    <col min="3" max="3" width="0" hidden="1" customWidth="1"/>
    <col min="4" max="4" width="11.6640625" customWidth="1"/>
    <col min="5" max="5" width="14" customWidth="1"/>
  </cols>
  <sheetData>
    <row r="1" spans="1:5" ht="13.9" x14ac:dyDescent="0.35">
      <c r="B1" s="56" t="str">
        <f>[1]!WSS(B2,"sec_name","ShowCodes=N","cols=1;rows=1")</f>
        <v>美元LIBOR隔夜</v>
      </c>
      <c r="E1" s="56" t="str">
        <f>[1]!WSS(E2,"sec_name","ShowCodes=N","cols=1;rows=1")</f>
        <v>SHIBOR隔夜</v>
      </c>
    </row>
    <row r="2" spans="1:5" ht="13.9" x14ac:dyDescent="0.35">
      <c r="B2" s="1" t="s">
        <v>113</v>
      </c>
      <c r="E2" s="1" t="s">
        <v>114</v>
      </c>
    </row>
    <row r="3" spans="1:5" ht="13.9" x14ac:dyDescent="0.35">
      <c r="A3" s="1" t="s">
        <v>12</v>
      </c>
      <c r="B3" s="1" t="s">
        <v>10</v>
      </c>
      <c r="D3" s="1" t="s">
        <v>12</v>
      </c>
      <c r="E3" s="1" t="s">
        <v>10</v>
      </c>
    </row>
    <row r="4" spans="1:5" ht="13.9" x14ac:dyDescent="0.35">
      <c r="A4" s="1" t="s">
        <v>13</v>
      </c>
      <c r="B4" s="1" t="s">
        <v>11</v>
      </c>
      <c r="D4" s="1" t="s">
        <v>13</v>
      </c>
      <c r="E4" s="1" t="s">
        <v>11</v>
      </c>
    </row>
    <row r="5" spans="1:5" ht="13.9" x14ac:dyDescent="0.35">
      <c r="A5" s="2">
        <v>43832</v>
      </c>
      <c r="B5" s="3">
        <f>[1]!WSD(B2,B4:B4,"2020-01-01","","TradingCalendar=SSE","PriceAdj=F","rptType=1","ShowParams=Y","cols=1;rows=1538")</f>
        <v>1.5405</v>
      </c>
      <c r="D5" s="2">
        <v>43832</v>
      </c>
      <c r="E5" s="3">
        <f>[1]!WSD(E2,E4:E4,"2020-01-01","","TradingCalendar=SSE","PriceAdj=F","rptType=1","ShowParams=Y","cols=1;rows=1538")</f>
        <v>1.4436</v>
      </c>
    </row>
    <row r="6" spans="1:5" ht="13.9" x14ac:dyDescent="0.35">
      <c r="A6" s="2">
        <v>43833</v>
      </c>
      <c r="B6" s="3">
        <v>1.5367500000000001</v>
      </c>
      <c r="D6" s="2">
        <v>43833</v>
      </c>
      <c r="E6" s="3">
        <v>1.1619999999999999</v>
      </c>
    </row>
    <row r="7" spans="1:5" ht="13.9" x14ac:dyDescent="0.35">
      <c r="A7" s="2">
        <v>43836</v>
      </c>
      <c r="B7" s="3">
        <v>1.5369999999999999</v>
      </c>
      <c r="D7" s="2">
        <v>43836</v>
      </c>
      <c r="E7" s="3">
        <v>1.0029999999999999</v>
      </c>
    </row>
    <row r="8" spans="1:5" ht="13.9" x14ac:dyDescent="0.35">
      <c r="A8" s="2">
        <v>43837</v>
      </c>
      <c r="B8" s="3">
        <v>1.5278799999999999</v>
      </c>
      <c r="D8" s="2">
        <v>43837</v>
      </c>
      <c r="E8" s="3">
        <v>1.2150000000000001</v>
      </c>
    </row>
    <row r="9" spans="1:5" ht="13.9" x14ac:dyDescent="0.35">
      <c r="A9" s="2">
        <v>43838</v>
      </c>
      <c r="B9" s="3">
        <v>1.5325</v>
      </c>
      <c r="D9" s="2">
        <v>43838</v>
      </c>
      <c r="E9" s="3">
        <v>1.5529999999999999</v>
      </c>
    </row>
    <row r="10" spans="1:5" ht="13.9" x14ac:dyDescent="0.35">
      <c r="A10" s="2">
        <v>43839</v>
      </c>
      <c r="B10" s="3">
        <v>1.5269999999999999</v>
      </c>
      <c r="D10" s="2">
        <v>43839</v>
      </c>
      <c r="E10" s="3">
        <v>1.69</v>
      </c>
    </row>
    <row r="11" spans="1:5" ht="13.9" x14ac:dyDescent="0.35">
      <c r="A11" s="2">
        <v>43840</v>
      </c>
      <c r="B11" s="3">
        <v>1.5331300000000001</v>
      </c>
      <c r="D11" s="2">
        <v>43840</v>
      </c>
      <c r="E11" s="3">
        <v>1.7722</v>
      </c>
    </row>
    <row r="12" spans="1:5" ht="13.9" x14ac:dyDescent="0.35">
      <c r="A12" s="2">
        <v>43843</v>
      </c>
      <c r="B12" s="3">
        <v>1.5351300000000001</v>
      </c>
      <c r="D12" s="2">
        <v>43843</v>
      </c>
      <c r="E12" s="3">
        <v>2.0590000000000002</v>
      </c>
    </row>
    <row r="13" spans="1:5" ht="13.9" x14ac:dyDescent="0.35">
      <c r="A13" s="2">
        <v>43844</v>
      </c>
      <c r="B13" s="3">
        <v>1.53125</v>
      </c>
      <c r="D13" s="2">
        <v>43844</v>
      </c>
      <c r="E13" s="3">
        <v>2.5179999999999998</v>
      </c>
    </row>
    <row r="14" spans="1:5" ht="13.9" x14ac:dyDescent="0.35">
      <c r="A14" s="2">
        <v>43845</v>
      </c>
      <c r="B14" s="3">
        <v>1.5283800000000001</v>
      </c>
      <c r="D14" s="2">
        <v>43845</v>
      </c>
      <c r="E14" s="3">
        <v>2.6539999999999999</v>
      </c>
    </row>
    <row r="15" spans="1:5" ht="13.9" x14ac:dyDescent="0.35">
      <c r="A15" s="2">
        <v>43846</v>
      </c>
      <c r="B15" s="3">
        <v>1.5356300000000001</v>
      </c>
      <c r="D15" s="2">
        <v>43846</v>
      </c>
      <c r="E15" s="3">
        <v>2.609</v>
      </c>
    </row>
    <row r="16" spans="1:5" ht="13.9" x14ac:dyDescent="0.35">
      <c r="A16" s="2">
        <v>43847</v>
      </c>
      <c r="B16" s="3">
        <v>1.5311300000000001</v>
      </c>
      <c r="D16" s="2">
        <v>43847</v>
      </c>
      <c r="E16" s="3">
        <v>2.5219999999999998</v>
      </c>
    </row>
    <row r="17" spans="1:5" ht="13.9" x14ac:dyDescent="0.35">
      <c r="A17" s="2">
        <v>43850</v>
      </c>
      <c r="B17" s="3"/>
      <c r="D17" s="2">
        <v>43850</v>
      </c>
      <c r="E17" s="3">
        <v>2.2480000000000002</v>
      </c>
    </row>
    <row r="18" spans="1:5" ht="13.9" x14ac:dyDescent="0.35">
      <c r="A18" s="2">
        <v>43851</v>
      </c>
      <c r="B18" s="3">
        <v>1.53925</v>
      </c>
      <c r="D18" s="2">
        <v>43851</v>
      </c>
      <c r="E18" s="3">
        <v>1.885</v>
      </c>
    </row>
    <row r="19" spans="1:5" ht="13.9" x14ac:dyDescent="0.35">
      <c r="A19" s="2">
        <v>43852</v>
      </c>
      <c r="B19" s="3">
        <v>1.5326299999999999</v>
      </c>
      <c r="D19" s="2">
        <v>43852</v>
      </c>
      <c r="E19" s="3">
        <v>1.534</v>
      </c>
    </row>
    <row r="20" spans="1:5" ht="13.9" x14ac:dyDescent="0.35">
      <c r="A20" s="2">
        <v>43853</v>
      </c>
      <c r="B20" s="3">
        <v>1.53163</v>
      </c>
      <c r="D20" s="2">
        <v>43853</v>
      </c>
      <c r="E20" s="3">
        <v>2.444</v>
      </c>
    </row>
    <row r="21" spans="1:5" ht="13.9" x14ac:dyDescent="0.35">
      <c r="A21" s="2">
        <v>43864</v>
      </c>
      <c r="B21" s="3">
        <v>1.5680000000000001</v>
      </c>
      <c r="D21" s="2">
        <v>43864</v>
      </c>
      <c r="E21" s="3">
        <v>2.504</v>
      </c>
    </row>
    <row r="22" spans="1:5" ht="13.9" x14ac:dyDescent="0.35">
      <c r="A22" s="2">
        <v>43865</v>
      </c>
      <c r="B22" s="3">
        <v>1.5654999999999999</v>
      </c>
      <c r="D22" s="2">
        <v>43865</v>
      </c>
      <c r="E22" s="3">
        <v>2.2730000000000001</v>
      </c>
    </row>
    <row r="23" spans="1:5" ht="13.9" x14ac:dyDescent="0.35">
      <c r="A23" s="2">
        <v>43866</v>
      </c>
      <c r="B23" s="3">
        <v>1.5751299999999999</v>
      </c>
      <c r="D23" s="2">
        <v>43866</v>
      </c>
      <c r="E23" s="3">
        <v>2.0510000000000002</v>
      </c>
    </row>
    <row r="24" spans="1:5" ht="13.9" x14ac:dyDescent="0.35">
      <c r="A24" s="2">
        <v>43867</v>
      </c>
      <c r="B24" s="3">
        <v>1.5720000000000001</v>
      </c>
      <c r="D24" s="2">
        <v>43867</v>
      </c>
      <c r="E24" s="3">
        <v>1.819</v>
      </c>
    </row>
    <row r="25" spans="1:5" ht="13.9" x14ac:dyDescent="0.35">
      <c r="A25" s="2">
        <v>43868</v>
      </c>
      <c r="B25" s="3">
        <v>1.57738</v>
      </c>
      <c r="D25" s="2">
        <v>43868</v>
      </c>
      <c r="E25" s="3">
        <v>1.7929999999999999</v>
      </c>
    </row>
    <row r="26" spans="1:5" ht="13.9" x14ac:dyDescent="0.35">
      <c r="A26" s="2">
        <v>43871</v>
      </c>
      <c r="B26" s="3">
        <v>1.57463</v>
      </c>
      <c r="D26" s="2">
        <v>43871</v>
      </c>
      <c r="E26" s="3">
        <v>1.6519999999999999</v>
      </c>
    </row>
    <row r="27" spans="1:5" ht="13.9" x14ac:dyDescent="0.35">
      <c r="A27" s="2">
        <v>43872</v>
      </c>
      <c r="B27" s="3">
        <v>1.57125</v>
      </c>
      <c r="D27" s="2">
        <v>43872</v>
      </c>
      <c r="E27" s="3">
        <v>1.56</v>
      </c>
    </row>
    <row r="28" spans="1:5" ht="13.9" x14ac:dyDescent="0.35">
      <c r="A28" s="2">
        <v>43873</v>
      </c>
      <c r="B28" s="3">
        <v>1.57413</v>
      </c>
      <c r="D28" s="2">
        <v>43873</v>
      </c>
      <c r="E28" s="3">
        <v>1.5209999999999999</v>
      </c>
    </row>
    <row r="29" spans="1:5" ht="13.9" x14ac:dyDescent="0.35">
      <c r="A29" s="2">
        <v>43874</v>
      </c>
      <c r="B29" s="3">
        <v>1.57338</v>
      </c>
      <c r="D29" s="2">
        <v>43874</v>
      </c>
      <c r="E29" s="3">
        <v>1.4430000000000001</v>
      </c>
    </row>
    <row r="30" spans="1:5" ht="13.9" x14ac:dyDescent="0.35">
      <c r="A30" s="2">
        <v>43875</v>
      </c>
      <c r="B30" s="3">
        <v>1.57613</v>
      </c>
      <c r="D30" s="2">
        <v>43875</v>
      </c>
      <c r="E30" s="3">
        <v>1.256</v>
      </c>
    </row>
    <row r="31" spans="1:5" ht="13.9" x14ac:dyDescent="0.35">
      <c r="A31" s="2">
        <v>43878</v>
      </c>
      <c r="B31" s="3"/>
      <c r="D31" s="2">
        <v>43878</v>
      </c>
      <c r="E31" s="3">
        <v>1.425</v>
      </c>
    </row>
    <row r="32" spans="1:5" ht="13.9" x14ac:dyDescent="0.35">
      <c r="A32" s="2">
        <v>43879</v>
      </c>
      <c r="B32" s="3">
        <v>1.56338</v>
      </c>
      <c r="D32" s="2">
        <v>43879</v>
      </c>
      <c r="E32" s="3">
        <v>1.5029999999999999</v>
      </c>
    </row>
    <row r="33" spans="1:5" ht="13.9" x14ac:dyDescent="0.35">
      <c r="A33" s="2">
        <v>43880</v>
      </c>
      <c r="B33" s="3">
        <v>1.5768800000000001</v>
      </c>
      <c r="D33" s="2">
        <v>43880</v>
      </c>
      <c r="E33" s="3">
        <v>1.6259999999999999</v>
      </c>
    </row>
    <row r="34" spans="1:5" ht="13.9" x14ac:dyDescent="0.35">
      <c r="A34" s="2">
        <v>43881</v>
      </c>
      <c r="B34" s="3">
        <v>1.5671299999999999</v>
      </c>
      <c r="D34" s="2">
        <v>43881</v>
      </c>
      <c r="E34" s="3">
        <v>1.403</v>
      </c>
    </row>
    <row r="35" spans="1:5" ht="13.9" x14ac:dyDescent="0.35">
      <c r="A35" s="2">
        <v>43882</v>
      </c>
      <c r="B35" s="3">
        <v>1.5702499999999999</v>
      </c>
      <c r="D35" s="2">
        <v>43882</v>
      </c>
      <c r="E35" s="3">
        <v>1.355</v>
      </c>
    </row>
    <row r="36" spans="1:5" ht="13.9" x14ac:dyDescent="0.35">
      <c r="A36" s="2">
        <v>43885</v>
      </c>
      <c r="B36" s="3">
        <v>1.5754999999999999</v>
      </c>
      <c r="D36" s="2">
        <v>43885</v>
      </c>
      <c r="E36" s="3">
        <v>1.5329999999999999</v>
      </c>
    </row>
    <row r="37" spans="1:5" ht="13.9" x14ac:dyDescent="0.35">
      <c r="A37" s="2">
        <v>43886</v>
      </c>
      <c r="B37" s="3">
        <v>1.569</v>
      </c>
      <c r="D37" s="2">
        <v>43886</v>
      </c>
      <c r="E37" s="3">
        <v>1.6020000000000001</v>
      </c>
    </row>
    <row r="38" spans="1:5" ht="13.9" x14ac:dyDescent="0.35">
      <c r="A38" s="2">
        <v>43887</v>
      </c>
      <c r="B38" s="3">
        <v>1.5714999999999999</v>
      </c>
      <c r="D38" s="2">
        <v>43887</v>
      </c>
      <c r="E38" s="3">
        <v>1.4990000000000001</v>
      </c>
    </row>
    <row r="39" spans="1:5" ht="13.9" x14ac:dyDescent="0.35">
      <c r="A39" s="2">
        <v>43888</v>
      </c>
      <c r="B39" s="3">
        <v>1.5740000000000001</v>
      </c>
      <c r="D39" s="2">
        <v>43888</v>
      </c>
      <c r="E39" s="3">
        <v>1.347</v>
      </c>
    </row>
    <row r="40" spans="1:5" ht="13.9" x14ac:dyDescent="0.35">
      <c r="A40" s="2">
        <v>43889</v>
      </c>
      <c r="B40" s="3">
        <v>1.56775</v>
      </c>
      <c r="D40" s="2">
        <v>43889</v>
      </c>
      <c r="E40" s="3">
        <v>1.6279999999999999</v>
      </c>
    </row>
    <row r="41" spans="1:5" ht="13.9" x14ac:dyDescent="0.35">
      <c r="A41" s="2">
        <v>43892</v>
      </c>
      <c r="B41" s="3">
        <v>1.57463</v>
      </c>
      <c r="D41" s="2">
        <v>43892</v>
      </c>
      <c r="E41" s="3">
        <v>1.714</v>
      </c>
    </row>
    <row r="42" spans="1:5" ht="13.9" x14ac:dyDescent="0.35">
      <c r="A42" s="2">
        <v>43893</v>
      </c>
      <c r="B42" s="3">
        <v>1.5756300000000001</v>
      </c>
      <c r="D42" s="2">
        <v>43893</v>
      </c>
      <c r="E42" s="3">
        <v>1.6220000000000001</v>
      </c>
    </row>
    <row r="43" spans="1:5" ht="13.9" x14ac:dyDescent="0.35">
      <c r="A43" s="2">
        <v>43894</v>
      </c>
      <c r="B43" s="3">
        <v>1.08775</v>
      </c>
      <c r="D43" s="2">
        <v>43894</v>
      </c>
      <c r="E43" s="3">
        <v>1.462</v>
      </c>
    </row>
    <row r="44" spans="1:5" ht="13.9" x14ac:dyDescent="0.35">
      <c r="A44" s="2">
        <v>43895</v>
      </c>
      <c r="B44" s="3">
        <v>1.08213</v>
      </c>
      <c r="D44" s="2">
        <v>43895</v>
      </c>
      <c r="E44" s="3">
        <v>1.45</v>
      </c>
    </row>
    <row r="45" spans="1:5" ht="13.9" x14ac:dyDescent="0.35">
      <c r="A45" s="2">
        <v>43896</v>
      </c>
      <c r="B45" s="3">
        <v>1.07975</v>
      </c>
      <c r="D45" s="2">
        <v>43896</v>
      </c>
      <c r="E45" s="3">
        <v>1.3620000000000001</v>
      </c>
    </row>
    <row r="46" spans="1:5" ht="13.9" x14ac:dyDescent="0.35">
      <c r="A46" s="2">
        <v>43899</v>
      </c>
      <c r="B46" s="3">
        <v>1.0811299999999999</v>
      </c>
      <c r="D46" s="2">
        <v>43899</v>
      </c>
      <c r="E46" s="3">
        <v>1.5880000000000001</v>
      </c>
    </row>
    <row r="47" spans="1:5" ht="13.9" x14ac:dyDescent="0.35">
      <c r="A47" s="2">
        <v>43900</v>
      </c>
      <c r="B47" s="3">
        <v>1.0820000000000001</v>
      </c>
      <c r="D47" s="2">
        <v>43900</v>
      </c>
      <c r="E47" s="3">
        <v>2.0139999999999998</v>
      </c>
    </row>
    <row r="48" spans="1:5" ht="13.9" x14ac:dyDescent="0.35">
      <c r="A48" s="2">
        <v>43901</v>
      </c>
      <c r="B48" s="3">
        <v>1.0840000000000001</v>
      </c>
      <c r="D48" s="2">
        <v>43901</v>
      </c>
      <c r="E48" s="3">
        <v>2.1179999999999999</v>
      </c>
    </row>
    <row r="49" spans="1:5" ht="13.9" x14ac:dyDescent="0.35">
      <c r="A49" s="2">
        <v>43902</v>
      </c>
      <c r="B49" s="3">
        <v>1.08663</v>
      </c>
      <c r="D49" s="2">
        <v>43902</v>
      </c>
      <c r="E49" s="3">
        <v>1.6639999999999999</v>
      </c>
    </row>
    <row r="50" spans="1:5" ht="13.9" x14ac:dyDescent="0.35">
      <c r="A50" s="2">
        <v>43903</v>
      </c>
      <c r="B50" s="3">
        <v>1.0848800000000001</v>
      </c>
      <c r="D50" s="2">
        <v>43903</v>
      </c>
      <c r="E50" s="3">
        <v>1.4139999999999999</v>
      </c>
    </row>
    <row r="51" spans="1:5" ht="13.9" x14ac:dyDescent="0.35">
      <c r="A51" s="2">
        <v>43906</v>
      </c>
      <c r="B51" s="3">
        <v>0.23924999999999999</v>
      </c>
      <c r="D51" s="2">
        <v>43906</v>
      </c>
      <c r="E51" s="3">
        <v>1.2310000000000001</v>
      </c>
    </row>
    <row r="52" spans="1:5" ht="13.9" x14ac:dyDescent="0.35">
      <c r="A52" s="2">
        <v>43907</v>
      </c>
      <c r="B52" s="3">
        <v>0.25813000000000003</v>
      </c>
      <c r="D52" s="2">
        <v>43907</v>
      </c>
      <c r="E52" s="3">
        <v>1.083</v>
      </c>
    </row>
    <row r="53" spans="1:5" ht="13.9" x14ac:dyDescent="0.35">
      <c r="A53" s="2">
        <v>43908</v>
      </c>
      <c r="B53" s="3">
        <v>0.37988</v>
      </c>
      <c r="D53" s="2">
        <v>43908</v>
      </c>
      <c r="E53" s="3">
        <v>0.96299999999999997</v>
      </c>
    </row>
    <row r="54" spans="1:5" ht="13.9" x14ac:dyDescent="0.35">
      <c r="A54" s="2">
        <v>43909</v>
      </c>
      <c r="B54" s="3">
        <v>0.29825000000000002</v>
      </c>
      <c r="D54" s="2">
        <v>43909</v>
      </c>
      <c r="E54" s="3">
        <v>0.84599999999999997</v>
      </c>
    </row>
    <row r="55" spans="1:5" ht="13.9" x14ac:dyDescent="0.35">
      <c r="A55" s="2">
        <v>43910</v>
      </c>
      <c r="B55" s="3">
        <v>0.21188000000000001</v>
      </c>
      <c r="D55" s="2">
        <v>43910</v>
      </c>
      <c r="E55" s="3">
        <v>0.79500000000000004</v>
      </c>
    </row>
    <row r="56" spans="1:5" ht="13.9" x14ac:dyDescent="0.35">
      <c r="A56" s="2">
        <v>43913</v>
      </c>
      <c r="B56" s="3">
        <v>0.20649999999999999</v>
      </c>
      <c r="D56" s="2">
        <v>43913</v>
      </c>
      <c r="E56" s="3">
        <v>0.84499999999999997</v>
      </c>
    </row>
    <row r="57" spans="1:5" ht="13.9" x14ac:dyDescent="0.35">
      <c r="A57" s="2">
        <v>43914</v>
      </c>
      <c r="B57" s="3">
        <v>0.17813000000000001</v>
      </c>
      <c r="D57" s="2">
        <v>43914</v>
      </c>
      <c r="E57" s="3">
        <v>0.81399999999999995</v>
      </c>
    </row>
    <row r="58" spans="1:5" ht="13.9" x14ac:dyDescent="0.35">
      <c r="A58" s="2">
        <v>43915</v>
      </c>
      <c r="B58" s="3">
        <v>0.20125000000000001</v>
      </c>
      <c r="D58" s="2">
        <v>43915</v>
      </c>
      <c r="E58" s="3">
        <v>0.84699999999999998</v>
      </c>
    </row>
    <row r="59" spans="1:5" ht="13.9" x14ac:dyDescent="0.35">
      <c r="A59" s="2">
        <v>43916</v>
      </c>
      <c r="B59" s="3">
        <v>0.14988000000000001</v>
      </c>
      <c r="D59" s="2">
        <v>43916</v>
      </c>
      <c r="E59" s="3">
        <v>0.84499999999999997</v>
      </c>
    </row>
    <row r="60" spans="1:5" ht="13.9" x14ac:dyDescent="0.35">
      <c r="A60" s="2">
        <v>43917</v>
      </c>
      <c r="B60" s="3">
        <v>0.13625000000000001</v>
      </c>
      <c r="D60" s="2">
        <v>43917</v>
      </c>
      <c r="E60" s="3">
        <v>1.1040000000000001</v>
      </c>
    </row>
    <row r="61" spans="1:5" ht="13.9" x14ac:dyDescent="0.35">
      <c r="A61" s="2">
        <v>43920</v>
      </c>
      <c r="B61" s="3">
        <v>0.12088</v>
      </c>
      <c r="D61" s="2">
        <v>43920</v>
      </c>
      <c r="E61" s="3">
        <v>1.3740000000000001</v>
      </c>
    </row>
    <row r="62" spans="1:5" ht="13.9" x14ac:dyDescent="0.35">
      <c r="A62" s="2">
        <v>43921</v>
      </c>
      <c r="B62" s="3">
        <v>0.11899999999999999</v>
      </c>
      <c r="D62" s="2">
        <v>43921</v>
      </c>
      <c r="E62" s="3">
        <v>1.6140000000000001</v>
      </c>
    </row>
    <row r="63" spans="1:5" ht="13.9" x14ac:dyDescent="0.35">
      <c r="A63" s="2">
        <v>43922</v>
      </c>
      <c r="B63" s="3">
        <v>0.10875</v>
      </c>
      <c r="D63" s="2">
        <v>43922</v>
      </c>
      <c r="E63" s="3">
        <v>1.403</v>
      </c>
    </row>
    <row r="64" spans="1:5" ht="13.9" x14ac:dyDescent="0.35">
      <c r="A64" s="2">
        <v>43923</v>
      </c>
      <c r="B64" s="3">
        <v>8.5879999999999998E-2</v>
      </c>
      <c r="D64" s="2">
        <v>43923</v>
      </c>
      <c r="E64" s="3">
        <v>1.278</v>
      </c>
    </row>
    <row r="65" spans="1:5" ht="13.9" x14ac:dyDescent="0.35">
      <c r="A65" s="2">
        <v>43924</v>
      </c>
      <c r="B65" s="3">
        <v>7.6630000000000004E-2</v>
      </c>
      <c r="D65" s="2">
        <v>43924</v>
      </c>
      <c r="E65" s="3">
        <v>1.0009999999999999</v>
      </c>
    </row>
    <row r="66" spans="1:5" ht="13.9" x14ac:dyDescent="0.35">
      <c r="A66" s="2">
        <v>43928</v>
      </c>
      <c r="B66" s="3">
        <v>7.6999999999999999E-2</v>
      </c>
      <c r="D66" s="2">
        <v>43928</v>
      </c>
      <c r="E66" s="3">
        <v>0.80600000000000005</v>
      </c>
    </row>
    <row r="67" spans="1:5" ht="13.9" x14ac:dyDescent="0.35">
      <c r="A67" s="2">
        <v>43929</v>
      </c>
      <c r="B67" s="3">
        <v>7.1879999999999999E-2</v>
      </c>
      <c r="D67" s="2">
        <v>43929</v>
      </c>
      <c r="E67" s="3">
        <v>0.89300000000000002</v>
      </c>
    </row>
    <row r="68" spans="1:5" ht="13.9" x14ac:dyDescent="0.35">
      <c r="A68" s="2">
        <v>43930</v>
      </c>
      <c r="B68" s="3">
        <v>6.7750000000000005E-2</v>
      </c>
      <c r="D68" s="2">
        <v>43930</v>
      </c>
      <c r="E68" s="3">
        <v>1.1819999999999999</v>
      </c>
    </row>
    <row r="69" spans="1:5" ht="13.9" x14ac:dyDescent="0.35">
      <c r="A69" s="2">
        <v>43931</v>
      </c>
      <c r="B69" s="3"/>
      <c r="D69" s="2">
        <v>43931</v>
      </c>
      <c r="E69" s="3">
        <v>1.349</v>
      </c>
    </row>
    <row r="70" spans="1:5" ht="13.9" x14ac:dyDescent="0.35">
      <c r="A70" s="2">
        <v>43934</v>
      </c>
      <c r="B70" s="3"/>
      <c r="D70" s="2">
        <v>43934</v>
      </c>
      <c r="E70" s="3">
        <v>1.3779999999999999</v>
      </c>
    </row>
    <row r="71" spans="1:5" ht="13.9" x14ac:dyDescent="0.35">
      <c r="A71" s="2">
        <v>43935</v>
      </c>
      <c r="B71" s="3">
        <v>7.1629999999999999E-2</v>
      </c>
      <c r="D71" s="2">
        <v>43935</v>
      </c>
      <c r="E71" s="3">
        <v>0.99399999999999999</v>
      </c>
    </row>
    <row r="72" spans="1:5" ht="13.9" x14ac:dyDescent="0.35">
      <c r="A72" s="2">
        <v>43936</v>
      </c>
      <c r="B72" s="3">
        <v>6.6129999999999994E-2</v>
      </c>
      <c r="D72" s="2">
        <v>43936</v>
      </c>
      <c r="E72" s="3">
        <v>0.80100000000000005</v>
      </c>
    </row>
    <row r="73" spans="1:5" ht="13.9" x14ac:dyDescent="0.35">
      <c r="A73" s="2">
        <v>43937</v>
      </c>
      <c r="B73" s="3">
        <v>6.7000000000000004E-2</v>
      </c>
      <c r="D73" s="2">
        <v>43937</v>
      </c>
      <c r="E73" s="3">
        <v>0.70199999999999996</v>
      </c>
    </row>
    <row r="74" spans="1:5" ht="13.9" x14ac:dyDescent="0.35">
      <c r="A74" s="2">
        <v>43938</v>
      </c>
      <c r="B74" s="3">
        <v>6.7000000000000004E-2</v>
      </c>
      <c r="D74" s="2">
        <v>43938</v>
      </c>
      <c r="E74" s="3">
        <v>0.71599999999999997</v>
      </c>
    </row>
    <row r="75" spans="1:5" ht="13.9" x14ac:dyDescent="0.35">
      <c r="A75" s="2">
        <v>43941</v>
      </c>
      <c r="B75" s="3">
        <v>6.4630000000000007E-2</v>
      </c>
      <c r="D75" s="2">
        <v>43941</v>
      </c>
      <c r="E75" s="3">
        <v>0.89600000000000002</v>
      </c>
    </row>
    <row r="76" spans="1:5" ht="13.9" x14ac:dyDescent="0.35">
      <c r="A76" s="2">
        <v>43942</v>
      </c>
      <c r="B76" s="3">
        <v>6.3130000000000006E-2</v>
      </c>
      <c r="D76" s="2">
        <v>43942</v>
      </c>
      <c r="E76" s="3">
        <v>0.90100000000000002</v>
      </c>
    </row>
    <row r="77" spans="1:5" ht="13.9" x14ac:dyDescent="0.35">
      <c r="A77" s="2">
        <v>43943</v>
      </c>
      <c r="B77" s="3">
        <v>6.3500000000000001E-2</v>
      </c>
      <c r="D77" s="2">
        <v>43943</v>
      </c>
      <c r="E77" s="3">
        <v>0.90100000000000002</v>
      </c>
    </row>
    <row r="78" spans="1:5" ht="13.9" x14ac:dyDescent="0.35">
      <c r="A78" s="2">
        <v>43944</v>
      </c>
      <c r="B78" s="3">
        <v>5.8250000000000003E-2</v>
      </c>
      <c r="D78" s="2">
        <v>43944</v>
      </c>
      <c r="E78" s="3">
        <v>0.89300000000000002</v>
      </c>
    </row>
    <row r="79" spans="1:5" ht="13.9" x14ac:dyDescent="0.35">
      <c r="A79" s="2">
        <v>43945</v>
      </c>
      <c r="B79" s="3">
        <v>5.6750000000000002E-2</v>
      </c>
      <c r="D79" s="2">
        <v>43945</v>
      </c>
      <c r="E79" s="3">
        <v>0.91200000000000003</v>
      </c>
    </row>
    <row r="80" spans="1:5" ht="13.9" x14ac:dyDescent="0.35">
      <c r="A80" s="2">
        <v>43948</v>
      </c>
      <c r="B80" s="3">
        <v>5.6000000000000001E-2</v>
      </c>
      <c r="D80" s="2">
        <v>43948</v>
      </c>
      <c r="E80" s="3">
        <v>0.874</v>
      </c>
    </row>
    <row r="81" spans="1:5" ht="13.9" x14ac:dyDescent="0.35">
      <c r="A81" s="2">
        <v>43949</v>
      </c>
      <c r="B81" s="3">
        <v>5.0750000000000003E-2</v>
      </c>
      <c r="D81" s="2">
        <v>43949</v>
      </c>
      <c r="E81" s="3">
        <v>0.874</v>
      </c>
    </row>
    <row r="82" spans="1:5" ht="13.9" x14ac:dyDescent="0.35">
      <c r="A82" s="2">
        <v>43950</v>
      </c>
      <c r="B82" s="3">
        <v>5.4879999999999998E-2</v>
      </c>
      <c r="D82" s="2">
        <v>43950</v>
      </c>
      <c r="E82" s="3">
        <v>0.66100000000000003</v>
      </c>
    </row>
    <row r="83" spans="1:5" ht="13.9" x14ac:dyDescent="0.35">
      <c r="A83" s="2">
        <v>43951</v>
      </c>
      <c r="B83" s="3">
        <v>6.0499999999999998E-2</v>
      </c>
      <c r="D83" s="2">
        <v>43951</v>
      </c>
      <c r="E83" s="3">
        <v>1.8879999999999999</v>
      </c>
    </row>
    <row r="84" spans="1:5" ht="13.9" x14ac:dyDescent="0.35">
      <c r="A84" s="2">
        <v>43957</v>
      </c>
      <c r="B84" s="3">
        <v>6.25E-2</v>
      </c>
      <c r="D84" s="2">
        <v>43957</v>
      </c>
      <c r="E84" s="3">
        <v>1.4830000000000001</v>
      </c>
    </row>
    <row r="85" spans="1:5" ht="13.9" x14ac:dyDescent="0.35">
      <c r="A85" s="2">
        <v>43958</v>
      </c>
      <c r="B85" s="3">
        <v>6.0999999999999999E-2</v>
      </c>
      <c r="D85" s="2">
        <v>43958</v>
      </c>
      <c r="E85" s="3">
        <v>1.143</v>
      </c>
    </row>
    <row r="86" spans="1:5" ht="13.9" x14ac:dyDescent="0.35">
      <c r="A86" s="2">
        <v>43959</v>
      </c>
      <c r="B86" s="3"/>
      <c r="D86" s="2">
        <v>43959</v>
      </c>
      <c r="E86" s="3">
        <v>0.93799999999999994</v>
      </c>
    </row>
    <row r="87" spans="1:5" ht="13.9" x14ac:dyDescent="0.35">
      <c r="A87" s="2">
        <v>43962</v>
      </c>
      <c r="B87" s="3">
        <v>6.1629999999999997E-2</v>
      </c>
      <c r="D87" s="2">
        <v>43962</v>
      </c>
      <c r="E87" s="3">
        <v>0.876</v>
      </c>
    </row>
    <row r="88" spans="1:5" ht="13.9" x14ac:dyDescent="0.35">
      <c r="A88" s="2">
        <v>43963</v>
      </c>
      <c r="B88" s="3">
        <v>6.0630000000000003E-2</v>
      </c>
      <c r="D88" s="2">
        <v>43963</v>
      </c>
      <c r="E88" s="3">
        <v>0.80300000000000005</v>
      </c>
    </row>
    <row r="89" spans="1:5" ht="13.9" x14ac:dyDescent="0.35">
      <c r="A89" s="2">
        <v>43964</v>
      </c>
      <c r="B89" s="3">
        <v>6.0999999999999999E-2</v>
      </c>
      <c r="D89" s="2">
        <v>43964</v>
      </c>
      <c r="E89" s="3">
        <v>0.70499999999999996</v>
      </c>
    </row>
    <row r="90" spans="1:5" ht="13.9" x14ac:dyDescent="0.35">
      <c r="A90" s="2">
        <v>43965</v>
      </c>
      <c r="B90" s="3">
        <v>6.1499999999999999E-2</v>
      </c>
      <c r="D90" s="2">
        <v>43965</v>
      </c>
      <c r="E90" s="3">
        <v>0.74299999999999999</v>
      </c>
    </row>
    <row r="91" spans="1:5" ht="13.9" x14ac:dyDescent="0.35">
      <c r="A91" s="2">
        <v>43966</v>
      </c>
      <c r="B91" s="3">
        <v>6.2E-2</v>
      </c>
      <c r="D91" s="2">
        <v>43966</v>
      </c>
      <c r="E91" s="3">
        <v>0.86399999999999999</v>
      </c>
    </row>
    <row r="92" spans="1:5" ht="13.9" x14ac:dyDescent="0.35">
      <c r="A92" s="2">
        <v>43969</v>
      </c>
      <c r="B92" s="3">
        <v>5.9749999999999998E-2</v>
      </c>
      <c r="D92" s="2">
        <v>43969</v>
      </c>
      <c r="E92" s="3">
        <v>0.90500000000000003</v>
      </c>
    </row>
    <row r="93" spans="1:5" ht="13.9" x14ac:dyDescent="0.35">
      <c r="A93" s="2">
        <v>43970</v>
      </c>
      <c r="B93" s="3">
        <v>6.0380000000000003E-2</v>
      </c>
      <c r="D93" s="2">
        <v>43970</v>
      </c>
      <c r="E93" s="3">
        <v>1.385</v>
      </c>
    </row>
    <row r="94" spans="1:5" ht="13.9" x14ac:dyDescent="0.35">
      <c r="A94" s="2">
        <v>43971</v>
      </c>
      <c r="B94" s="3">
        <v>6.2379999999999998E-2</v>
      </c>
      <c r="D94" s="2">
        <v>43971</v>
      </c>
      <c r="E94" s="3">
        <v>1.22</v>
      </c>
    </row>
    <row r="95" spans="1:5" ht="13.9" x14ac:dyDescent="0.35">
      <c r="A95" s="2">
        <v>43972</v>
      </c>
      <c r="B95" s="3">
        <v>6.1129999999999997E-2</v>
      </c>
      <c r="D95" s="2">
        <v>43972</v>
      </c>
      <c r="E95" s="3">
        <v>1.1040000000000001</v>
      </c>
    </row>
    <row r="96" spans="1:5" ht="13.9" x14ac:dyDescent="0.35">
      <c r="A96" s="2">
        <v>43973</v>
      </c>
      <c r="B96" s="3">
        <v>6.0749999999999998E-2</v>
      </c>
      <c r="D96" s="2">
        <v>43973</v>
      </c>
      <c r="E96" s="3">
        <v>1.0940000000000001</v>
      </c>
    </row>
    <row r="97" spans="1:5" ht="13.9" x14ac:dyDescent="0.35">
      <c r="A97" s="2">
        <v>43976</v>
      </c>
      <c r="B97" s="3"/>
      <c r="D97" s="2">
        <v>43976</v>
      </c>
      <c r="E97" s="3">
        <v>1.4730000000000001</v>
      </c>
    </row>
    <row r="98" spans="1:5" ht="13.9" x14ac:dyDescent="0.35">
      <c r="A98" s="2">
        <v>43977</v>
      </c>
      <c r="B98" s="3">
        <v>6.0249999999999998E-2</v>
      </c>
      <c r="D98" s="2">
        <v>43977</v>
      </c>
      <c r="E98" s="3">
        <v>1.88</v>
      </c>
    </row>
    <row r="99" spans="1:5" ht="13.9" x14ac:dyDescent="0.35">
      <c r="A99" s="2">
        <v>43978</v>
      </c>
      <c r="B99" s="3">
        <v>6.1629999999999997E-2</v>
      </c>
      <c r="D99" s="2">
        <v>43978</v>
      </c>
      <c r="E99" s="3">
        <v>2.1040000000000001</v>
      </c>
    </row>
    <row r="100" spans="1:5" ht="13.9" x14ac:dyDescent="0.35">
      <c r="A100" s="2">
        <v>43979</v>
      </c>
      <c r="B100" s="3">
        <v>6.3E-2</v>
      </c>
      <c r="D100" s="2">
        <v>43979</v>
      </c>
      <c r="E100" s="3">
        <v>2.1019999999999999</v>
      </c>
    </row>
    <row r="101" spans="1:5" ht="13.9" x14ac:dyDescent="0.35">
      <c r="A101" s="2">
        <v>43980</v>
      </c>
      <c r="B101" s="3">
        <v>6.1499999999999999E-2</v>
      </c>
      <c r="D101" s="2">
        <v>43980</v>
      </c>
      <c r="E101" s="3">
        <v>2.097</v>
      </c>
    </row>
    <row r="102" spans="1:5" ht="13.9" x14ac:dyDescent="0.35">
      <c r="A102" s="2">
        <v>43983</v>
      </c>
      <c r="B102" s="3">
        <v>6.2E-2</v>
      </c>
      <c r="D102" s="2">
        <v>43983</v>
      </c>
      <c r="E102" s="3">
        <v>1.629</v>
      </c>
    </row>
    <row r="103" spans="1:5" ht="13.9" x14ac:dyDescent="0.35">
      <c r="A103" s="2">
        <v>43984</v>
      </c>
      <c r="B103" s="3">
        <v>6.5000000000000002E-2</v>
      </c>
      <c r="D103" s="2">
        <v>43984</v>
      </c>
      <c r="E103" s="3">
        <v>1.468</v>
      </c>
    </row>
    <row r="104" spans="1:5" ht="13.9" x14ac:dyDescent="0.35">
      <c r="A104" s="2">
        <v>43985</v>
      </c>
      <c r="B104" s="3">
        <v>6.1879999999999998E-2</v>
      </c>
      <c r="D104" s="2">
        <v>43985</v>
      </c>
      <c r="E104" s="3">
        <v>1.885</v>
      </c>
    </row>
    <row r="105" spans="1:5" ht="13.9" x14ac:dyDescent="0.35">
      <c r="A105" s="2">
        <v>43986</v>
      </c>
      <c r="B105" s="3">
        <v>5.9749999999999998E-2</v>
      </c>
      <c r="D105" s="2">
        <v>43986</v>
      </c>
      <c r="E105" s="3">
        <v>1.9630000000000001</v>
      </c>
    </row>
    <row r="106" spans="1:5" ht="13.9" x14ac:dyDescent="0.35">
      <c r="A106" s="2">
        <v>43987</v>
      </c>
      <c r="B106" s="3">
        <v>6.25E-2</v>
      </c>
      <c r="D106" s="2">
        <v>43987</v>
      </c>
      <c r="E106" s="3">
        <v>1.5820000000000001</v>
      </c>
    </row>
    <row r="107" spans="1:5" ht="13.9" x14ac:dyDescent="0.35">
      <c r="A107" s="2">
        <v>43990</v>
      </c>
      <c r="B107" s="3">
        <v>6.0749999999999998E-2</v>
      </c>
      <c r="D107" s="2">
        <v>43990</v>
      </c>
      <c r="E107" s="3">
        <v>1.89</v>
      </c>
    </row>
    <row r="108" spans="1:5" ht="13.9" x14ac:dyDescent="0.35">
      <c r="A108" s="2">
        <v>43991</v>
      </c>
      <c r="B108" s="3">
        <v>6.3E-2</v>
      </c>
      <c r="D108" s="2">
        <v>43991</v>
      </c>
      <c r="E108" s="3">
        <v>1.833</v>
      </c>
    </row>
    <row r="109" spans="1:5" ht="13.9" x14ac:dyDescent="0.35">
      <c r="A109" s="2">
        <v>43992</v>
      </c>
      <c r="B109" s="3">
        <v>6.3250000000000001E-2</v>
      </c>
      <c r="D109" s="2">
        <v>43992</v>
      </c>
      <c r="E109" s="3">
        <v>1.849</v>
      </c>
    </row>
    <row r="110" spans="1:5" ht="13.9" x14ac:dyDescent="0.35">
      <c r="A110" s="2">
        <v>43993</v>
      </c>
      <c r="B110" s="3">
        <v>6.5500000000000003E-2</v>
      </c>
      <c r="D110" s="2">
        <v>43993</v>
      </c>
      <c r="E110" s="3">
        <v>1.7569999999999999</v>
      </c>
    </row>
    <row r="111" spans="1:5" ht="13.9" x14ac:dyDescent="0.35">
      <c r="A111" s="2">
        <v>43994</v>
      </c>
      <c r="B111" s="3">
        <v>6.6129999999999994E-2</v>
      </c>
      <c r="D111" s="2">
        <v>43994</v>
      </c>
      <c r="E111" s="3">
        <v>1.5289999999999999</v>
      </c>
    </row>
    <row r="112" spans="1:5" ht="13.9" x14ac:dyDescent="0.35">
      <c r="A112" s="2">
        <v>43997</v>
      </c>
      <c r="B112" s="3">
        <v>6.9750000000000006E-2</v>
      </c>
      <c r="D112" s="2">
        <v>43997</v>
      </c>
      <c r="E112" s="3">
        <v>1.4770000000000001</v>
      </c>
    </row>
    <row r="113" spans="1:5" ht="13.9" x14ac:dyDescent="0.35">
      <c r="A113" s="2">
        <v>43998</v>
      </c>
      <c r="B113" s="3">
        <v>7.1629999999999999E-2</v>
      </c>
      <c r="D113" s="2">
        <v>43998</v>
      </c>
      <c r="E113" s="3">
        <v>1.7509999999999999</v>
      </c>
    </row>
    <row r="114" spans="1:5" ht="13.9" x14ac:dyDescent="0.35">
      <c r="A114" s="2">
        <v>43999</v>
      </c>
      <c r="B114" s="3">
        <v>7.5499999999999998E-2</v>
      </c>
      <c r="D114" s="2">
        <v>43999</v>
      </c>
      <c r="E114" s="3">
        <v>2.048</v>
      </c>
    </row>
    <row r="115" spans="1:5" ht="13.9" x14ac:dyDescent="0.35">
      <c r="A115" s="2">
        <v>44000</v>
      </c>
      <c r="B115" s="3">
        <v>7.6380000000000003E-2</v>
      </c>
      <c r="D115" s="2">
        <v>44000</v>
      </c>
      <c r="E115" s="3">
        <v>2.1230000000000002</v>
      </c>
    </row>
    <row r="116" spans="1:5" ht="13.9" x14ac:dyDescent="0.35">
      <c r="A116" s="2">
        <v>44001</v>
      </c>
      <c r="B116" s="3">
        <v>7.5249999999999997E-2</v>
      </c>
      <c r="D116" s="2">
        <v>44001</v>
      </c>
      <c r="E116" s="3">
        <v>2.1309999999999998</v>
      </c>
    </row>
    <row r="117" spans="1:5" ht="13.9" x14ac:dyDescent="0.35">
      <c r="A117" s="2">
        <v>44004</v>
      </c>
      <c r="B117" s="3">
        <v>6.9879999999999998E-2</v>
      </c>
      <c r="D117" s="2">
        <v>44004</v>
      </c>
      <c r="E117" s="3">
        <v>2.133</v>
      </c>
    </row>
    <row r="118" spans="1:5" ht="13.9" x14ac:dyDescent="0.35">
      <c r="A118" s="2">
        <v>44005</v>
      </c>
      <c r="B118" s="3">
        <v>7.1129999999999999E-2</v>
      </c>
      <c r="D118" s="2">
        <v>44005</v>
      </c>
      <c r="E118" s="3">
        <v>1.9710000000000001</v>
      </c>
    </row>
    <row r="119" spans="1:5" ht="13.9" x14ac:dyDescent="0.35">
      <c r="A119" s="2">
        <v>44006</v>
      </c>
      <c r="B119" s="3">
        <v>7.4249999999999997E-2</v>
      </c>
      <c r="D119" s="2">
        <v>44006</v>
      </c>
      <c r="E119" s="3">
        <v>1.54</v>
      </c>
    </row>
    <row r="120" spans="1:5" ht="13.9" x14ac:dyDescent="0.35">
      <c r="A120" s="2">
        <v>44011</v>
      </c>
      <c r="B120" s="3">
        <v>8.1750000000000003E-2</v>
      </c>
      <c r="D120" s="2">
        <v>44011</v>
      </c>
      <c r="E120" s="3">
        <v>1.012</v>
      </c>
    </row>
    <row r="121" spans="1:5" ht="13.9" x14ac:dyDescent="0.35">
      <c r="A121" s="2">
        <v>44012</v>
      </c>
      <c r="B121" s="3">
        <v>8.0879999999999994E-2</v>
      </c>
      <c r="D121" s="2">
        <v>44012</v>
      </c>
      <c r="E121" s="3">
        <v>1.7849999999999999</v>
      </c>
    </row>
    <row r="122" spans="1:5" ht="13.9" x14ac:dyDescent="0.35">
      <c r="A122" s="2">
        <v>44013</v>
      </c>
      <c r="B122" s="3">
        <v>7.6630000000000004E-2</v>
      </c>
      <c r="D122" s="2">
        <v>44013</v>
      </c>
      <c r="E122" s="3">
        <v>1.9670000000000001</v>
      </c>
    </row>
    <row r="123" spans="1:5" ht="13.9" x14ac:dyDescent="0.35">
      <c r="A123" s="2">
        <v>44014</v>
      </c>
      <c r="B123" s="3">
        <v>8.2879999999999995E-2</v>
      </c>
      <c r="D123" s="2">
        <v>44014</v>
      </c>
      <c r="E123" s="3">
        <v>1.7450000000000001</v>
      </c>
    </row>
    <row r="124" spans="1:5" ht="13.9" x14ac:dyDescent="0.35">
      <c r="A124" s="2">
        <v>44015</v>
      </c>
      <c r="B124" s="3">
        <v>8.2879999999999995E-2</v>
      </c>
      <c r="D124" s="2">
        <v>44015</v>
      </c>
      <c r="E124" s="3">
        <v>1.3640000000000001</v>
      </c>
    </row>
    <row r="125" spans="1:5" ht="13.9" x14ac:dyDescent="0.35">
      <c r="A125" s="2">
        <v>44018</v>
      </c>
      <c r="B125" s="3">
        <v>8.2879999999999995E-2</v>
      </c>
      <c r="D125" s="2">
        <v>44018</v>
      </c>
      <c r="E125" s="3">
        <v>1.3460000000000001</v>
      </c>
    </row>
    <row r="126" spans="1:5" ht="13.9" x14ac:dyDescent="0.35">
      <c r="A126" s="2">
        <v>44019</v>
      </c>
      <c r="B126" s="3">
        <v>8.3000000000000004E-2</v>
      </c>
      <c r="D126" s="2">
        <v>44019</v>
      </c>
      <c r="E126" s="3">
        <v>1.706</v>
      </c>
    </row>
    <row r="127" spans="1:5" ht="13.9" x14ac:dyDescent="0.35">
      <c r="A127" s="2">
        <v>44020</v>
      </c>
      <c r="B127" s="3">
        <v>8.2879999999999995E-2</v>
      </c>
      <c r="D127" s="2">
        <v>44020</v>
      </c>
      <c r="E127" s="3">
        <v>2.0880000000000001</v>
      </c>
    </row>
    <row r="128" spans="1:5" ht="13.9" x14ac:dyDescent="0.35">
      <c r="A128" s="2">
        <v>44021</v>
      </c>
      <c r="B128" s="3">
        <v>8.1750000000000003E-2</v>
      </c>
      <c r="D128" s="2">
        <v>44021</v>
      </c>
      <c r="E128" s="3">
        <v>2.1890000000000001</v>
      </c>
    </row>
    <row r="129" spans="1:5" ht="13.9" x14ac:dyDescent="0.35">
      <c r="A129" s="2">
        <v>44022</v>
      </c>
      <c r="B129" s="3">
        <v>8.1379999999999994E-2</v>
      </c>
      <c r="D129" s="2">
        <v>44022</v>
      </c>
      <c r="E129" s="3">
        <v>2.1970000000000001</v>
      </c>
    </row>
    <row r="130" spans="1:5" ht="13.9" x14ac:dyDescent="0.35">
      <c r="A130" s="2">
        <v>44025</v>
      </c>
      <c r="B130" s="3">
        <v>8.2000000000000003E-2</v>
      </c>
      <c r="D130" s="2">
        <v>44025</v>
      </c>
      <c r="E130" s="3">
        <v>2.1280000000000001</v>
      </c>
    </row>
    <row r="131" spans="1:5" ht="13.9" x14ac:dyDescent="0.35">
      <c r="A131" s="2">
        <v>44026</v>
      </c>
      <c r="B131" s="3">
        <v>7.7499999999999999E-2</v>
      </c>
      <c r="D131" s="2">
        <v>44026</v>
      </c>
      <c r="E131" s="3">
        <v>1.67</v>
      </c>
    </row>
    <row r="132" spans="1:5" ht="13.9" x14ac:dyDescent="0.35">
      <c r="A132" s="2">
        <v>44027</v>
      </c>
      <c r="B132" s="3">
        <v>8.4250000000000005E-2</v>
      </c>
      <c r="D132" s="2">
        <v>44027</v>
      </c>
      <c r="E132" s="3">
        <v>2.0219999999999998</v>
      </c>
    </row>
    <row r="133" spans="1:5" ht="13.9" x14ac:dyDescent="0.35">
      <c r="A133" s="2">
        <v>44028</v>
      </c>
      <c r="B133" s="3">
        <v>8.6749999999999994E-2</v>
      </c>
      <c r="D133" s="2">
        <v>44028</v>
      </c>
      <c r="E133" s="3">
        <v>2.2465000000000002</v>
      </c>
    </row>
    <row r="134" spans="1:5" ht="13.9" x14ac:dyDescent="0.35">
      <c r="A134" s="2">
        <v>44029</v>
      </c>
      <c r="B134" s="3">
        <v>8.5629999999999998E-2</v>
      </c>
      <c r="D134" s="2">
        <v>44029</v>
      </c>
      <c r="E134" s="3">
        <v>2.3279999999999998</v>
      </c>
    </row>
    <row r="135" spans="1:5" ht="13.9" x14ac:dyDescent="0.35">
      <c r="A135" s="2">
        <v>44032</v>
      </c>
      <c r="B135" s="3">
        <v>8.5500000000000007E-2</v>
      </c>
      <c r="D135" s="2">
        <v>44032</v>
      </c>
      <c r="E135" s="3">
        <v>1.9564999999999999</v>
      </c>
    </row>
    <row r="136" spans="1:5" ht="13.9" x14ac:dyDescent="0.35">
      <c r="A136" s="2">
        <v>44033</v>
      </c>
      <c r="B136" s="3">
        <v>8.5250000000000006E-2</v>
      </c>
      <c r="D136" s="2">
        <v>44033</v>
      </c>
      <c r="E136" s="3">
        <v>1.5840000000000001</v>
      </c>
    </row>
    <row r="137" spans="1:5" ht="13.9" x14ac:dyDescent="0.35">
      <c r="A137" s="2">
        <v>44034</v>
      </c>
      <c r="B137" s="3">
        <v>8.5879999999999998E-2</v>
      </c>
      <c r="D137" s="2">
        <v>44034</v>
      </c>
      <c r="E137" s="3">
        <v>1.3360000000000001</v>
      </c>
    </row>
    <row r="138" spans="1:5" ht="13.9" x14ac:dyDescent="0.35">
      <c r="A138" s="2">
        <v>44035</v>
      </c>
      <c r="B138" s="3">
        <v>8.5629999999999998E-2</v>
      </c>
      <c r="D138" s="2">
        <v>44035</v>
      </c>
      <c r="E138" s="3">
        <v>1.8580000000000001</v>
      </c>
    </row>
    <row r="139" spans="1:5" ht="13.9" x14ac:dyDescent="0.35">
      <c r="A139" s="2">
        <v>44036</v>
      </c>
      <c r="B139" s="3">
        <v>8.4879999999999997E-2</v>
      </c>
      <c r="D139" s="2">
        <v>44036</v>
      </c>
      <c r="E139" s="3">
        <v>1.843</v>
      </c>
    </row>
    <row r="140" spans="1:5" ht="13.9" x14ac:dyDescent="0.35">
      <c r="A140" s="2">
        <v>44039</v>
      </c>
      <c r="B140" s="3">
        <v>8.5129999999999997E-2</v>
      </c>
      <c r="D140" s="2">
        <v>44039</v>
      </c>
      <c r="E140" s="3">
        <v>1.994</v>
      </c>
    </row>
    <row r="141" spans="1:5" ht="13.9" x14ac:dyDescent="0.35">
      <c r="A141" s="2">
        <v>44040</v>
      </c>
      <c r="B141" s="3">
        <v>8.4750000000000006E-2</v>
      </c>
      <c r="D141" s="2">
        <v>44040</v>
      </c>
      <c r="E141" s="3">
        <v>1.7529999999999999</v>
      </c>
    </row>
    <row r="142" spans="1:5" ht="13.9" x14ac:dyDescent="0.35">
      <c r="A142" s="2">
        <v>44041</v>
      </c>
      <c r="B142" s="3">
        <v>8.4129999999999996E-2</v>
      </c>
      <c r="D142" s="2">
        <v>44041</v>
      </c>
      <c r="E142" s="3">
        <v>1.45</v>
      </c>
    </row>
    <row r="143" spans="1:5" ht="13.9" x14ac:dyDescent="0.35">
      <c r="A143" s="2">
        <v>44042</v>
      </c>
      <c r="B143" s="3">
        <v>8.5000000000000006E-2</v>
      </c>
      <c r="D143" s="2">
        <v>44042</v>
      </c>
      <c r="E143" s="3">
        <v>1.369</v>
      </c>
    </row>
    <row r="144" spans="1:5" ht="13.9" x14ac:dyDescent="0.35">
      <c r="A144" s="2">
        <v>44043</v>
      </c>
      <c r="B144" s="3">
        <v>8.7249999999999994E-2</v>
      </c>
      <c r="D144" s="2">
        <v>44043</v>
      </c>
      <c r="E144" s="3">
        <v>1.788</v>
      </c>
    </row>
    <row r="145" spans="1:7" ht="13.9" x14ac:dyDescent="0.35">
      <c r="A145" s="2">
        <v>44046</v>
      </c>
      <c r="B145" s="3">
        <v>8.4250000000000005E-2</v>
      </c>
      <c r="D145" s="2">
        <v>44046</v>
      </c>
      <c r="E145" s="3">
        <v>1.57</v>
      </c>
    </row>
    <row r="146" spans="1:7" ht="13.9" x14ac:dyDescent="0.35">
      <c r="A146" s="2">
        <v>44047</v>
      </c>
      <c r="B146" s="3">
        <v>8.8999999999999996E-2</v>
      </c>
      <c r="D146" s="2">
        <v>44047</v>
      </c>
      <c r="E146" s="3">
        <v>1.925</v>
      </c>
    </row>
    <row r="147" spans="1:7" ht="13.9" x14ac:dyDescent="0.35">
      <c r="A147" s="2">
        <v>44048</v>
      </c>
      <c r="B147" s="3">
        <v>8.3379999999999996E-2</v>
      </c>
      <c r="D147" s="2">
        <v>44048</v>
      </c>
      <c r="E147" s="3">
        <v>1.69</v>
      </c>
      <c r="G147">
        <v>100</v>
      </c>
    </row>
    <row r="148" spans="1:7" ht="13.9" x14ac:dyDescent="0.35">
      <c r="A148" s="2">
        <v>44049</v>
      </c>
      <c r="B148" s="3">
        <v>8.5750000000000007E-2</v>
      </c>
      <c r="D148" s="2">
        <v>44049</v>
      </c>
      <c r="E148" s="3">
        <v>1.661</v>
      </c>
    </row>
    <row r="149" spans="1:7" ht="13.9" x14ac:dyDescent="0.35">
      <c r="A149" s="2">
        <v>44050</v>
      </c>
      <c r="B149" s="3">
        <v>8.5129999999999997E-2</v>
      </c>
      <c r="D149" s="2">
        <v>44050</v>
      </c>
      <c r="E149" s="3">
        <v>2.0569999999999999</v>
      </c>
    </row>
    <row r="150" spans="1:7" ht="13.9" x14ac:dyDescent="0.35">
      <c r="A150" s="2">
        <v>44053</v>
      </c>
      <c r="B150" s="3">
        <v>8.5999999999999993E-2</v>
      </c>
      <c r="D150" s="2">
        <v>44053</v>
      </c>
      <c r="E150" s="3">
        <v>2.129</v>
      </c>
    </row>
    <row r="151" spans="1:7" ht="13.9" x14ac:dyDescent="0.35">
      <c r="A151" s="2">
        <v>44054</v>
      </c>
      <c r="B151" s="3">
        <v>8.5250000000000006E-2</v>
      </c>
      <c r="D151" s="2">
        <v>44054</v>
      </c>
      <c r="E151" s="3">
        <v>2.2010000000000001</v>
      </c>
    </row>
    <row r="152" spans="1:7" ht="13.9" x14ac:dyDescent="0.35">
      <c r="A152" s="2">
        <v>44055</v>
      </c>
      <c r="B152" s="3">
        <v>8.5379999999999998E-2</v>
      </c>
      <c r="D152" s="2">
        <v>44055</v>
      </c>
      <c r="E152" s="3">
        <v>2.1520000000000001</v>
      </c>
    </row>
    <row r="153" spans="1:7" ht="13.9" x14ac:dyDescent="0.35">
      <c r="A153" s="2">
        <v>44056</v>
      </c>
      <c r="B153" s="3">
        <v>8.4879999999999997E-2</v>
      </c>
      <c r="D153" s="2">
        <v>44056</v>
      </c>
      <c r="E153" s="3">
        <v>2.1619999999999999</v>
      </c>
    </row>
    <row r="154" spans="1:7" ht="13.9" x14ac:dyDescent="0.35">
      <c r="A154" s="2">
        <v>44057</v>
      </c>
      <c r="B154" s="3">
        <v>8.5500000000000007E-2</v>
      </c>
      <c r="D154" s="2">
        <v>44057</v>
      </c>
      <c r="E154" s="3">
        <v>2.1749999999999998</v>
      </c>
    </row>
    <row r="155" spans="1:7" ht="13.9" x14ac:dyDescent="0.35">
      <c r="A155" s="2">
        <v>44060</v>
      </c>
      <c r="B155" s="3">
        <v>8.4750000000000006E-2</v>
      </c>
      <c r="D155" s="2">
        <v>44060</v>
      </c>
      <c r="E155" s="3">
        <v>2.1280000000000001</v>
      </c>
    </row>
    <row r="156" spans="1:7" ht="13.9" x14ac:dyDescent="0.35">
      <c r="A156" s="2">
        <v>44061</v>
      </c>
      <c r="B156" s="3">
        <v>8.3629999999999996E-2</v>
      </c>
      <c r="D156" s="2">
        <v>44061</v>
      </c>
      <c r="E156" s="3">
        <v>2.1150000000000002</v>
      </c>
    </row>
    <row r="157" spans="1:7" ht="13.9" x14ac:dyDescent="0.35">
      <c r="A157" s="2">
        <v>44062</v>
      </c>
      <c r="B157" s="3">
        <v>8.4629999999999997E-2</v>
      </c>
      <c r="D157" s="2">
        <v>44062</v>
      </c>
      <c r="E157" s="3">
        <v>2.1480000000000001</v>
      </c>
    </row>
    <row r="158" spans="1:7" ht="13.9" x14ac:dyDescent="0.35">
      <c r="A158" s="2">
        <v>44063</v>
      </c>
      <c r="B158" s="3">
        <v>8.3000000000000004E-2</v>
      </c>
      <c r="D158" s="2">
        <v>44063</v>
      </c>
      <c r="E158" s="3">
        <v>2.1720000000000002</v>
      </c>
    </row>
    <row r="159" spans="1:7" ht="13.9" x14ac:dyDescent="0.35">
      <c r="A159" s="2">
        <v>44064</v>
      </c>
      <c r="B159" s="3">
        <v>8.1750000000000003E-2</v>
      </c>
      <c r="D159" s="2">
        <v>44064</v>
      </c>
      <c r="E159" s="3">
        <v>2.258</v>
      </c>
    </row>
    <row r="160" spans="1:7" ht="13.9" x14ac:dyDescent="0.35">
      <c r="A160" s="2">
        <v>44067</v>
      </c>
      <c r="B160" s="3">
        <v>8.1750000000000003E-2</v>
      </c>
      <c r="D160" s="2">
        <v>44067</v>
      </c>
      <c r="E160" s="3">
        <v>2.3595000000000002</v>
      </c>
    </row>
    <row r="161" spans="1:5" ht="13.9" x14ac:dyDescent="0.35">
      <c r="A161" s="2">
        <v>44068</v>
      </c>
      <c r="B161" s="3">
        <v>8.1379999999999994E-2</v>
      </c>
      <c r="D161" s="2">
        <v>44068</v>
      </c>
      <c r="E161" s="3">
        <v>1.9690000000000001</v>
      </c>
    </row>
    <row r="162" spans="1:5" ht="13.9" x14ac:dyDescent="0.35">
      <c r="A162" s="2">
        <v>44069</v>
      </c>
      <c r="B162" s="3">
        <v>8.1750000000000003E-2</v>
      </c>
      <c r="D162" s="2">
        <v>44069</v>
      </c>
      <c r="E162" s="3">
        <v>1.63</v>
      </c>
    </row>
    <row r="163" spans="1:5" ht="13.9" x14ac:dyDescent="0.35">
      <c r="A163" s="2">
        <v>44070</v>
      </c>
      <c r="B163" s="3">
        <v>8.2000000000000003E-2</v>
      </c>
      <c r="D163" s="2">
        <v>44070</v>
      </c>
      <c r="E163" s="3">
        <v>1.4770000000000001</v>
      </c>
    </row>
    <row r="164" spans="1:5" ht="13.9" x14ac:dyDescent="0.35">
      <c r="A164" s="2">
        <v>44071</v>
      </c>
      <c r="B164" s="3">
        <v>8.0879999999999994E-2</v>
      </c>
      <c r="D164" s="2">
        <v>44071</v>
      </c>
      <c r="E164" s="3">
        <v>1.345</v>
      </c>
    </row>
    <row r="165" spans="1:5" ht="13.9" x14ac:dyDescent="0.35">
      <c r="A165" s="2">
        <v>44074</v>
      </c>
      <c r="B165" s="3"/>
      <c r="D165" s="2">
        <v>44074</v>
      </c>
      <c r="E165" s="3">
        <v>1.766</v>
      </c>
    </row>
    <row r="166" spans="1:5" ht="13.9" x14ac:dyDescent="0.35">
      <c r="A166" s="2">
        <v>44075</v>
      </c>
      <c r="B166" s="3">
        <v>8.1250000000000003E-2</v>
      </c>
      <c r="D166" s="2">
        <v>44075</v>
      </c>
      <c r="E166" s="3">
        <v>2.1040000000000001</v>
      </c>
    </row>
    <row r="167" spans="1:5" ht="13.9" x14ac:dyDescent="0.35">
      <c r="A167" s="2">
        <v>44076</v>
      </c>
      <c r="B167" s="3">
        <v>8.2500000000000004E-2</v>
      </c>
      <c r="D167" s="2">
        <v>44076</v>
      </c>
      <c r="E167" s="3">
        <v>2.0939999999999999</v>
      </c>
    </row>
    <row r="168" spans="1:5" ht="13.9" x14ac:dyDescent="0.35">
      <c r="A168" s="2">
        <v>44077</v>
      </c>
      <c r="B168" s="3">
        <v>8.2379999999999995E-2</v>
      </c>
      <c r="D168" s="2">
        <v>44077</v>
      </c>
      <c r="E168" s="3">
        <v>1.742</v>
      </c>
    </row>
    <row r="169" spans="1:5" ht="13.9" x14ac:dyDescent="0.35">
      <c r="A169" s="2">
        <v>44078</v>
      </c>
      <c r="B169" s="3">
        <v>8.1629999999999994E-2</v>
      </c>
      <c r="D169" s="2">
        <v>44078</v>
      </c>
      <c r="E169" s="3">
        <v>2.052</v>
      </c>
    </row>
    <row r="170" spans="1:5" ht="13.9" x14ac:dyDescent="0.35">
      <c r="A170" s="2">
        <v>44081</v>
      </c>
      <c r="B170" s="3"/>
      <c r="D170" s="2">
        <v>44081</v>
      </c>
      <c r="E170" s="3">
        <v>2.0880000000000001</v>
      </c>
    </row>
    <row r="171" spans="1:5" ht="13.9" x14ac:dyDescent="0.35">
      <c r="A171" s="2">
        <v>44082</v>
      </c>
      <c r="B171" s="3">
        <v>7.9380000000000006E-2</v>
      </c>
      <c r="D171" s="2">
        <v>44082</v>
      </c>
      <c r="E171" s="3">
        <v>2.0510000000000002</v>
      </c>
    </row>
    <row r="172" spans="1:5" ht="13.9" x14ac:dyDescent="0.35">
      <c r="A172" s="2">
        <v>44083</v>
      </c>
      <c r="B172" s="3">
        <v>8.2129999999999995E-2</v>
      </c>
      <c r="D172" s="2">
        <v>44083</v>
      </c>
      <c r="E172" s="3">
        <v>1.607</v>
      </c>
    </row>
    <row r="173" spans="1:5" ht="13.9" x14ac:dyDescent="0.35">
      <c r="A173" s="2">
        <v>44084</v>
      </c>
      <c r="B173" s="3">
        <v>8.4129999999999996E-2</v>
      </c>
      <c r="D173" s="2">
        <v>44084</v>
      </c>
      <c r="E173" s="3">
        <v>1.34</v>
      </c>
    </row>
    <row r="174" spans="1:5" ht="13.9" x14ac:dyDescent="0.35">
      <c r="A174" s="2">
        <v>44085</v>
      </c>
      <c r="B174" s="3">
        <v>8.3000000000000004E-2</v>
      </c>
      <c r="D174" s="2">
        <v>44085</v>
      </c>
      <c r="E174" s="3">
        <v>1.464</v>
      </c>
    </row>
    <row r="175" spans="1:5" ht="13.9" x14ac:dyDescent="0.35">
      <c r="A175" s="2">
        <v>44088</v>
      </c>
      <c r="B175" s="3">
        <v>8.3879999999999996E-2</v>
      </c>
      <c r="D175" s="2">
        <v>44088</v>
      </c>
      <c r="E175" s="3">
        <v>1.607</v>
      </c>
    </row>
    <row r="176" spans="1:5" ht="13.9" x14ac:dyDescent="0.35">
      <c r="A176" s="2">
        <v>44089</v>
      </c>
      <c r="B176" s="3">
        <v>8.3250000000000005E-2</v>
      </c>
      <c r="D176" s="2">
        <v>44089</v>
      </c>
      <c r="E176" s="3">
        <v>1.7310000000000001</v>
      </c>
    </row>
    <row r="177" spans="1:5" ht="13.9" x14ac:dyDescent="0.35">
      <c r="A177" s="2">
        <v>44090</v>
      </c>
      <c r="B177" s="3">
        <v>8.2500000000000004E-2</v>
      </c>
      <c r="D177" s="2">
        <v>44090</v>
      </c>
      <c r="E177" s="3">
        <v>1.4039999999999999</v>
      </c>
    </row>
    <row r="178" spans="1:5" ht="13.9" x14ac:dyDescent="0.35">
      <c r="A178" s="2">
        <v>44091</v>
      </c>
      <c r="B178" s="3">
        <v>8.2250000000000004E-2</v>
      </c>
      <c r="D178" s="2">
        <v>44091</v>
      </c>
      <c r="E178" s="3">
        <v>1.7689999999999999</v>
      </c>
    </row>
    <row r="179" spans="1:5" ht="13.9" x14ac:dyDescent="0.35">
      <c r="A179" s="2">
        <v>44092</v>
      </c>
      <c r="B179" s="3">
        <v>8.3129999999999996E-2</v>
      </c>
      <c r="D179" s="2">
        <v>44092</v>
      </c>
      <c r="E179" s="3">
        <v>2.101</v>
      </c>
    </row>
    <row r="180" spans="1:5" ht="13.9" x14ac:dyDescent="0.35">
      <c r="A180" s="2">
        <v>44095</v>
      </c>
      <c r="B180" s="3">
        <v>8.2500000000000004E-2</v>
      </c>
      <c r="D180" s="2">
        <v>44095</v>
      </c>
      <c r="E180" s="3">
        <v>2.2040000000000002</v>
      </c>
    </row>
    <row r="181" spans="1:5" ht="13.9" x14ac:dyDescent="0.35">
      <c r="A181" s="2">
        <v>44096</v>
      </c>
      <c r="B181" s="3">
        <v>8.2629999999999995E-2</v>
      </c>
      <c r="D181" s="2">
        <v>44096</v>
      </c>
      <c r="E181" s="3">
        <v>2.286</v>
      </c>
    </row>
    <row r="182" spans="1:5" ht="13.9" x14ac:dyDescent="0.35">
      <c r="A182" s="2">
        <v>44097</v>
      </c>
      <c r="B182" s="3">
        <v>8.0379999999999993E-2</v>
      </c>
      <c r="D182" s="2">
        <v>44097</v>
      </c>
      <c r="E182" s="3">
        <v>1.8839999999999999</v>
      </c>
    </row>
    <row r="183" spans="1:5" ht="13.9" x14ac:dyDescent="0.35">
      <c r="A183" s="2">
        <v>44098</v>
      </c>
      <c r="B183" s="3">
        <v>8.0750000000000002E-2</v>
      </c>
      <c r="D183" s="2">
        <v>44098</v>
      </c>
      <c r="E183" s="3">
        <v>1.4239999999999999</v>
      </c>
    </row>
    <row r="184" spans="1:5" ht="13.9" x14ac:dyDescent="0.35">
      <c r="A184" s="2">
        <v>44099</v>
      </c>
      <c r="B184" s="3">
        <v>8.0130000000000007E-2</v>
      </c>
      <c r="D184" s="2">
        <v>44099</v>
      </c>
      <c r="E184" s="3">
        <v>1.113</v>
      </c>
    </row>
    <row r="185" spans="1:5" ht="13.9" x14ac:dyDescent="0.35">
      <c r="A185" s="2">
        <v>44102</v>
      </c>
      <c r="B185" s="3">
        <v>8.1629999999999994E-2</v>
      </c>
      <c r="D185" s="2">
        <v>44102</v>
      </c>
      <c r="E185" s="3">
        <v>0.60199999999999998</v>
      </c>
    </row>
    <row r="186" spans="1:5" ht="13.9" x14ac:dyDescent="0.35">
      <c r="A186" s="2">
        <v>44103</v>
      </c>
      <c r="B186" s="3">
        <v>8.1750000000000003E-2</v>
      </c>
      <c r="D186" s="2">
        <v>44103</v>
      </c>
      <c r="E186" s="3">
        <v>0.91300000000000003</v>
      </c>
    </row>
    <row r="187" spans="1:5" ht="13.9" x14ac:dyDescent="0.35">
      <c r="A187" s="2">
        <v>44104</v>
      </c>
      <c r="B187" s="3">
        <v>7.8E-2</v>
      </c>
      <c r="D187" s="2">
        <v>44104</v>
      </c>
      <c r="E187" s="3">
        <v>2.3610000000000002</v>
      </c>
    </row>
    <row r="188" spans="1:5" ht="13.9" x14ac:dyDescent="0.35">
      <c r="A188" s="2">
        <v>44113</v>
      </c>
      <c r="B188" s="3">
        <v>8.1750000000000003E-2</v>
      </c>
      <c r="D188" s="2">
        <v>44113</v>
      </c>
      <c r="E188" s="3">
        <v>2.0379999999999998</v>
      </c>
    </row>
    <row r="189" spans="1:5" ht="13.9" x14ac:dyDescent="0.35">
      <c r="A189" s="2">
        <v>44116</v>
      </c>
      <c r="B189" s="3"/>
      <c r="D189" s="2">
        <v>44116</v>
      </c>
      <c r="E189" s="3">
        <v>1.53</v>
      </c>
    </row>
    <row r="190" spans="1:5" ht="13.9" x14ac:dyDescent="0.35">
      <c r="A190" s="2">
        <v>44117</v>
      </c>
      <c r="B190" s="3">
        <v>0.08</v>
      </c>
      <c r="D190" s="2">
        <v>44117</v>
      </c>
      <c r="E190" s="3">
        <v>1.7</v>
      </c>
    </row>
    <row r="191" spans="1:5" ht="13.9" x14ac:dyDescent="0.35">
      <c r="A191" s="2">
        <v>44118</v>
      </c>
      <c r="B191" s="3">
        <v>8.0879999999999994E-2</v>
      </c>
      <c r="D191" s="2">
        <v>44118</v>
      </c>
      <c r="E191" s="3">
        <v>1.962</v>
      </c>
    </row>
    <row r="192" spans="1:5" ht="13.9" x14ac:dyDescent="0.35">
      <c r="A192" s="2">
        <v>44119</v>
      </c>
      <c r="B192" s="3">
        <v>8.1250000000000003E-2</v>
      </c>
      <c r="D192" s="2">
        <v>44119</v>
      </c>
      <c r="E192" s="3">
        <v>2.0630000000000002</v>
      </c>
    </row>
    <row r="193" spans="1:5" ht="13.9" x14ac:dyDescent="0.35">
      <c r="A193" s="2">
        <v>44120</v>
      </c>
      <c r="B193" s="3">
        <v>8.1129999999999994E-2</v>
      </c>
      <c r="D193" s="2">
        <v>44120</v>
      </c>
      <c r="E193" s="3">
        <v>2.0169999999999999</v>
      </c>
    </row>
    <row r="194" spans="1:5" ht="13.9" x14ac:dyDescent="0.35">
      <c r="A194" s="2">
        <v>44123</v>
      </c>
      <c r="B194" s="3">
        <v>8.0879999999999994E-2</v>
      </c>
      <c r="D194" s="2">
        <v>44123</v>
      </c>
      <c r="E194" s="3">
        <v>2.1869999999999998</v>
      </c>
    </row>
    <row r="195" spans="1:5" ht="13.9" x14ac:dyDescent="0.35">
      <c r="A195" s="2">
        <v>44124</v>
      </c>
      <c r="B195" s="3">
        <v>8.0379999999999993E-2</v>
      </c>
      <c r="D195" s="2">
        <v>44124</v>
      </c>
      <c r="E195" s="3">
        <v>2.1619999999999999</v>
      </c>
    </row>
    <row r="196" spans="1:5" ht="13.9" x14ac:dyDescent="0.35">
      <c r="A196" s="2">
        <v>44125</v>
      </c>
      <c r="B196" s="3">
        <v>8.0629999999999993E-2</v>
      </c>
      <c r="D196" s="2">
        <v>44125</v>
      </c>
      <c r="E196" s="3">
        <v>1.988</v>
      </c>
    </row>
    <row r="197" spans="1:5" ht="13.9" x14ac:dyDescent="0.35">
      <c r="A197" s="2">
        <v>44126</v>
      </c>
      <c r="B197" s="3">
        <v>8.4129999999999996E-2</v>
      </c>
      <c r="D197" s="2">
        <v>44126</v>
      </c>
      <c r="E197" s="3">
        <v>1.911</v>
      </c>
    </row>
    <row r="198" spans="1:5" ht="13.9" x14ac:dyDescent="0.35">
      <c r="A198" s="2">
        <v>44127</v>
      </c>
      <c r="B198" s="3">
        <v>8.1379999999999994E-2</v>
      </c>
      <c r="D198" s="2">
        <v>44127</v>
      </c>
      <c r="E198" s="3">
        <v>2.161</v>
      </c>
    </row>
    <row r="199" spans="1:5" ht="13.9" x14ac:dyDescent="0.35">
      <c r="A199" s="2">
        <v>44130</v>
      </c>
      <c r="B199" s="3">
        <v>8.0629999999999993E-2</v>
      </c>
      <c r="D199" s="2">
        <v>44130</v>
      </c>
      <c r="E199" s="3">
        <v>2.1800000000000002</v>
      </c>
    </row>
    <row r="200" spans="1:5" ht="13.9" x14ac:dyDescent="0.35">
      <c r="A200" s="2">
        <v>44131</v>
      </c>
      <c r="B200" s="3">
        <v>8.1629999999999994E-2</v>
      </c>
      <c r="D200" s="2">
        <v>44131</v>
      </c>
      <c r="E200" s="3">
        <v>2.38</v>
      </c>
    </row>
    <row r="201" spans="1:5" ht="13.9" x14ac:dyDescent="0.35">
      <c r="A201" s="2">
        <v>44132</v>
      </c>
      <c r="B201" s="3">
        <v>8.0250000000000002E-2</v>
      </c>
      <c r="D201" s="2">
        <v>44132</v>
      </c>
      <c r="E201" s="3">
        <v>2.379</v>
      </c>
    </row>
    <row r="202" spans="1:5" ht="13.9" x14ac:dyDescent="0.35">
      <c r="A202" s="2">
        <v>44133</v>
      </c>
      <c r="B202" s="3">
        <v>8.1000000000000003E-2</v>
      </c>
      <c r="D202" s="2">
        <v>44133</v>
      </c>
      <c r="E202" s="3">
        <v>2.125</v>
      </c>
    </row>
    <row r="203" spans="1:5" ht="13.9" x14ac:dyDescent="0.35">
      <c r="A203" s="2">
        <v>44134</v>
      </c>
      <c r="B203" s="3">
        <v>8.1379999999999994E-2</v>
      </c>
      <c r="D203" s="2">
        <v>44134</v>
      </c>
      <c r="E203" s="3">
        <v>2.2360000000000002</v>
      </c>
    </row>
    <row r="204" spans="1:5" ht="13.9" x14ac:dyDescent="0.35">
      <c r="A204" s="2">
        <v>44137</v>
      </c>
      <c r="B204" s="3">
        <v>8.1129999999999994E-2</v>
      </c>
      <c r="D204" s="2">
        <v>44137</v>
      </c>
      <c r="E204" s="3">
        <v>2.3220000000000001</v>
      </c>
    </row>
    <row r="205" spans="1:5" ht="13.9" x14ac:dyDescent="0.35">
      <c r="A205" s="2">
        <v>44138</v>
      </c>
      <c r="B205" s="3">
        <v>8.2000000000000003E-2</v>
      </c>
      <c r="D205" s="2">
        <v>44138</v>
      </c>
      <c r="E205" s="3">
        <v>1.8680000000000001</v>
      </c>
    </row>
    <row r="206" spans="1:5" ht="13.9" x14ac:dyDescent="0.35">
      <c r="A206" s="2">
        <v>44139</v>
      </c>
      <c r="B206" s="3">
        <v>8.1500000000000003E-2</v>
      </c>
      <c r="D206" s="2">
        <v>44139</v>
      </c>
      <c r="E206" s="3">
        <v>1.4490000000000001</v>
      </c>
    </row>
    <row r="207" spans="1:5" ht="13.9" x14ac:dyDescent="0.35">
      <c r="A207" s="2">
        <v>44140</v>
      </c>
      <c r="B207" s="3">
        <v>8.1379999999999994E-2</v>
      </c>
      <c r="D207" s="2">
        <v>44140</v>
      </c>
      <c r="E207" s="3">
        <v>1.377</v>
      </c>
    </row>
    <row r="208" spans="1:5" ht="13.9" x14ac:dyDescent="0.35">
      <c r="A208" s="2">
        <v>44141</v>
      </c>
      <c r="B208" s="3">
        <v>8.2629999999999995E-2</v>
      </c>
      <c r="D208" s="2">
        <v>44141</v>
      </c>
      <c r="E208" s="3">
        <v>1.79</v>
      </c>
    </row>
    <row r="209" spans="1:5" ht="13.9" x14ac:dyDescent="0.35">
      <c r="A209" s="2">
        <v>44144</v>
      </c>
      <c r="B209" s="3">
        <v>8.1129999999999994E-2</v>
      </c>
      <c r="D209" s="2">
        <v>44144</v>
      </c>
      <c r="E209" s="3">
        <v>2.1930000000000001</v>
      </c>
    </row>
    <row r="210" spans="1:5" ht="13.9" x14ac:dyDescent="0.35">
      <c r="A210" s="2">
        <v>44145</v>
      </c>
      <c r="B210" s="3">
        <v>8.4879999999999997E-2</v>
      </c>
      <c r="D210" s="2">
        <v>44145</v>
      </c>
      <c r="E210" s="3">
        <v>2.3330000000000002</v>
      </c>
    </row>
    <row r="211" spans="1:5" ht="13.9" x14ac:dyDescent="0.35">
      <c r="A211" s="2">
        <v>44146</v>
      </c>
      <c r="B211" s="3"/>
      <c r="D211" s="2">
        <v>44146</v>
      </c>
      <c r="E211" s="3">
        <v>2.3140000000000001</v>
      </c>
    </row>
    <row r="212" spans="1:5" ht="13.9" x14ac:dyDescent="0.35">
      <c r="A212" s="2">
        <v>44147</v>
      </c>
      <c r="B212" s="3">
        <v>8.1500000000000003E-2</v>
      </c>
      <c r="D212" s="2">
        <v>44147</v>
      </c>
      <c r="E212" s="3">
        <v>2.5209999999999999</v>
      </c>
    </row>
    <row r="213" spans="1:5" ht="13.9" x14ac:dyDescent="0.35">
      <c r="A213" s="2">
        <v>44148</v>
      </c>
      <c r="B213" s="3">
        <v>8.3250000000000005E-2</v>
      </c>
      <c r="D213" s="2">
        <v>44148</v>
      </c>
      <c r="E213" s="3">
        <v>2.5230000000000001</v>
      </c>
    </row>
    <row r="214" spans="1:5" ht="13.9" x14ac:dyDescent="0.35">
      <c r="A214" s="2">
        <v>44151</v>
      </c>
      <c r="B214" s="3">
        <v>8.3629999999999996E-2</v>
      </c>
      <c r="D214" s="2">
        <v>44151</v>
      </c>
      <c r="E214" s="3">
        <v>2.2519999999999998</v>
      </c>
    </row>
    <row r="215" spans="1:5" ht="13.9" x14ac:dyDescent="0.35">
      <c r="A215" s="2">
        <v>44152</v>
      </c>
      <c r="B215" s="3">
        <v>8.2129999999999995E-2</v>
      </c>
      <c r="D215" s="2">
        <v>44152</v>
      </c>
      <c r="E215" s="3">
        <v>1.798</v>
      </c>
    </row>
    <row r="216" spans="1:5" ht="13.9" x14ac:dyDescent="0.35">
      <c r="A216" s="2">
        <v>44153</v>
      </c>
      <c r="B216" s="3">
        <v>8.2250000000000004E-2</v>
      </c>
      <c r="D216" s="2">
        <v>44153</v>
      </c>
      <c r="E216" s="3">
        <v>1.72</v>
      </c>
    </row>
    <row r="217" spans="1:5" ht="13.9" x14ac:dyDescent="0.35">
      <c r="A217" s="2">
        <v>44154</v>
      </c>
      <c r="B217" s="3">
        <v>8.2379999999999995E-2</v>
      </c>
      <c r="D217" s="2">
        <v>44154</v>
      </c>
      <c r="E217" s="3">
        <v>1.9179999999999999</v>
      </c>
    </row>
    <row r="218" spans="1:5" ht="13.9" x14ac:dyDescent="0.35">
      <c r="A218" s="2">
        <v>44155</v>
      </c>
      <c r="B218" s="3">
        <v>8.2629999999999995E-2</v>
      </c>
      <c r="D218" s="2">
        <v>44155</v>
      </c>
      <c r="E218" s="3">
        <v>1.9590000000000001</v>
      </c>
    </row>
    <row r="219" spans="1:5" ht="13.9" x14ac:dyDescent="0.35">
      <c r="A219" s="2">
        <v>44158</v>
      </c>
      <c r="B219" s="3">
        <v>8.2000000000000003E-2</v>
      </c>
      <c r="D219" s="2">
        <v>44158</v>
      </c>
      <c r="E219" s="3">
        <v>1.839</v>
      </c>
    </row>
    <row r="220" spans="1:5" ht="13.9" x14ac:dyDescent="0.35">
      <c r="A220" s="2">
        <v>44159</v>
      </c>
      <c r="B220" s="3">
        <v>8.0130000000000007E-2</v>
      </c>
      <c r="D220" s="2">
        <v>44159</v>
      </c>
      <c r="E220" s="3">
        <v>1.8280000000000001</v>
      </c>
    </row>
    <row r="221" spans="1:5" ht="13.9" x14ac:dyDescent="0.35">
      <c r="A221" s="2">
        <v>44160</v>
      </c>
      <c r="B221" s="3">
        <v>0.08</v>
      </c>
      <c r="D221" s="2">
        <v>44160</v>
      </c>
      <c r="E221" s="3">
        <v>1.5780000000000001</v>
      </c>
    </row>
    <row r="222" spans="1:5" ht="13.9" x14ac:dyDescent="0.35">
      <c r="A222" s="2">
        <v>44161</v>
      </c>
      <c r="B222" s="3"/>
      <c r="D222" s="2">
        <v>44161</v>
      </c>
      <c r="E222" s="3">
        <v>1.298</v>
      </c>
    </row>
    <row r="223" spans="1:5" ht="13.9" x14ac:dyDescent="0.35">
      <c r="A223" s="2">
        <v>44162</v>
      </c>
      <c r="B223" s="3">
        <v>8.0250000000000002E-2</v>
      </c>
      <c r="D223" s="2">
        <v>44162</v>
      </c>
      <c r="E223" s="3">
        <v>0.83599999999999997</v>
      </c>
    </row>
    <row r="224" spans="1:5" ht="13.9" x14ac:dyDescent="0.35">
      <c r="A224" s="2">
        <v>44165</v>
      </c>
      <c r="B224" s="3">
        <v>8.5000000000000006E-2</v>
      </c>
      <c r="D224" s="2">
        <v>44165</v>
      </c>
      <c r="E224" s="3">
        <v>1.115</v>
      </c>
    </row>
    <row r="225" spans="1:5" ht="13.9" x14ac:dyDescent="0.35">
      <c r="A225" s="2">
        <v>44166</v>
      </c>
      <c r="B225" s="3">
        <v>8.0500000000000002E-2</v>
      </c>
      <c r="D225" s="2">
        <v>44166</v>
      </c>
      <c r="E225" s="3">
        <v>0.76400000000000001</v>
      </c>
    </row>
    <row r="226" spans="1:5" ht="13.9" x14ac:dyDescent="0.35">
      <c r="A226" s="2">
        <v>44167</v>
      </c>
      <c r="B226" s="3">
        <v>8.1500000000000003E-2</v>
      </c>
      <c r="D226" s="2">
        <v>44167</v>
      </c>
      <c r="E226" s="3">
        <v>0.74199999999999999</v>
      </c>
    </row>
    <row r="227" spans="1:5" ht="13.9" x14ac:dyDescent="0.35">
      <c r="A227" s="2">
        <v>44168</v>
      </c>
      <c r="B227" s="3">
        <v>8.2750000000000004E-2</v>
      </c>
      <c r="D227" s="2">
        <v>44168</v>
      </c>
      <c r="E227" s="3">
        <v>0.90100000000000002</v>
      </c>
    </row>
    <row r="228" spans="1:5" ht="13.9" x14ac:dyDescent="0.35">
      <c r="A228" s="2">
        <v>44169</v>
      </c>
      <c r="B228" s="3">
        <v>8.3250000000000005E-2</v>
      </c>
      <c r="D228" s="2">
        <v>44169</v>
      </c>
      <c r="E228" s="3">
        <v>1.0860000000000001</v>
      </c>
    </row>
    <row r="229" spans="1:5" ht="13.9" x14ac:dyDescent="0.35">
      <c r="A229" s="2">
        <v>44172</v>
      </c>
      <c r="B229" s="3">
        <v>8.2879999999999995E-2</v>
      </c>
      <c r="D229" s="2">
        <v>44172</v>
      </c>
      <c r="E229" s="3">
        <v>1.3660000000000001</v>
      </c>
    </row>
    <row r="230" spans="1:5" ht="13.9" x14ac:dyDescent="0.35">
      <c r="A230" s="2">
        <v>44173</v>
      </c>
      <c r="B230" s="3">
        <v>8.2500000000000004E-2</v>
      </c>
      <c r="D230" s="2">
        <v>44173</v>
      </c>
      <c r="E230" s="3">
        <v>1.302</v>
      </c>
    </row>
    <row r="231" spans="1:5" ht="13.9" x14ac:dyDescent="0.35">
      <c r="A231" s="2">
        <v>44174</v>
      </c>
      <c r="B231" s="3">
        <v>8.2629999999999995E-2</v>
      </c>
      <c r="D231" s="2">
        <v>44174</v>
      </c>
      <c r="E231" s="3">
        <v>1.0649999999999999</v>
      </c>
    </row>
    <row r="232" spans="1:5" ht="13.9" x14ac:dyDescent="0.35">
      <c r="A232" s="2">
        <v>44175</v>
      </c>
      <c r="B232" s="3">
        <v>8.2879999999999995E-2</v>
      </c>
      <c r="D232" s="2">
        <v>44175</v>
      </c>
      <c r="E232" s="3">
        <v>0.97899999999999998</v>
      </c>
    </row>
    <row r="233" spans="1:5" ht="13.9" x14ac:dyDescent="0.35">
      <c r="A233" s="2">
        <v>44176</v>
      </c>
      <c r="B233" s="3">
        <v>8.3250000000000005E-2</v>
      </c>
      <c r="D233" s="2">
        <v>44176</v>
      </c>
      <c r="E233" s="3">
        <v>1.431</v>
      </c>
    </row>
    <row r="234" spans="1:5" ht="13.9" x14ac:dyDescent="0.35">
      <c r="A234" s="2">
        <v>44179</v>
      </c>
      <c r="B234" s="3">
        <v>8.2500000000000004E-2</v>
      </c>
      <c r="D234" s="2">
        <v>44179</v>
      </c>
      <c r="E234" s="3">
        <v>1.702</v>
      </c>
    </row>
    <row r="235" spans="1:5" ht="13.9" x14ac:dyDescent="0.35">
      <c r="A235" s="2">
        <v>44180</v>
      </c>
      <c r="B235" s="3">
        <v>8.2000000000000003E-2</v>
      </c>
      <c r="D235" s="2">
        <v>44180</v>
      </c>
      <c r="E235" s="3">
        <v>1.403</v>
      </c>
    </row>
    <row r="236" spans="1:5" ht="13.9" x14ac:dyDescent="0.35">
      <c r="A236" s="2">
        <v>44181</v>
      </c>
      <c r="B236" s="3">
        <v>8.1250000000000003E-2</v>
      </c>
      <c r="D236" s="2">
        <v>44181</v>
      </c>
      <c r="E236" s="3">
        <v>0.97399999999999998</v>
      </c>
    </row>
    <row r="237" spans="1:5" ht="13.9" x14ac:dyDescent="0.35">
      <c r="A237" s="2">
        <v>44182</v>
      </c>
      <c r="B237" s="3">
        <v>8.5379999999999998E-2</v>
      </c>
      <c r="D237" s="2">
        <v>44182</v>
      </c>
      <c r="E237" s="3">
        <v>1.3560000000000001</v>
      </c>
    </row>
    <row r="238" spans="1:5" ht="13.9" x14ac:dyDescent="0.35">
      <c r="A238" s="2">
        <v>44183</v>
      </c>
      <c r="B238" s="3">
        <v>8.4379999999999997E-2</v>
      </c>
      <c r="D238" s="2">
        <v>44183</v>
      </c>
      <c r="E238" s="3">
        <v>1.7230000000000001</v>
      </c>
    </row>
    <row r="239" spans="1:5" ht="13.9" x14ac:dyDescent="0.35">
      <c r="A239" s="2">
        <v>44186</v>
      </c>
      <c r="B239" s="3">
        <v>8.4629999999999997E-2</v>
      </c>
      <c r="D239" s="2">
        <v>44186</v>
      </c>
      <c r="E239" s="3">
        <v>1.4890000000000001</v>
      </c>
    </row>
    <row r="240" spans="1:5" ht="13.9" x14ac:dyDescent="0.35">
      <c r="A240" s="2">
        <v>44187</v>
      </c>
      <c r="B240" s="3">
        <v>8.5129999999999997E-2</v>
      </c>
      <c r="D240" s="2">
        <v>44187</v>
      </c>
      <c r="E240" s="3">
        <v>1.0149999999999999</v>
      </c>
    </row>
    <row r="241" spans="1:5" ht="13.9" x14ac:dyDescent="0.35">
      <c r="A241" s="2">
        <v>44188</v>
      </c>
      <c r="B241" s="3">
        <v>8.5629999999999998E-2</v>
      </c>
      <c r="D241" s="2">
        <v>44188</v>
      </c>
      <c r="E241" s="3">
        <v>0.623</v>
      </c>
    </row>
    <row r="242" spans="1:5" ht="13.9" x14ac:dyDescent="0.35">
      <c r="A242" s="2">
        <v>44189</v>
      </c>
      <c r="B242" s="3">
        <v>8.1000000000000003E-2</v>
      </c>
      <c r="D242" s="2">
        <v>44189</v>
      </c>
      <c r="E242" s="3">
        <v>0.60899999999999999</v>
      </c>
    </row>
    <row r="243" spans="1:5" ht="13.9" x14ac:dyDescent="0.35">
      <c r="A243" s="2">
        <v>44190</v>
      </c>
      <c r="B243" s="3"/>
      <c r="D243" s="2">
        <v>44190</v>
      </c>
      <c r="E243" s="3">
        <v>0.79300000000000004</v>
      </c>
    </row>
    <row r="244" spans="1:5" ht="13.9" x14ac:dyDescent="0.35">
      <c r="A244" s="2">
        <v>44193</v>
      </c>
      <c r="B244" s="3"/>
      <c r="D244" s="2">
        <v>44193</v>
      </c>
      <c r="E244" s="3">
        <v>0.67300000000000004</v>
      </c>
    </row>
    <row r="245" spans="1:5" ht="13.9" x14ac:dyDescent="0.35">
      <c r="A245" s="2">
        <v>44194</v>
      </c>
      <c r="B245" s="3">
        <v>8.7379999999999999E-2</v>
      </c>
      <c r="D245" s="2">
        <v>44194</v>
      </c>
      <c r="E245" s="3">
        <v>0.624</v>
      </c>
    </row>
    <row r="246" spans="1:5" ht="13.9" x14ac:dyDescent="0.35">
      <c r="A246" s="2">
        <v>44195</v>
      </c>
      <c r="B246" s="3">
        <v>8.5629999999999998E-2</v>
      </c>
      <c r="D246" s="2">
        <v>44195</v>
      </c>
      <c r="E246" s="3">
        <v>0.64400000000000002</v>
      </c>
    </row>
    <row r="247" spans="1:5" ht="13.9" x14ac:dyDescent="0.35">
      <c r="A247" s="2">
        <v>44196</v>
      </c>
      <c r="B247" s="3">
        <v>7.7630000000000005E-2</v>
      </c>
      <c r="D247" s="2">
        <v>44196</v>
      </c>
      <c r="E247" s="3">
        <v>1.093</v>
      </c>
    </row>
    <row r="248" spans="1:5" ht="13.9" x14ac:dyDescent="0.35">
      <c r="A248" s="2">
        <v>44200</v>
      </c>
      <c r="B248" s="3">
        <v>8.4629999999999997E-2</v>
      </c>
      <c r="D248" s="2">
        <v>44200</v>
      </c>
      <c r="E248" s="3">
        <v>0.89900000000000002</v>
      </c>
    </row>
    <row r="249" spans="1:5" ht="13.9" x14ac:dyDescent="0.35">
      <c r="A249" s="2">
        <v>44201</v>
      </c>
      <c r="B249" s="3">
        <v>8.6379999999999998E-2</v>
      </c>
      <c r="D249" s="2">
        <v>44201</v>
      </c>
      <c r="E249" s="3">
        <v>0.72899999999999998</v>
      </c>
    </row>
    <row r="250" spans="1:5" ht="13.9" x14ac:dyDescent="0.35">
      <c r="A250" s="2">
        <v>44202</v>
      </c>
      <c r="B250" s="3">
        <v>8.6499999999999994E-2</v>
      </c>
      <c r="D250" s="2">
        <v>44202</v>
      </c>
      <c r="E250" s="3">
        <v>0.61599999999999999</v>
      </c>
    </row>
    <row r="251" spans="1:5" ht="13.9" x14ac:dyDescent="0.35">
      <c r="A251" s="2">
        <v>44203</v>
      </c>
      <c r="B251" s="3">
        <v>8.6749999999999994E-2</v>
      </c>
      <c r="D251" s="2">
        <v>44203</v>
      </c>
      <c r="E251" s="3">
        <v>0.92100000000000004</v>
      </c>
    </row>
    <row r="252" spans="1:5" ht="13.9" x14ac:dyDescent="0.35">
      <c r="A252" s="2">
        <v>44204</v>
      </c>
      <c r="B252" s="3">
        <v>8.6749999999999994E-2</v>
      </c>
      <c r="D252" s="2">
        <v>44204</v>
      </c>
      <c r="E252" s="3">
        <v>0.96499999999999997</v>
      </c>
    </row>
    <row r="253" spans="1:5" ht="13.9" x14ac:dyDescent="0.35">
      <c r="A253" s="2">
        <v>44207</v>
      </c>
      <c r="B253" s="3">
        <v>8.6879999999999999E-2</v>
      </c>
      <c r="D253" s="2">
        <v>44207</v>
      </c>
      <c r="E253" s="3">
        <v>1.216</v>
      </c>
    </row>
    <row r="254" spans="1:5" ht="13.9" x14ac:dyDescent="0.35">
      <c r="A254" s="2">
        <v>44208</v>
      </c>
      <c r="B254" s="3">
        <v>8.5879999999999998E-2</v>
      </c>
      <c r="D254" s="2">
        <v>44208</v>
      </c>
      <c r="E254" s="3">
        <v>1.333</v>
      </c>
    </row>
    <row r="255" spans="1:5" ht="13.9" x14ac:dyDescent="0.35">
      <c r="A255" s="2">
        <v>44209</v>
      </c>
      <c r="B255" s="3">
        <v>8.5999999999999993E-2</v>
      </c>
      <c r="D255" s="2">
        <v>44209</v>
      </c>
      <c r="E255" s="3">
        <v>1.401</v>
      </c>
    </row>
    <row r="256" spans="1:5" ht="13.9" x14ac:dyDescent="0.35">
      <c r="A256" s="2">
        <v>44210</v>
      </c>
      <c r="B256" s="3">
        <v>8.6749999999999994E-2</v>
      </c>
      <c r="D256" s="2">
        <v>44210</v>
      </c>
      <c r="E256" s="3">
        <v>1.675</v>
      </c>
    </row>
    <row r="257" spans="1:5" ht="13.9" x14ac:dyDescent="0.35">
      <c r="A257" s="2">
        <v>44211</v>
      </c>
      <c r="B257" s="3">
        <v>8.6629999999999999E-2</v>
      </c>
      <c r="D257" s="2">
        <v>44211</v>
      </c>
      <c r="E257" s="3">
        <v>1.738</v>
      </c>
    </row>
    <row r="258" spans="1:5" ht="13.9" x14ac:dyDescent="0.35">
      <c r="A258" s="2">
        <v>44214</v>
      </c>
      <c r="B258" s="3"/>
      <c r="D258" s="2">
        <v>44214</v>
      </c>
      <c r="E258" s="3">
        <v>2.125</v>
      </c>
    </row>
    <row r="259" spans="1:5" ht="13.9" x14ac:dyDescent="0.35">
      <c r="A259" s="2">
        <v>44215</v>
      </c>
      <c r="B259" s="3">
        <v>8.5129999999999997E-2</v>
      </c>
      <c r="D259" s="2">
        <v>44215</v>
      </c>
      <c r="E259" s="3">
        <v>2.2360000000000002</v>
      </c>
    </row>
    <row r="260" spans="1:5" ht="13.9" x14ac:dyDescent="0.35">
      <c r="A260" s="2">
        <v>44216</v>
      </c>
      <c r="B260" s="3">
        <v>8.6629999999999999E-2</v>
      </c>
      <c r="D260" s="2">
        <v>44216</v>
      </c>
      <c r="E260" s="3">
        <v>2.4569999999999999</v>
      </c>
    </row>
    <row r="261" spans="1:5" ht="13.9" x14ac:dyDescent="0.35">
      <c r="A261" s="2">
        <v>44217</v>
      </c>
      <c r="B261" s="3">
        <v>8.6999999999999994E-2</v>
      </c>
      <c r="D261" s="2">
        <v>44217</v>
      </c>
      <c r="E261" s="3">
        <v>2.573</v>
      </c>
    </row>
    <row r="262" spans="1:5" ht="13.9" x14ac:dyDescent="0.35">
      <c r="A262" s="2">
        <v>44218</v>
      </c>
      <c r="B262" s="3">
        <v>8.6249999999999993E-2</v>
      </c>
      <c r="D262" s="2">
        <v>44218</v>
      </c>
      <c r="E262" s="3">
        <v>2.4359999999999999</v>
      </c>
    </row>
    <row r="263" spans="1:5" ht="13.9" x14ac:dyDescent="0.35">
      <c r="A263" s="2">
        <v>44221</v>
      </c>
      <c r="B263" s="3">
        <v>8.4629999999999997E-2</v>
      </c>
      <c r="D263" s="2">
        <v>44221</v>
      </c>
      <c r="E263" s="3">
        <v>2.4500000000000002</v>
      </c>
    </row>
    <row r="264" spans="1:5" ht="13.9" x14ac:dyDescent="0.35">
      <c r="A264" s="2">
        <v>44222</v>
      </c>
      <c r="B264" s="3">
        <v>8.3750000000000005E-2</v>
      </c>
      <c r="D264" s="2">
        <v>44222</v>
      </c>
      <c r="E264" s="3">
        <v>2.726</v>
      </c>
    </row>
    <row r="265" spans="1:5" ht="13.9" x14ac:dyDescent="0.35">
      <c r="A265" s="2">
        <v>44223</v>
      </c>
      <c r="B265" s="3">
        <v>8.2879999999999995E-2</v>
      </c>
      <c r="D265" s="2">
        <v>44223</v>
      </c>
      <c r="E265" s="3">
        <v>2.97</v>
      </c>
    </row>
    <row r="266" spans="1:5" ht="13.9" x14ac:dyDescent="0.35">
      <c r="A266" s="2">
        <v>44224</v>
      </c>
      <c r="B266" s="3">
        <v>7.9250000000000001E-2</v>
      </c>
      <c r="D266" s="2">
        <v>44224</v>
      </c>
      <c r="E266" s="3">
        <v>3.024</v>
      </c>
    </row>
    <row r="267" spans="1:5" ht="13.9" x14ac:dyDescent="0.35">
      <c r="A267" s="2">
        <v>44225</v>
      </c>
      <c r="B267" s="3">
        <v>7.8750000000000001E-2</v>
      </c>
      <c r="D267" s="2">
        <v>44225</v>
      </c>
      <c r="E267" s="3">
        <v>3.282</v>
      </c>
    </row>
    <row r="268" spans="1:5" ht="13.9" x14ac:dyDescent="0.35">
      <c r="A268" s="2">
        <v>44228</v>
      </c>
      <c r="B268" s="3">
        <v>7.9250000000000001E-2</v>
      </c>
      <c r="D268" s="2">
        <v>44228</v>
      </c>
      <c r="E268" s="3">
        <v>2.7949999999999999</v>
      </c>
    </row>
    <row r="269" spans="1:5" ht="13.9" x14ac:dyDescent="0.35">
      <c r="A269" s="2">
        <v>44229</v>
      </c>
      <c r="B269" s="3">
        <v>8.1129999999999994E-2</v>
      </c>
      <c r="D269" s="2">
        <v>44229</v>
      </c>
      <c r="E269" s="3">
        <v>2.3130000000000002</v>
      </c>
    </row>
    <row r="270" spans="1:5" ht="13.9" x14ac:dyDescent="0.35">
      <c r="A270" s="2">
        <v>44230</v>
      </c>
      <c r="B270" s="3">
        <v>8.2879999999999995E-2</v>
      </c>
      <c r="D270" s="2">
        <v>44230</v>
      </c>
      <c r="E270" s="3">
        <v>1.859</v>
      </c>
    </row>
    <row r="271" spans="1:5" ht="13.9" x14ac:dyDescent="0.35">
      <c r="A271" s="2">
        <v>44231</v>
      </c>
      <c r="B271" s="3">
        <v>8.3000000000000004E-2</v>
      </c>
      <c r="D271" s="2">
        <v>44231</v>
      </c>
      <c r="E271" s="3">
        <v>2.0750000000000002</v>
      </c>
    </row>
    <row r="272" spans="1:5" ht="13.9" x14ac:dyDescent="0.35">
      <c r="A272" s="2">
        <v>44232</v>
      </c>
      <c r="B272" s="3">
        <v>8.2879999999999995E-2</v>
      </c>
      <c r="D272" s="2">
        <v>44232</v>
      </c>
      <c r="E272" s="3">
        <v>1.909</v>
      </c>
    </row>
    <row r="273" spans="1:5" ht="13.9" x14ac:dyDescent="0.35">
      <c r="A273" s="2">
        <v>44235</v>
      </c>
      <c r="B273" s="3">
        <v>8.1250000000000003E-2</v>
      </c>
      <c r="D273" s="2">
        <v>44235</v>
      </c>
      <c r="E273" s="3">
        <v>1.9059999999999999</v>
      </c>
    </row>
    <row r="274" spans="1:5" ht="13.9" x14ac:dyDescent="0.35">
      <c r="A274" s="2">
        <v>44236</v>
      </c>
      <c r="B274" s="3">
        <v>7.9880000000000007E-2</v>
      </c>
      <c r="D274" s="2">
        <v>44236</v>
      </c>
      <c r="E274" s="3">
        <v>1.772</v>
      </c>
    </row>
    <row r="275" spans="1:5" ht="13.9" x14ac:dyDescent="0.35">
      <c r="A275" s="2">
        <v>44237</v>
      </c>
      <c r="B275" s="3">
        <v>7.9880000000000007E-2</v>
      </c>
      <c r="D275" s="2">
        <v>44237</v>
      </c>
      <c r="E275" s="3">
        <v>1.925</v>
      </c>
    </row>
    <row r="276" spans="1:5" ht="13.9" x14ac:dyDescent="0.35">
      <c r="A276" s="2">
        <v>44245</v>
      </c>
      <c r="B276" s="3">
        <v>8.0130000000000007E-2</v>
      </c>
      <c r="D276" s="2">
        <v>44245</v>
      </c>
      <c r="E276" s="3">
        <v>2.3410000000000002</v>
      </c>
    </row>
    <row r="277" spans="1:5" ht="13.9" x14ac:dyDescent="0.35">
      <c r="A277" s="2">
        <v>44246</v>
      </c>
      <c r="B277" s="3">
        <v>7.8130000000000005E-2</v>
      </c>
      <c r="D277" s="2">
        <v>44246</v>
      </c>
      <c r="E277" s="3">
        <v>1.8859999999999999</v>
      </c>
    </row>
    <row r="278" spans="1:5" ht="13.9" x14ac:dyDescent="0.35">
      <c r="A278" s="2">
        <v>44249</v>
      </c>
      <c r="B278" s="3">
        <v>8.1250000000000003E-2</v>
      </c>
      <c r="D278" s="2">
        <v>44249</v>
      </c>
      <c r="E278" s="3">
        <v>1.512</v>
      </c>
    </row>
    <row r="279" spans="1:5" ht="13.9" x14ac:dyDescent="0.35">
      <c r="A279" s="2">
        <v>44250</v>
      </c>
      <c r="B279" s="3">
        <v>8.0500000000000002E-2</v>
      </c>
      <c r="D279" s="2">
        <v>44250</v>
      </c>
      <c r="E279" s="3">
        <v>1.984</v>
      </c>
    </row>
    <row r="280" spans="1:5" ht="13.9" x14ac:dyDescent="0.35">
      <c r="A280" s="2">
        <v>44251</v>
      </c>
      <c r="B280" s="3">
        <v>8.0130000000000007E-2</v>
      </c>
      <c r="D280" s="2">
        <v>44251</v>
      </c>
      <c r="E280" s="3">
        <v>1.512</v>
      </c>
    </row>
    <row r="281" spans="1:5" ht="13.9" x14ac:dyDescent="0.35">
      <c r="A281" s="2">
        <v>44252</v>
      </c>
      <c r="B281" s="3">
        <v>8.0379999999999993E-2</v>
      </c>
      <c r="D281" s="2">
        <v>44252</v>
      </c>
      <c r="E281" s="3">
        <v>1.7030000000000001</v>
      </c>
    </row>
    <row r="282" spans="1:5" ht="13.9" x14ac:dyDescent="0.35">
      <c r="A282" s="2">
        <v>44253</v>
      </c>
      <c r="B282" s="3">
        <v>8.4000000000000005E-2</v>
      </c>
      <c r="D282" s="2">
        <v>44253</v>
      </c>
      <c r="E282" s="3">
        <v>2.0920000000000001</v>
      </c>
    </row>
    <row r="283" spans="1:5" ht="13.9" x14ac:dyDescent="0.35">
      <c r="A283" s="2">
        <v>44256</v>
      </c>
      <c r="B283" s="3">
        <v>7.9500000000000001E-2</v>
      </c>
      <c r="D283" s="2">
        <v>44256</v>
      </c>
      <c r="E283" s="3">
        <v>2.1539999999999999</v>
      </c>
    </row>
    <row r="284" spans="1:5" ht="13.9" x14ac:dyDescent="0.35">
      <c r="A284" s="2">
        <v>44257</v>
      </c>
      <c r="B284" s="3">
        <v>7.8880000000000006E-2</v>
      </c>
      <c r="D284" s="2">
        <v>44257</v>
      </c>
      <c r="E284" s="3">
        <v>1.7749999999999999</v>
      </c>
    </row>
    <row r="285" spans="1:5" ht="13.9" x14ac:dyDescent="0.35">
      <c r="A285" s="2">
        <v>44258</v>
      </c>
      <c r="B285" s="3">
        <v>7.85E-2</v>
      </c>
      <c r="D285" s="2">
        <v>44258</v>
      </c>
      <c r="E285" s="3">
        <v>1.4710000000000001</v>
      </c>
    </row>
    <row r="286" spans="1:5" ht="13.9" x14ac:dyDescent="0.35">
      <c r="A286" s="2">
        <v>44259</v>
      </c>
      <c r="B286" s="3">
        <v>7.8130000000000005E-2</v>
      </c>
      <c r="D286" s="2">
        <v>44259</v>
      </c>
      <c r="E286" s="3">
        <v>1.9259999999999999</v>
      </c>
    </row>
    <row r="287" spans="1:5" ht="13.9" x14ac:dyDescent="0.35">
      <c r="A287" s="2">
        <v>44260</v>
      </c>
      <c r="B287" s="3">
        <v>7.7630000000000005E-2</v>
      </c>
      <c r="D287" s="2">
        <v>44260</v>
      </c>
      <c r="E287" s="3">
        <v>1.5649999999999999</v>
      </c>
    </row>
    <row r="288" spans="1:5" ht="13.9" x14ac:dyDescent="0.35">
      <c r="A288" s="2">
        <v>44263</v>
      </c>
      <c r="B288" s="3">
        <v>7.7630000000000005E-2</v>
      </c>
      <c r="D288" s="2">
        <v>44263</v>
      </c>
      <c r="E288" s="3">
        <v>1.704</v>
      </c>
    </row>
    <row r="289" spans="1:5" ht="13.9" x14ac:dyDescent="0.35">
      <c r="A289" s="2">
        <v>44264</v>
      </c>
      <c r="B289" s="3">
        <v>7.7130000000000004E-2</v>
      </c>
      <c r="D289" s="2">
        <v>44264</v>
      </c>
      <c r="E289" s="3">
        <v>2.024</v>
      </c>
    </row>
    <row r="290" spans="1:5" ht="13.9" x14ac:dyDescent="0.35">
      <c r="A290" s="2">
        <v>44265</v>
      </c>
      <c r="B290" s="3">
        <v>7.7249999999999999E-2</v>
      </c>
      <c r="D290" s="2">
        <v>44265</v>
      </c>
      <c r="E290" s="3">
        <v>1.7470000000000001</v>
      </c>
    </row>
    <row r="291" spans="1:5" ht="13.9" x14ac:dyDescent="0.35">
      <c r="A291" s="2">
        <v>44266</v>
      </c>
      <c r="B291" s="3">
        <v>7.8130000000000005E-2</v>
      </c>
      <c r="D291" s="2">
        <v>44266</v>
      </c>
      <c r="E291" s="3">
        <v>1.796</v>
      </c>
    </row>
    <row r="292" spans="1:5" ht="13.9" x14ac:dyDescent="0.35">
      <c r="A292" s="2">
        <v>44267</v>
      </c>
      <c r="B292" s="3">
        <v>7.8130000000000005E-2</v>
      </c>
      <c r="D292" s="2">
        <v>44267</v>
      </c>
      <c r="E292" s="3">
        <v>1.7869999999999999</v>
      </c>
    </row>
    <row r="293" spans="1:5" ht="13.9" x14ac:dyDescent="0.35">
      <c r="A293" s="2">
        <v>44270</v>
      </c>
      <c r="B293" s="3">
        <v>7.8E-2</v>
      </c>
      <c r="D293" s="2">
        <v>44270</v>
      </c>
      <c r="E293" s="3">
        <v>2.2450000000000001</v>
      </c>
    </row>
    <row r="294" spans="1:5" ht="13.9" x14ac:dyDescent="0.35">
      <c r="A294" s="2">
        <v>44271</v>
      </c>
      <c r="B294" s="3">
        <v>7.85E-2</v>
      </c>
      <c r="D294" s="2">
        <v>44271</v>
      </c>
      <c r="E294" s="3">
        <v>2.14</v>
      </c>
    </row>
    <row r="295" spans="1:5" ht="13.9" x14ac:dyDescent="0.35">
      <c r="A295" s="2">
        <v>44272</v>
      </c>
      <c r="B295" s="3">
        <v>7.8E-2</v>
      </c>
      <c r="D295" s="2">
        <v>44272</v>
      </c>
      <c r="E295" s="3">
        <v>1.968</v>
      </c>
    </row>
    <row r="296" spans="1:5" ht="13.9" x14ac:dyDescent="0.35">
      <c r="A296" s="2">
        <v>44273</v>
      </c>
      <c r="B296" s="3">
        <v>7.8750000000000001E-2</v>
      </c>
      <c r="D296" s="2">
        <v>44273</v>
      </c>
      <c r="E296" s="3">
        <v>2.206</v>
      </c>
    </row>
    <row r="297" spans="1:5" ht="13.9" x14ac:dyDescent="0.35">
      <c r="A297" s="2">
        <v>44274</v>
      </c>
      <c r="B297" s="3">
        <v>7.6880000000000004E-2</v>
      </c>
      <c r="D297" s="2">
        <v>44274</v>
      </c>
      <c r="E297" s="3">
        <v>2.1349999999999998</v>
      </c>
    </row>
    <row r="298" spans="1:5" ht="13.9" x14ac:dyDescent="0.35">
      <c r="A298" s="2">
        <v>44277</v>
      </c>
      <c r="B298" s="3">
        <v>7.6630000000000004E-2</v>
      </c>
      <c r="D298" s="2">
        <v>44277</v>
      </c>
      <c r="E298" s="3">
        <v>2.052</v>
      </c>
    </row>
    <row r="299" spans="1:5" ht="13.9" x14ac:dyDescent="0.35">
      <c r="A299" s="2">
        <v>44278</v>
      </c>
      <c r="B299" s="3">
        <v>7.6880000000000004E-2</v>
      </c>
      <c r="D299" s="2">
        <v>44278</v>
      </c>
      <c r="E299" s="3">
        <v>1.976</v>
      </c>
    </row>
    <row r="300" spans="1:5" ht="13.9" x14ac:dyDescent="0.35">
      <c r="A300" s="2">
        <v>44279</v>
      </c>
      <c r="B300" s="3">
        <v>7.6380000000000003E-2</v>
      </c>
      <c r="D300" s="2">
        <v>44279</v>
      </c>
      <c r="E300" s="3">
        <v>1.8220000000000001</v>
      </c>
    </row>
    <row r="301" spans="1:5" ht="13.9" x14ac:dyDescent="0.35">
      <c r="A301" s="2">
        <v>44280</v>
      </c>
      <c r="B301" s="3">
        <v>7.5499999999999998E-2</v>
      </c>
      <c r="D301" s="2">
        <v>44280</v>
      </c>
      <c r="E301" s="3">
        <v>2.0289999999999999</v>
      </c>
    </row>
    <row r="302" spans="1:5" ht="13.9" x14ac:dyDescent="0.35">
      <c r="A302" s="2">
        <v>44281</v>
      </c>
      <c r="B302" s="3">
        <v>7.3380000000000001E-2</v>
      </c>
      <c r="D302" s="2">
        <v>44281</v>
      </c>
      <c r="E302" s="3">
        <v>1.762</v>
      </c>
    </row>
    <row r="303" spans="1:5" ht="13.9" x14ac:dyDescent="0.35">
      <c r="A303" s="2">
        <v>44284</v>
      </c>
      <c r="B303" s="3">
        <v>7.288E-2</v>
      </c>
      <c r="D303" s="2">
        <v>44284</v>
      </c>
      <c r="E303" s="3">
        <v>1.8140000000000001</v>
      </c>
    </row>
    <row r="304" spans="1:5" ht="13.9" x14ac:dyDescent="0.35">
      <c r="A304" s="2">
        <v>44285</v>
      </c>
      <c r="B304" s="3">
        <v>7.6999999999999999E-2</v>
      </c>
      <c r="D304" s="2">
        <v>44285</v>
      </c>
      <c r="E304" s="3">
        <v>1.825</v>
      </c>
    </row>
    <row r="305" spans="1:5" ht="13.9" x14ac:dyDescent="0.35">
      <c r="A305" s="2">
        <v>44286</v>
      </c>
      <c r="B305" s="3">
        <v>8.0629999999999993E-2</v>
      </c>
      <c r="D305" s="2">
        <v>44286</v>
      </c>
      <c r="E305" s="3">
        <v>2.1240000000000001</v>
      </c>
    </row>
    <row r="306" spans="1:5" ht="13.9" x14ac:dyDescent="0.35">
      <c r="A306" s="2">
        <v>44287</v>
      </c>
      <c r="B306" s="3">
        <v>7.4749999999999997E-2</v>
      </c>
      <c r="D306" s="2">
        <v>44287</v>
      </c>
      <c r="E306" s="3">
        <v>2.1429999999999998</v>
      </c>
    </row>
    <row r="307" spans="1:5" ht="13.9" x14ac:dyDescent="0.35">
      <c r="A307" s="2">
        <v>44288</v>
      </c>
      <c r="B307" s="3"/>
      <c r="D307" s="2">
        <v>44288</v>
      </c>
      <c r="E307" s="3">
        <v>1.734</v>
      </c>
    </row>
    <row r="308" spans="1:5" ht="13.9" x14ac:dyDescent="0.35">
      <c r="A308" s="2">
        <v>44292</v>
      </c>
      <c r="B308" s="3">
        <v>7.7880000000000005E-2</v>
      </c>
      <c r="D308" s="2">
        <v>44292</v>
      </c>
      <c r="E308" s="3">
        <v>1.7649999999999999</v>
      </c>
    </row>
    <row r="309" spans="1:5" ht="13.9" x14ac:dyDescent="0.35">
      <c r="A309" s="2">
        <v>44293</v>
      </c>
      <c r="B309" s="3">
        <v>7.6249999999999998E-2</v>
      </c>
      <c r="D309" s="2">
        <v>44293</v>
      </c>
      <c r="E309" s="3">
        <v>1.8240000000000001</v>
      </c>
    </row>
    <row r="310" spans="1:5" ht="13.9" x14ac:dyDescent="0.35">
      <c r="A310" s="2">
        <v>44294</v>
      </c>
      <c r="B310" s="3">
        <v>7.4880000000000002E-2</v>
      </c>
      <c r="D310" s="2">
        <v>44294</v>
      </c>
      <c r="E310" s="3">
        <v>1.76</v>
      </c>
    </row>
    <row r="311" spans="1:5" ht="13.9" x14ac:dyDescent="0.35">
      <c r="A311" s="2">
        <v>44295</v>
      </c>
      <c r="B311" s="3">
        <v>7.4749999999999997E-2</v>
      </c>
      <c r="D311" s="2">
        <v>44295</v>
      </c>
      <c r="E311" s="3">
        <v>1.784</v>
      </c>
    </row>
    <row r="312" spans="1:5" ht="13.9" x14ac:dyDescent="0.35">
      <c r="A312" s="2">
        <v>44298</v>
      </c>
      <c r="B312" s="3">
        <v>7.3499999999999996E-2</v>
      </c>
      <c r="D312" s="2">
        <v>44298</v>
      </c>
      <c r="E312" s="3">
        <v>1.792</v>
      </c>
    </row>
    <row r="313" spans="1:5" ht="13.9" x14ac:dyDescent="0.35">
      <c r="A313" s="2">
        <v>44299</v>
      </c>
      <c r="B313" s="3">
        <v>7.4749999999999997E-2</v>
      </c>
      <c r="D313" s="2">
        <v>44299</v>
      </c>
      <c r="E313" s="3">
        <v>1.7809999999999999</v>
      </c>
    </row>
    <row r="314" spans="1:5" ht="13.9" x14ac:dyDescent="0.35">
      <c r="A314" s="2">
        <v>44300</v>
      </c>
      <c r="B314" s="3">
        <v>7.3630000000000001E-2</v>
      </c>
      <c r="D314" s="2">
        <v>44300</v>
      </c>
      <c r="E314" s="3">
        <v>1.81</v>
      </c>
    </row>
    <row r="315" spans="1:5" ht="13.9" x14ac:dyDescent="0.35">
      <c r="A315" s="2">
        <v>44301</v>
      </c>
      <c r="B315" s="3">
        <v>7.3249999999999996E-2</v>
      </c>
      <c r="D315" s="2">
        <v>44301</v>
      </c>
      <c r="E315" s="3">
        <v>1.81</v>
      </c>
    </row>
    <row r="316" spans="1:5" ht="13.9" x14ac:dyDescent="0.35">
      <c r="A316" s="2">
        <v>44302</v>
      </c>
      <c r="B316" s="3">
        <v>7.2749999999999995E-2</v>
      </c>
      <c r="D316" s="2">
        <v>44302</v>
      </c>
      <c r="E316" s="3">
        <v>1.946</v>
      </c>
    </row>
    <row r="317" spans="1:5" ht="13.9" x14ac:dyDescent="0.35">
      <c r="A317" s="2">
        <v>44305</v>
      </c>
      <c r="B317" s="3">
        <v>7.2749999999999995E-2</v>
      </c>
      <c r="D317" s="2">
        <v>44305</v>
      </c>
      <c r="E317" s="3">
        <v>2.1179999999999999</v>
      </c>
    </row>
    <row r="318" spans="1:5" ht="13.9" x14ac:dyDescent="0.35">
      <c r="A318" s="2">
        <v>44306</v>
      </c>
      <c r="B318" s="3">
        <v>7.288E-2</v>
      </c>
      <c r="D318" s="2">
        <v>44306</v>
      </c>
      <c r="E318" s="3">
        <v>1.8540000000000001</v>
      </c>
    </row>
    <row r="319" spans="1:5" ht="13.9" x14ac:dyDescent="0.35">
      <c r="A319" s="2">
        <v>44307</v>
      </c>
      <c r="B319" s="3">
        <v>7.213E-2</v>
      </c>
      <c r="D319" s="2">
        <v>44307</v>
      </c>
      <c r="E319" s="3">
        <v>1.8640000000000001</v>
      </c>
    </row>
    <row r="320" spans="1:5" ht="13.9" x14ac:dyDescent="0.35">
      <c r="A320" s="2">
        <v>44308</v>
      </c>
      <c r="B320" s="3">
        <v>7.3380000000000001E-2</v>
      </c>
      <c r="D320" s="2">
        <v>44308</v>
      </c>
      <c r="E320" s="3">
        <v>2.1269999999999998</v>
      </c>
    </row>
    <row r="321" spans="1:5" ht="13.9" x14ac:dyDescent="0.35">
      <c r="A321" s="2">
        <v>44309</v>
      </c>
      <c r="B321" s="3">
        <v>7.3380000000000001E-2</v>
      </c>
      <c r="D321" s="2">
        <v>44309</v>
      </c>
      <c r="E321" s="3">
        <v>1.9419999999999999</v>
      </c>
    </row>
    <row r="322" spans="1:5" ht="13.9" x14ac:dyDescent="0.35">
      <c r="A322" s="2">
        <v>44312</v>
      </c>
      <c r="B322" s="3">
        <v>7.3749999999999996E-2</v>
      </c>
      <c r="D322" s="2">
        <v>44312</v>
      </c>
      <c r="E322" s="3">
        <v>2.0750000000000002</v>
      </c>
    </row>
    <row r="323" spans="1:5" ht="13.9" x14ac:dyDescent="0.35">
      <c r="A323" s="2">
        <v>44313</v>
      </c>
      <c r="B323" s="3">
        <v>7.3999999999999996E-2</v>
      </c>
      <c r="D323" s="2">
        <v>44313</v>
      </c>
      <c r="E323" s="3">
        <v>1.8140000000000001</v>
      </c>
    </row>
    <row r="324" spans="1:5" ht="13.9" x14ac:dyDescent="0.35">
      <c r="A324" s="2">
        <v>44314</v>
      </c>
      <c r="B324" s="3">
        <v>7.3130000000000001E-2</v>
      </c>
      <c r="D324" s="2">
        <v>44314</v>
      </c>
      <c r="E324" s="3">
        <v>1.78</v>
      </c>
    </row>
    <row r="325" spans="1:5" ht="13.9" x14ac:dyDescent="0.35">
      <c r="A325" s="2">
        <v>44315</v>
      </c>
      <c r="B325" s="3">
        <v>7.2749999999999995E-2</v>
      </c>
      <c r="D325" s="2">
        <v>44315</v>
      </c>
      <c r="E325" s="3">
        <v>1.823</v>
      </c>
    </row>
    <row r="326" spans="1:5" ht="13.9" x14ac:dyDescent="0.35">
      <c r="A326" s="2">
        <v>44316</v>
      </c>
      <c r="B326" s="3">
        <v>7.1249999999999994E-2</v>
      </c>
      <c r="D326" s="2">
        <v>44316</v>
      </c>
      <c r="E326" s="3">
        <v>2.2850000000000001</v>
      </c>
    </row>
    <row r="327" spans="1:5" ht="13.9" x14ac:dyDescent="0.35">
      <c r="A327" s="2">
        <v>44322</v>
      </c>
      <c r="B327" s="3">
        <v>6.4250000000000002E-2</v>
      </c>
      <c r="D327" s="2">
        <v>44322</v>
      </c>
      <c r="E327" s="3">
        <v>2.097</v>
      </c>
    </row>
    <row r="328" spans="1:5" ht="13.9" x14ac:dyDescent="0.35">
      <c r="A328" s="2">
        <v>44323</v>
      </c>
      <c r="B328" s="3">
        <v>6.4130000000000006E-2</v>
      </c>
      <c r="D328" s="2">
        <v>44323</v>
      </c>
      <c r="E328" s="3">
        <v>1.7789999999999999</v>
      </c>
    </row>
    <row r="329" spans="1:5" ht="13.9" x14ac:dyDescent="0.35">
      <c r="A329" s="2">
        <v>44326</v>
      </c>
      <c r="B329" s="3">
        <v>6.3380000000000006E-2</v>
      </c>
      <c r="D329" s="2">
        <v>44326</v>
      </c>
      <c r="E329" s="3">
        <v>1.663</v>
      </c>
    </row>
    <row r="330" spans="1:5" ht="13.9" x14ac:dyDescent="0.35">
      <c r="A330" s="2">
        <v>44327</v>
      </c>
      <c r="B330" s="3">
        <v>6.0630000000000003E-2</v>
      </c>
      <c r="D330" s="2">
        <v>44327</v>
      </c>
      <c r="E330" s="3">
        <v>1.9379999999999999</v>
      </c>
    </row>
    <row r="331" spans="1:5" ht="13.9" x14ac:dyDescent="0.35">
      <c r="A331" s="2">
        <v>44328</v>
      </c>
      <c r="B331" s="3">
        <v>0.06</v>
      </c>
      <c r="D331" s="2">
        <v>44328</v>
      </c>
      <c r="E331" s="3">
        <v>1.9510000000000001</v>
      </c>
    </row>
    <row r="332" spans="1:5" ht="13.9" x14ac:dyDescent="0.35">
      <c r="A332" s="2">
        <v>44329</v>
      </c>
      <c r="B332" s="3">
        <v>6.225E-2</v>
      </c>
      <c r="D332" s="2">
        <v>44329</v>
      </c>
      <c r="E332" s="3">
        <v>1.966</v>
      </c>
    </row>
    <row r="333" spans="1:5" ht="13.9" x14ac:dyDescent="0.35">
      <c r="A333" s="2">
        <v>44330</v>
      </c>
      <c r="B333" s="3">
        <v>6.2E-2</v>
      </c>
      <c r="D333" s="2">
        <v>44330</v>
      </c>
      <c r="E333" s="3">
        <v>1.8049999999999999</v>
      </c>
    </row>
    <row r="334" spans="1:5" ht="13.9" x14ac:dyDescent="0.35">
      <c r="A334" s="2">
        <v>44333</v>
      </c>
      <c r="B334" s="3">
        <v>6.2379999999999998E-2</v>
      </c>
      <c r="D334" s="2">
        <v>44333</v>
      </c>
      <c r="E334" s="3">
        <v>2.1360000000000001</v>
      </c>
    </row>
    <row r="335" spans="1:5" ht="13.9" x14ac:dyDescent="0.35">
      <c r="A335" s="2">
        <v>44334</v>
      </c>
      <c r="B335" s="3">
        <v>6.2880000000000005E-2</v>
      </c>
      <c r="D335" s="2">
        <v>44334</v>
      </c>
      <c r="E335" s="3">
        <v>2.1190000000000002</v>
      </c>
    </row>
    <row r="336" spans="1:5" ht="13.9" x14ac:dyDescent="0.35">
      <c r="A336" s="2">
        <v>44335</v>
      </c>
      <c r="B336" s="3">
        <v>6.1629999999999997E-2</v>
      </c>
      <c r="D336" s="2">
        <v>44335</v>
      </c>
      <c r="E336" s="3">
        <v>2.0249999999999999</v>
      </c>
    </row>
    <row r="337" spans="1:5" ht="13.9" x14ac:dyDescent="0.35">
      <c r="A337" s="2">
        <v>44336</v>
      </c>
      <c r="B337" s="3">
        <v>6.1129999999999997E-2</v>
      </c>
      <c r="D337" s="2">
        <v>44336</v>
      </c>
      <c r="E337" s="3">
        <v>2.0920000000000001</v>
      </c>
    </row>
    <row r="338" spans="1:5" ht="13.9" x14ac:dyDescent="0.35">
      <c r="A338" s="2">
        <v>44337</v>
      </c>
      <c r="B338" s="3">
        <v>5.9749999999999998E-2</v>
      </c>
      <c r="D338" s="2">
        <v>44337</v>
      </c>
      <c r="E338" s="3">
        <v>1.996</v>
      </c>
    </row>
    <row r="339" spans="1:5" ht="13.9" x14ac:dyDescent="0.35">
      <c r="A339" s="2">
        <v>44340</v>
      </c>
      <c r="B339" s="3">
        <v>5.9249999999999997E-2</v>
      </c>
      <c r="D339" s="2">
        <v>44340</v>
      </c>
      <c r="E339" s="3">
        <v>2.1709999999999998</v>
      </c>
    </row>
    <row r="340" spans="1:5" ht="13.9" x14ac:dyDescent="0.35">
      <c r="A340" s="2">
        <v>44341</v>
      </c>
      <c r="B340" s="3">
        <v>6.0630000000000003E-2</v>
      </c>
      <c r="D340" s="2">
        <v>44341</v>
      </c>
      <c r="E340" s="3">
        <v>2.194</v>
      </c>
    </row>
    <row r="341" spans="1:5" ht="13.9" x14ac:dyDescent="0.35">
      <c r="A341" s="2">
        <v>44342</v>
      </c>
      <c r="B341" s="3">
        <v>5.8880000000000002E-2</v>
      </c>
      <c r="D341" s="2">
        <v>44342</v>
      </c>
      <c r="E341" s="3">
        <v>1.99</v>
      </c>
    </row>
    <row r="342" spans="1:5" ht="13.9" x14ac:dyDescent="0.35">
      <c r="A342" s="2">
        <v>44343</v>
      </c>
      <c r="B342" s="3">
        <v>5.7000000000000002E-2</v>
      </c>
      <c r="D342" s="2">
        <v>44343</v>
      </c>
      <c r="E342" s="3">
        <v>2.117</v>
      </c>
    </row>
    <row r="343" spans="1:5" ht="13.9" x14ac:dyDescent="0.35">
      <c r="A343" s="2">
        <v>44344</v>
      </c>
      <c r="B343" s="3">
        <v>6.1129999999999997E-2</v>
      </c>
      <c r="D343" s="2">
        <v>44344</v>
      </c>
      <c r="E343" s="3">
        <v>2.1659999999999999</v>
      </c>
    </row>
    <row r="344" spans="1:5" ht="13.9" x14ac:dyDescent="0.35">
      <c r="A344" s="2">
        <v>44347</v>
      </c>
      <c r="B344" s="3"/>
      <c r="D344" s="2">
        <v>44347</v>
      </c>
      <c r="E344" s="3">
        <v>2.2269999999999999</v>
      </c>
    </row>
    <row r="345" spans="1:5" ht="13.9" x14ac:dyDescent="0.35">
      <c r="A345" s="2">
        <v>44348</v>
      </c>
      <c r="B345" s="3">
        <v>5.425E-2</v>
      </c>
      <c r="D345" s="2">
        <v>44348</v>
      </c>
      <c r="E345" s="3">
        <v>2.1869999999999998</v>
      </c>
    </row>
    <row r="346" spans="1:5" ht="13.9" x14ac:dyDescent="0.35">
      <c r="A346" s="2">
        <v>44349</v>
      </c>
      <c r="B346" s="3">
        <v>5.5E-2</v>
      </c>
      <c r="D346" s="2">
        <v>44349</v>
      </c>
      <c r="E346" s="3">
        <v>2.04</v>
      </c>
    </row>
    <row r="347" spans="1:5" ht="13.9" x14ac:dyDescent="0.35">
      <c r="A347" s="2">
        <v>44350</v>
      </c>
      <c r="B347" s="3">
        <v>5.4629999999999998E-2</v>
      </c>
      <c r="D347" s="2">
        <v>44350</v>
      </c>
      <c r="E347" s="3">
        <v>1.8520000000000001</v>
      </c>
    </row>
    <row r="348" spans="1:5" ht="13.9" x14ac:dyDescent="0.35">
      <c r="A348" s="2">
        <v>44351</v>
      </c>
      <c r="B348" s="3">
        <v>5.5129999999999998E-2</v>
      </c>
      <c r="D348" s="2">
        <v>44351</v>
      </c>
      <c r="E348" s="3">
        <v>2.1749999999999998</v>
      </c>
    </row>
    <row r="349" spans="1:5" x14ac:dyDescent="0.3">
      <c r="A349" s="4">
        <v>44354</v>
      </c>
      <c r="B349" s="5">
        <v>5.5E-2</v>
      </c>
      <c r="D349" s="4">
        <v>44354</v>
      </c>
      <c r="E349" s="5">
        <v>2.2989999999999999</v>
      </c>
    </row>
    <row r="350" spans="1:5" x14ac:dyDescent="0.3">
      <c r="A350" s="4">
        <v>44355</v>
      </c>
      <c r="B350" s="5">
        <v>5.5E-2</v>
      </c>
      <c r="D350" s="4">
        <v>44355</v>
      </c>
      <c r="E350" s="5">
        <v>2.1930000000000001</v>
      </c>
    </row>
    <row r="351" spans="1:5" x14ac:dyDescent="0.3">
      <c r="A351" s="4">
        <v>44356</v>
      </c>
      <c r="B351" s="5">
        <v>5.4629999999999998E-2</v>
      </c>
      <c r="D351" s="4">
        <v>44356</v>
      </c>
      <c r="E351" s="5">
        <v>2.1880000000000002</v>
      </c>
    </row>
    <row r="352" spans="1:5" x14ac:dyDescent="0.3">
      <c r="A352" s="4">
        <v>44357</v>
      </c>
      <c r="B352" s="5">
        <v>5.5750000000000001E-2</v>
      </c>
      <c r="D352" s="4">
        <v>44357</v>
      </c>
      <c r="E352" s="5">
        <v>1.8919999999999999</v>
      </c>
    </row>
    <row r="353" spans="1:5" x14ac:dyDescent="0.3">
      <c r="A353" s="4">
        <v>44358</v>
      </c>
      <c r="B353" s="5">
        <v>5.5379999999999999E-2</v>
      </c>
      <c r="D353" s="4">
        <v>44358</v>
      </c>
      <c r="E353" s="5">
        <v>1.998</v>
      </c>
    </row>
    <row r="354" spans="1:5" x14ac:dyDescent="0.3">
      <c r="A354" s="4">
        <v>44362</v>
      </c>
      <c r="B354" s="5">
        <v>5.6129999999999999E-2</v>
      </c>
      <c r="D354" s="4">
        <v>44362</v>
      </c>
      <c r="E354" s="5">
        <v>2.1040000000000001</v>
      </c>
    </row>
    <row r="355" spans="1:5" x14ac:dyDescent="0.3">
      <c r="A355" s="4">
        <v>44363</v>
      </c>
      <c r="B355" s="5">
        <v>5.5500000000000001E-2</v>
      </c>
      <c r="D355" s="4">
        <v>44363</v>
      </c>
      <c r="E355" s="5">
        <v>2.0059999999999998</v>
      </c>
    </row>
    <row r="356" spans="1:5" x14ac:dyDescent="0.3">
      <c r="A356" s="4">
        <v>44364</v>
      </c>
      <c r="B356" s="5">
        <v>6.3250000000000001E-2</v>
      </c>
      <c r="D356" s="4">
        <v>44364</v>
      </c>
      <c r="E356" s="5">
        <v>1.8759999999999999</v>
      </c>
    </row>
    <row r="357" spans="1:5" x14ac:dyDescent="0.3">
      <c r="A357" s="4">
        <v>44365</v>
      </c>
      <c r="B357" s="5">
        <v>8.0500000000000002E-2</v>
      </c>
      <c r="D357" s="4">
        <v>44365</v>
      </c>
      <c r="E357" s="5">
        <v>2.0139999999999998</v>
      </c>
    </row>
    <row r="358" spans="1:5" x14ac:dyDescent="0.3">
      <c r="A358" s="4">
        <v>44368</v>
      </c>
      <c r="B358" s="5">
        <v>8.4750000000000006E-2</v>
      </c>
      <c r="D358" s="4">
        <v>44368</v>
      </c>
      <c r="E358" s="5">
        <v>2.2469999999999999</v>
      </c>
    </row>
    <row r="359" spans="1:5" x14ac:dyDescent="0.3">
      <c r="A359" s="4">
        <v>44369</v>
      </c>
      <c r="B359" s="5">
        <v>8.5379999999999998E-2</v>
      </c>
      <c r="D359" s="4">
        <v>44369</v>
      </c>
      <c r="E359" s="5">
        <v>2.3010000000000002</v>
      </c>
    </row>
    <row r="360" spans="1:5" x14ac:dyDescent="0.3">
      <c r="A360" s="4">
        <v>44370</v>
      </c>
      <c r="B360" s="5">
        <v>8.5250000000000006E-2</v>
      </c>
      <c r="D360" s="4">
        <v>44370</v>
      </c>
      <c r="E360" s="5">
        <v>2.2080000000000002</v>
      </c>
    </row>
    <row r="361" spans="1:5" x14ac:dyDescent="0.3">
      <c r="A361" s="4">
        <v>44371</v>
      </c>
      <c r="B361" s="5">
        <v>8.5000000000000006E-2</v>
      </c>
      <c r="D361" s="4">
        <v>44371</v>
      </c>
      <c r="E361" s="5">
        <v>1.853</v>
      </c>
    </row>
    <row r="362" spans="1:5" x14ac:dyDescent="0.3">
      <c r="A362" s="4">
        <v>44372</v>
      </c>
      <c r="B362" s="5">
        <v>8.3379999999999996E-2</v>
      </c>
      <c r="D362" s="4">
        <v>44372</v>
      </c>
      <c r="E362" s="5">
        <v>1.55</v>
      </c>
    </row>
    <row r="363" spans="1:5" x14ac:dyDescent="0.3">
      <c r="A363" s="4">
        <v>44375</v>
      </c>
      <c r="B363" s="5">
        <v>8.3750000000000005E-2</v>
      </c>
      <c r="D363" s="4">
        <v>44375</v>
      </c>
      <c r="E363" s="5">
        <v>1.5580000000000001</v>
      </c>
    </row>
    <row r="364" spans="1:5" x14ac:dyDescent="0.3">
      <c r="A364" s="4">
        <v>44376</v>
      </c>
      <c r="B364" s="5">
        <v>8.3129999999999996E-2</v>
      </c>
      <c r="D364" s="4">
        <v>44376</v>
      </c>
      <c r="E364" s="5">
        <v>1.7949999999999999</v>
      </c>
    </row>
    <row r="365" spans="1:5" x14ac:dyDescent="0.3">
      <c r="A365" s="4">
        <v>44377</v>
      </c>
      <c r="B365" s="5">
        <v>8.6499999999999994E-2</v>
      </c>
      <c r="D365" s="4">
        <v>44377</v>
      </c>
      <c r="E365" s="5">
        <v>2.177</v>
      </c>
    </row>
    <row r="366" spans="1:5" x14ac:dyDescent="0.3">
      <c r="A366" s="4">
        <v>44378</v>
      </c>
      <c r="B366" s="5">
        <v>8.0500000000000002E-2</v>
      </c>
      <c r="D366" s="4">
        <v>44378</v>
      </c>
      <c r="E366" s="5">
        <v>1.734</v>
      </c>
    </row>
    <row r="367" spans="1:5" x14ac:dyDescent="0.3">
      <c r="A367" s="4">
        <v>44379</v>
      </c>
      <c r="B367" s="5">
        <v>8.0500000000000002E-2</v>
      </c>
      <c r="D367" s="4">
        <v>44379</v>
      </c>
      <c r="E367" s="5">
        <v>1.6140000000000001</v>
      </c>
    </row>
    <row r="368" spans="1:5" x14ac:dyDescent="0.3">
      <c r="A368" s="4">
        <v>44382</v>
      </c>
      <c r="B368" s="5"/>
      <c r="D368" s="4">
        <v>44382</v>
      </c>
      <c r="E368" s="5">
        <v>1.665</v>
      </c>
    </row>
    <row r="369" spans="1:5" x14ac:dyDescent="0.3">
      <c r="A369" s="4">
        <v>44383</v>
      </c>
      <c r="B369" s="5">
        <v>8.1629999999999994E-2</v>
      </c>
      <c r="D369" s="4">
        <v>44383</v>
      </c>
      <c r="E369" s="5">
        <v>1.9079999999999999</v>
      </c>
    </row>
    <row r="370" spans="1:5" x14ac:dyDescent="0.3">
      <c r="A370" s="4">
        <v>44384</v>
      </c>
      <c r="B370" s="5">
        <v>8.5129999999999997E-2</v>
      </c>
      <c r="D370" s="4">
        <v>44384</v>
      </c>
      <c r="E370" s="5">
        <v>2.0680000000000001</v>
      </c>
    </row>
    <row r="371" spans="1:5" x14ac:dyDescent="0.3">
      <c r="A371" s="4">
        <v>44385</v>
      </c>
      <c r="B371" s="5">
        <v>8.6129999999999998E-2</v>
      </c>
      <c r="D371" s="4">
        <v>44385</v>
      </c>
      <c r="E371" s="5">
        <v>1.7909999999999999</v>
      </c>
    </row>
    <row r="372" spans="1:5" x14ac:dyDescent="0.3">
      <c r="A372" s="4">
        <v>44386</v>
      </c>
      <c r="B372" s="5">
        <v>8.6629999999999999E-2</v>
      </c>
      <c r="D372" s="4">
        <v>44386</v>
      </c>
      <c r="E372" s="5">
        <v>2.206</v>
      </c>
    </row>
    <row r="373" spans="1:5" x14ac:dyDescent="0.3">
      <c r="A373" s="4">
        <v>44389</v>
      </c>
      <c r="B373" s="5">
        <v>8.6749999999999994E-2</v>
      </c>
      <c r="D373" s="4">
        <v>44389</v>
      </c>
      <c r="E373" s="5">
        <v>1.94</v>
      </c>
    </row>
    <row r="374" spans="1:5" x14ac:dyDescent="0.3">
      <c r="A374" s="4">
        <v>44390</v>
      </c>
      <c r="B374" s="5">
        <v>8.5629999999999998E-2</v>
      </c>
      <c r="D374" s="4">
        <v>44390</v>
      </c>
      <c r="E374" s="5">
        <v>2.0499999999999998</v>
      </c>
    </row>
    <row r="375" spans="1:5" x14ac:dyDescent="0.3">
      <c r="A375" s="4">
        <v>44391</v>
      </c>
      <c r="B375" s="5">
        <v>8.5379999999999998E-2</v>
      </c>
      <c r="D375" s="4">
        <v>44391</v>
      </c>
      <c r="E375" s="5">
        <v>1.984</v>
      </c>
    </row>
    <row r="376" spans="1:5" x14ac:dyDescent="0.3">
      <c r="A376" s="4">
        <v>44392</v>
      </c>
      <c r="B376" s="5">
        <v>8.5629999999999998E-2</v>
      </c>
      <c r="D376" s="4">
        <v>44392</v>
      </c>
      <c r="E376" s="5">
        <v>2.0979999999999999</v>
      </c>
    </row>
    <row r="377" spans="1:5" x14ac:dyDescent="0.3">
      <c r="A377" s="4">
        <v>44393</v>
      </c>
      <c r="B377" s="5">
        <v>8.5750000000000007E-2</v>
      </c>
      <c r="D377" s="4">
        <v>44393</v>
      </c>
      <c r="E377" s="5">
        <v>2.1150000000000002</v>
      </c>
    </row>
    <row r="378" spans="1:5" x14ac:dyDescent="0.3">
      <c r="A378" s="4">
        <v>44396</v>
      </c>
      <c r="B378" s="5">
        <v>8.5999999999999993E-2</v>
      </c>
      <c r="D378" s="4">
        <v>44396</v>
      </c>
      <c r="E378" s="5">
        <v>2.1110000000000002</v>
      </c>
    </row>
    <row r="379" spans="1:5" x14ac:dyDescent="0.3">
      <c r="A379" s="4">
        <v>44397</v>
      </c>
      <c r="B379" s="5">
        <v>8.5500000000000007E-2</v>
      </c>
      <c r="D379" s="4">
        <v>44397</v>
      </c>
      <c r="E379" s="5">
        <v>2.1779999999999999</v>
      </c>
    </row>
    <row r="380" spans="1:5" x14ac:dyDescent="0.3">
      <c r="A380" s="4">
        <v>44398</v>
      </c>
      <c r="B380" s="5">
        <v>8.3879999999999996E-2</v>
      </c>
      <c r="D380" s="4">
        <v>44398</v>
      </c>
      <c r="E380" s="5">
        <v>2.1819999999999999</v>
      </c>
    </row>
    <row r="381" spans="1:5" x14ac:dyDescent="0.3">
      <c r="A381" s="4">
        <v>44399</v>
      </c>
      <c r="B381" s="5">
        <v>8.3379999999999996E-2</v>
      </c>
      <c r="D381" s="4">
        <v>44399</v>
      </c>
      <c r="E381" s="5">
        <v>2.1139999999999999</v>
      </c>
    </row>
    <row r="382" spans="1:5" x14ac:dyDescent="0.3">
      <c r="A382" s="4">
        <v>44400</v>
      </c>
      <c r="B382" s="5">
        <v>8.0130000000000007E-2</v>
      </c>
      <c r="D382" s="4">
        <v>44400</v>
      </c>
      <c r="E382" s="5">
        <v>2.0569999999999999</v>
      </c>
    </row>
    <row r="383" spans="1:5" x14ac:dyDescent="0.3">
      <c r="A383" s="4">
        <v>44403</v>
      </c>
      <c r="B383" s="5">
        <v>8.1000000000000003E-2</v>
      </c>
      <c r="D383" s="4">
        <v>44403</v>
      </c>
      <c r="E383" s="5">
        <v>2.1190000000000002</v>
      </c>
    </row>
    <row r="384" spans="1:5" x14ac:dyDescent="0.3">
      <c r="A384" s="4">
        <v>44404</v>
      </c>
      <c r="B384" s="5">
        <v>8.0879999999999994E-2</v>
      </c>
      <c r="D384" s="4">
        <v>44404</v>
      </c>
      <c r="E384" s="5">
        <v>2.27</v>
      </c>
    </row>
    <row r="385" spans="1:5" x14ac:dyDescent="0.3">
      <c r="A385" s="4">
        <v>44405</v>
      </c>
      <c r="B385" s="5">
        <v>7.9630000000000006E-2</v>
      </c>
      <c r="D385" s="4">
        <v>44405</v>
      </c>
      <c r="E385" s="5">
        <v>2.0920000000000001</v>
      </c>
    </row>
    <row r="386" spans="1:5" x14ac:dyDescent="0.3">
      <c r="A386" s="4">
        <v>44406</v>
      </c>
      <c r="B386" s="5">
        <v>7.9380000000000006E-2</v>
      </c>
      <c r="D386" s="4">
        <v>44406</v>
      </c>
      <c r="E386" s="5">
        <v>1.6439999999999999</v>
      </c>
    </row>
    <row r="387" spans="1:5" x14ac:dyDescent="0.3">
      <c r="A387" s="4">
        <v>44407</v>
      </c>
      <c r="B387" s="5">
        <v>7.6880000000000004E-2</v>
      </c>
      <c r="D387" s="4">
        <v>44407</v>
      </c>
      <c r="E387" s="5">
        <v>2.1779999999999999</v>
      </c>
    </row>
    <row r="388" spans="1:5" x14ac:dyDescent="0.3">
      <c r="A388" s="4">
        <v>44410</v>
      </c>
      <c r="B388" s="5">
        <v>7.9500000000000001E-2</v>
      </c>
      <c r="D388" s="4">
        <v>44410</v>
      </c>
      <c r="E388" s="5">
        <v>1.8759999999999999</v>
      </c>
    </row>
    <row r="389" spans="1:5" x14ac:dyDescent="0.3">
      <c r="A389" s="4">
        <v>44411</v>
      </c>
      <c r="B389" s="5">
        <v>8.1379999999999994E-2</v>
      </c>
      <c r="D389" s="4">
        <v>44411</v>
      </c>
      <c r="E389" s="5">
        <v>1.8360000000000001</v>
      </c>
    </row>
    <row r="390" spans="1:5" x14ac:dyDescent="0.3">
      <c r="A390" s="4">
        <v>44412</v>
      </c>
      <c r="B390" s="5">
        <v>8.1500000000000003E-2</v>
      </c>
      <c r="D390" s="4">
        <v>44412</v>
      </c>
      <c r="E390" s="5">
        <v>1.71</v>
      </c>
    </row>
    <row r="391" spans="1:5" x14ac:dyDescent="0.3">
      <c r="A391" s="4">
        <v>44413</v>
      </c>
      <c r="B391" s="5">
        <v>7.9000000000000001E-2</v>
      </c>
      <c r="D391" s="4">
        <v>44413</v>
      </c>
      <c r="E391" s="5">
        <v>1.7090000000000001</v>
      </c>
    </row>
    <row r="392" spans="1:5" x14ac:dyDescent="0.3">
      <c r="A392" s="4">
        <v>44414</v>
      </c>
      <c r="B392" s="5">
        <v>7.85E-2</v>
      </c>
      <c r="D392" s="4">
        <v>44414</v>
      </c>
      <c r="E392" s="5">
        <v>1.859</v>
      </c>
    </row>
    <row r="393" spans="1:5" x14ac:dyDescent="0.3">
      <c r="A393" s="4">
        <v>44417</v>
      </c>
      <c r="B393" s="5">
        <v>7.8750000000000001E-2</v>
      </c>
      <c r="D393" s="4">
        <v>44417</v>
      </c>
      <c r="E393" s="5">
        <v>2.2120000000000002</v>
      </c>
    </row>
    <row r="394" spans="1:5" x14ac:dyDescent="0.3">
      <c r="A394" s="4">
        <v>44418</v>
      </c>
      <c r="B394" s="5">
        <v>7.8630000000000005E-2</v>
      </c>
      <c r="D394" s="4">
        <v>44418</v>
      </c>
      <c r="E394" s="5">
        <v>2.25</v>
      </c>
    </row>
    <row r="395" spans="1:5" x14ac:dyDescent="0.3">
      <c r="A395" s="4">
        <v>44419</v>
      </c>
      <c r="B395" s="5">
        <v>7.8630000000000005E-2</v>
      </c>
      <c r="D395" s="4">
        <v>44419</v>
      </c>
      <c r="E395" s="5">
        <v>2.032</v>
      </c>
    </row>
    <row r="396" spans="1:5" x14ac:dyDescent="0.3">
      <c r="A396" s="4">
        <v>44420</v>
      </c>
      <c r="B396" s="5">
        <v>7.8E-2</v>
      </c>
      <c r="D396" s="4">
        <v>44420</v>
      </c>
      <c r="E396" s="5">
        <v>1.94</v>
      </c>
    </row>
    <row r="397" spans="1:5" x14ac:dyDescent="0.3">
      <c r="A397" s="4">
        <v>44421</v>
      </c>
      <c r="B397" s="5">
        <v>7.7630000000000005E-2</v>
      </c>
      <c r="D397" s="4">
        <v>44421</v>
      </c>
      <c r="E397" s="5">
        <v>2.1760000000000002</v>
      </c>
    </row>
    <row r="398" spans="1:5" x14ac:dyDescent="0.3">
      <c r="A398" s="4">
        <v>44424</v>
      </c>
      <c r="B398" s="5">
        <v>7.825E-2</v>
      </c>
      <c r="D398" s="4">
        <v>44424</v>
      </c>
      <c r="E398" s="5">
        <v>2.105</v>
      </c>
    </row>
    <row r="399" spans="1:5" x14ac:dyDescent="0.3">
      <c r="A399" s="4">
        <v>44425</v>
      </c>
      <c r="B399" s="5">
        <v>7.7880000000000005E-2</v>
      </c>
      <c r="D399" s="4">
        <v>44425</v>
      </c>
      <c r="E399" s="5">
        <v>1.972</v>
      </c>
    </row>
    <row r="400" spans="1:5" x14ac:dyDescent="0.3">
      <c r="A400" s="4">
        <v>44426</v>
      </c>
      <c r="B400" s="5">
        <v>7.8630000000000005E-2</v>
      </c>
      <c r="D400" s="4">
        <v>44426</v>
      </c>
      <c r="E400" s="5">
        <v>1.7250000000000001</v>
      </c>
    </row>
    <row r="401" spans="1:5" x14ac:dyDescent="0.3">
      <c r="A401" s="4">
        <v>44427</v>
      </c>
      <c r="B401" s="5">
        <v>7.85E-2</v>
      </c>
      <c r="D401" s="4">
        <v>44427</v>
      </c>
      <c r="E401" s="5">
        <v>1.841</v>
      </c>
    </row>
    <row r="402" spans="1:5" x14ac:dyDescent="0.3">
      <c r="A402" s="4">
        <v>44428</v>
      </c>
      <c r="B402" s="5">
        <v>7.7380000000000004E-2</v>
      </c>
      <c r="D402" s="4">
        <v>44428</v>
      </c>
      <c r="E402" s="5">
        <v>2.0419999999999998</v>
      </c>
    </row>
    <row r="403" spans="1:5" x14ac:dyDescent="0.3">
      <c r="A403" s="4">
        <v>44431</v>
      </c>
      <c r="B403" s="5">
        <v>7.775E-2</v>
      </c>
      <c r="D403" s="4">
        <v>44431</v>
      </c>
      <c r="E403" s="5">
        <v>2.1429999999999998</v>
      </c>
    </row>
    <row r="404" spans="1:5" x14ac:dyDescent="0.3">
      <c r="A404" s="4">
        <v>44432</v>
      </c>
      <c r="B404" s="5">
        <v>7.7630000000000005E-2</v>
      </c>
      <c r="D404" s="4">
        <v>44432</v>
      </c>
      <c r="E404" s="5">
        <v>2.262</v>
      </c>
    </row>
    <row r="405" spans="1:5" x14ac:dyDescent="0.3">
      <c r="A405" s="4">
        <v>44433</v>
      </c>
      <c r="B405" s="5">
        <v>7.6380000000000003E-2</v>
      </c>
      <c r="D405" s="4">
        <v>44433</v>
      </c>
      <c r="E405" s="5">
        <v>2.2109999999999999</v>
      </c>
    </row>
    <row r="406" spans="1:5" x14ac:dyDescent="0.3">
      <c r="A406" s="4">
        <v>44434</v>
      </c>
      <c r="B406" s="5">
        <v>7.5749999999999998E-2</v>
      </c>
      <c r="D406" s="4">
        <v>44434</v>
      </c>
      <c r="E406" s="5">
        <v>2.1989999999999998</v>
      </c>
    </row>
    <row r="407" spans="1:5" x14ac:dyDescent="0.3">
      <c r="A407" s="4">
        <v>44435</v>
      </c>
      <c r="B407" s="5">
        <v>7.6130000000000003E-2</v>
      </c>
      <c r="D407" s="4">
        <v>44435</v>
      </c>
      <c r="E407" s="5">
        <v>2.0920000000000001</v>
      </c>
    </row>
    <row r="408" spans="1:5" x14ac:dyDescent="0.3">
      <c r="A408" s="4">
        <v>44438</v>
      </c>
      <c r="B408" s="5"/>
      <c r="D408" s="4">
        <v>44438</v>
      </c>
      <c r="E408" s="5">
        <v>1.8460000000000001</v>
      </c>
    </row>
    <row r="409" spans="1:5" x14ac:dyDescent="0.3">
      <c r="A409" s="4">
        <v>44439</v>
      </c>
      <c r="B409" s="5">
        <v>7.3380000000000001E-2</v>
      </c>
      <c r="D409" s="4">
        <v>44439</v>
      </c>
      <c r="E409" s="5">
        <v>2.1949999999999998</v>
      </c>
    </row>
    <row r="410" spans="1:5" x14ac:dyDescent="0.3">
      <c r="A410" s="4">
        <v>44440</v>
      </c>
      <c r="B410" s="5">
        <v>7.288E-2</v>
      </c>
      <c r="D410" s="4">
        <v>44440</v>
      </c>
      <c r="E410" s="5">
        <v>2.1219999999999999</v>
      </c>
    </row>
    <row r="411" spans="1:5" x14ac:dyDescent="0.3">
      <c r="A411" s="4">
        <v>44441</v>
      </c>
      <c r="B411" s="5">
        <v>7.3499999999999996E-2</v>
      </c>
      <c r="D411" s="4">
        <v>44441</v>
      </c>
      <c r="E411" s="5">
        <v>2.0819999999999999</v>
      </c>
    </row>
    <row r="412" spans="1:5" x14ac:dyDescent="0.3">
      <c r="A412" s="4">
        <v>44442</v>
      </c>
      <c r="B412" s="5">
        <v>7.0749999999999993E-2</v>
      </c>
      <c r="D412" s="4">
        <v>44442</v>
      </c>
      <c r="E412" s="5">
        <v>1.9430000000000001</v>
      </c>
    </row>
    <row r="413" spans="1:5" x14ac:dyDescent="0.3">
      <c r="A413" s="4">
        <v>44445</v>
      </c>
      <c r="B413" s="5"/>
      <c r="D413" s="4">
        <v>44445</v>
      </c>
      <c r="E413" s="5">
        <v>2.1150000000000002</v>
      </c>
    </row>
    <row r="414" spans="1:5" x14ac:dyDescent="0.3">
      <c r="A414" s="4">
        <v>44446</v>
      </c>
      <c r="B414" s="5">
        <v>7.288E-2</v>
      </c>
      <c r="D414" s="4">
        <v>44446</v>
      </c>
      <c r="E414" s="5">
        <v>2.1869999999999998</v>
      </c>
    </row>
    <row r="415" spans="1:5" x14ac:dyDescent="0.3">
      <c r="A415" s="4">
        <v>44447</v>
      </c>
      <c r="B415" s="5">
        <v>6.9629999999999997E-2</v>
      </c>
      <c r="D415" s="4">
        <v>44447</v>
      </c>
      <c r="E415" s="5">
        <v>2.1840000000000002</v>
      </c>
    </row>
    <row r="416" spans="1:5" x14ac:dyDescent="0.3">
      <c r="A416" s="4">
        <v>44448</v>
      </c>
      <c r="B416" s="5">
        <v>7.1879999999999999E-2</v>
      </c>
      <c r="D416" s="4">
        <v>44448</v>
      </c>
      <c r="E416" s="5">
        <v>2.0289999999999999</v>
      </c>
    </row>
    <row r="417" spans="1:5" x14ac:dyDescent="0.3">
      <c r="A417" s="4">
        <v>44449</v>
      </c>
      <c r="B417" s="5">
        <v>7.1629999999999999E-2</v>
      </c>
      <c r="D417" s="4">
        <v>44449</v>
      </c>
      <c r="E417" s="5">
        <v>2.109</v>
      </c>
    </row>
    <row r="418" spans="1:5" x14ac:dyDescent="0.3">
      <c r="A418" s="4">
        <v>44452</v>
      </c>
      <c r="B418" s="5">
        <v>7.3380000000000001E-2</v>
      </c>
      <c r="D418" s="4">
        <v>44452</v>
      </c>
      <c r="E418" s="5">
        <v>2.165</v>
      </c>
    </row>
    <row r="419" spans="1:5" x14ac:dyDescent="0.3">
      <c r="A419" s="4">
        <v>44453</v>
      </c>
      <c r="B419" s="5">
        <v>7.1879999999999999E-2</v>
      </c>
      <c r="D419" s="4">
        <v>44453</v>
      </c>
      <c r="E419" s="5">
        <v>2.2959999999999998</v>
      </c>
    </row>
    <row r="420" spans="1:5" x14ac:dyDescent="0.3">
      <c r="A420" s="4">
        <v>44454</v>
      </c>
      <c r="B420" s="5">
        <v>7.213E-2</v>
      </c>
      <c r="D420" s="4">
        <v>44454</v>
      </c>
      <c r="E420" s="5">
        <v>2.137</v>
      </c>
    </row>
    <row r="421" spans="1:5" x14ac:dyDescent="0.3">
      <c r="A421" s="4">
        <v>44455</v>
      </c>
      <c r="B421" s="5">
        <v>7.4249999999999997E-2</v>
      </c>
      <c r="D421" s="4">
        <v>44455</v>
      </c>
      <c r="E421" s="5">
        <v>2.21</v>
      </c>
    </row>
    <row r="422" spans="1:5" x14ac:dyDescent="0.3">
      <c r="A422" s="4">
        <v>44456</v>
      </c>
      <c r="B422" s="5">
        <v>7.0749999999999993E-2</v>
      </c>
      <c r="D422" s="4">
        <v>44456</v>
      </c>
      <c r="E422" s="5">
        <v>2.2130000000000001</v>
      </c>
    </row>
    <row r="423" spans="1:5" x14ac:dyDescent="0.3">
      <c r="A423" s="4">
        <v>44461</v>
      </c>
      <c r="B423" s="5">
        <v>7.2499999999999995E-2</v>
      </c>
      <c r="D423" s="4">
        <v>44461</v>
      </c>
      <c r="E423" s="5">
        <v>2.161</v>
      </c>
    </row>
    <row r="424" spans="1:5" x14ac:dyDescent="0.3">
      <c r="A424" s="4">
        <v>44462</v>
      </c>
      <c r="B424" s="5">
        <v>7.1879999999999999E-2</v>
      </c>
      <c r="D424" s="4">
        <v>44462</v>
      </c>
      <c r="E424" s="5">
        <v>2.0350000000000001</v>
      </c>
    </row>
    <row r="425" spans="1:5" x14ac:dyDescent="0.3">
      <c r="A425" s="4">
        <v>44463</v>
      </c>
      <c r="B425" s="5">
        <v>7.2499999999999995E-2</v>
      </c>
      <c r="D425" s="4">
        <v>44463</v>
      </c>
      <c r="E425" s="5">
        <v>1.6950000000000001</v>
      </c>
    </row>
    <row r="426" spans="1:5" x14ac:dyDescent="0.3">
      <c r="A426" s="4">
        <v>44466</v>
      </c>
      <c r="B426" s="5">
        <v>7.0379999999999998E-2</v>
      </c>
      <c r="D426" s="4">
        <v>44466</v>
      </c>
      <c r="E426" s="5">
        <v>1.708</v>
      </c>
    </row>
    <row r="427" spans="1:5" x14ac:dyDescent="0.3">
      <c r="A427" s="4">
        <v>44467</v>
      </c>
      <c r="B427" s="5">
        <v>7.1629999999999999E-2</v>
      </c>
      <c r="D427" s="4">
        <v>44467</v>
      </c>
      <c r="E427" s="5">
        <v>1.946</v>
      </c>
    </row>
    <row r="428" spans="1:5" x14ac:dyDescent="0.3">
      <c r="A428" s="4">
        <v>44468</v>
      </c>
      <c r="B428" s="5">
        <v>7.0250000000000007E-2</v>
      </c>
      <c r="D428" s="4">
        <v>44468</v>
      </c>
      <c r="E428" s="5">
        <v>1.5049999999999999</v>
      </c>
    </row>
    <row r="429" spans="1:5" x14ac:dyDescent="0.3">
      <c r="A429" s="4">
        <v>44469</v>
      </c>
      <c r="B429" s="5">
        <v>7.4630000000000002E-2</v>
      </c>
      <c r="D429" s="4">
        <v>44469</v>
      </c>
      <c r="E429" s="5">
        <v>2.2200000000000002</v>
      </c>
    </row>
    <row r="430" spans="1:5" x14ac:dyDescent="0.3">
      <c r="A430" s="6">
        <v>44477</v>
      </c>
      <c r="B430" s="5">
        <v>7.263E-2</v>
      </c>
      <c r="D430" s="4">
        <v>44477</v>
      </c>
      <c r="E430" s="5">
        <v>2.105</v>
      </c>
    </row>
    <row r="431" spans="1:5" x14ac:dyDescent="0.3">
      <c r="A431" s="4">
        <v>44480</v>
      </c>
      <c r="B431" s="5"/>
      <c r="D431" s="4">
        <v>44480</v>
      </c>
      <c r="E431" s="5">
        <v>2.1349999999999998</v>
      </c>
    </row>
    <row r="432" spans="1:5" x14ac:dyDescent="0.3">
      <c r="A432" s="4">
        <v>44481</v>
      </c>
      <c r="B432" s="5">
        <v>7.3999999999999996E-2</v>
      </c>
      <c r="D432" s="4">
        <v>44481</v>
      </c>
      <c r="E432" s="5">
        <v>2.101</v>
      </c>
    </row>
    <row r="433" spans="1:5" x14ac:dyDescent="0.3">
      <c r="A433" s="4">
        <v>44482</v>
      </c>
      <c r="B433" s="5">
        <v>7.3630000000000001E-2</v>
      </c>
      <c r="D433" s="4">
        <v>44482</v>
      </c>
      <c r="E433" s="5">
        <v>2.157</v>
      </c>
    </row>
    <row r="434" spans="1:5" x14ac:dyDescent="0.3">
      <c r="A434" s="4">
        <v>44483</v>
      </c>
      <c r="B434" s="5">
        <v>7.1999999999999995E-2</v>
      </c>
      <c r="D434" s="4">
        <v>44483</v>
      </c>
      <c r="E434" s="5">
        <v>2.1059999999999999</v>
      </c>
    </row>
    <row r="435" spans="1:5" x14ac:dyDescent="0.3">
      <c r="A435" s="6">
        <v>44484</v>
      </c>
      <c r="B435" s="5">
        <v>7.1129999999999999E-2</v>
      </c>
      <c r="D435" s="4">
        <v>44484</v>
      </c>
      <c r="E435" s="5">
        <v>2.0649999999999999</v>
      </c>
    </row>
    <row r="436" spans="1:5" x14ac:dyDescent="0.3">
      <c r="A436" s="4">
        <v>44487</v>
      </c>
      <c r="B436" s="5">
        <v>7.213E-2</v>
      </c>
      <c r="D436" s="4">
        <v>44487</v>
      </c>
      <c r="E436" s="5">
        <v>2.1309999999999998</v>
      </c>
    </row>
    <row r="437" spans="1:5" x14ac:dyDescent="0.3">
      <c r="A437" s="4">
        <v>44488</v>
      </c>
      <c r="B437" s="5">
        <v>7.1749999999999994E-2</v>
      </c>
      <c r="D437" s="4">
        <v>44488</v>
      </c>
      <c r="E437" s="5">
        <v>2.2229999999999999</v>
      </c>
    </row>
    <row r="438" spans="1:5" x14ac:dyDescent="0.3">
      <c r="A438" s="4">
        <v>44489</v>
      </c>
      <c r="B438" s="5">
        <v>7.3249999999999996E-2</v>
      </c>
      <c r="D438" s="4">
        <v>44489</v>
      </c>
      <c r="E438" s="5">
        <v>2.1040000000000001</v>
      </c>
    </row>
    <row r="439" spans="1:5" x14ac:dyDescent="0.3">
      <c r="A439" s="4">
        <v>44490</v>
      </c>
      <c r="B439" s="5">
        <v>7.2749999999999995E-2</v>
      </c>
      <c r="D439" s="4">
        <v>44490</v>
      </c>
      <c r="E439" s="5">
        <v>1.6830000000000001</v>
      </c>
    </row>
    <row r="440" spans="1:5" x14ac:dyDescent="0.3">
      <c r="A440" s="4">
        <v>44491</v>
      </c>
      <c r="B440" s="5">
        <v>7.3499999999999996E-2</v>
      </c>
      <c r="D440" s="4">
        <v>44491</v>
      </c>
      <c r="E440" s="5">
        <v>1.6719999999999999</v>
      </c>
    </row>
    <row r="441" spans="1:5" x14ac:dyDescent="0.3">
      <c r="A441" s="4">
        <v>44494</v>
      </c>
      <c r="B441" s="5">
        <v>7.1499999999999994E-2</v>
      </c>
      <c r="D441" s="4">
        <v>44494</v>
      </c>
      <c r="E441" s="5">
        <v>1.61</v>
      </c>
    </row>
    <row r="442" spans="1:5" x14ac:dyDescent="0.3">
      <c r="A442" s="4">
        <v>44495</v>
      </c>
      <c r="B442" s="5">
        <v>7.1629999999999999E-2</v>
      </c>
      <c r="D442" s="4">
        <v>44495</v>
      </c>
      <c r="E442" s="5">
        <v>1.546</v>
      </c>
    </row>
    <row r="443" spans="1:5" x14ac:dyDescent="0.3">
      <c r="A443" s="4">
        <v>44496</v>
      </c>
      <c r="B443" s="5">
        <v>6.9500000000000006E-2</v>
      </c>
      <c r="D443" s="4">
        <v>44496</v>
      </c>
      <c r="E443" s="5">
        <v>1.921</v>
      </c>
    </row>
    <row r="444" spans="1:5" x14ac:dyDescent="0.3">
      <c r="A444" s="4">
        <v>44497</v>
      </c>
      <c r="B444" s="5">
        <v>7.3630000000000001E-2</v>
      </c>
      <c r="D444" s="4">
        <v>44497</v>
      </c>
      <c r="E444" s="5">
        <v>1.94</v>
      </c>
    </row>
    <row r="445" spans="1:5" x14ac:dyDescent="0.3">
      <c r="A445" s="4">
        <v>44498</v>
      </c>
      <c r="B445" s="5">
        <v>7.213E-2</v>
      </c>
      <c r="D445" s="4">
        <v>44498</v>
      </c>
      <c r="E445" s="5">
        <v>2.1419999999999999</v>
      </c>
    </row>
    <row r="446" spans="1:5" x14ac:dyDescent="0.3">
      <c r="A446" s="4">
        <v>44501</v>
      </c>
      <c r="B446" s="5">
        <v>6.7629999999999996E-2</v>
      </c>
      <c r="D446" s="4">
        <v>44501</v>
      </c>
      <c r="E446" s="5">
        <v>2.0299999999999998</v>
      </c>
    </row>
    <row r="447" spans="1:5" x14ac:dyDescent="0.3">
      <c r="A447" s="4">
        <v>44502</v>
      </c>
      <c r="B447" s="5">
        <v>7.213E-2</v>
      </c>
      <c r="D447" s="4">
        <v>44502</v>
      </c>
      <c r="E447" s="5">
        <v>2.1259999999999999</v>
      </c>
    </row>
    <row r="448" spans="1:5" x14ac:dyDescent="0.3">
      <c r="A448" s="4">
        <v>44503</v>
      </c>
      <c r="B448" s="5">
        <v>7.3749999999999996E-2</v>
      </c>
      <c r="D448" s="4">
        <v>44503</v>
      </c>
      <c r="E448" s="5">
        <v>2</v>
      </c>
    </row>
    <row r="449" spans="1:5" x14ac:dyDescent="0.3">
      <c r="A449" s="4">
        <v>44504</v>
      </c>
      <c r="B449" s="5">
        <v>6.9000000000000006E-2</v>
      </c>
      <c r="D449" s="4">
        <v>44504</v>
      </c>
      <c r="E449" s="5">
        <v>1.8859999999999999</v>
      </c>
    </row>
    <row r="450" spans="1:5" x14ac:dyDescent="0.3">
      <c r="A450" s="4">
        <v>44505</v>
      </c>
      <c r="B450" s="5">
        <v>7.263E-2</v>
      </c>
      <c r="D450" s="4">
        <v>44505</v>
      </c>
      <c r="E450" s="5">
        <v>1.887</v>
      </c>
    </row>
    <row r="451" spans="1:5" x14ac:dyDescent="0.3">
      <c r="A451" s="4">
        <v>44508</v>
      </c>
      <c r="B451" s="5">
        <v>6.5000000000000002E-2</v>
      </c>
      <c r="D451" s="4">
        <v>44508</v>
      </c>
      <c r="E451" s="5">
        <v>1.897</v>
      </c>
    </row>
    <row r="452" spans="1:5" x14ac:dyDescent="0.3">
      <c r="A452" s="4">
        <v>44509</v>
      </c>
      <c r="B452" s="5">
        <v>7.0879999999999999E-2</v>
      </c>
      <c r="D452" s="4">
        <v>44509</v>
      </c>
      <c r="E452" s="5">
        <v>2.137</v>
      </c>
    </row>
    <row r="453" spans="1:5" x14ac:dyDescent="0.3">
      <c r="A453" s="4">
        <v>44510</v>
      </c>
      <c r="B453" s="5">
        <v>6.5379999999999994E-2</v>
      </c>
      <c r="D453" s="4">
        <v>44510</v>
      </c>
      <c r="E453" s="5">
        <v>1.833</v>
      </c>
    </row>
    <row r="454" spans="1:5" x14ac:dyDescent="0.3">
      <c r="A454" s="4">
        <v>44511</v>
      </c>
      <c r="B454" s="5"/>
      <c r="D454" s="4">
        <v>44511</v>
      </c>
      <c r="E454" s="5">
        <v>1.881</v>
      </c>
    </row>
    <row r="455" spans="1:5" x14ac:dyDescent="0.3">
      <c r="A455" s="4">
        <v>44512</v>
      </c>
      <c r="B455" s="5">
        <v>7.4749999999999997E-2</v>
      </c>
      <c r="D455" s="4">
        <v>44512</v>
      </c>
      <c r="E455" s="5">
        <v>1.8560000000000001</v>
      </c>
    </row>
    <row r="456" spans="1:5" x14ac:dyDescent="0.3">
      <c r="A456" s="4">
        <v>44515</v>
      </c>
      <c r="B456" s="5">
        <v>7.4999999999999997E-2</v>
      </c>
      <c r="D456" s="4">
        <v>44515</v>
      </c>
      <c r="E456" s="5">
        <v>1.7869999999999999</v>
      </c>
    </row>
    <row r="457" spans="1:5" x14ac:dyDescent="0.3">
      <c r="A457" s="4">
        <v>44516</v>
      </c>
      <c r="B457" s="5">
        <v>7.4249999999999997E-2</v>
      </c>
      <c r="D457" s="4">
        <v>44516</v>
      </c>
      <c r="E457" s="5">
        <v>1.923</v>
      </c>
    </row>
    <row r="458" spans="1:5" x14ac:dyDescent="0.3">
      <c r="A458" s="4">
        <v>44517</v>
      </c>
      <c r="B458" s="5">
        <v>7.5249999999999997E-2</v>
      </c>
      <c r="D458" s="4">
        <v>44517</v>
      </c>
      <c r="E458" s="5">
        <v>2.1520000000000001</v>
      </c>
    </row>
    <row r="459" spans="1:5" x14ac:dyDescent="0.3">
      <c r="A459" s="4">
        <v>44518</v>
      </c>
      <c r="B459" s="5">
        <v>7.4249999999999997E-2</v>
      </c>
      <c r="D459" s="4">
        <v>44518</v>
      </c>
      <c r="E459" s="5">
        <v>1.9319999999999999</v>
      </c>
    </row>
    <row r="460" spans="1:5" x14ac:dyDescent="0.3">
      <c r="A460" s="4">
        <v>44519</v>
      </c>
      <c r="B460" s="5">
        <v>7.5999999999999998E-2</v>
      </c>
      <c r="D460" s="4">
        <v>44519</v>
      </c>
      <c r="E460" s="5">
        <v>1.998</v>
      </c>
    </row>
    <row r="461" spans="1:5" x14ac:dyDescent="0.3">
      <c r="A461" s="4">
        <v>44522</v>
      </c>
      <c r="B461" s="5">
        <v>7.5499999999999998E-2</v>
      </c>
      <c r="D461" s="4">
        <v>44522</v>
      </c>
      <c r="E461" s="5">
        <v>1.946</v>
      </c>
    </row>
    <row r="462" spans="1:5" x14ac:dyDescent="0.3">
      <c r="A462" s="4">
        <v>44523</v>
      </c>
      <c r="B462" s="5">
        <v>7.2499999999999995E-2</v>
      </c>
      <c r="D462" s="4">
        <v>44523</v>
      </c>
      <c r="E462" s="5">
        <v>2.1779999999999999</v>
      </c>
    </row>
    <row r="463" spans="1:5" x14ac:dyDescent="0.3">
      <c r="A463" s="4">
        <v>44524</v>
      </c>
      <c r="B463" s="5">
        <v>7.3499999999999996E-2</v>
      </c>
      <c r="D463" s="4">
        <v>44524</v>
      </c>
      <c r="E463" s="5">
        <v>1.788</v>
      </c>
    </row>
    <row r="464" spans="1:5" x14ac:dyDescent="0.3">
      <c r="A464" s="4">
        <v>44525</v>
      </c>
      <c r="B464" s="5"/>
      <c r="D464" s="4">
        <v>44525</v>
      </c>
      <c r="E464" s="5">
        <v>1.823</v>
      </c>
    </row>
    <row r="465" spans="1:5" x14ac:dyDescent="0.3">
      <c r="A465" s="4">
        <v>44526</v>
      </c>
      <c r="B465" s="5">
        <v>7.4130000000000001E-2</v>
      </c>
      <c r="D465" s="4">
        <v>44526</v>
      </c>
      <c r="E465" s="5">
        <v>1.712</v>
      </c>
    </row>
    <row r="466" spans="1:5" x14ac:dyDescent="0.3">
      <c r="A466" s="4">
        <v>44529</v>
      </c>
      <c r="B466" s="5">
        <v>7.6380000000000003E-2</v>
      </c>
      <c r="D466" s="4">
        <v>44529</v>
      </c>
      <c r="E466" s="5">
        <v>1.86</v>
      </c>
    </row>
    <row r="467" spans="1:5" x14ac:dyDescent="0.3">
      <c r="A467" s="4">
        <v>44530</v>
      </c>
      <c r="B467" s="5">
        <v>7.6499999999999999E-2</v>
      </c>
      <c r="D467" s="4">
        <v>44530</v>
      </c>
      <c r="E467" s="5">
        <v>2.173</v>
      </c>
    </row>
    <row r="468" spans="1:5" x14ac:dyDescent="0.3">
      <c r="A468" s="4">
        <v>44531</v>
      </c>
      <c r="B468" s="5">
        <v>7.7130000000000004E-2</v>
      </c>
      <c r="D468" s="4">
        <v>44531</v>
      </c>
      <c r="E468" s="5">
        <v>2.0169999999999999</v>
      </c>
    </row>
    <row r="469" spans="1:5" x14ac:dyDescent="0.3">
      <c r="A469" s="4">
        <v>44532</v>
      </c>
      <c r="B469" s="5">
        <v>7.7630000000000005E-2</v>
      </c>
      <c r="D469" s="4">
        <v>44532</v>
      </c>
      <c r="E469" s="5">
        <v>1.984</v>
      </c>
    </row>
    <row r="470" spans="1:5" x14ac:dyDescent="0.3">
      <c r="A470" s="4">
        <v>44533</v>
      </c>
      <c r="B470" s="5">
        <v>7.6499999999999999E-2</v>
      </c>
      <c r="D470" s="4">
        <v>44533</v>
      </c>
      <c r="E470" s="5">
        <v>1.913</v>
      </c>
    </row>
    <row r="471" spans="1:5" x14ac:dyDescent="0.3">
      <c r="A471" s="4">
        <v>44536</v>
      </c>
      <c r="B471" s="5">
        <v>7.1129999999999999E-2</v>
      </c>
      <c r="D471" s="4">
        <v>44536</v>
      </c>
      <c r="E471" s="5">
        <v>1.8169999999999999</v>
      </c>
    </row>
    <row r="472" spans="1:5" x14ac:dyDescent="0.3">
      <c r="A472" s="4">
        <v>44537</v>
      </c>
      <c r="B472" s="5">
        <v>7.5749999999999998E-2</v>
      </c>
      <c r="D472" s="4">
        <v>44537</v>
      </c>
      <c r="E472" s="5">
        <v>2.13</v>
      </c>
    </row>
    <row r="473" spans="1:5" x14ac:dyDescent="0.3">
      <c r="A473" s="4">
        <v>44538</v>
      </c>
      <c r="B473" s="5">
        <v>7.0250000000000007E-2</v>
      </c>
      <c r="D473" s="4">
        <v>44538</v>
      </c>
      <c r="E473" s="5">
        <v>2.1509999999999998</v>
      </c>
    </row>
    <row r="474" spans="1:5" x14ac:dyDescent="0.3">
      <c r="A474" s="4">
        <v>44539</v>
      </c>
      <c r="B474" s="5">
        <v>7.6880000000000004E-2</v>
      </c>
      <c r="D474" s="4">
        <v>44539</v>
      </c>
      <c r="E474" s="5">
        <v>2.1539999999999999</v>
      </c>
    </row>
    <row r="475" spans="1:5" x14ac:dyDescent="0.3">
      <c r="A475" s="4">
        <v>44540</v>
      </c>
      <c r="B475" s="5">
        <v>7.2249999999999995E-2</v>
      </c>
      <c r="D475" s="4">
        <v>44540</v>
      </c>
      <c r="E475" s="5">
        <v>1.8069999999999999</v>
      </c>
    </row>
    <row r="476" spans="1:5" x14ac:dyDescent="0.3">
      <c r="A476" s="4">
        <v>44543</v>
      </c>
      <c r="B476" s="5">
        <v>7.7130000000000004E-2</v>
      </c>
      <c r="D476" s="4">
        <v>44543</v>
      </c>
      <c r="E476" s="5">
        <v>2.1080000000000001</v>
      </c>
    </row>
    <row r="477" spans="1:5" x14ac:dyDescent="0.3">
      <c r="A477" s="4">
        <v>44544</v>
      </c>
      <c r="B477" s="5">
        <v>6.8629999999999997E-2</v>
      </c>
      <c r="D477" s="4">
        <v>44544</v>
      </c>
      <c r="E477" s="5">
        <v>2.1680000000000001</v>
      </c>
    </row>
    <row r="478" spans="1:5" x14ac:dyDescent="0.3">
      <c r="A478" s="4">
        <v>44545</v>
      </c>
      <c r="B478" s="5">
        <v>7.8130000000000005E-2</v>
      </c>
      <c r="D478" s="4">
        <v>44545</v>
      </c>
      <c r="E478" s="5">
        <v>2.137</v>
      </c>
    </row>
    <row r="479" spans="1:5" x14ac:dyDescent="0.3">
      <c r="A479" s="4">
        <v>44546</v>
      </c>
      <c r="B479" s="5">
        <v>7.6380000000000003E-2</v>
      </c>
      <c r="D479" s="4">
        <v>44546</v>
      </c>
      <c r="E479" s="5">
        <v>2.1160000000000001</v>
      </c>
    </row>
    <row r="480" spans="1:5" x14ac:dyDescent="0.3">
      <c r="A480" s="4">
        <v>44547</v>
      </c>
      <c r="B480" s="5">
        <v>7.4249999999999997E-2</v>
      </c>
      <c r="D480" s="4">
        <v>44547</v>
      </c>
      <c r="E480" s="5">
        <v>1.8620000000000001</v>
      </c>
    </row>
    <row r="481" spans="1:5" x14ac:dyDescent="0.3">
      <c r="A481" s="4">
        <v>44550</v>
      </c>
      <c r="B481" s="5">
        <v>7.2499999999999995E-2</v>
      </c>
      <c r="D481" s="4">
        <v>44550</v>
      </c>
      <c r="E481" s="5">
        <v>1.994</v>
      </c>
    </row>
    <row r="482" spans="1:5" x14ac:dyDescent="0.3">
      <c r="A482" s="4">
        <v>44551</v>
      </c>
      <c r="B482" s="5">
        <v>7.288E-2</v>
      </c>
      <c r="D482" s="4">
        <v>44551</v>
      </c>
      <c r="E482" s="5">
        <v>1.8580000000000001</v>
      </c>
    </row>
    <row r="483" spans="1:5" x14ac:dyDescent="0.3">
      <c r="A483" s="4">
        <v>44552</v>
      </c>
      <c r="B483" s="5">
        <v>7.0499999999999993E-2</v>
      </c>
      <c r="D483" s="4">
        <v>44552</v>
      </c>
      <c r="E483" s="5">
        <v>1.6870000000000001</v>
      </c>
    </row>
    <row r="484" spans="1:5" x14ac:dyDescent="0.3">
      <c r="A484" s="4">
        <v>44553</v>
      </c>
      <c r="B484" s="5">
        <v>7.5130000000000002E-2</v>
      </c>
      <c r="D484" s="4">
        <v>44553</v>
      </c>
      <c r="E484" s="5">
        <v>1.631</v>
      </c>
    </row>
    <row r="485" spans="1:5" x14ac:dyDescent="0.3">
      <c r="A485" s="4">
        <v>44554</v>
      </c>
      <c r="B485" s="5">
        <v>6.9750000000000006E-2</v>
      </c>
      <c r="D485" s="4">
        <v>44554</v>
      </c>
      <c r="E485" s="5">
        <v>1.84</v>
      </c>
    </row>
    <row r="486" spans="1:5" x14ac:dyDescent="0.3">
      <c r="A486" s="4">
        <v>44557</v>
      </c>
      <c r="B486" s="5"/>
      <c r="D486" s="4">
        <v>44557</v>
      </c>
      <c r="E486" s="5">
        <v>1.778</v>
      </c>
    </row>
    <row r="487" spans="1:5" x14ac:dyDescent="0.3">
      <c r="A487" s="4">
        <v>44558</v>
      </c>
      <c r="B487" s="5"/>
      <c r="D487" s="4">
        <v>44558</v>
      </c>
      <c r="E487" s="5">
        <v>1.6160000000000001</v>
      </c>
    </row>
    <row r="488" spans="1:5" x14ac:dyDescent="0.3">
      <c r="A488" s="4">
        <v>44559</v>
      </c>
      <c r="B488" s="5">
        <v>7.2749999999999995E-2</v>
      </c>
      <c r="D488" s="4">
        <v>44559</v>
      </c>
      <c r="E488" s="5">
        <v>1.343</v>
      </c>
    </row>
    <row r="489" spans="1:5" x14ac:dyDescent="0.3">
      <c r="A489" s="4">
        <v>44560</v>
      </c>
      <c r="B489" s="5">
        <v>7.263E-2</v>
      </c>
      <c r="D489" s="4">
        <v>44560</v>
      </c>
      <c r="E489" s="5">
        <v>1.276</v>
      </c>
    </row>
    <row r="490" spans="1:5" x14ac:dyDescent="0.3">
      <c r="A490" s="4">
        <v>44561</v>
      </c>
      <c r="B490" s="5">
        <v>6.4380000000000007E-2</v>
      </c>
      <c r="D490" s="4">
        <v>44561</v>
      </c>
      <c r="E490" s="5">
        <v>2.129</v>
      </c>
    </row>
    <row r="491" spans="1:5" x14ac:dyDescent="0.3">
      <c r="A491" s="4">
        <v>44565</v>
      </c>
      <c r="B491" s="5">
        <v>7.2289999999999993E-2</v>
      </c>
      <c r="D491" s="4">
        <v>44565</v>
      </c>
      <c r="E491" s="5">
        <v>1.925</v>
      </c>
    </row>
    <row r="492" spans="1:5" x14ac:dyDescent="0.3">
      <c r="A492" s="4">
        <v>44566</v>
      </c>
      <c r="B492" s="5">
        <v>7.0139999999999994E-2</v>
      </c>
      <c r="D492" s="4">
        <v>44566</v>
      </c>
      <c r="E492" s="5">
        <v>1.7769999999999999</v>
      </c>
    </row>
    <row r="493" spans="1:5" x14ac:dyDescent="0.3">
      <c r="A493" s="4">
        <v>44567</v>
      </c>
      <c r="B493" s="5">
        <v>7.4139999999999998E-2</v>
      </c>
      <c r="D493" s="4">
        <v>44567</v>
      </c>
      <c r="E493" s="5">
        <v>1.714</v>
      </c>
    </row>
    <row r="494" spans="1:5" x14ac:dyDescent="0.3">
      <c r="A494" s="4">
        <v>44568</v>
      </c>
      <c r="B494" s="5">
        <v>7.2709999999999997E-2</v>
      </c>
      <c r="D494" s="4">
        <v>44568</v>
      </c>
      <c r="E494" s="5">
        <v>1.839</v>
      </c>
    </row>
    <row r="495" spans="1:5" x14ac:dyDescent="0.3">
      <c r="A495" s="4">
        <v>44571</v>
      </c>
      <c r="B495" s="5">
        <v>7.7429999999999999E-2</v>
      </c>
      <c r="D495" s="4">
        <v>44571</v>
      </c>
      <c r="E495" s="5">
        <v>1.8779999999999999</v>
      </c>
    </row>
    <row r="496" spans="1:5" x14ac:dyDescent="0.3">
      <c r="A496" s="4">
        <v>44572</v>
      </c>
      <c r="B496" s="5">
        <v>7.7429999999999999E-2</v>
      </c>
      <c r="D496" s="4">
        <v>44572</v>
      </c>
      <c r="E496" s="5">
        <v>1.984</v>
      </c>
    </row>
    <row r="497" spans="1:5" x14ac:dyDescent="0.3">
      <c r="A497" s="4">
        <v>44573</v>
      </c>
      <c r="B497" s="5">
        <v>7.7289999999999998E-2</v>
      </c>
      <c r="D497" s="4">
        <v>44573</v>
      </c>
      <c r="E497" s="5">
        <v>1.972</v>
      </c>
    </row>
    <row r="498" spans="1:5" x14ac:dyDescent="0.3">
      <c r="A498" s="4">
        <v>44574</v>
      </c>
      <c r="B498" s="5">
        <v>7.7429999999999999E-2</v>
      </c>
      <c r="D498" s="4">
        <v>44574</v>
      </c>
      <c r="E498" s="5">
        <v>2.218</v>
      </c>
    </row>
    <row r="499" spans="1:5" x14ac:dyDescent="0.3">
      <c r="A499" s="4">
        <v>44575</v>
      </c>
      <c r="B499" s="5">
        <v>7.3999999999999996E-2</v>
      </c>
      <c r="D499" s="4">
        <v>44575</v>
      </c>
      <c r="E499" s="5">
        <v>2.2090000000000001</v>
      </c>
    </row>
    <row r="500" spans="1:5" x14ac:dyDescent="0.3">
      <c r="A500" s="4">
        <v>44578</v>
      </c>
      <c r="B500" s="5"/>
      <c r="D500" s="4">
        <v>44578</v>
      </c>
      <c r="E500" s="5">
        <v>2.113</v>
      </c>
    </row>
    <row r="501" spans="1:5" x14ac:dyDescent="0.3">
      <c r="A501" s="4">
        <v>44579</v>
      </c>
      <c r="B501" s="5">
        <v>7.0290000000000005E-2</v>
      </c>
      <c r="D501" s="4">
        <v>44579</v>
      </c>
      <c r="E501" s="5">
        <v>1.921</v>
      </c>
    </row>
    <row r="502" spans="1:5" x14ac:dyDescent="0.3">
      <c r="A502" s="4">
        <v>44580</v>
      </c>
      <c r="B502" s="5">
        <v>7.8140000000000001E-2</v>
      </c>
      <c r="D502" s="4">
        <v>44580</v>
      </c>
      <c r="E502" s="5">
        <v>2.0350000000000001</v>
      </c>
    </row>
    <row r="503" spans="1:5" x14ac:dyDescent="0.3">
      <c r="A503" s="4">
        <v>44581</v>
      </c>
      <c r="B503" s="5">
        <v>7.843E-2</v>
      </c>
      <c r="D503" s="4">
        <v>44581</v>
      </c>
      <c r="E503" s="5">
        <v>2.0350000000000001</v>
      </c>
    </row>
    <row r="504" spans="1:5" x14ac:dyDescent="0.3">
      <c r="A504" s="4">
        <v>44582</v>
      </c>
      <c r="B504" s="5">
        <v>7.4709999999999999E-2</v>
      </c>
      <c r="D504" s="4">
        <v>44582</v>
      </c>
      <c r="E504" s="5">
        <v>2.0630000000000002</v>
      </c>
    </row>
    <row r="505" spans="1:5" x14ac:dyDescent="0.3">
      <c r="A505" s="4">
        <v>44585</v>
      </c>
      <c r="B505" s="5">
        <v>7.671E-2</v>
      </c>
      <c r="D505" s="4">
        <v>44585</v>
      </c>
      <c r="E505" s="5">
        <v>1.9350000000000001</v>
      </c>
    </row>
    <row r="506" spans="1:5" x14ac:dyDescent="0.3">
      <c r="A506" s="4">
        <v>44586</v>
      </c>
      <c r="B506" s="5">
        <v>7.886E-2</v>
      </c>
      <c r="D506" s="4">
        <v>44586</v>
      </c>
      <c r="E506" s="5">
        <v>1.931</v>
      </c>
    </row>
    <row r="507" spans="1:5" x14ac:dyDescent="0.3">
      <c r="A507" s="4">
        <v>44587</v>
      </c>
      <c r="B507" s="5">
        <v>7.8140000000000001E-2</v>
      </c>
      <c r="D507" s="4">
        <v>44587</v>
      </c>
      <c r="E507" s="5">
        <v>1.74</v>
      </c>
    </row>
    <row r="508" spans="1:5" x14ac:dyDescent="0.3">
      <c r="A508" s="4">
        <v>44588</v>
      </c>
      <c r="B508" s="5">
        <v>7.7429999999999999E-2</v>
      </c>
      <c r="D508" s="4">
        <v>44588</v>
      </c>
      <c r="E508" s="5">
        <v>1.6140000000000001</v>
      </c>
    </row>
    <row r="509" spans="1:5" x14ac:dyDescent="0.3">
      <c r="A509" s="4">
        <v>44589</v>
      </c>
      <c r="B509" s="5">
        <v>7.8140000000000001E-2</v>
      </c>
      <c r="D509" s="4">
        <v>44589</v>
      </c>
      <c r="E509" s="5">
        <v>1.2</v>
      </c>
    </row>
    <row r="510" spans="1:5" x14ac:dyDescent="0.3">
      <c r="A510" s="4">
        <v>44599</v>
      </c>
      <c r="B510" s="5">
        <v>7.714E-2</v>
      </c>
      <c r="D510" s="4">
        <v>44599</v>
      </c>
      <c r="E510" s="5">
        <v>2.1120000000000001</v>
      </c>
    </row>
    <row r="511" spans="1:5" x14ac:dyDescent="0.3">
      <c r="A511" s="4">
        <v>44600</v>
      </c>
      <c r="B511" s="5">
        <v>7.6999999999999999E-2</v>
      </c>
      <c r="D511" s="4">
        <v>44600</v>
      </c>
      <c r="E511" s="5">
        <v>2.044</v>
      </c>
    </row>
    <row r="512" spans="1:5" x14ac:dyDescent="0.3">
      <c r="A512" s="4">
        <v>44601</v>
      </c>
      <c r="B512" s="5">
        <v>7.7710000000000001E-2</v>
      </c>
      <c r="D512" s="4">
        <v>44601</v>
      </c>
      <c r="E512" s="5">
        <v>1.728</v>
      </c>
    </row>
    <row r="513" spans="1:5" x14ac:dyDescent="0.3">
      <c r="A513" s="4">
        <v>44602</v>
      </c>
      <c r="B513" s="5">
        <v>7.757E-2</v>
      </c>
      <c r="D513" s="4">
        <v>44602</v>
      </c>
      <c r="E513" s="5">
        <v>1.673</v>
      </c>
    </row>
    <row r="514" spans="1:5" x14ac:dyDescent="0.3">
      <c r="A514" s="4">
        <v>44603</v>
      </c>
      <c r="B514" s="5">
        <v>7.843E-2</v>
      </c>
      <c r="D514" s="4">
        <v>44603</v>
      </c>
      <c r="E514" s="5">
        <v>1.8120000000000001</v>
      </c>
    </row>
    <row r="515" spans="1:5" x14ac:dyDescent="0.3">
      <c r="A515" s="4">
        <v>44606</v>
      </c>
      <c r="B515" s="5">
        <v>7.671E-2</v>
      </c>
      <c r="D515" s="4">
        <v>44606</v>
      </c>
      <c r="E515" s="5">
        <v>1.8660000000000001</v>
      </c>
    </row>
    <row r="516" spans="1:5" x14ac:dyDescent="0.3">
      <c r="A516" s="4">
        <v>44607</v>
      </c>
      <c r="B516" s="5">
        <v>7.4139999999999998E-2</v>
      </c>
      <c r="D516" s="4">
        <v>44607</v>
      </c>
      <c r="E516" s="5">
        <v>1.8069999999999999</v>
      </c>
    </row>
    <row r="517" spans="1:5" x14ac:dyDescent="0.3">
      <c r="A517" s="4">
        <v>44608</v>
      </c>
      <c r="B517" s="5">
        <v>7.3709999999999998E-2</v>
      </c>
      <c r="D517" s="4">
        <v>44608</v>
      </c>
      <c r="E517" s="5">
        <v>1.9419999999999999</v>
      </c>
    </row>
    <row r="518" spans="1:5" x14ac:dyDescent="0.3">
      <c r="A518" s="4">
        <v>44609</v>
      </c>
      <c r="B518" s="5">
        <v>7.6289999999999997E-2</v>
      </c>
      <c r="D518" s="4">
        <v>44609</v>
      </c>
      <c r="E518" s="5">
        <v>1.855</v>
      </c>
    </row>
    <row r="519" spans="1:5" x14ac:dyDescent="0.3">
      <c r="A519" s="4">
        <v>44610</v>
      </c>
      <c r="B519" s="5">
        <v>7.5569999999999998E-2</v>
      </c>
      <c r="D519" s="4">
        <v>44610</v>
      </c>
      <c r="E519" s="5">
        <v>2.11</v>
      </c>
    </row>
    <row r="520" spans="1:5" x14ac:dyDescent="0.3">
      <c r="A520" s="4">
        <v>44613</v>
      </c>
      <c r="B520" s="5"/>
      <c r="D520" s="4">
        <v>44613</v>
      </c>
      <c r="E520" s="5">
        <v>2.1949999999999998</v>
      </c>
    </row>
    <row r="521" spans="1:5" x14ac:dyDescent="0.3">
      <c r="A521" s="4">
        <v>44614</v>
      </c>
      <c r="B521" s="5">
        <v>7.6569999999999999E-2</v>
      </c>
      <c r="D521" s="4">
        <v>44614</v>
      </c>
      <c r="E521" s="5">
        <v>2.0390000000000001</v>
      </c>
    </row>
    <row r="522" spans="1:5" x14ac:dyDescent="0.3">
      <c r="A522" s="4">
        <v>44615</v>
      </c>
      <c r="B522" s="5">
        <v>7.7429999999999999E-2</v>
      </c>
      <c r="D522" s="4">
        <v>44615</v>
      </c>
      <c r="E522" s="5">
        <v>2.0430000000000001</v>
      </c>
    </row>
    <row r="523" spans="1:5" x14ac:dyDescent="0.3">
      <c r="A523" s="4">
        <v>44616</v>
      </c>
      <c r="B523" s="5">
        <v>7.7429999999999999E-2</v>
      </c>
      <c r="D523" s="4">
        <v>44616</v>
      </c>
      <c r="E523" s="5">
        <v>2.1970000000000001</v>
      </c>
    </row>
    <row r="524" spans="1:5" x14ac:dyDescent="0.3">
      <c r="A524" s="4">
        <v>44617</v>
      </c>
      <c r="B524" s="5">
        <v>7.714E-2</v>
      </c>
      <c r="D524" s="4">
        <v>44617</v>
      </c>
      <c r="E524" s="5">
        <v>2.2309999999999999</v>
      </c>
    </row>
    <row r="525" spans="1:5" x14ac:dyDescent="0.3">
      <c r="A525" s="4">
        <v>44620</v>
      </c>
      <c r="B525" s="5">
        <v>7.714E-2</v>
      </c>
      <c r="D525" s="4">
        <v>44620</v>
      </c>
      <c r="E525" s="5">
        <v>2.234</v>
      </c>
    </row>
    <row r="526" spans="1:5" x14ac:dyDescent="0.3">
      <c r="A526" s="4">
        <v>44621</v>
      </c>
      <c r="B526" s="5">
        <v>7.6999999999999999E-2</v>
      </c>
      <c r="D526" s="4">
        <v>44621</v>
      </c>
      <c r="E526" s="5">
        <v>1.8009999999999999</v>
      </c>
    </row>
    <row r="527" spans="1:5" x14ac:dyDescent="0.3">
      <c r="A527" s="4">
        <v>44622</v>
      </c>
      <c r="B527" s="5">
        <v>7.9430000000000001E-2</v>
      </c>
      <c r="D527" s="4">
        <v>44622</v>
      </c>
      <c r="E527" s="5">
        <v>1.887</v>
      </c>
    </row>
    <row r="528" spans="1:5" x14ac:dyDescent="0.3">
      <c r="A528" s="4">
        <v>44623</v>
      </c>
      <c r="B528" s="5">
        <v>7.9000000000000001E-2</v>
      </c>
      <c r="D528" s="4">
        <v>44623</v>
      </c>
      <c r="E528" s="5">
        <v>1.7290000000000001</v>
      </c>
    </row>
    <row r="529" spans="1:5" x14ac:dyDescent="0.3">
      <c r="A529" s="4">
        <v>44624</v>
      </c>
      <c r="B529" s="5">
        <v>7.8140000000000001E-2</v>
      </c>
      <c r="D529" s="4">
        <v>44624</v>
      </c>
      <c r="E529" s="5">
        <v>1.9019999999999999</v>
      </c>
    </row>
    <row r="530" spans="1:5" x14ac:dyDescent="0.3">
      <c r="A530" s="4">
        <v>44627</v>
      </c>
      <c r="B530" s="5">
        <v>7.986E-2</v>
      </c>
      <c r="D530" s="4">
        <v>44627</v>
      </c>
      <c r="E530" s="5">
        <v>2.0390000000000001</v>
      </c>
    </row>
    <row r="531" spans="1:5" x14ac:dyDescent="0.3">
      <c r="A531" s="4">
        <v>44628</v>
      </c>
      <c r="B531" s="5">
        <v>7.8E-2</v>
      </c>
      <c r="D531" s="4">
        <v>44628</v>
      </c>
      <c r="E531" s="5">
        <v>2.056</v>
      </c>
    </row>
    <row r="532" spans="1:5" x14ac:dyDescent="0.3">
      <c r="A532" s="4">
        <v>44629</v>
      </c>
      <c r="B532" s="5">
        <v>7.843E-2</v>
      </c>
      <c r="D532" s="4">
        <v>44629</v>
      </c>
      <c r="E532" s="5">
        <v>2.024</v>
      </c>
    </row>
    <row r="533" spans="1:5" x14ac:dyDescent="0.3">
      <c r="A533" s="4">
        <v>44630</v>
      </c>
      <c r="B533" s="5">
        <v>7.9289999999999999E-2</v>
      </c>
      <c r="D533" s="4">
        <v>44630</v>
      </c>
      <c r="E533" s="5">
        <v>2.0249999999999999</v>
      </c>
    </row>
    <row r="534" spans="1:5" x14ac:dyDescent="0.3">
      <c r="A534" s="4">
        <v>44631</v>
      </c>
      <c r="B534" s="5">
        <v>7.9289999999999999E-2</v>
      </c>
      <c r="D534" s="4">
        <v>44631</v>
      </c>
      <c r="E534" s="5">
        <v>2.0510000000000002</v>
      </c>
    </row>
    <row r="535" spans="1:5" x14ac:dyDescent="0.3">
      <c r="A535" s="4">
        <v>44634</v>
      </c>
      <c r="B535" s="5">
        <v>7.9140000000000002E-2</v>
      </c>
      <c r="D535" s="4">
        <v>44634</v>
      </c>
      <c r="E535" s="5">
        <v>2.0630000000000002</v>
      </c>
    </row>
    <row r="536" spans="1:5" x14ac:dyDescent="0.3">
      <c r="A536" s="4">
        <v>44635</v>
      </c>
      <c r="B536" s="5">
        <v>7.9570000000000002E-2</v>
      </c>
      <c r="D536" s="4">
        <v>44635</v>
      </c>
      <c r="E536" s="5">
        <v>2.0630000000000002</v>
      </c>
    </row>
    <row r="537" spans="1:5" x14ac:dyDescent="0.3">
      <c r="A537" s="4">
        <v>44636</v>
      </c>
      <c r="B537" s="5">
        <v>8.029E-2</v>
      </c>
      <c r="D537" s="4">
        <v>44636</v>
      </c>
      <c r="E537" s="5">
        <v>2.04</v>
      </c>
    </row>
    <row r="538" spans="1:5" x14ac:dyDescent="0.3">
      <c r="A538" s="4">
        <v>44637</v>
      </c>
      <c r="B538" s="5">
        <v>0.32600000000000001</v>
      </c>
      <c r="D538" s="4">
        <v>44637</v>
      </c>
      <c r="E538" s="5">
        <v>2.0089999999999999</v>
      </c>
    </row>
    <row r="539" spans="1:5" x14ac:dyDescent="0.3">
      <c r="A539" s="4">
        <v>44638</v>
      </c>
      <c r="B539" s="5">
        <v>0.32871</v>
      </c>
      <c r="D539" s="4">
        <v>44638</v>
      </c>
      <c r="E539" s="5">
        <v>1.992</v>
      </c>
    </row>
    <row r="540" spans="1:5" x14ac:dyDescent="0.3">
      <c r="A540" s="4">
        <v>44641</v>
      </c>
      <c r="B540" s="5">
        <v>0.33013999999999999</v>
      </c>
      <c r="D540" s="4">
        <v>44641</v>
      </c>
      <c r="E540" s="5">
        <v>2.0150000000000001</v>
      </c>
    </row>
    <row r="541" spans="1:5" x14ac:dyDescent="0.3">
      <c r="A541" s="4">
        <v>44642</v>
      </c>
      <c r="B541" s="5">
        <v>0.32743</v>
      </c>
      <c r="D541" s="4">
        <v>44642</v>
      </c>
      <c r="E541" s="5">
        <v>1.946</v>
      </c>
    </row>
    <row r="542" spans="1:5" x14ac:dyDescent="0.3">
      <c r="A542" s="4">
        <v>44643</v>
      </c>
      <c r="B542" s="5">
        <v>0.32871</v>
      </c>
      <c r="D542" s="4">
        <v>44643</v>
      </c>
      <c r="E542" s="5">
        <v>2.0030000000000001</v>
      </c>
    </row>
    <row r="543" spans="1:5" x14ac:dyDescent="0.3">
      <c r="A543" s="4">
        <v>44644</v>
      </c>
      <c r="B543" s="5">
        <v>0.32785999999999998</v>
      </c>
      <c r="D543" s="4">
        <v>44644</v>
      </c>
      <c r="E543" s="5">
        <v>2.0049999999999999</v>
      </c>
    </row>
    <row r="544" spans="1:5" x14ac:dyDescent="0.3">
      <c r="A544" s="4">
        <v>44645</v>
      </c>
      <c r="B544" s="5">
        <v>0.32657000000000003</v>
      </c>
      <c r="D544" s="4">
        <v>44645</v>
      </c>
      <c r="E544" s="5">
        <v>2.0009999999999999</v>
      </c>
    </row>
    <row r="545" spans="1:5" x14ac:dyDescent="0.3">
      <c r="A545" s="4">
        <v>44648</v>
      </c>
      <c r="B545" s="5">
        <v>0.32785999999999998</v>
      </c>
      <c r="D545" s="4">
        <v>44648</v>
      </c>
      <c r="E545" s="5">
        <v>1.946</v>
      </c>
    </row>
    <row r="546" spans="1:5" x14ac:dyDescent="0.3">
      <c r="A546" s="4">
        <v>44649</v>
      </c>
      <c r="B546" s="5">
        <v>0.32756999999999997</v>
      </c>
      <c r="D546" s="4">
        <v>44649</v>
      </c>
      <c r="E546" s="5">
        <v>1.7270000000000001</v>
      </c>
    </row>
    <row r="547" spans="1:5" x14ac:dyDescent="0.3">
      <c r="A547" s="4">
        <v>44650</v>
      </c>
      <c r="B547" s="5">
        <v>0.32813999999999999</v>
      </c>
      <c r="D547" s="4">
        <v>44650</v>
      </c>
      <c r="E547" s="5">
        <v>1.5569999999999999</v>
      </c>
    </row>
    <row r="548" spans="1:5" x14ac:dyDescent="0.3">
      <c r="A548" s="4">
        <v>44651</v>
      </c>
      <c r="B548" s="5">
        <v>0.33171</v>
      </c>
      <c r="D548" s="4">
        <v>44651</v>
      </c>
      <c r="E548" s="5">
        <v>2.0110000000000001</v>
      </c>
    </row>
    <row r="549" spans="1:5" x14ac:dyDescent="0.3">
      <c r="A549" s="4">
        <v>44652</v>
      </c>
      <c r="B549" s="5">
        <v>0.32729000000000003</v>
      </c>
      <c r="D549" s="4">
        <v>44652</v>
      </c>
      <c r="E549" s="5">
        <v>1.6040000000000001</v>
      </c>
    </row>
    <row r="550" spans="1:5" x14ac:dyDescent="0.3">
      <c r="A550" s="4">
        <v>44657</v>
      </c>
      <c r="B550" s="5">
        <v>0.32800000000000001</v>
      </c>
      <c r="D550" s="4">
        <v>44657</v>
      </c>
      <c r="E550" s="5">
        <v>1.8480000000000001</v>
      </c>
    </row>
    <row r="551" spans="1:5" x14ac:dyDescent="0.3">
      <c r="A551" s="4">
        <v>44658</v>
      </c>
      <c r="B551" s="5">
        <v>0.32113999999999998</v>
      </c>
      <c r="D551" s="4">
        <v>44658</v>
      </c>
      <c r="E551" s="5">
        <v>1.825</v>
      </c>
    </row>
    <row r="552" spans="1:5" x14ac:dyDescent="0.3">
      <c r="A552" s="4">
        <v>44659</v>
      </c>
      <c r="B552" s="5">
        <v>0.32756999999999997</v>
      </c>
      <c r="D552" s="4">
        <v>44659</v>
      </c>
      <c r="E552" s="5">
        <v>1.7509999999999999</v>
      </c>
    </row>
    <row r="553" spans="1:5" x14ac:dyDescent="0.3">
      <c r="A553" s="4">
        <v>44662</v>
      </c>
      <c r="B553" s="5">
        <v>0.32585999999999998</v>
      </c>
      <c r="D553" s="4">
        <v>44662</v>
      </c>
      <c r="E553" s="5">
        <v>1.8560000000000001</v>
      </c>
    </row>
    <row r="554" spans="1:5" x14ac:dyDescent="0.3">
      <c r="A554" s="4">
        <v>44663</v>
      </c>
      <c r="B554" s="5">
        <v>0.32629000000000002</v>
      </c>
      <c r="D554" s="4">
        <v>44663</v>
      </c>
      <c r="E554" s="5">
        <v>1.772</v>
      </c>
    </row>
    <row r="555" spans="1:5" x14ac:dyDescent="0.3">
      <c r="A555" s="4">
        <v>44664</v>
      </c>
      <c r="B555" s="5">
        <v>0.32729000000000003</v>
      </c>
      <c r="D555" s="4">
        <v>44664</v>
      </c>
      <c r="E555" s="5">
        <v>1.665</v>
      </c>
    </row>
    <row r="556" spans="1:5" x14ac:dyDescent="0.3">
      <c r="A556" s="4">
        <v>44665</v>
      </c>
      <c r="B556" s="5">
        <v>0.32229000000000002</v>
      </c>
      <c r="D556" s="4">
        <v>44665</v>
      </c>
      <c r="E556" s="5">
        <v>1.552</v>
      </c>
    </row>
    <row r="557" spans="1:5" x14ac:dyDescent="0.3">
      <c r="A557" s="4">
        <v>44666</v>
      </c>
      <c r="B557" s="5"/>
      <c r="D557" s="4">
        <v>44666</v>
      </c>
      <c r="E557" s="5">
        <v>1.339</v>
      </c>
    </row>
    <row r="558" spans="1:5" x14ac:dyDescent="0.3">
      <c r="A558" s="4">
        <v>44669</v>
      </c>
      <c r="B558" s="5"/>
      <c r="D558" s="4">
        <v>44669</v>
      </c>
      <c r="E558" s="5">
        <v>1.403</v>
      </c>
    </row>
    <row r="559" spans="1:5" x14ac:dyDescent="0.3">
      <c r="A559" s="4">
        <v>44670</v>
      </c>
      <c r="B559" s="5">
        <v>0.33100000000000002</v>
      </c>
      <c r="D559" s="4">
        <v>44670</v>
      </c>
      <c r="E559" s="5">
        <v>1.294</v>
      </c>
    </row>
    <row r="560" spans="1:5" x14ac:dyDescent="0.3">
      <c r="A560" s="4">
        <v>44671</v>
      </c>
      <c r="B560" s="5">
        <v>0.32343</v>
      </c>
      <c r="D560" s="4">
        <v>44671</v>
      </c>
      <c r="E560" s="5">
        <v>1.3029999999999999</v>
      </c>
    </row>
    <row r="561" spans="1:5" x14ac:dyDescent="0.3">
      <c r="A561" s="4">
        <v>44672</v>
      </c>
      <c r="B561" s="5">
        <v>0.32643</v>
      </c>
      <c r="D561" s="4">
        <v>44672</v>
      </c>
      <c r="E561" s="5">
        <v>1.294</v>
      </c>
    </row>
    <row r="562" spans="1:5" x14ac:dyDescent="0.3">
      <c r="A562" s="4">
        <v>44673</v>
      </c>
      <c r="B562" s="5">
        <v>0.32643</v>
      </c>
      <c r="D562" s="4">
        <v>44673</v>
      </c>
      <c r="E562" s="5">
        <v>1.2549999999999999</v>
      </c>
    </row>
    <row r="563" spans="1:5" x14ac:dyDescent="0.3">
      <c r="A563" s="4">
        <v>44676</v>
      </c>
      <c r="B563" s="5">
        <v>0.33043</v>
      </c>
      <c r="D563" s="4">
        <v>44676</v>
      </c>
      <c r="E563" s="5">
        <v>1.3029999999999999</v>
      </c>
    </row>
    <row r="564" spans="1:5" x14ac:dyDescent="0.3">
      <c r="A564" s="4">
        <v>44677</v>
      </c>
      <c r="B564" s="5">
        <v>0.33013999999999999</v>
      </c>
      <c r="D564" s="4">
        <v>44677</v>
      </c>
      <c r="E564" s="5">
        <v>1.306</v>
      </c>
    </row>
    <row r="565" spans="1:5" x14ac:dyDescent="0.3">
      <c r="A565" s="4">
        <v>44678</v>
      </c>
      <c r="B565" s="5">
        <v>0.32485999999999998</v>
      </c>
      <c r="D565" s="4">
        <v>44678</v>
      </c>
      <c r="E565" s="5">
        <v>1.3029999999999999</v>
      </c>
    </row>
    <row r="566" spans="1:5" x14ac:dyDescent="0.3">
      <c r="A566" s="4">
        <v>44679</v>
      </c>
      <c r="B566" s="5">
        <v>0.32500000000000001</v>
      </c>
      <c r="D566" s="4">
        <v>44679</v>
      </c>
      <c r="E566" s="5">
        <v>1.3009999999999999</v>
      </c>
    </row>
    <row r="567" spans="1:5" x14ac:dyDescent="0.3">
      <c r="A567" s="4">
        <v>44680</v>
      </c>
      <c r="B567" s="5">
        <v>0.33</v>
      </c>
      <c r="D567" s="4">
        <v>44680</v>
      </c>
      <c r="E567" s="5">
        <v>1.8380000000000001</v>
      </c>
    </row>
    <row r="568" spans="1:5" x14ac:dyDescent="0.3">
      <c r="A568" s="4">
        <v>44686</v>
      </c>
      <c r="B568" s="5">
        <v>0.81513999999999998</v>
      </c>
      <c r="D568" s="4">
        <v>44686</v>
      </c>
      <c r="E568" s="5">
        <v>1.7829999999999999</v>
      </c>
    </row>
    <row r="569" spans="1:5" x14ac:dyDescent="0.3">
      <c r="A569" s="4">
        <v>44687</v>
      </c>
      <c r="B569" s="5">
        <v>0.81857000000000002</v>
      </c>
      <c r="D569" s="4">
        <v>44687</v>
      </c>
      <c r="E569" s="5">
        <v>1.351</v>
      </c>
    </row>
    <row r="570" spans="1:5" x14ac:dyDescent="0.3">
      <c r="A570" s="4">
        <v>44690</v>
      </c>
      <c r="B570" s="5">
        <v>0.82499999999999996</v>
      </c>
      <c r="D570" s="4">
        <v>44690</v>
      </c>
      <c r="E570" s="5">
        <v>1.3089999999999999</v>
      </c>
    </row>
    <row r="571" spans="1:5" x14ac:dyDescent="0.3">
      <c r="A571" s="4">
        <v>44691</v>
      </c>
      <c r="B571" s="5">
        <v>0.82371000000000005</v>
      </c>
      <c r="D571" s="4">
        <v>44691</v>
      </c>
      <c r="E571" s="5">
        <v>1.3049999999999999</v>
      </c>
    </row>
    <row r="572" spans="1:5" x14ac:dyDescent="0.3">
      <c r="A572" s="4">
        <v>44692</v>
      </c>
      <c r="B572" s="5">
        <v>0.82599999999999996</v>
      </c>
      <c r="D572" s="4">
        <v>44692</v>
      </c>
      <c r="E572" s="5">
        <v>1.325</v>
      </c>
    </row>
    <row r="573" spans="1:5" x14ac:dyDescent="0.3">
      <c r="A573" s="4">
        <v>44693</v>
      </c>
      <c r="B573" s="5">
        <v>0.82686000000000004</v>
      </c>
      <c r="D573" s="4">
        <v>44693</v>
      </c>
      <c r="E573" s="5">
        <v>1.3089999999999999</v>
      </c>
    </row>
    <row r="574" spans="1:5" x14ac:dyDescent="0.3">
      <c r="A574" s="4">
        <v>44694</v>
      </c>
      <c r="B574" s="5">
        <v>0.82571000000000006</v>
      </c>
      <c r="D574" s="4">
        <v>44694</v>
      </c>
      <c r="E574" s="5">
        <v>1.31</v>
      </c>
    </row>
    <row r="575" spans="1:5" x14ac:dyDescent="0.3">
      <c r="A575" s="4">
        <v>44697</v>
      </c>
      <c r="B575" s="5">
        <v>0.82228999999999997</v>
      </c>
      <c r="D575" s="4">
        <v>44697</v>
      </c>
      <c r="E575" s="5">
        <v>1.3109999999999999</v>
      </c>
    </row>
    <row r="576" spans="1:5" x14ac:dyDescent="0.3">
      <c r="A576" s="4">
        <v>44698</v>
      </c>
      <c r="B576" s="5">
        <v>0.82013999999999998</v>
      </c>
      <c r="D576" s="4">
        <v>44698</v>
      </c>
      <c r="E576" s="5">
        <v>1.325</v>
      </c>
    </row>
    <row r="577" spans="1:5" x14ac:dyDescent="0.3">
      <c r="A577" s="4">
        <v>44699</v>
      </c>
      <c r="B577" s="5">
        <v>0.82028999999999996</v>
      </c>
      <c r="D577" s="4">
        <v>44699</v>
      </c>
      <c r="E577" s="5">
        <v>1.3260000000000001</v>
      </c>
    </row>
    <row r="578" spans="1:5" x14ac:dyDescent="0.3">
      <c r="A578" s="4">
        <v>44700</v>
      </c>
      <c r="B578" s="5">
        <v>0.82</v>
      </c>
      <c r="D578" s="4">
        <v>44700</v>
      </c>
      <c r="E578" s="5">
        <v>1.4139999999999999</v>
      </c>
    </row>
    <row r="579" spans="1:5" x14ac:dyDescent="0.3">
      <c r="A579" s="4">
        <v>44701</v>
      </c>
      <c r="B579" s="5">
        <v>0.82471000000000005</v>
      </c>
      <c r="D579" s="4">
        <v>44701</v>
      </c>
      <c r="E579" s="5">
        <v>1.3220000000000001</v>
      </c>
    </row>
    <row r="580" spans="1:5" x14ac:dyDescent="0.3">
      <c r="A580" s="4">
        <v>44704</v>
      </c>
      <c r="B580" s="5">
        <v>0.82313999999999998</v>
      </c>
      <c r="D580" s="4">
        <v>44704</v>
      </c>
      <c r="E580" s="5">
        <v>1.323</v>
      </c>
    </row>
    <row r="581" spans="1:5" x14ac:dyDescent="0.3">
      <c r="A581" s="4">
        <v>44705</v>
      </c>
      <c r="B581" s="5">
        <v>0.82386000000000004</v>
      </c>
      <c r="D581" s="4">
        <v>44705</v>
      </c>
      <c r="E581" s="5">
        <v>1.325</v>
      </c>
    </row>
    <row r="582" spans="1:5" x14ac:dyDescent="0.3">
      <c r="A582" s="4">
        <v>44706</v>
      </c>
      <c r="B582" s="5">
        <v>0.81942999999999999</v>
      </c>
      <c r="D582" s="4">
        <v>44706</v>
      </c>
      <c r="E582" s="5">
        <v>1.347</v>
      </c>
    </row>
    <row r="583" spans="1:5" x14ac:dyDescent="0.3">
      <c r="A583" s="4">
        <v>44707</v>
      </c>
      <c r="B583" s="5">
        <v>0.81728999999999996</v>
      </c>
      <c r="D583" s="4">
        <v>44707</v>
      </c>
      <c r="E583" s="5">
        <v>1.3640000000000001</v>
      </c>
    </row>
    <row r="584" spans="1:5" x14ac:dyDescent="0.3">
      <c r="A584" s="4">
        <v>44708</v>
      </c>
      <c r="B584" s="5">
        <v>0.82557000000000003</v>
      </c>
      <c r="D584" s="4">
        <v>44708</v>
      </c>
      <c r="E584" s="5">
        <v>1.381</v>
      </c>
    </row>
    <row r="585" spans="1:5" x14ac:dyDescent="0.3">
      <c r="A585" s="4">
        <v>44711</v>
      </c>
      <c r="B585" s="5"/>
      <c r="D585" s="4">
        <v>44711</v>
      </c>
      <c r="E585" s="5">
        <v>1.405</v>
      </c>
    </row>
    <row r="586" spans="1:5" x14ac:dyDescent="0.3">
      <c r="A586" s="4">
        <v>44712</v>
      </c>
      <c r="B586" s="5">
        <v>0.82199999999999995</v>
      </c>
      <c r="D586" s="4">
        <v>44712</v>
      </c>
      <c r="E586" s="5">
        <v>1.5880000000000001</v>
      </c>
    </row>
    <row r="587" spans="1:5" x14ac:dyDescent="0.3">
      <c r="A587" s="4">
        <v>44713</v>
      </c>
      <c r="B587" s="5">
        <v>0.81913999999999998</v>
      </c>
      <c r="D587" s="4">
        <v>44713</v>
      </c>
      <c r="E587" s="5">
        <v>1.413</v>
      </c>
    </row>
    <row r="588" spans="1:5" x14ac:dyDescent="0.3">
      <c r="A588" s="4">
        <v>44714</v>
      </c>
      <c r="B588" s="5"/>
      <c r="D588" s="4">
        <v>44714</v>
      </c>
      <c r="E588" s="5">
        <v>1.4319999999999999</v>
      </c>
    </row>
    <row r="589" spans="1:5" x14ac:dyDescent="0.3">
      <c r="A589" s="4">
        <v>44718</v>
      </c>
      <c r="B589" s="5">
        <v>0.82142999999999999</v>
      </c>
      <c r="D589" s="4">
        <v>44718</v>
      </c>
      <c r="E589" s="5">
        <v>1.454</v>
      </c>
    </row>
    <row r="590" spans="1:5" x14ac:dyDescent="0.3">
      <c r="A590" s="4">
        <v>44719</v>
      </c>
      <c r="B590" s="5">
        <v>0.82657000000000003</v>
      </c>
      <c r="D590" s="4">
        <v>44719</v>
      </c>
      <c r="E590" s="5">
        <v>1.421</v>
      </c>
    </row>
    <row r="591" spans="1:5" x14ac:dyDescent="0.3">
      <c r="A591" s="4">
        <v>44720</v>
      </c>
      <c r="B591" s="5">
        <v>0.81957000000000002</v>
      </c>
      <c r="D591" s="4">
        <v>44720</v>
      </c>
      <c r="E591" s="5">
        <v>1.419</v>
      </c>
    </row>
    <row r="592" spans="1:5" x14ac:dyDescent="0.3">
      <c r="A592" s="4">
        <v>44721</v>
      </c>
      <c r="B592" s="5">
        <v>0.82</v>
      </c>
      <c r="D592" s="4">
        <v>44721</v>
      </c>
      <c r="E592" s="5">
        <v>1.4139999999999999</v>
      </c>
    </row>
    <row r="593" spans="1:5" x14ac:dyDescent="0.3">
      <c r="A593" s="4">
        <v>44722</v>
      </c>
      <c r="B593" s="5">
        <v>0.81928999999999996</v>
      </c>
      <c r="D593" s="4">
        <v>44722</v>
      </c>
      <c r="E593" s="5">
        <v>1.403</v>
      </c>
    </row>
    <row r="594" spans="1:5" x14ac:dyDescent="0.3">
      <c r="A594" s="4">
        <v>44725</v>
      </c>
      <c r="B594" s="5">
        <v>0.82028999999999996</v>
      </c>
      <c r="D594" s="4">
        <v>44725</v>
      </c>
      <c r="E594" s="5">
        <v>1.4079999999999999</v>
      </c>
    </row>
    <row r="595" spans="1:5" x14ac:dyDescent="0.3">
      <c r="A595" s="4">
        <v>44726</v>
      </c>
      <c r="B595" s="5">
        <v>0.81586000000000003</v>
      </c>
      <c r="D595" s="4">
        <v>44726</v>
      </c>
      <c r="E595" s="5">
        <v>1.413</v>
      </c>
    </row>
    <row r="596" spans="1:5" x14ac:dyDescent="0.3">
      <c r="A596" s="4">
        <v>44727</v>
      </c>
      <c r="B596" s="5">
        <v>0.82486000000000004</v>
      </c>
      <c r="D596" s="4">
        <v>44727</v>
      </c>
      <c r="E596" s="5">
        <v>1.413</v>
      </c>
    </row>
    <row r="597" spans="1:5" x14ac:dyDescent="0.3">
      <c r="A597" s="4">
        <v>44728</v>
      </c>
      <c r="B597" s="5">
        <v>1.5648599999999999</v>
      </c>
      <c r="D597" s="4">
        <v>44728</v>
      </c>
      <c r="E597" s="5">
        <v>1.413</v>
      </c>
    </row>
    <row r="598" spans="1:5" x14ac:dyDescent="0.3">
      <c r="A598" s="4">
        <v>44729</v>
      </c>
      <c r="B598" s="5">
        <v>1.5674300000000001</v>
      </c>
      <c r="D598" s="4">
        <v>44729</v>
      </c>
      <c r="E598" s="5">
        <v>1.4139999999999999</v>
      </c>
    </row>
    <row r="599" spans="1:5" x14ac:dyDescent="0.3">
      <c r="A599" s="4">
        <v>44732</v>
      </c>
      <c r="B599" s="5"/>
      <c r="D599" s="4">
        <v>44732</v>
      </c>
      <c r="E599" s="5">
        <v>1.4179999999999999</v>
      </c>
    </row>
    <row r="600" spans="1:5" x14ac:dyDescent="0.3">
      <c r="A600" s="4">
        <v>44733</v>
      </c>
      <c r="B600" s="5">
        <v>1.575</v>
      </c>
      <c r="D600" s="4">
        <v>44733</v>
      </c>
      <c r="E600" s="5">
        <v>1.4379999999999999</v>
      </c>
    </row>
    <row r="601" spans="1:5" x14ac:dyDescent="0.3">
      <c r="A601" s="4">
        <v>44734</v>
      </c>
      <c r="B601" s="5">
        <v>1.5712900000000001</v>
      </c>
      <c r="D601" s="4">
        <v>44734</v>
      </c>
      <c r="E601" s="5">
        <v>1.444</v>
      </c>
    </row>
    <row r="602" spans="1:5" x14ac:dyDescent="0.3">
      <c r="A602" s="4">
        <v>44735</v>
      </c>
      <c r="B602" s="5">
        <v>1.571</v>
      </c>
      <c r="D602" s="4">
        <v>44735</v>
      </c>
      <c r="E602" s="5">
        <v>1.4370000000000001</v>
      </c>
    </row>
    <row r="603" spans="1:5" x14ac:dyDescent="0.3">
      <c r="A603" s="4">
        <v>44736</v>
      </c>
      <c r="B603" s="5">
        <v>1.5761400000000001</v>
      </c>
      <c r="D603" s="4">
        <v>44736</v>
      </c>
      <c r="E603" s="5">
        <v>1.4350000000000001</v>
      </c>
    </row>
    <row r="604" spans="1:5" x14ac:dyDescent="0.3">
      <c r="A604" s="4">
        <v>44739</v>
      </c>
      <c r="B604" s="5">
        <v>1.571</v>
      </c>
      <c r="D604" s="4">
        <v>44739</v>
      </c>
      <c r="E604" s="5">
        <v>1.4379999999999999</v>
      </c>
    </row>
    <row r="605" spans="1:5" x14ac:dyDescent="0.3">
      <c r="A605" s="4">
        <v>44740</v>
      </c>
      <c r="B605" s="5">
        <v>1.5708599999999999</v>
      </c>
      <c r="D605" s="4">
        <v>44740</v>
      </c>
      <c r="E605" s="5">
        <v>1.4379999999999999</v>
      </c>
    </row>
    <row r="606" spans="1:5" x14ac:dyDescent="0.3">
      <c r="A606" s="4">
        <v>44741</v>
      </c>
      <c r="B606" s="5">
        <v>1.57029</v>
      </c>
      <c r="D606" s="4">
        <v>44741</v>
      </c>
      <c r="E606" s="5">
        <v>1.3720000000000001</v>
      </c>
    </row>
    <row r="607" spans="1:5" x14ac:dyDescent="0.3">
      <c r="A607" s="4">
        <v>44742</v>
      </c>
      <c r="B607" s="5">
        <v>1.579</v>
      </c>
      <c r="D607" s="4">
        <v>44742</v>
      </c>
      <c r="E607" s="5">
        <v>1.901</v>
      </c>
    </row>
    <row r="608" spans="1:5" x14ac:dyDescent="0.3">
      <c r="A608" s="4">
        <v>44743</v>
      </c>
      <c r="B608" s="5">
        <v>1.5672900000000001</v>
      </c>
      <c r="D608" s="4">
        <v>44743</v>
      </c>
      <c r="E608" s="5">
        <v>1.4410000000000001</v>
      </c>
    </row>
    <row r="609" spans="1:5" x14ac:dyDescent="0.3">
      <c r="A609" s="4">
        <v>44746</v>
      </c>
      <c r="B609" s="5"/>
      <c r="D609" s="4">
        <v>44746</v>
      </c>
      <c r="E609" s="5">
        <v>1.4179999999999999</v>
      </c>
    </row>
    <row r="610" spans="1:5" x14ac:dyDescent="0.3">
      <c r="A610" s="4">
        <v>44747</v>
      </c>
      <c r="B610" s="5">
        <v>1.5634300000000001</v>
      </c>
      <c r="D610" s="4">
        <v>44747</v>
      </c>
      <c r="E610" s="5">
        <v>1.367</v>
      </c>
    </row>
    <row r="611" spans="1:5" x14ac:dyDescent="0.3">
      <c r="A611" s="4">
        <v>44748</v>
      </c>
      <c r="B611" s="5">
        <v>1.56243</v>
      </c>
      <c r="D611" s="4">
        <v>44748</v>
      </c>
      <c r="E611" s="5">
        <v>1.21</v>
      </c>
    </row>
    <row r="612" spans="1:5" x14ac:dyDescent="0.3">
      <c r="A612" s="4">
        <v>44749</v>
      </c>
      <c r="B612" s="5">
        <v>1.5677099999999999</v>
      </c>
      <c r="D612" s="4">
        <v>44749</v>
      </c>
      <c r="E612" s="5">
        <v>1.222</v>
      </c>
    </row>
    <row r="613" spans="1:5" x14ac:dyDescent="0.3">
      <c r="A613" s="4">
        <v>44750</v>
      </c>
      <c r="B613" s="5">
        <v>1.56057</v>
      </c>
      <c r="D613" s="4">
        <v>44750</v>
      </c>
      <c r="E613" s="5">
        <v>1.216</v>
      </c>
    </row>
    <row r="614" spans="1:5" x14ac:dyDescent="0.3">
      <c r="A614" s="4">
        <v>44753</v>
      </c>
      <c r="B614" s="5">
        <v>1.56386</v>
      </c>
      <c r="D614" s="4">
        <v>44753</v>
      </c>
      <c r="E614" s="5">
        <v>1.2230000000000001</v>
      </c>
    </row>
    <row r="615" spans="1:5" x14ac:dyDescent="0.3">
      <c r="A615" s="4">
        <v>44754</v>
      </c>
      <c r="B615" s="5">
        <v>1.56829</v>
      </c>
      <c r="D615" s="4">
        <v>44754</v>
      </c>
      <c r="E615" s="5">
        <v>1.2110000000000001</v>
      </c>
    </row>
    <row r="616" spans="1:5" x14ac:dyDescent="0.3">
      <c r="A616" s="4">
        <v>44755</v>
      </c>
      <c r="B616" s="5">
        <v>1.5612900000000001</v>
      </c>
      <c r="D616" s="4">
        <v>44755</v>
      </c>
      <c r="E616" s="5">
        <v>1.2190000000000001</v>
      </c>
    </row>
    <row r="617" spans="1:5" x14ac:dyDescent="0.3">
      <c r="A617" s="4">
        <v>44756</v>
      </c>
      <c r="B617" s="5">
        <v>1.5581400000000001</v>
      </c>
      <c r="D617" s="4">
        <v>44756</v>
      </c>
      <c r="E617" s="5">
        <v>1.1950000000000001</v>
      </c>
    </row>
    <row r="618" spans="1:5" x14ac:dyDescent="0.3">
      <c r="A618" s="4">
        <v>44757</v>
      </c>
      <c r="B618" s="5">
        <v>1.56514</v>
      </c>
      <c r="D618" s="4">
        <v>44757</v>
      </c>
      <c r="E618" s="5">
        <v>1.2110000000000001</v>
      </c>
    </row>
    <row r="619" spans="1:5" x14ac:dyDescent="0.3">
      <c r="A619" s="4">
        <v>44760</v>
      </c>
      <c r="B619" s="5">
        <v>1.5701400000000001</v>
      </c>
      <c r="D619" s="4">
        <v>44760</v>
      </c>
      <c r="E619" s="5">
        <v>1.218</v>
      </c>
    </row>
    <row r="620" spans="1:5" x14ac:dyDescent="0.3">
      <c r="A620" s="4">
        <v>44761</v>
      </c>
      <c r="B620" s="5">
        <v>1.5621400000000001</v>
      </c>
      <c r="D620" s="4">
        <v>44761</v>
      </c>
      <c r="E620" s="5">
        <v>1.242</v>
      </c>
    </row>
    <row r="621" spans="1:5" x14ac:dyDescent="0.3">
      <c r="A621" s="4">
        <v>44762</v>
      </c>
      <c r="B621" s="5">
        <v>1.56914</v>
      </c>
      <c r="D621" s="4">
        <v>44762</v>
      </c>
      <c r="E621" s="5">
        <v>1.27</v>
      </c>
    </row>
    <row r="622" spans="1:5" x14ac:dyDescent="0.3">
      <c r="A622" s="4">
        <v>44763</v>
      </c>
      <c r="B622" s="5">
        <v>1.5657099999999999</v>
      </c>
      <c r="D622" s="4">
        <v>44763</v>
      </c>
      <c r="E622" s="5">
        <v>1.254</v>
      </c>
    </row>
    <row r="623" spans="1:5" x14ac:dyDescent="0.3">
      <c r="A623" s="4">
        <v>44764</v>
      </c>
      <c r="B623" s="5">
        <v>1.56457</v>
      </c>
      <c r="D623" s="4">
        <v>44764</v>
      </c>
      <c r="E623" s="5">
        <v>1.194</v>
      </c>
    </row>
    <row r="624" spans="1:5" x14ac:dyDescent="0.3">
      <c r="A624" s="4">
        <v>44767</v>
      </c>
      <c r="B624" s="5">
        <v>1.56586</v>
      </c>
      <c r="D624" s="4">
        <v>44767</v>
      </c>
      <c r="E624" s="5">
        <v>1.0740000000000001</v>
      </c>
    </row>
    <row r="625" spans="1:5" x14ac:dyDescent="0.3">
      <c r="A625" s="4">
        <v>44768</v>
      </c>
      <c r="B625" s="5">
        <v>1.5594300000000001</v>
      </c>
      <c r="D625" s="4">
        <v>44768</v>
      </c>
      <c r="E625" s="5">
        <v>1.018</v>
      </c>
    </row>
    <row r="626" spans="1:5" x14ac:dyDescent="0.3">
      <c r="A626" s="4">
        <v>44769</v>
      </c>
      <c r="B626" s="5">
        <v>1.5634300000000001</v>
      </c>
      <c r="D626" s="4">
        <v>44769</v>
      </c>
      <c r="E626" s="5">
        <v>1.008</v>
      </c>
    </row>
    <row r="627" spans="1:5" x14ac:dyDescent="0.3">
      <c r="A627" s="4">
        <v>44770</v>
      </c>
      <c r="B627" s="5">
        <v>2.3034300000000001</v>
      </c>
      <c r="D627" s="4">
        <v>44770</v>
      </c>
      <c r="E627" s="5">
        <v>1.014</v>
      </c>
    </row>
    <row r="628" spans="1:5" x14ac:dyDescent="0.3">
      <c r="A628" s="4">
        <v>44771</v>
      </c>
      <c r="B628" s="5">
        <v>2.3215699999999999</v>
      </c>
      <c r="D628" s="4">
        <v>44771</v>
      </c>
      <c r="E628" s="5">
        <v>1.254</v>
      </c>
    </row>
    <row r="629" spans="1:5" x14ac:dyDescent="0.3">
      <c r="A629" s="4">
        <v>44774</v>
      </c>
      <c r="B629" s="5">
        <v>2.3115700000000001</v>
      </c>
      <c r="D629" s="4">
        <v>44774</v>
      </c>
      <c r="E629" s="5">
        <v>1.177</v>
      </c>
    </row>
    <row r="630" spans="1:5" x14ac:dyDescent="0.3">
      <c r="A630" s="4">
        <v>44775</v>
      </c>
      <c r="B630" s="5">
        <v>2.30714</v>
      </c>
      <c r="D630" s="4">
        <v>44775</v>
      </c>
      <c r="E630" s="5">
        <v>1.0760000000000001</v>
      </c>
    </row>
    <row r="631" spans="1:5" x14ac:dyDescent="0.3">
      <c r="A631" s="4">
        <v>44776</v>
      </c>
      <c r="B631" s="5">
        <v>2.3102900000000002</v>
      </c>
      <c r="D631" s="4">
        <v>44776</v>
      </c>
      <c r="E631" s="5">
        <v>1.026</v>
      </c>
    </row>
    <row r="632" spans="1:5" x14ac:dyDescent="0.3">
      <c r="A632" s="4">
        <v>44777</v>
      </c>
      <c r="B632" s="5">
        <v>2.3095699999999999</v>
      </c>
      <c r="D632" s="4">
        <v>44777</v>
      </c>
      <c r="E632" s="5">
        <v>1.0249999999999999</v>
      </c>
    </row>
    <row r="633" spans="1:5" x14ac:dyDescent="0.3">
      <c r="A633" s="4">
        <v>44778</v>
      </c>
      <c r="B633" s="5">
        <v>2.3119999999999998</v>
      </c>
      <c r="D633" s="4">
        <v>44778</v>
      </c>
      <c r="E633" s="5">
        <v>1.0189999999999999</v>
      </c>
    </row>
    <row r="634" spans="1:5" x14ac:dyDescent="0.3">
      <c r="A634" s="4">
        <v>44781</v>
      </c>
      <c r="B634" s="5">
        <v>2.3172899999999998</v>
      </c>
      <c r="D634" s="4">
        <v>44781</v>
      </c>
      <c r="E634" s="5">
        <v>1.0129999999999999</v>
      </c>
    </row>
    <row r="635" spans="1:5" x14ac:dyDescent="0.3">
      <c r="A635" s="4">
        <v>44782</v>
      </c>
      <c r="B635" s="5">
        <v>2.3180000000000001</v>
      </c>
      <c r="D635" s="4">
        <v>44782</v>
      </c>
      <c r="E635" s="5">
        <v>1.018</v>
      </c>
    </row>
    <row r="636" spans="1:5" x14ac:dyDescent="0.3">
      <c r="A636" s="4">
        <v>44783</v>
      </c>
      <c r="B636" s="5">
        <v>2.31629</v>
      </c>
      <c r="D636" s="4">
        <v>44783</v>
      </c>
      <c r="E636" s="5">
        <v>1.0680000000000001</v>
      </c>
    </row>
    <row r="637" spans="1:5" x14ac:dyDescent="0.3">
      <c r="A637" s="4">
        <v>44784</v>
      </c>
      <c r="B637" s="5">
        <v>2.3239999999999998</v>
      </c>
      <c r="D637" s="4">
        <v>44784</v>
      </c>
      <c r="E637" s="5">
        <v>1.03</v>
      </c>
    </row>
    <row r="638" spans="1:5" x14ac:dyDescent="0.3">
      <c r="A638" s="4">
        <v>44785</v>
      </c>
      <c r="B638" s="5">
        <v>2.3148599999999999</v>
      </c>
      <c r="D638" s="4">
        <v>44785</v>
      </c>
      <c r="E638" s="5">
        <v>1.044</v>
      </c>
    </row>
    <row r="639" spans="1:5" x14ac:dyDescent="0.3">
      <c r="A639" s="4">
        <v>44788</v>
      </c>
      <c r="B639" s="5">
        <v>2.3188599999999999</v>
      </c>
      <c r="D639" s="4">
        <v>44788</v>
      </c>
      <c r="E639" s="5">
        <v>1.0429999999999999</v>
      </c>
    </row>
    <row r="640" spans="1:5" x14ac:dyDescent="0.3">
      <c r="A640" s="4">
        <v>44789</v>
      </c>
      <c r="B640" s="5">
        <v>2.3222900000000002</v>
      </c>
      <c r="D640" s="4">
        <v>44789</v>
      </c>
      <c r="E640" s="5">
        <v>1.075</v>
      </c>
    </row>
    <row r="641" spans="1:5" x14ac:dyDescent="0.3">
      <c r="A641" s="4">
        <v>44790</v>
      </c>
      <c r="B641" s="5">
        <v>2.3135699999999999</v>
      </c>
      <c r="D641" s="4">
        <v>44790</v>
      </c>
      <c r="E641" s="5">
        <v>1.1379999999999999</v>
      </c>
    </row>
    <row r="642" spans="1:5" x14ac:dyDescent="0.3">
      <c r="A642" s="4">
        <v>44791</v>
      </c>
      <c r="B642" s="5">
        <v>2.31786</v>
      </c>
      <c r="D642" s="4">
        <v>44791</v>
      </c>
      <c r="E642" s="5">
        <v>1.1870000000000001</v>
      </c>
    </row>
    <row r="643" spans="1:5" x14ac:dyDescent="0.3">
      <c r="A643" s="4">
        <v>44792</v>
      </c>
      <c r="B643" s="5">
        <v>2.3211400000000002</v>
      </c>
      <c r="D643" s="4">
        <v>44792</v>
      </c>
      <c r="E643" s="5">
        <v>1.2110000000000001</v>
      </c>
    </row>
    <row r="644" spans="1:5" x14ac:dyDescent="0.3">
      <c r="A644" s="4">
        <v>44795</v>
      </c>
      <c r="B644" s="5">
        <v>2.3171400000000002</v>
      </c>
      <c r="D644" s="4">
        <v>44795</v>
      </c>
      <c r="E644" s="5">
        <v>1.1433</v>
      </c>
    </row>
    <row r="645" spans="1:5" x14ac:dyDescent="0.3">
      <c r="A645" s="4">
        <v>44796</v>
      </c>
      <c r="B645" s="5">
        <v>2.31257</v>
      </c>
      <c r="D645" s="4">
        <v>44796</v>
      </c>
      <c r="E645" s="5">
        <v>1.109</v>
      </c>
    </row>
    <row r="646" spans="1:5" x14ac:dyDescent="0.3">
      <c r="A646" s="4">
        <v>44797</v>
      </c>
      <c r="B646" s="5">
        <v>2.3214299999999999</v>
      </c>
      <c r="D646" s="4">
        <v>44797</v>
      </c>
      <c r="E646" s="5">
        <v>1.1220000000000001</v>
      </c>
    </row>
    <row r="647" spans="1:5" x14ac:dyDescent="0.3">
      <c r="A647" s="4">
        <v>44798</v>
      </c>
      <c r="B647" s="5">
        <v>2.32043</v>
      </c>
      <c r="D647" s="4">
        <v>44798</v>
      </c>
      <c r="E647" s="5">
        <v>1.153</v>
      </c>
    </row>
    <row r="648" spans="1:5" x14ac:dyDescent="0.3">
      <c r="A648" s="4">
        <v>44799</v>
      </c>
      <c r="B648" s="5">
        <v>2.3091400000000002</v>
      </c>
      <c r="D648" s="4">
        <v>44799</v>
      </c>
      <c r="E648" s="5">
        <v>1.258</v>
      </c>
    </row>
    <row r="649" spans="1:5" x14ac:dyDescent="0.3">
      <c r="A649" s="4">
        <v>44802</v>
      </c>
      <c r="B649" s="5"/>
      <c r="D649" s="4">
        <v>44802</v>
      </c>
      <c r="E649" s="5">
        <v>1.2350000000000001</v>
      </c>
    </row>
    <row r="650" spans="1:5" x14ac:dyDescent="0.3">
      <c r="A650" s="4">
        <v>44803</v>
      </c>
      <c r="B650" s="5">
        <v>2.30829</v>
      </c>
      <c r="D650" s="4">
        <v>44803</v>
      </c>
      <c r="E650" s="5">
        <v>1.1240000000000001</v>
      </c>
    </row>
    <row r="651" spans="1:5" x14ac:dyDescent="0.3">
      <c r="A651" s="4">
        <v>44804</v>
      </c>
      <c r="B651" s="5">
        <v>2.31629</v>
      </c>
      <c r="D651" s="4">
        <v>44804</v>
      </c>
      <c r="E651" s="5">
        <v>1.401</v>
      </c>
    </row>
    <row r="652" spans="1:5" x14ac:dyDescent="0.3">
      <c r="A652" s="4">
        <v>44805</v>
      </c>
      <c r="B652" s="5">
        <v>2.3199999999999998</v>
      </c>
      <c r="D652" s="4">
        <v>44805</v>
      </c>
      <c r="E652" s="5">
        <v>1.4630000000000001</v>
      </c>
    </row>
    <row r="653" spans="1:5" x14ac:dyDescent="0.3">
      <c r="A653" s="4">
        <v>44806</v>
      </c>
      <c r="B653" s="5">
        <v>2.3147099999999998</v>
      </c>
      <c r="D653" s="4">
        <v>44806</v>
      </c>
      <c r="E653" s="5">
        <v>1.175</v>
      </c>
    </row>
    <row r="654" spans="1:5" x14ac:dyDescent="0.3">
      <c r="A654" s="4">
        <v>44809</v>
      </c>
      <c r="B654" s="5"/>
      <c r="D654" s="4">
        <v>44809</v>
      </c>
      <c r="E654" s="5">
        <v>1.0329999999999999</v>
      </c>
    </row>
    <row r="655" spans="1:5" x14ac:dyDescent="0.3">
      <c r="A655" s="4">
        <v>44810</v>
      </c>
      <c r="B655" s="5">
        <v>2.3109999999999999</v>
      </c>
      <c r="D655" s="4">
        <v>44810</v>
      </c>
      <c r="E655" s="5">
        <v>1.069</v>
      </c>
    </row>
    <row r="656" spans="1:5" x14ac:dyDescent="0.3">
      <c r="A656" s="4">
        <v>44811</v>
      </c>
      <c r="B656" s="5">
        <v>2.31243</v>
      </c>
      <c r="D656" s="4">
        <v>44811</v>
      </c>
      <c r="E656" s="5">
        <v>1.113</v>
      </c>
    </row>
    <row r="657" spans="1:5" x14ac:dyDescent="0.3">
      <c r="A657" s="4">
        <v>44812</v>
      </c>
      <c r="B657" s="5">
        <v>2.3107099999999998</v>
      </c>
      <c r="D657" s="4">
        <v>44812</v>
      </c>
      <c r="E657" s="5">
        <v>1.159</v>
      </c>
    </row>
    <row r="658" spans="1:5" x14ac:dyDescent="0.3">
      <c r="A658" s="4">
        <v>44813</v>
      </c>
      <c r="B658" s="5">
        <v>2.3145699999999998</v>
      </c>
      <c r="D658" s="4">
        <v>44813</v>
      </c>
      <c r="E658" s="5">
        <v>1.173</v>
      </c>
    </row>
    <row r="659" spans="1:5" x14ac:dyDescent="0.3">
      <c r="A659" s="4">
        <v>44817</v>
      </c>
      <c r="B659" s="5">
        <v>2.3114300000000001</v>
      </c>
      <c r="D659" s="4">
        <v>44817</v>
      </c>
      <c r="E659" s="5">
        <v>1.171</v>
      </c>
    </row>
    <row r="660" spans="1:5" x14ac:dyDescent="0.3">
      <c r="A660" s="4">
        <v>44818</v>
      </c>
      <c r="B660" s="5">
        <v>2.3221400000000001</v>
      </c>
      <c r="D660" s="4">
        <v>44818</v>
      </c>
      <c r="E660" s="5">
        <v>1.173</v>
      </c>
    </row>
    <row r="661" spans="1:5" x14ac:dyDescent="0.3">
      <c r="A661" s="4">
        <v>44819</v>
      </c>
      <c r="B661" s="5">
        <v>2.3210000000000002</v>
      </c>
      <c r="D661" s="4">
        <v>44819</v>
      </c>
      <c r="E661" s="5">
        <v>1.226</v>
      </c>
    </row>
    <row r="662" spans="1:5" x14ac:dyDescent="0.3">
      <c r="A662" s="4">
        <v>44820</v>
      </c>
      <c r="B662" s="5">
        <v>2.3155700000000001</v>
      </c>
      <c r="D662" s="4">
        <v>44820</v>
      </c>
      <c r="E662" s="5">
        <v>1.294</v>
      </c>
    </row>
    <row r="663" spans="1:5" x14ac:dyDescent="0.3">
      <c r="A663" s="4">
        <v>44823</v>
      </c>
      <c r="B663" s="5"/>
      <c r="D663" s="4">
        <v>44823</v>
      </c>
      <c r="E663" s="5">
        <v>1.41</v>
      </c>
    </row>
    <row r="664" spans="1:5" x14ac:dyDescent="0.3">
      <c r="A664" s="4">
        <v>44824</v>
      </c>
      <c r="B664" s="5">
        <v>2.3154300000000001</v>
      </c>
      <c r="D664" s="4">
        <v>44824</v>
      </c>
      <c r="E664" s="5">
        <v>1.458</v>
      </c>
    </row>
    <row r="665" spans="1:5" x14ac:dyDescent="0.3">
      <c r="A665" s="4">
        <v>44825</v>
      </c>
      <c r="B665" s="5">
        <v>2.3197100000000002</v>
      </c>
      <c r="D665" s="4">
        <v>44825</v>
      </c>
      <c r="E665" s="5">
        <v>1.468</v>
      </c>
    </row>
    <row r="666" spans="1:5" x14ac:dyDescent="0.3">
      <c r="A666" s="4">
        <v>44826</v>
      </c>
      <c r="B666" s="5">
        <v>3.0717099999999999</v>
      </c>
      <c r="D666" s="4">
        <v>44826</v>
      </c>
      <c r="E666" s="5">
        <v>1.4610000000000001</v>
      </c>
    </row>
    <row r="667" spans="1:5" x14ac:dyDescent="0.3">
      <c r="A667" s="4">
        <v>44827</v>
      </c>
      <c r="B667" s="5">
        <v>3.0694300000000001</v>
      </c>
      <c r="D667" s="4">
        <v>44827</v>
      </c>
      <c r="E667" s="5">
        <v>1.4650000000000001</v>
      </c>
    </row>
    <row r="668" spans="1:5" x14ac:dyDescent="0.3">
      <c r="A668" s="4">
        <v>44830</v>
      </c>
      <c r="B668" s="5">
        <v>3.0632899999999998</v>
      </c>
      <c r="D668" s="4">
        <v>44830</v>
      </c>
      <c r="E668" s="5">
        <v>1.429</v>
      </c>
    </row>
    <row r="669" spans="1:5" x14ac:dyDescent="0.3">
      <c r="A669" s="4">
        <v>44831</v>
      </c>
      <c r="B669" s="5">
        <v>3.0640000000000001</v>
      </c>
      <c r="D669" s="4">
        <v>44831</v>
      </c>
      <c r="E669" s="5">
        <v>1.399</v>
      </c>
    </row>
    <row r="670" spans="1:5" x14ac:dyDescent="0.3">
      <c r="A670" s="4">
        <v>44832</v>
      </c>
      <c r="B670" s="5">
        <v>3.0640000000000001</v>
      </c>
      <c r="D670" s="4">
        <v>44832</v>
      </c>
      <c r="E670" s="5">
        <v>1.27</v>
      </c>
    </row>
    <row r="671" spans="1:5" x14ac:dyDescent="0.3">
      <c r="A671" s="4">
        <v>44833</v>
      </c>
      <c r="B671" s="5">
        <v>3.0609999999999999</v>
      </c>
      <c r="D671" s="4">
        <v>44833</v>
      </c>
      <c r="E671" s="5">
        <v>0.96399999999999997</v>
      </c>
    </row>
    <row r="672" spans="1:5" x14ac:dyDescent="0.3">
      <c r="A672" s="4">
        <v>44834</v>
      </c>
      <c r="B672" s="5">
        <v>3.06514</v>
      </c>
      <c r="D672" s="4">
        <v>44834</v>
      </c>
      <c r="E672" s="5">
        <v>2.081</v>
      </c>
    </row>
    <row r="673" spans="1:5" x14ac:dyDescent="0.3">
      <c r="A673" s="4">
        <v>44844</v>
      </c>
      <c r="B673" s="5"/>
      <c r="D673" s="4">
        <v>44844</v>
      </c>
      <c r="E673" s="5">
        <v>1.1100000000000001</v>
      </c>
    </row>
    <row r="674" spans="1:5" x14ac:dyDescent="0.3">
      <c r="A674" s="4">
        <v>44845</v>
      </c>
      <c r="B674" s="5">
        <v>3.0594299999999999</v>
      </c>
      <c r="D674" s="4">
        <v>44845</v>
      </c>
      <c r="E674" s="5">
        <v>1.1830000000000001</v>
      </c>
    </row>
    <row r="675" spans="1:5" x14ac:dyDescent="0.3">
      <c r="A675" s="4">
        <v>44846</v>
      </c>
      <c r="B675" s="5">
        <v>3.0645699999999998</v>
      </c>
      <c r="D675" s="4">
        <v>44846</v>
      </c>
      <c r="E675" s="5">
        <v>1.155</v>
      </c>
    </row>
    <row r="676" spans="1:5" x14ac:dyDescent="0.3">
      <c r="A676" s="4">
        <v>44847</v>
      </c>
      <c r="B676" s="5">
        <v>3.0617100000000002</v>
      </c>
      <c r="D676" s="4">
        <v>44847</v>
      </c>
      <c r="E676" s="5">
        <v>1.1819999999999999</v>
      </c>
    </row>
    <row r="677" spans="1:5" x14ac:dyDescent="0.3">
      <c r="A677" s="4">
        <v>44848</v>
      </c>
      <c r="B677" s="5">
        <v>3.0661399999999999</v>
      </c>
      <c r="D677" s="4">
        <v>44848</v>
      </c>
      <c r="E677" s="5">
        <v>1.133</v>
      </c>
    </row>
    <row r="678" spans="1:5" x14ac:dyDescent="0.3">
      <c r="A678" s="4">
        <v>44851</v>
      </c>
      <c r="B678" s="5">
        <v>3.0608599999999999</v>
      </c>
      <c r="D678" s="4">
        <v>44851</v>
      </c>
      <c r="E678" s="5">
        <v>1.167</v>
      </c>
    </row>
    <row r="679" spans="1:5" x14ac:dyDescent="0.3">
      <c r="A679" s="4">
        <v>44852</v>
      </c>
      <c r="B679" s="5">
        <v>3.06229</v>
      </c>
      <c r="D679" s="4">
        <v>44852</v>
      </c>
      <c r="E679" s="5">
        <v>1.1339999999999999</v>
      </c>
    </row>
    <row r="680" spans="1:5" x14ac:dyDescent="0.3">
      <c r="A680" s="4">
        <v>44853</v>
      </c>
      <c r="B680" s="5">
        <v>3.0605699999999998</v>
      </c>
      <c r="D680" s="4">
        <v>44853</v>
      </c>
      <c r="E680" s="5">
        <v>1.1160000000000001</v>
      </c>
    </row>
    <row r="681" spans="1:5" x14ac:dyDescent="0.3">
      <c r="A681" s="4">
        <v>44854</v>
      </c>
      <c r="B681" s="5">
        <v>3.06114</v>
      </c>
      <c r="D681" s="4">
        <v>44854</v>
      </c>
      <c r="E681" s="5">
        <v>1.1539999999999999</v>
      </c>
    </row>
    <row r="682" spans="1:5" x14ac:dyDescent="0.3">
      <c r="A682" s="4">
        <v>44855</v>
      </c>
      <c r="B682" s="5">
        <v>3.0668600000000001</v>
      </c>
      <c r="D682" s="4">
        <v>44855</v>
      </c>
      <c r="E682" s="5">
        <v>1.23</v>
      </c>
    </row>
    <row r="683" spans="1:5" x14ac:dyDescent="0.3">
      <c r="A683" s="4">
        <v>44858</v>
      </c>
      <c r="B683" s="5">
        <v>3.0657100000000002</v>
      </c>
      <c r="D683" s="4">
        <v>44858</v>
      </c>
      <c r="E683" s="5">
        <v>1.3939999999999999</v>
      </c>
    </row>
    <row r="684" spans="1:5" x14ac:dyDescent="0.3">
      <c r="A684" s="4">
        <v>44859</v>
      </c>
      <c r="B684" s="5">
        <v>3.06271</v>
      </c>
      <c r="D684" s="4">
        <v>44859</v>
      </c>
      <c r="E684" s="5">
        <v>1.7629999999999999</v>
      </c>
    </row>
    <row r="685" spans="1:5" x14ac:dyDescent="0.3">
      <c r="A685" s="4">
        <v>44860</v>
      </c>
      <c r="B685" s="5">
        <v>3.0608599999999999</v>
      </c>
      <c r="D685" s="4">
        <v>44860</v>
      </c>
      <c r="E685" s="5">
        <v>1.7749999999999999</v>
      </c>
    </row>
    <row r="686" spans="1:5" x14ac:dyDescent="0.3">
      <c r="A686" s="4">
        <v>44861</v>
      </c>
      <c r="B686" s="5">
        <v>3.0632899999999998</v>
      </c>
      <c r="D686" s="4">
        <v>44861</v>
      </c>
      <c r="E686" s="5">
        <v>1.764</v>
      </c>
    </row>
    <row r="687" spans="1:5" x14ac:dyDescent="0.3">
      <c r="A687" s="4">
        <v>44862</v>
      </c>
      <c r="B687" s="5">
        <v>3.06386</v>
      </c>
      <c r="D687" s="4">
        <v>44862</v>
      </c>
      <c r="E687" s="5">
        <v>1.327</v>
      </c>
    </row>
    <row r="688" spans="1:5" x14ac:dyDescent="0.3">
      <c r="A688" s="4">
        <v>44865</v>
      </c>
      <c r="B688" s="5">
        <v>3.0631400000000002</v>
      </c>
      <c r="D688" s="4">
        <v>44865</v>
      </c>
      <c r="E688" s="5">
        <v>1.7390000000000001</v>
      </c>
    </row>
    <row r="689" spans="1:5" x14ac:dyDescent="0.3">
      <c r="A689" s="4">
        <v>44866</v>
      </c>
      <c r="B689" s="5">
        <v>3.0588600000000001</v>
      </c>
      <c r="D689" s="4">
        <v>44866</v>
      </c>
      <c r="E689" s="5">
        <v>1.843</v>
      </c>
    </row>
    <row r="690" spans="1:5" x14ac:dyDescent="0.3">
      <c r="A690" s="4">
        <v>44867</v>
      </c>
      <c r="B690" s="5">
        <v>3.0631400000000002</v>
      </c>
      <c r="D690" s="4">
        <v>44867</v>
      </c>
      <c r="E690" s="5">
        <v>1.7549999999999999</v>
      </c>
    </row>
    <row r="691" spans="1:5" x14ac:dyDescent="0.3">
      <c r="A691" s="4">
        <v>44868</v>
      </c>
      <c r="B691" s="5">
        <v>3.8132899999999998</v>
      </c>
      <c r="D691" s="4">
        <v>44868</v>
      </c>
      <c r="E691" s="5">
        <v>1.3240000000000001</v>
      </c>
    </row>
    <row r="692" spans="1:5" x14ac:dyDescent="0.3">
      <c r="A692" s="4">
        <v>44869</v>
      </c>
      <c r="B692" s="5">
        <v>3.81629</v>
      </c>
      <c r="D692" s="4">
        <v>44869</v>
      </c>
      <c r="E692" s="5">
        <v>1.3859999999999999</v>
      </c>
    </row>
    <row r="693" spans="1:5" x14ac:dyDescent="0.3">
      <c r="A693" s="4">
        <v>44872</v>
      </c>
      <c r="B693" s="5">
        <v>3.8180000000000001</v>
      </c>
      <c r="D693" s="4">
        <v>44872</v>
      </c>
      <c r="E693" s="5">
        <v>1.62</v>
      </c>
    </row>
    <row r="694" spans="1:5" x14ac:dyDescent="0.3">
      <c r="A694" s="4">
        <v>44873</v>
      </c>
      <c r="B694" s="5">
        <v>3.8155700000000001</v>
      </c>
      <c r="D694" s="4">
        <v>44873</v>
      </c>
      <c r="E694" s="5">
        <v>1.756</v>
      </c>
    </row>
    <row r="695" spans="1:5" x14ac:dyDescent="0.3">
      <c r="A695" s="4">
        <v>44874</v>
      </c>
      <c r="B695" s="5">
        <v>3.8121399999999999</v>
      </c>
      <c r="D695" s="4">
        <v>44874</v>
      </c>
      <c r="E695" s="5">
        <v>1.8080000000000001</v>
      </c>
    </row>
    <row r="696" spans="1:5" x14ac:dyDescent="0.3">
      <c r="A696" s="4">
        <v>44875</v>
      </c>
      <c r="B696" s="5">
        <v>3.8148599999999999</v>
      </c>
      <c r="D696" s="4">
        <v>44875</v>
      </c>
      <c r="E696" s="5">
        <v>1.8260000000000001</v>
      </c>
    </row>
    <row r="697" spans="1:5" x14ac:dyDescent="0.3">
      <c r="A697" s="4">
        <v>44876</v>
      </c>
      <c r="B697" s="5"/>
      <c r="D697" s="4">
        <v>44876</v>
      </c>
      <c r="E697" s="5">
        <v>1.704</v>
      </c>
    </row>
    <row r="698" spans="1:5" x14ac:dyDescent="0.3">
      <c r="A698" s="4">
        <v>44879</v>
      </c>
      <c r="B698" s="5">
        <v>3.8185699999999998</v>
      </c>
      <c r="D698" s="4">
        <v>44879</v>
      </c>
      <c r="E698" s="5">
        <v>1.6459999999999999</v>
      </c>
    </row>
    <row r="699" spans="1:5" x14ac:dyDescent="0.3">
      <c r="A699" s="4">
        <v>44880</v>
      </c>
      <c r="B699" s="5">
        <v>3.8135699999999999</v>
      </c>
      <c r="D699" s="4">
        <v>44880</v>
      </c>
      <c r="E699" s="5">
        <v>1.853</v>
      </c>
    </row>
    <row r="700" spans="1:5" x14ac:dyDescent="0.3">
      <c r="A700" s="4">
        <v>44881</v>
      </c>
      <c r="B700" s="5">
        <v>3.8172899999999998</v>
      </c>
      <c r="D700" s="4">
        <v>44881</v>
      </c>
      <c r="E700" s="5">
        <v>1.9359999999999999</v>
      </c>
    </row>
    <row r="701" spans="1:5" x14ac:dyDescent="0.3">
      <c r="A701" s="4">
        <v>44882</v>
      </c>
      <c r="B701" s="5">
        <v>3.81271</v>
      </c>
      <c r="D701" s="4">
        <v>44882</v>
      </c>
      <c r="E701" s="5">
        <v>1.6990000000000001</v>
      </c>
    </row>
    <row r="702" spans="1:5" x14ac:dyDescent="0.3">
      <c r="A702" s="4">
        <v>44883</v>
      </c>
      <c r="B702" s="5">
        <v>3.8121399999999999</v>
      </c>
      <c r="D702" s="4">
        <v>44883</v>
      </c>
      <c r="E702" s="5">
        <v>1.3640000000000001</v>
      </c>
    </row>
    <row r="703" spans="1:5" x14ac:dyDescent="0.3">
      <c r="A703" s="4">
        <v>44886</v>
      </c>
      <c r="B703" s="5">
        <v>3.8114300000000001</v>
      </c>
      <c r="D703" s="4">
        <v>44886</v>
      </c>
      <c r="E703" s="5">
        <v>1.139</v>
      </c>
    </row>
    <row r="704" spans="1:5" x14ac:dyDescent="0.3">
      <c r="A704" s="4">
        <v>44887</v>
      </c>
      <c r="B704" s="5">
        <v>3.8184300000000002</v>
      </c>
      <c r="D704" s="4">
        <v>44887</v>
      </c>
      <c r="E704" s="5">
        <v>0.871</v>
      </c>
    </row>
    <row r="705" spans="1:5" x14ac:dyDescent="0.3">
      <c r="A705" s="4">
        <v>44888</v>
      </c>
      <c r="B705" s="5">
        <v>3.8188599999999999</v>
      </c>
      <c r="D705" s="4">
        <v>44888</v>
      </c>
      <c r="E705" s="5">
        <v>1.0389999999999999</v>
      </c>
    </row>
    <row r="706" spans="1:5" x14ac:dyDescent="0.3">
      <c r="A706" s="4">
        <v>44889</v>
      </c>
      <c r="B706" s="5"/>
      <c r="D706" s="4">
        <v>44889</v>
      </c>
      <c r="E706" s="5">
        <v>1.044</v>
      </c>
    </row>
    <row r="707" spans="1:5" x14ac:dyDescent="0.3">
      <c r="A707" s="4">
        <v>44890</v>
      </c>
      <c r="B707" s="5">
        <v>3.8119999999999998</v>
      </c>
      <c r="D707" s="4">
        <v>44890</v>
      </c>
      <c r="E707" s="5">
        <v>1.0209999999999999</v>
      </c>
    </row>
    <row r="708" spans="1:5" x14ac:dyDescent="0.3">
      <c r="A708" s="4">
        <v>44893</v>
      </c>
      <c r="B708" s="5">
        <v>3.81643</v>
      </c>
      <c r="D708" s="4">
        <v>44893</v>
      </c>
      <c r="E708" s="5">
        <v>1.0329999999999999</v>
      </c>
    </row>
    <row r="709" spans="1:5" x14ac:dyDescent="0.3">
      <c r="A709" s="4">
        <v>44894</v>
      </c>
      <c r="B709" s="5">
        <v>3.8174299999999999</v>
      </c>
      <c r="D709" s="4">
        <v>44894</v>
      </c>
      <c r="E709" s="5">
        <v>1.0229999999999999</v>
      </c>
    </row>
    <row r="710" spans="1:5" x14ac:dyDescent="0.3">
      <c r="A710" s="4">
        <v>44895</v>
      </c>
      <c r="B710" s="5">
        <v>3.82314</v>
      </c>
      <c r="D710" s="4">
        <v>44895</v>
      </c>
      <c r="E710" s="5">
        <v>1.5149999999999999</v>
      </c>
    </row>
    <row r="711" spans="1:5" x14ac:dyDescent="0.3">
      <c r="A711" s="4">
        <v>44896</v>
      </c>
      <c r="B711" s="5">
        <v>3.8239999999999998</v>
      </c>
      <c r="D711" s="4">
        <v>44896</v>
      </c>
      <c r="E711" s="5">
        <v>1.458</v>
      </c>
    </row>
    <row r="712" spans="1:5" x14ac:dyDescent="0.3">
      <c r="A712" s="4">
        <v>44897</v>
      </c>
      <c r="B712" s="5">
        <v>3.8154300000000001</v>
      </c>
      <c r="D712" s="4">
        <v>44897</v>
      </c>
      <c r="E712" s="5">
        <v>1.157</v>
      </c>
    </row>
    <row r="713" spans="1:5" x14ac:dyDescent="0.3">
      <c r="A713" s="4">
        <v>44900</v>
      </c>
      <c r="B713" s="5">
        <v>3.81671</v>
      </c>
      <c r="D713" s="4">
        <v>44900</v>
      </c>
      <c r="E713" s="5">
        <v>1.08</v>
      </c>
    </row>
    <row r="714" spans="1:5" x14ac:dyDescent="0.3">
      <c r="A714" s="4">
        <v>44901</v>
      </c>
      <c r="B714" s="5">
        <v>3.8172899999999998</v>
      </c>
      <c r="D714" s="4">
        <v>44901</v>
      </c>
      <c r="E714" s="5">
        <v>1.0429999999999999</v>
      </c>
    </row>
    <row r="715" spans="1:5" x14ac:dyDescent="0.3">
      <c r="A715" s="4">
        <v>44902</v>
      </c>
      <c r="B715" s="5">
        <v>3.8201399999999999</v>
      </c>
      <c r="D715" s="4">
        <v>44902</v>
      </c>
      <c r="E715" s="5">
        <v>1.0069999999999999</v>
      </c>
    </row>
    <row r="716" spans="1:5" x14ac:dyDescent="0.3">
      <c r="A716" s="4">
        <v>44903</v>
      </c>
      <c r="B716" s="5">
        <v>3.82</v>
      </c>
      <c r="D716" s="4">
        <v>44903</v>
      </c>
      <c r="E716" s="5">
        <v>1.0640000000000001</v>
      </c>
    </row>
    <row r="717" spans="1:5" x14ac:dyDescent="0.3">
      <c r="A717" s="4">
        <v>44904</v>
      </c>
      <c r="B717" s="5">
        <v>3.8180000000000001</v>
      </c>
      <c r="D717" s="4">
        <v>44904</v>
      </c>
      <c r="E717" s="5">
        <v>1.071</v>
      </c>
    </row>
    <row r="718" spans="1:5" x14ac:dyDescent="0.3">
      <c r="A718" s="4">
        <v>44907</v>
      </c>
      <c r="B718" s="5">
        <v>3.8118599999999998</v>
      </c>
      <c r="D718" s="4">
        <v>44907</v>
      </c>
      <c r="E718" s="5">
        <v>1.052</v>
      </c>
    </row>
    <row r="719" spans="1:5" x14ac:dyDescent="0.3">
      <c r="A719" s="4">
        <v>44908</v>
      </c>
      <c r="B719" s="5">
        <v>3.81786</v>
      </c>
      <c r="D719" s="4">
        <v>44908</v>
      </c>
      <c r="E719" s="5">
        <v>1.032</v>
      </c>
    </row>
    <row r="720" spans="1:5" x14ac:dyDescent="0.3">
      <c r="A720" s="4">
        <v>44909</v>
      </c>
      <c r="B720" s="5">
        <v>3.8158599999999998</v>
      </c>
      <c r="D720" s="4">
        <v>44909</v>
      </c>
      <c r="E720" s="5">
        <v>1.1990000000000001</v>
      </c>
    </row>
    <row r="721" spans="1:5" x14ac:dyDescent="0.3">
      <c r="A721" s="4">
        <v>44910</v>
      </c>
      <c r="B721" s="5">
        <v>4.3182900000000002</v>
      </c>
      <c r="D721" s="4">
        <v>44910</v>
      </c>
      <c r="E721" s="5">
        <v>1.2230000000000001</v>
      </c>
    </row>
    <row r="722" spans="1:5" x14ac:dyDescent="0.3">
      <c r="A722" s="4">
        <v>44911</v>
      </c>
      <c r="B722" s="5">
        <v>4.3170000000000002</v>
      </c>
      <c r="D722" s="4">
        <v>44911</v>
      </c>
      <c r="E722" s="5">
        <v>1.224</v>
      </c>
    </row>
    <row r="723" spans="1:5" x14ac:dyDescent="0.3">
      <c r="A723" s="4">
        <v>44914</v>
      </c>
      <c r="B723" s="5">
        <v>4.32029</v>
      </c>
      <c r="D723" s="4">
        <v>44914</v>
      </c>
      <c r="E723" s="5">
        <v>1.2170000000000001</v>
      </c>
    </row>
    <row r="724" spans="1:5" x14ac:dyDescent="0.3">
      <c r="A724" s="4">
        <v>44915</v>
      </c>
      <c r="B724" s="5">
        <v>4.3154300000000001</v>
      </c>
      <c r="D724" s="4">
        <v>44915</v>
      </c>
      <c r="E724" s="5">
        <v>1.1659999999999999</v>
      </c>
    </row>
    <row r="725" spans="1:5" x14ac:dyDescent="0.3">
      <c r="A725" s="4">
        <v>44916</v>
      </c>
      <c r="B725" s="5">
        <v>4.32057</v>
      </c>
      <c r="D725" s="4">
        <v>44916</v>
      </c>
      <c r="E725" s="5">
        <v>0.92100000000000004</v>
      </c>
    </row>
    <row r="726" spans="1:5" x14ac:dyDescent="0.3">
      <c r="A726" s="4">
        <v>44917</v>
      </c>
      <c r="B726" s="5">
        <v>4.3150000000000004</v>
      </c>
      <c r="D726" s="4">
        <v>44917</v>
      </c>
      <c r="E726" s="5">
        <v>0.78300000000000003</v>
      </c>
    </row>
    <row r="727" spans="1:5" x14ac:dyDescent="0.3">
      <c r="A727" s="4">
        <v>44918</v>
      </c>
      <c r="B727" s="5">
        <v>4.3167099999999996</v>
      </c>
      <c r="D727" s="4">
        <v>44918</v>
      </c>
      <c r="E727" s="5">
        <v>0.58499999999999996</v>
      </c>
    </row>
    <row r="728" spans="1:5" x14ac:dyDescent="0.3">
      <c r="A728" s="4">
        <v>44921</v>
      </c>
      <c r="B728" s="5"/>
      <c r="D728" s="4">
        <v>44921</v>
      </c>
      <c r="E728" s="5">
        <v>0.82</v>
      </c>
    </row>
    <row r="729" spans="1:5" x14ac:dyDescent="0.3">
      <c r="A729" s="4">
        <v>44922</v>
      </c>
      <c r="B729" s="5"/>
      <c r="D729" s="4">
        <v>44922</v>
      </c>
      <c r="E729" s="5">
        <v>0.63200000000000001</v>
      </c>
    </row>
    <row r="730" spans="1:5" x14ac:dyDescent="0.3">
      <c r="A730" s="4">
        <v>44923</v>
      </c>
      <c r="B730" s="5">
        <v>4.3164300000000004</v>
      </c>
      <c r="D730" s="4">
        <v>44923</v>
      </c>
      <c r="E730" s="5">
        <v>0.52200000000000002</v>
      </c>
    </row>
    <row r="731" spans="1:5" x14ac:dyDescent="0.3">
      <c r="A731" s="4">
        <v>44924</v>
      </c>
      <c r="B731" s="5">
        <v>4.3118600000000002</v>
      </c>
      <c r="D731" s="4">
        <v>44924</v>
      </c>
      <c r="E731" s="5">
        <v>0.441</v>
      </c>
    </row>
    <row r="732" spans="1:5" x14ac:dyDescent="0.3">
      <c r="A732" s="4">
        <v>44925</v>
      </c>
      <c r="B732" s="5">
        <v>4.3179999999999996</v>
      </c>
      <c r="D732" s="4">
        <v>44925</v>
      </c>
      <c r="E732" s="5">
        <v>1.9570000000000001</v>
      </c>
    </row>
    <row r="733" spans="1:5" x14ac:dyDescent="0.3">
      <c r="A733" s="4">
        <v>44929</v>
      </c>
      <c r="B733" s="5">
        <v>4.3188599999999999</v>
      </c>
      <c r="D733" s="4">
        <v>44929</v>
      </c>
      <c r="E733" s="5">
        <v>1.4750000000000001</v>
      </c>
    </row>
    <row r="734" spans="1:5" x14ac:dyDescent="0.3">
      <c r="A734" s="4">
        <v>44930</v>
      </c>
      <c r="B734" s="5">
        <v>4.3152900000000001</v>
      </c>
      <c r="D734" s="4">
        <v>44930</v>
      </c>
      <c r="E734" s="5">
        <v>1.0029999999999999</v>
      </c>
    </row>
    <row r="735" spans="1:5" x14ac:dyDescent="0.3">
      <c r="A735" s="4">
        <v>44931</v>
      </c>
      <c r="B735" s="5">
        <v>4.31386</v>
      </c>
      <c r="D735" s="4">
        <v>44931</v>
      </c>
      <c r="E735" s="5">
        <v>0.57399999999999995</v>
      </c>
    </row>
    <row r="736" spans="1:5" x14ac:dyDescent="0.3">
      <c r="A736" s="4">
        <v>44932</v>
      </c>
      <c r="B736" s="5">
        <v>4.3134300000000003</v>
      </c>
      <c r="D736" s="4">
        <v>44932</v>
      </c>
      <c r="E736" s="5">
        <v>0.53900000000000003</v>
      </c>
    </row>
    <row r="737" spans="1:5" x14ac:dyDescent="0.3">
      <c r="A737" s="4">
        <v>44935</v>
      </c>
      <c r="B737" s="5">
        <v>4.31229</v>
      </c>
      <c r="D737" s="4">
        <v>44935</v>
      </c>
      <c r="E737" s="5">
        <v>0.67100000000000004</v>
      </c>
    </row>
    <row r="738" spans="1:5" x14ac:dyDescent="0.3">
      <c r="A738" s="4">
        <v>44936</v>
      </c>
      <c r="B738" s="5">
        <v>4.3087099999999996</v>
      </c>
      <c r="D738" s="4">
        <v>44936</v>
      </c>
      <c r="E738" s="5">
        <v>1.1160000000000001</v>
      </c>
    </row>
    <row r="739" spans="1:5" x14ac:dyDescent="0.3">
      <c r="A739" s="4">
        <v>44937</v>
      </c>
      <c r="B739" s="5">
        <v>4.3132900000000003</v>
      </c>
      <c r="D739" s="4">
        <v>44937</v>
      </c>
      <c r="E739" s="5">
        <v>1.4259999999999999</v>
      </c>
    </row>
    <row r="740" spans="1:5" x14ac:dyDescent="0.3">
      <c r="A740" s="4">
        <v>44938</v>
      </c>
      <c r="B740" s="5">
        <v>4.3131399999999998</v>
      </c>
      <c r="D740" s="4">
        <v>44938</v>
      </c>
      <c r="E740" s="5">
        <v>1.4650000000000001</v>
      </c>
    </row>
    <row r="741" spans="1:5" x14ac:dyDescent="0.3">
      <c r="A741" s="4">
        <v>44939</v>
      </c>
      <c r="B741" s="5">
        <v>4.3137100000000004</v>
      </c>
      <c r="D741" s="4">
        <v>44939</v>
      </c>
      <c r="E741" s="5">
        <v>1.242</v>
      </c>
    </row>
    <row r="742" spans="1:5" x14ac:dyDescent="0.3">
      <c r="A742" s="4">
        <v>44942</v>
      </c>
      <c r="B742" s="5"/>
      <c r="D742" s="4">
        <v>44942</v>
      </c>
      <c r="E742" s="5">
        <v>1.5680000000000001</v>
      </c>
    </row>
    <row r="743" spans="1:5" x14ac:dyDescent="0.3">
      <c r="A743" s="4">
        <v>44943</v>
      </c>
      <c r="B743" s="5">
        <v>4.3165699999999996</v>
      </c>
      <c r="D743" s="4">
        <v>44943</v>
      </c>
      <c r="E743" s="5">
        <v>1.8520000000000001</v>
      </c>
    </row>
    <row r="744" spans="1:5" x14ac:dyDescent="0.3">
      <c r="A744" s="4">
        <v>44944</v>
      </c>
      <c r="B744" s="5">
        <v>4.3104300000000002</v>
      </c>
      <c r="D744" s="4">
        <v>44944</v>
      </c>
      <c r="E744" s="5">
        <v>1.9330000000000001</v>
      </c>
    </row>
    <row r="745" spans="1:5" x14ac:dyDescent="0.3">
      <c r="A745" s="4">
        <v>44945</v>
      </c>
      <c r="B745" s="5">
        <v>4.3094299999999999</v>
      </c>
      <c r="D745" s="4">
        <v>44945</v>
      </c>
      <c r="E745" s="5">
        <v>1.6559999999999999</v>
      </c>
    </row>
    <row r="746" spans="1:5" x14ac:dyDescent="0.3">
      <c r="A746" s="4">
        <v>44946</v>
      </c>
      <c r="B746" s="5">
        <v>4.3051399999999997</v>
      </c>
      <c r="D746" s="4">
        <v>44946</v>
      </c>
      <c r="E746" s="5">
        <v>1.8340000000000001</v>
      </c>
    </row>
    <row r="747" spans="1:5" x14ac:dyDescent="0.3">
      <c r="A747" s="4">
        <v>44956</v>
      </c>
      <c r="B747" s="5">
        <v>4.3052900000000003</v>
      </c>
      <c r="D747" s="4">
        <v>44956</v>
      </c>
      <c r="E747" s="5">
        <v>1.411</v>
      </c>
    </row>
    <row r="748" spans="1:5" x14ac:dyDescent="0.3">
      <c r="A748" s="4">
        <v>44957</v>
      </c>
      <c r="B748" s="5">
        <v>4.2984299999999998</v>
      </c>
      <c r="D748" s="4">
        <v>44957</v>
      </c>
      <c r="E748" s="5">
        <v>1.988</v>
      </c>
    </row>
    <row r="749" spans="1:5" x14ac:dyDescent="0.3">
      <c r="A749" s="4">
        <v>44958</v>
      </c>
      <c r="B749" s="5">
        <v>4.2968599999999997</v>
      </c>
      <c r="D749" s="4">
        <v>44958</v>
      </c>
      <c r="E749" s="5">
        <v>2.1190000000000002</v>
      </c>
    </row>
    <row r="750" spans="1:5" x14ac:dyDescent="0.3">
      <c r="A750" s="4">
        <v>44959</v>
      </c>
      <c r="B750" s="5"/>
      <c r="D750" s="4">
        <v>44959</v>
      </c>
      <c r="E750" s="5">
        <v>1.635</v>
      </c>
    </row>
    <row r="751" spans="1:5" x14ac:dyDescent="0.3">
      <c r="A751" s="4">
        <v>44960</v>
      </c>
      <c r="B751" s="5">
        <v>4.5527100000000003</v>
      </c>
      <c r="D751" s="4">
        <v>44960</v>
      </c>
      <c r="E751" s="5">
        <v>1.262</v>
      </c>
    </row>
    <row r="752" spans="1:5" x14ac:dyDescent="0.3">
      <c r="A752" s="4">
        <v>44963</v>
      </c>
      <c r="B752" s="5">
        <v>4.5645699999999998</v>
      </c>
      <c r="D752" s="4">
        <v>44963</v>
      </c>
      <c r="E752" s="5">
        <v>1.782</v>
      </c>
    </row>
    <row r="753" spans="1:5" x14ac:dyDescent="0.3">
      <c r="A753" s="4">
        <v>44964</v>
      </c>
      <c r="B753" s="5">
        <v>4.5532899999999996</v>
      </c>
      <c r="D753" s="4">
        <v>44964</v>
      </c>
      <c r="E753" s="5">
        <v>2.2410000000000001</v>
      </c>
    </row>
    <row r="754" spans="1:5" x14ac:dyDescent="0.3">
      <c r="A754" s="4">
        <v>44965</v>
      </c>
      <c r="B754" s="5">
        <v>4.5551399999999997</v>
      </c>
      <c r="D754" s="4">
        <v>44965</v>
      </c>
      <c r="E754" s="5">
        <v>2.3650000000000002</v>
      </c>
    </row>
    <row r="755" spans="1:5" x14ac:dyDescent="0.3">
      <c r="A755" s="4">
        <v>44966</v>
      </c>
      <c r="B755" s="5">
        <v>4.5585699999999996</v>
      </c>
      <c r="D755" s="4">
        <v>44966</v>
      </c>
      <c r="E755" s="5">
        <v>2.3180000000000001</v>
      </c>
    </row>
    <row r="756" spans="1:5" x14ac:dyDescent="0.3">
      <c r="A756" s="4">
        <v>44967</v>
      </c>
      <c r="B756" s="5">
        <v>4.5592899999999998</v>
      </c>
      <c r="D756" s="4">
        <v>44967</v>
      </c>
      <c r="E756" s="5">
        <v>1.865</v>
      </c>
    </row>
    <row r="757" spans="1:5" x14ac:dyDescent="0.3">
      <c r="A757" s="4">
        <v>44970</v>
      </c>
      <c r="B757" s="5">
        <v>4.5588600000000001</v>
      </c>
      <c r="D757" s="4">
        <v>44970</v>
      </c>
      <c r="E757" s="5">
        <v>1.4119999999999999</v>
      </c>
    </row>
    <row r="758" spans="1:5" x14ac:dyDescent="0.3">
      <c r="A758" s="4">
        <v>44971</v>
      </c>
      <c r="B758" s="5">
        <v>4.5594299999999999</v>
      </c>
      <c r="D758" s="4">
        <v>44971</v>
      </c>
      <c r="E758" s="5">
        <v>1.5760000000000001</v>
      </c>
    </row>
    <row r="759" spans="1:5" x14ac:dyDescent="0.3">
      <c r="A759" s="4">
        <v>44972</v>
      </c>
      <c r="B759" s="5">
        <v>4.5618600000000002</v>
      </c>
      <c r="D759" s="4">
        <v>44972</v>
      </c>
      <c r="E759" s="5">
        <v>1.9019999999999999</v>
      </c>
    </row>
    <row r="760" spans="1:5" x14ac:dyDescent="0.3">
      <c r="A760" s="4">
        <v>44973</v>
      </c>
      <c r="B760" s="5">
        <v>4.5581399999999999</v>
      </c>
      <c r="D760" s="4">
        <v>44973</v>
      </c>
      <c r="E760" s="5">
        <v>2.0049999999999999</v>
      </c>
    </row>
    <row r="761" spans="1:5" x14ac:dyDescent="0.3">
      <c r="A761" s="4">
        <v>44974</v>
      </c>
      <c r="B761" s="5">
        <v>4.5568600000000004</v>
      </c>
      <c r="D761" s="4">
        <v>44974</v>
      </c>
      <c r="E761" s="5">
        <v>2.1150000000000002</v>
      </c>
    </row>
    <row r="762" spans="1:5" x14ac:dyDescent="0.3">
      <c r="A762" s="4">
        <v>44977</v>
      </c>
      <c r="B762" s="5"/>
      <c r="D762" s="4">
        <v>44977</v>
      </c>
      <c r="E762" s="5">
        <v>2.157</v>
      </c>
    </row>
    <row r="763" spans="1:5" x14ac:dyDescent="0.3">
      <c r="A763" s="4">
        <v>44978</v>
      </c>
      <c r="B763" s="5">
        <v>4.5598599999999996</v>
      </c>
      <c r="D763" s="4">
        <v>44978</v>
      </c>
      <c r="E763" s="5">
        <v>2.1949999999999998</v>
      </c>
    </row>
    <row r="764" spans="1:5" x14ac:dyDescent="0.3">
      <c r="A764" s="4">
        <v>44979</v>
      </c>
      <c r="B764" s="5">
        <v>4.5568600000000004</v>
      </c>
      <c r="D764" s="4">
        <v>44979</v>
      </c>
      <c r="E764" s="5">
        <v>1.7649999999999999</v>
      </c>
    </row>
    <row r="765" spans="1:5" x14ac:dyDescent="0.3">
      <c r="A765" s="4">
        <v>44980</v>
      </c>
      <c r="B765" s="5">
        <v>4.5645699999999998</v>
      </c>
      <c r="D765" s="4">
        <v>44980</v>
      </c>
      <c r="E765" s="5">
        <v>1.4750000000000001</v>
      </c>
    </row>
    <row r="766" spans="1:5" x14ac:dyDescent="0.3">
      <c r="A766" s="4">
        <v>44981</v>
      </c>
      <c r="B766" s="5">
        <v>4.5617099999999997</v>
      </c>
      <c r="D766" s="4">
        <v>44981</v>
      </c>
      <c r="E766" s="5">
        <v>1.4330000000000001</v>
      </c>
    </row>
    <row r="767" spans="1:5" x14ac:dyDescent="0.3">
      <c r="A767" s="4">
        <v>44984</v>
      </c>
      <c r="B767" s="5">
        <v>4.5564299999999998</v>
      </c>
      <c r="D767" s="4">
        <v>44984</v>
      </c>
      <c r="E767" s="5">
        <v>1.8169999999999999</v>
      </c>
    </row>
    <row r="768" spans="1:5" x14ac:dyDescent="0.3">
      <c r="A768" s="4">
        <v>44985</v>
      </c>
      <c r="B768" s="5">
        <v>4.5532899999999996</v>
      </c>
      <c r="D768" s="4">
        <v>44985</v>
      </c>
      <c r="E768" s="5">
        <v>2.0830000000000002</v>
      </c>
    </row>
    <row r="769" spans="1:5" x14ac:dyDescent="0.3">
      <c r="A769" s="4">
        <v>44986</v>
      </c>
      <c r="B769" s="5">
        <v>4.5571400000000004</v>
      </c>
      <c r="D769" s="4">
        <v>44986</v>
      </c>
      <c r="E769" s="5">
        <v>2.0870000000000002</v>
      </c>
    </row>
    <row r="770" spans="1:5" x14ac:dyDescent="0.3">
      <c r="A770" s="4">
        <v>44987</v>
      </c>
      <c r="B770" s="5">
        <v>4.5592899999999998</v>
      </c>
      <c r="D770" s="4">
        <v>44987</v>
      </c>
      <c r="E770" s="5">
        <v>1.62</v>
      </c>
    </row>
    <row r="771" spans="1:5" x14ac:dyDescent="0.3">
      <c r="A771" s="4">
        <v>44988</v>
      </c>
      <c r="B771" s="5">
        <v>4.5595699999999999</v>
      </c>
      <c r="D771" s="4">
        <v>44988</v>
      </c>
      <c r="E771" s="5">
        <v>1.2909999999999999</v>
      </c>
    </row>
    <row r="772" spans="1:5" x14ac:dyDescent="0.3">
      <c r="A772" s="4">
        <v>44991</v>
      </c>
      <c r="B772" s="5">
        <v>4.5628599999999997</v>
      </c>
      <c r="D772" s="4">
        <v>44991</v>
      </c>
      <c r="E772" s="5">
        <v>1.2310000000000001</v>
      </c>
    </row>
    <row r="773" spans="1:5" x14ac:dyDescent="0.3">
      <c r="A773" s="4">
        <v>44992</v>
      </c>
      <c r="B773" s="5">
        <v>4.56229</v>
      </c>
      <c r="D773" s="4">
        <v>44992</v>
      </c>
      <c r="E773" s="5">
        <v>1.4359999999999999</v>
      </c>
    </row>
    <row r="774" spans="1:5" x14ac:dyDescent="0.3">
      <c r="A774" s="4">
        <v>44993</v>
      </c>
      <c r="B774" s="5">
        <v>4.5581399999999999</v>
      </c>
      <c r="D774" s="4">
        <v>44993</v>
      </c>
      <c r="E774" s="5">
        <v>1.6479999999999999</v>
      </c>
    </row>
    <row r="775" spans="1:5" x14ac:dyDescent="0.3">
      <c r="A775" s="4">
        <v>44994</v>
      </c>
      <c r="B775" s="5">
        <v>4.56114</v>
      </c>
      <c r="D775" s="4">
        <v>44994</v>
      </c>
      <c r="E775" s="5">
        <v>1.373</v>
      </c>
    </row>
    <row r="776" spans="1:5" x14ac:dyDescent="0.3">
      <c r="A776" s="4">
        <v>44995</v>
      </c>
      <c r="B776" s="5">
        <v>4.5571400000000004</v>
      </c>
      <c r="D776" s="4">
        <v>44995</v>
      </c>
      <c r="E776" s="5">
        <v>1.829</v>
      </c>
    </row>
    <row r="777" spans="1:5" x14ac:dyDescent="0.3">
      <c r="A777" s="4">
        <v>44998</v>
      </c>
      <c r="B777" s="5">
        <v>4.556</v>
      </c>
      <c r="D777" s="4">
        <v>44998</v>
      </c>
      <c r="E777" s="5">
        <v>1.6140000000000001</v>
      </c>
    </row>
    <row r="778" spans="1:5" x14ac:dyDescent="0.3">
      <c r="A778" s="4">
        <v>44999</v>
      </c>
      <c r="B778" s="5">
        <v>4.5535699999999997</v>
      </c>
      <c r="D778" s="4">
        <v>44999</v>
      </c>
      <c r="E778" s="5">
        <v>1.829</v>
      </c>
    </row>
    <row r="779" spans="1:5" x14ac:dyDescent="0.3">
      <c r="A779" s="4">
        <v>45000</v>
      </c>
      <c r="B779" s="5">
        <v>4.5597099999999999</v>
      </c>
      <c r="D779" s="4">
        <v>45000</v>
      </c>
      <c r="E779" s="5">
        <v>2.109</v>
      </c>
    </row>
    <row r="780" spans="1:5" x14ac:dyDescent="0.3">
      <c r="A780" s="4">
        <v>45001</v>
      </c>
      <c r="B780" s="5">
        <v>4.5508600000000001</v>
      </c>
      <c r="D780" s="4">
        <v>45001</v>
      </c>
      <c r="E780" s="5">
        <v>2.294</v>
      </c>
    </row>
    <row r="781" spans="1:5" x14ac:dyDescent="0.3">
      <c r="A781" s="4">
        <v>45002</v>
      </c>
      <c r="B781" s="5">
        <v>4.5608599999999999</v>
      </c>
      <c r="D781" s="4">
        <v>45002</v>
      </c>
      <c r="E781" s="5">
        <v>2.262</v>
      </c>
    </row>
    <row r="782" spans="1:5" x14ac:dyDescent="0.3">
      <c r="A782" s="4">
        <v>45005</v>
      </c>
      <c r="B782" s="5">
        <v>4.5555700000000003</v>
      </c>
      <c r="D782" s="4">
        <v>45005</v>
      </c>
      <c r="E782" s="5">
        <v>2.2730000000000001</v>
      </c>
    </row>
    <row r="783" spans="1:5" x14ac:dyDescent="0.3">
      <c r="A783" s="4">
        <v>45006</v>
      </c>
      <c r="B783" s="5">
        <v>4.5605700000000002</v>
      </c>
      <c r="D783" s="4">
        <v>45006</v>
      </c>
      <c r="E783" s="5">
        <v>2.4590000000000001</v>
      </c>
    </row>
    <row r="784" spans="1:5" x14ac:dyDescent="0.3">
      <c r="A784" s="4">
        <v>45007</v>
      </c>
      <c r="B784" s="5">
        <v>4.5585699999999996</v>
      </c>
      <c r="D784" s="4">
        <v>45007</v>
      </c>
      <c r="E784" s="5">
        <v>2.024</v>
      </c>
    </row>
    <row r="785" spans="1:5" x14ac:dyDescent="0.3">
      <c r="A785" s="4">
        <v>45008</v>
      </c>
      <c r="B785" s="5">
        <v>4.8071400000000004</v>
      </c>
      <c r="D785" s="4">
        <v>45008</v>
      </c>
      <c r="E785" s="5">
        <v>1.5580000000000001</v>
      </c>
    </row>
    <row r="786" spans="1:5" x14ac:dyDescent="0.3">
      <c r="A786" s="4">
        <v>45009</v>
      </c>
      <c r="B786" s="5">
        <v>4.8088600000000001</v>
      </c>
      <c r="D786" s="4">
        <v>45009</v>
      </c>
      <c r="E786" s="5">
        <v>1.288</v>
      </c>
    </row>
    <row r="787" spans="1:5" x14ac:dyDescent="0.3">
      <c r="A787" s="4">
        <v>45012</v>
      </c>
      <c r="B787" s="5">
        <v>4.8087099999999996</v>
      </c>
      <c r="D787" s="4">
        <v>45012</v>
      </c>
      <c r="E787" s="5">
        <v>1.1060000000000001</v>
      </c>
    </row>
    <row r="788" spans="1:5" x14ac:dyDescent="0.3">
      <c r="A788" s="4">
        <v>45013</v>
      </c>
      <c r="B788" s="5">
        <v>4.8109999999999999</v>
      </c>
      <c r="D788" s="4">
        <v>45013</v>
      </c>
      <c r="E788" s="5">
        <v>1.121</v>
      </c>
    </row>
    <row r="789" spans="1:5" x14ac:dyDescent="0.3">
      <c r="A789" s="4">
        <v>45014</v>
      </c>
      <c r="B789" s="5">
        <v>4.8115699999999997</v>
      </c>
      <c r="D789" s="4">
        <v>45014</v>
      </c>
      <c r="E789" s="5">
        <v>0.90100000000000002</v>
      </c>
    </row>
    <row r="790" spans="1:5" x14ac:dyDescent="0.3">
      <c r="A790" s="4">
        <v>45015</v>
      </c>
      <c r="B790" s="5">
        <v>4.8114299999999997</v>
      </c>
      <c r="D790" s="4">
        <v>45015</v>
      </c>
      <c r="E790" s="5">
        <v>0.83599999999999997</v>
      </c>
    </row>
    <row r="791" spans="1:5" x14ac:dyDescent="0.3">
      <c r="A791" s="4">
        <v>45016</v>
      </c>
      <c r="B791" s="5">
        <v>4.8008600000000001</v>
      </c>
      <c r="D791" s="4">
        <v>45016</v>
      </c>
      <c r="E791" s="5">
        <v>1.8380000000000001</v>
      </c>
    </row>
    <row r="792" spans="1:5" x14ac:dyDescent="0.3">
      <c r="A792" s="4">
        <v>45019</v>
      </c>
      <c r="B792" s="5">
        <v>4.8062899999999997</v>
      </c>
      <c r="D792" s="4">
        <v>45019</v>
      </c>
      <c r="E792" s="5">
        <v>1.3540000000000001</v>
      </c>
    </row>
    <row r="793" spans="1:5" x14ac:dyDescent="0.3">
      <c r="A793" s="4">
        <v>45020</v>
      </c>
      <c r="B793" s="5">
        <v>4.8117099999999997</v>
      </c>
      <c r="D793" s="4">
        <v>45020</v>
      </c>
      <c r="E793" s="5">
        <v>1.103</v>
      </c>
    </row>
    <row r="794" spans="1:5" x14ac:dyDescent="0.3">
      <c r="A794" s="4">
        <v>45022</v>
      </c>
      <c r="B794" s="5">
        <v>4.8097099999999999</v>
      </c>
      <c r="D794" s="4">
        <v>45022</v>
      </c>
      <c r="E794" s="5">
        <v>1.34</v>
      </c>
    </row>
    <row r="795" spans="1:5" x14ac:dyDescent="0.3">
      <c r="A795" s="4">
        <v>45023</v>
      </c>
      <c r="B795" s="5"/>
      <c r="D795" s="4">
        <v>45023</v>
      </c>
      <c r="E795" s="5">
        <v>1.3740000000000001</v>
      </c>
    </row>
    <row r="796" spans="1:5" x14ac:dyDescent="0.3">
      <c r="A796" s="4">
        <v>45026</v>
      </c>
      <c r="B796" s="5"/>
      <c r="D796" s="4">
        <v>45026</v>
      </c>
      <c r="E796" s="5">
        <v>1.3240000000000001</v>
      </c>
    </row>
    <row r="797" spans="1:5" x14ac:dyDescent="0.3">
      <c r="A797" s="4">
        <v>45027</v>
      </c>
      <c r="B797" s="5">
        <v>4.8162900000000004</v>
      </c>
      <c r="D797" s="4">
        <v>45027</v>
      </c>
      <c r="E797" s="5">
        <v>1.421</v>
      </c>
    </row>
    <row r="798" spans="1:5" x14ac:dyDescent="0.3">
      <c r="A798" s="4">
        <v>45028</v>
      </c>
      <c r="B798" s="5">
        <v>4.8148600000000004</v>
      </c>
      <c r="D798" s="4">
        <v>45028</v>
      </c>
      <c r="E798" s="5">
        <v>1.39</v>
      </c>
    </row>
    <row r="799" spans="1:5" x14ac:dyDescent="0.3">
      <c r="A799" s="4">
        <v>45029</v>
      </c>
      <c r="B799" s="5">
        <v>4.8121400000000003</v>
      </c>
      <c r="D799" s="4">
        <v>45029</v>
      </c>
      <c r="E799" s="5">
        <v>1.3260000000000001</v>
      </c>
    </row>
    <row r="800" spans="1:5" x14ac:dyDescent="0.3">
      <c r="A800" s="4">
        <v>45030</v>
      </c>
      <c r="B800" s="5">
        <v>4.8147099999999998</v>
      </c>
      <c r="D800" s="4">
        <v>45030</v>
      </c>
      <c r="E800" s="5">
        <v>1.605</v>
      </c>
    </row>
    <row r="801" spans="1:5" x14ac:dyDescent="0.3">
      <c r="A801" s="4">
        <v>45033</v>
      </c>
      <c r="B801" s="5">
        <v>4.8087099999999996</v>
      </c>
      <c r="D801" s="4">
        <v>45033</v>
      </c>
      <c r="E801" s="5">
        <v>1.8180000000000001</v>
      </c>
    </row>
    <row r="802" spans="1:5" x14ac:dyDescent="0.3">
      <c r="A802" s="4">
        <v>45034</v>
      </c>
      <c r="B802" s="5">
        <v>4.8087099999999996</v>
      </c>
      <c r="D802" s="4">
        <v>45034</v>
      </c>
      <c r="E802" s="5">
        <v>2.0470000000000002</v>
      </c>
    </row>
    <row r="803" spans="1:5" x14ac:dyDescent="0.3">
      <c r="A803" s="4">
        <v>45035</v>
      </c>
      <c r="B803" s="5">
        <v>4.8067099999999998</v>
      </c>
      <c r="D803" s="4">
        <v>45035</v>
      </c>
      <c r="E803" s="5">
        <v>2.13</v>
      </c>
    </row>
    <row r="804" spans="1:5" x14ac:dyDescent="0.3">
      <c r="A804" s="4">
        <v>45036</v>
      </c>
      <c r="B804" s="5">
        <v>4.8067099999999998</v>
      </c>
      <c r="D804" s="4">
        <v>45036</v>
      </c>
      <c r="E804" s="5">
        <v>2.2069999999999999</v>
      </c>
    </row>
    <row r="805" spans="1:5" x14ac:dyDescent="0.3">
      <c r="A805" s="4">
        <v>45037</v>
      </c>
      <c r="B805" s="5">
        <v>4.8067099999999998</v>
      </c>
      <c r="D805" s="4">
        <v>45037</v>
      </c>
      <c r="E805" s="5">
        <v>2.2719999999999998</v>
      </c>
    </row>
    <row r="806" spans="1:5" x14ac:dyDescent="0.3">
      <c r="A806" s="4">
        <v>45040</v>
      </c>
      <c r="B806" s="5">
        <v>4.8077100000000002</v>
      </c>
      <c r="D806" s="4">
        <v>45040</v>
      </c>
      <c r="E806" s="5">
        <v>1.599</v>
      </c>
    </row>
    <row r="807" spans="1:5" x14ac:dyDescent="0.3">
      <c r="A807" s="4">
        <v>45041</v>
      </c>
      <c r="B807" s="5">
        <v>4.8007099999999996</v>
      </c>
      <c r="D807" s="4">
        <v>45041</v>
      </c>
      <c r="E807" s="5">
        <v>1.6830000000000001</v>
      </c>
    </row>
    <row r="808" spans="1:5" x14ac:dyDescent="0.3">
      <c r="A808" s="4">
        <v>45042</v>
      </c>
      <c r="B808" s="5">
        <v>4.7957099999999997</v>
      </c>
      <c r="D808" s="4">
        <v>45042</v>
      </c>
      <c r="E808" s="5">
        <v>1.2170000000000001</v>
      </c>
    </row>
    <row r="809" spans="1:5" x14ac:dyDescent="0.3">
      <c r="A809" s="4">
        <v>45043</v>
      </c>
      <c r="B809" s="5">
        <v>4.8101399999999996</v>
      </c>
      <c r="D809" s="4">
        <v>45043</v>
      </c>
      <c r="E809" s="5">
        <v>0.86799999999999999</v>
      </c>
    </row>
    <row r="810" spans="1:5" x14ac:dyDescent="0.3">
      <c r="A810" s="4">
        <v>45044</v>
      </c>
      <c r="B810" s="5">
        <v>4.8109999999999999</v>
      </c>
      <c r="D810" s="4">
        <v>45044</v>
      </c>
      <c r="E810" s="5">
        <v>2.1339999999999999</v>
      </c>
    </row>
    <row r="811" spans="1:5" x14ac:dyDescent="0.3">
      <c r="A811" s="4">
        <v>45050</v>
      </c>
      <c r="B811" s="5">
        <v>5.0587099999999996</v>
      </c>
      <c r="D811" s="4">
        <v>45050</v>
      </c>
      <c r="E811" s="5">
        <v>1.6579999999999999</v>
      </c>
    </row>
    <row r="812" spans="1:5" x14ac:dyDescent="0.3">
      <c r="A812" s="4">
        <v>45051</v>
      </c>
      <c r="B812" s="5">
        <v>5.0598599999999996</v>
      </c>
      <c r="D812" s="4">
        <v>45051</v>
      </c>
      <c r="E812" s="5">
        <v>1.234</v>
      </c>
    </row>
    <row r="813" spans="1:5" x14ac:dyDescent="0.3">
      <c r="A813" s="4">
        <v>45054</v>
      </c>
      <c r="B813" s="5"/>
      <c r="D813" s="4">
        <v>45054</v>
      </c>
      <c r="E813" s="5">
        <v>1.4079999999999999</v>
      </c>
    </row>
    <row r="814" spans="1:5" x14ac:dyDescent="0.3">
      <c r="A814" s="4">
        <v>45055</v>
      </c>
      <c r="B814" s="5">
        <v>5.0614299999999997</v>
      </c>
      <c r="D814" s="4">
        <v>45055</v>
      </c>
      <c r="E814" s="5">
        <v>1.2390000000000001</v>
      </c>
    </row>
    <row r="815" spans="1:5" x14ac:dyDescent="0.3">
      <c r="A815" s="4">
        <v>45056</v>
      </c>
      <c r="B815" s="5">
        <v>5.0602900000000002</v>
      </c>
      <c r="D815" s="4">
        <v>45056</v>
      </c>
      <c r="E815" s="5">
        <v>1.1100000000000001</v>
      </c>
    </row>
    <row r="816" spans="1:5" x14ac:dyDescent="0.3">
      <c r="A816" s="4">
        <v>45057</v>
      </c>
      <c r="B816" s="5">
        <v>5.0617099999999997</v>
      </c>
      <c r="D816" s="4">
        <v>45057</v>
      </c>
      <c r="E816" s="5">
        <v>1.1020000000000001</v>
      </c>
    </row>
    <row r="817" spans="1:5" x14ac:dyDescent="0.3">
      <c r="A817" s="4">
        <v>45058</v>
      </c>
      <c r="B817" s="5">
        <v>5.0614299999999997</v>
      </c>
      <c r="D817" s="4">
        <v>45058</v>
      </c>
      <c r="E817" s="5">
        <v>1.32</v>
      </c>
    </row>
    <row r="818" spans="1:5" x14ac:dyDescent="0.3">
      <c r="A818" s="4">
        <v>45061</v>
      </c>
      <c r="B818" s="5">
        <v>5.06229</v>
      </c>
      <c r="D818" s="4">
        <v>45061</v>
      </c>
      <c r="E818" s="5">
        <v>1.5229999999999999</v>
      </c>
    </row>
    <row r="819" spans="1:5" x14ac:dyDescent="0.3">
      <c r="A819" s="4">
        <v>45062</v>
      </c>
      <c r="B819" s="5">
        <v>5.0618600000000002</v>
      </c>
      <c r="D819" s="4">
        <v>45062</v>
      </c>
      <c r="E819" s="5">
        <v>1.476</v>
      </c>
    </row>
    <row r="820" spans="1:5" x14ac:dyDescent="0.3">
      <c r="A820" s="4">
        <v>45063</v>
      </c>
      <c r="B820" s="5">
        <v>5.0604300000000002</v>
      </c>
      <c r="D820" s="4">
        <v>45063</v>
      </c>
      <c r="E820" s="5">
        <v>1.54</v>
      </c>
    </row>
    <row r="821" spans="1:5" x14ac:dyDescent="0.3">
      <c r="A821" s="4">
        <v>45064</v>
      </c>
      <c r="B821" s="5">
        <v>5.0605700000000002</v>
      </c>
      <c r="D821" s="4">
        <v>45064</v>
      </c>
      <c r="E821" s="5">
        <v>1.4630000000000001</v>
      </c>
    </row>
    <row r="822" spans="1:5" x14ac:dyDescent="0.3">
      <c r="A822" s="4">
        <v>45065</v>
      </c>
      <c r="B822" s="5">
        <v>5.0652900000000001</v>
      </c>
      <c r="D822" s="4">
        <v>45065</v>
      </c>
      <c r="E822" s="5">
        <v>1.4079999999999999</v>
      </c>
    </row>
    <row r="823" spans="1:5" x14ac:dyDescent="0.3">
      <c r="A823" s="4">
        <v>45068</v>
      </c>
      <c r="B823" s="5">
        <v>5.0621400000000003</v>
      </c>
      <c r="D823" s="4">
        <v>45068</v>
      </c>
      <c r="E823" s="5">
        <v>1.276</v>
      </c>
    </row>
    <row r="824" spans="1:5" x14ac:dyDescent="0.3">
      <c r="A824" s="4">
        <v>45069</v>
      </c>
      <c r="B824" s="5">
        <v>5.0661399999999999</v>
      </c>
      <c r="D824" s="4">
        <v>45069</v>
      </c>
      <c r="E824" s="5">
        <v>1.224</v>
      </c>
    </row>
    <row r="825" spans="1:5" x14ac:dyDescent="0.3">
      <c r="A825" s="4">
        <v>45070</v>
      </c>
      <c r="B825" s="5">
        <v>5.0618600000000002</v>
      </c>
      <c r="D825" s="4">
        <v>45070</v>
      </c>
      <c r="E825" s="5">
        <v>1.2709999999999999</v>
      </c>
    </row>
    <row r="826" spans="1:5" x14ac:dyDescent="0.3">
      <c r="A826" s="4">
        <v>45071</v>
      </c>
      <c r="B826" s="5">
        <v>5.0628599999999997</v>
      </c>
      <c r="D826" s="4">
        <v>45071</v>
      </c>
      <c r="E826" s="5">
        <v>1.5780000000000001</v>
      </c>
    </row>
    <row r="827" spans="1:5" x14ac:dyDescent="0.3">
      <c r="A827" s="4">
        <v>45072</v>
      </c>
      <c r="B827" s="5">
        <v>5.0654300000000001</v>
      </c>
      <c r="D827" s="4">
        <v>45072</v>
      </c>
      <c r="E827" s="5">
        <v>1.4379999999999999</v>
      </c>
    </row>
    <row r="828" spans="1:5" x14ac:dyDescent="0.3">
      <c r="A828" s="4">
        <v>45075</v>
      </c>
      <c r="B828" s="5"/>
      <c r="D828" s="4">
        <v>45075</v>
      </c>
      <c r="E828" s="5">
        <v>1.37</v>
      </c>
    </row>
    <row r="829" spans="1:5" x14ac:dyDescent="0.3">
      <c r="A829" s="4">
        <v>45076</v>
      </c>
      <c r="B829" s="5">
        <v>5.0655700000000001</v>
      </c>
      <c r="D829" s="4">
        <v>45076</v>
      </c>
      <c r="E829" s="5">
        <v>1.296</v>
      </c>
    </row>
    <row r="830" spans="1:5" x14ac:dyDescent="0.3">
      <c r="A830" s="4">
        <v>45077</v>
      </c>
      <c r="B830" s="5">
        <v>5.0637100000000004</v>
      </c>
      <c r="D830" s="4">
        <v>45077</v>
      </c>
      <c r="E830" s="5">
        <v>1.716</v>
      </c>
    </row>
    <row r="831" spans="1:5" x14ac:dyDescent="0.3">
      <c r="A831" s="4">
        <v>45078</v>
      </c>
      <c r="B831" s="5">
        <v>5.0647099999999998</v>
      </c>
      <c r="D831" s="4">
        <v>45078</v>
      </c>
      <c r="E831" s="5">
        <v>1.74</v>
      </c>
    </row>
    <row r="832" spans="1:5" x14ac:dyDescent="0.3">
      <c r="A832" s="4">
        <v>45079</v>
      </c>
      <c r="B832" s="5">
        <v>5.0655700000000001</v>
      </c>
      <c r="D832" s="4">
        <v>45079</v>
      </c>
      <c r="E832" s="5">
        <v>1.3069999999999999</v>
      </c>
    </row>
    <row r="833" spans="1:5" x14ac:dyDescent="0.3">
      <c r="A833" s="4">
        <v>45082</v>
      </c>
      <c r="B833" s="5">
        <v>5.0647099999999998</v>
      </c>
      <c r="D833" s="4">
        <v>45082</v>
      </c>
      <c r="E833" s="5">
        <v>1.23</v>
      </c>
    </row>
    <row r="834" spans="1:5" x14ac:dyDescent="0.3">
      <c r="A834" s="4">
        <v>45083</v>
      </c>
      <c r="B834" s="5">
        <v>5.0687100000000003</v>
      </c>
      <c r="D834" s="4">
        <v>45083</v>
      </c>
      <c r="E834" s="5">
        <v>1.2749999999999999</v>
      </c>
    </row>
    <row r="835" spans="1:5" x14ac:dyDescent="0.3">
      <c r="A835" s="4">
        <v>45084</v>
      </c>
      <c r="B835" s="5">
        <v>5.0661399999999999</v>
      </c>
      <c r="D835" s="4">
        <v>45084</v>
      </c>
      <c r="E835" s="5">
        <v>1.4039999999999999</v>
      </c>
    </row>
    <row r="836" spans="1:5" x14ac:dyDescent="0.3">
      <c r="A836" s="4">
        <v>45085</v>
      </c>
      <c r="B836" s="5">
        <v>5.0692899999999996</v>
      </c>
      <c r="D836" s="4">
        <v>45085</v>
      </c>
      <c r="E836" s="5">
        <v>1.339</v>
      </c>
    </row>
    <row r="837" spans="1:5" x14ac:dyDescent="0.3">
      <c r="A837" s="4">
        <v>45086</v>
      </c>
      <c r="B837" s="5">
        <v>5.0667099999999996</v>
      </c>
      <c r="D837" s="4">
        <v>45086</v>
      </c>
      <c r="E837" s="5">
        <v>1.2509999999999999</v>
      </c>
    </row>
    <row r="838" spans="1:5" x14ac:dyDescent="0.3">
      <c r="A838" s="4">
        <v>45089</v>
      </c>
      <c r="B838" s="5">
        <v>5.0687100000000003</v>
      </c>
      <c r="D838" s="4">
        <v>45089</v>
      </c>
      <c r="E838" s="5">
        <v>1.2889999999999999</v>
      </c>
    </row>
    <row r="839" spans="1:5" x14ac:dyDescent="0.3">
      <c r="A839" s="4">
        <v>45090</v>
      </c>
      <c r="B839" s="5">
        <v>5.0688599999999999</v>
      </c>
      <c r="D839" s="4">
        <v>45090</v>
      </c>
      <c r="E839" s="5">
        <v>1.673</v>
      </c>
    </row>
    <row r="840" spans="1:5" x14ac:dyDescent="0.3">
      <c r="A840" s="4">
        <v>45091</v>
      </c>
      <c r="B840" s="5">
        <v>5.0654300000000001</v>
      </c>
      <c r="D840" s="4">
        <v>45091</v>
      </c>
      <c r="E840" s="5">
        <v>1.321</v>
      </c>
    </row>
    <row r="841" spans="1:5" x14ac:dyDescent="0.3">
      <c r="A841" s="4">
        <v>45092</v>
      </c>
      <c r="B841" s="5">
        <v>5.0761399999999997</v>
      </c>
      <c r="D841" s="4">
        <v>45092</v>
      </c>
      <c r="E841" s="5">
        <v>1.43</v>
      </c>
    </row>
    <row r="842" spans="1:5" x14ac:dyDescent="0.3">
      <c r="A842" s="4">
        <v>45093</v>
      </c>
      <c r="B842" s="5">
        <v>5.0651400000000004</v>
      </c>
      <c r="D842" s="4">
        <v>45093</v>
      </c>
      <c r="E842" s="5">
        <v>1.92</v>
      </c>
    </row>
    <row r="843" spans="1:5" x14ac:dyDescent="0.3">
      <c r="A843" s="4">
        <v>45096</v>
      </c>
      <c r="B843" s="5"/>
      <c r="D843" s="4">
        <v>45096</v>
      </c>
      <c r="E843" s="5">
        <v>2.2280000000000002</v>
      </c>
    </row>
    <row r="844" spans="1:5" x14ac:dyDescent="0.3">
      <c r="A844" s="4">
        <v>45097</v>
      </c>
      <c r="B844" s="5">
        <v>5.0752899999999999</v>
      </c>
      <c r="D844" s="4">
        <v>45097</v>
      </c>
      <c r="E844" s="5">
        <v>1.9890000000000001</v>
      </c>
    </row>
    <row r="845" spans="1:5" x14ac:dyDescent="0.3">
      <c r="A845" s="4">
        <v>45098</v>
      </c>
      <c r="B845" s="5">
        <v>5.06271</v>
      </c>
      <c r="D845" s="4">
        <v>45098</v>
      </c>
      <c r="E845" s="5">
        <v>1.8440000000000001</v>
      </c>
    </row>
    <row r="846" spans="1:5" x14ac:dyDescent="0.3">
      <c r="A846" s="4">
        <v>45103</v>
      </c>
      <c r="B846" s="5">
        <v>5.0629999999999997</v>
      </c>
      <c r="D846" s="4">
        <v>45103</v>
      </c>
      <c r="E846" s="5">
        <v>1.1499999999999999</v>
      </c>
    </row>
    <row r="847" spans="1:5" x14ac:dyDescent="0.3">
      <c r="A847" s="4">
        <v>45104</v>
      </c>
      <c r="B847" s="5">
        <v>5.06386</v>
      </c>
      <c r="D847" s="4">
        <v>45104</v>
      </c>
      <c r="E847" s="5">
        <v>1.1120000000000001</v>
      </c>
    </row>
    <row r="848" spans="1:5" x14ac:dyDescent="0.3">
      <c r="A848" s="4">
        <v>45105</v>
      </c>
      <c r="B848" s="5">
        <v>5.0661399999999999</v>
      </c>
      <c r="D848" s="4">
        <v>45105</v>
      </c>
      <c r="E848" s="5">
        <v>1.107</v>
      </c>
    </row>
    <row r="849" spans="1:5" x14ac:dyDescent="0.3">
      <c r="A849" s="4">
        <v>45106</v>
      </c>
      <c r="B849" s="5">
        <v>5.0512899999999998</v>
      </c>
      <c r="D849" s="4">
        <v>45106</v>
      </c>
      <c r="E849" s="5">
        <v>1.0860000000000001</v>
      </c>
    </row>
    <row r="850" spans="1:5" x14ac:dyDescent="0.3">
      <c r="A850" s="4">
        <v>45107</v>
      </c>
      <c r="B850" s="5">
        <v>5.0615699999999997</v>
      </c>
      <c r="D850" s="4">
        <v>45107</v>
      </c>
      <c r="E850" s="5">
        <v>1.484</v>
      </c>
    </row>
    <row r="851" spans="1:5" x14ac:dyDescent="0.3">
      <c r="A851" s="4">
        <v>45110</v>
      </c>
      <c r="B851" s="5"/>
      <c r="D851" s="4">
        <v>45110</v>
      </c>
      <c r="E851" s="5">
        <v>1.056</v>
      </c>
    </row>
    <row r="852" spans="1:5" x14ac:dyDescent="0.3">
      <c r="A852" s="4">
        <v>45111</v>
      </c>
      <c r="B852" s="5"/>
      <c r="D852" s="4">
        <v>45111</v>
      </c>
      <c r="E852" s="5">
        <v>1.1879999999999999</v>
      </c>
    </row>
    <row r="853" spans="1:5" x14ac:dyDescent="0.3">
      <c r="A853" s="4">
        <v>45112</v>
      </c>
      <c r="B853" s="5"/>
      <c r="D853" s="4">
        <v>45112</v>
      </c>
      <c r="E853" s="5">
        <v>1.117</v>
      </c>
    </row>
    <row r="854" spans="1:5" x14ac:dyDescent="0.3">
      <c r="A854" s="4">
        <v>45113</v>
      </c>
      <c r="B854" s="5"/>
      <c r="D854" s="4">
        <v>45113</v>
      </c>
      <c r="E854" s="5">
        <v>1.048</v>
      </c>
    </row>
    <row r="855" spans="1:5" x14ac:dyDescent="0.3">
      <c r="A855" s="4">
        <v>45114</v>
      </c>
      <c r="B855" s="5"/>
      <c r="D855" s="4">
        <v>45114</v>
      </c>
      <c r="E855" s="5">
        <v>1.1040000000000001</v>
      </c>
    </row>
    <row r="856" spans="1:5" x14ac:dyDescent="0.3">
      <c r="A856" s="4">
        <v>45117</v>
      </c>
      <c r="B856" s="5"/>
      <c r="D856" s="4">
        <v>45117</v>
      </c>
      <c r="E856" s="5">
        <v>1.1539999999999999</v>
      </c>
    </row>
    <row r="857" spans="1:5" x14ac:dyDescent="0.3">
      <c r="A857" s="4">
        <v>45118</v>
      </c>
      <c r="B857" s="5"/>
      <c r="D857" s="4">
        <v>45118</v>
      </c>
      <c r="E857" s="5">
        <v>1.1830000000000001</v>
      </c>
    </row>
    <row r="858" spans="1:5" x14ac:dyDescent="0.3">
      <c r="A858" s="4">
        <v>45119</v>
      </c>
      <c r="B858" s="5"/>
      <c r="D858" s="4">
        <v>45119</v>
      </c>
      <c r="E858" s="5">
        <v>1.2350000000000001</v>
      </c>
    </row>
    <row r="859" spans="1:5" x14ac:dyDescent="0.3">
      <c r="A859" s="4">
        <v>45120</v>
      </c>
      <c r="B859" s="5"/>
      <c r="D859" s="4">
        <v>45120</v>
      </c>
      <c r="E859" s="5">
        <v>1.4390000000000001</v>
      </c>
    </row>
    <row r="860" spans="1:5" x14ac:dyDescent="0.3">
      <c r="A860" s="4">
        <v>45121</v>
      </c>
      <c r="B860" s="5"/>
      <c r="D860" s="4">
        <v>45121</v>
      </c>
      <c r="E860" s="5">
        <v>1.3320000000000001</v>
      </c>
    </row>
    <row r="861" spans="1:5" x14ac:dyDescent="0.3">
      <c r="A861" s="4">
        <v>45124</v>
      </c>
      <c r="B861" s="5"/>
      <c r="D861" s="4">
        <v>45124</v>
      </c>
      <c r="E861" s="5">
        <v>1.3120000000000001</v>
      </c>
    </row>
    <row r="862" spans="1:5" x14ac:dyDescent="0.3">
      <c r="A862" s="4">
        <v>45125</v>
      </c>
      <c r="B862" s="5"/>
      <c r="D862" s="4">
        <v>45125</v>
      </c>
      <c r="E862" s="5">
        <v>1.5309999999999999</v>
      </c>
    </row>
    <row r="863" spans="1:5" x14ac:dyDescent="0.3">
      <c r="A863" s="4">
        <v>45126</v>
      </c>
      <c r="B863" s="5"/>
      <c r="D863" s="4">
        <v>45126</v>
      </c>
      <c r="E863" s="5">
        <v>1.65</v>
      </c>
    </row>
    <row r="864" spans="1:5" x14ac:dyDescent="0.3">
      <c r="A864" s="4">
        <v>45127</v>
      </c>
      <c r="B864" s="5"/>
      <c r="D864" s="4">
        <v>45127</v>
      </c>
      <c r="E864" s="5">
        <v>1.5580000000000001</v>
      </c>
    </row>
    <row r="865" spans="1:5" x14ac:dyDescent="0.3">
      <c r="A865" s="4">
        <v>45128</v>
      </c>
      <c r="B865" s="5"/>
      <c r="D865" s="4">
        <v>45128</v>
      </c>
      <c r="E865" s="5">
        <v>1.5309999999999999</v>
      </c>
    </row>
    <row r="866" spans="1:5" x14ac:dyDescent="0.3">
      <c r="A866" s="4">
        <v>45131</v>
      </c>
      <c r="B866" s="5"/>
      <c r="D866" s="4">
        <v>45131</v>
      </c>
      <c r="E866" s="5">
        <v>1.534</v>
      </c>
    </row>
    <row r="867" spans="1:5" x14ac:dyDescent="0.3">
      <c r="A867" s="4">
        <v>45132</v>
      </c>
      <c r="B867" s="5"/>
      <c r="D867" s="4">
        <v>45132</v>
      </c>
      <c r="E867" s="5">
        <v>1.516</v>
      </c>
    </row>
    <row r="868" spans="1:5" x14ac:dyDescent="0.3">
      <c r="A868" s="4">
        <v>45133</v>
      </c>
      <c r="B868" s="5"/>
      <c r="D868" s="4">
        <v>45133</v>
      </c>
      <c r="E868" s="5">
        <v>1.4590000000000001</v>
      </c>
    </row>
    <row r="869" spans="1:5" x14ac:dyDescent="0.3">
      <c r="A869" s="4">
        <v>45134</v>
      </c>
      <c r="B869" s="5"/>
      <c r="D869" s="4">
        <v>45134</v>
      </c>
      <c r="E869" s="5">
        <v>1.3959999999999999</v>
      </c>
    </row>
    <row r="870" spans="1:5" x14ac:dyDescent="0.3">
      <c r="A870" s="4">
        <v>45135</v>
      </c>
      <c r="B870" s="5"/>
      <c r="D870" s="4">
        <v>45135</v>
      </c>
      <c r="E870" s="5">
        <v>1.4730000000000001</v>
      </c>
    </row>
    <row r="871" spans="1:5" x14ac:dyDescent="0.3">
      <c r="A871" s="4">
        <v>45138</v>
      </c>
      <c r="B871" s="5"/>
      <c r="D871" s="4">
        <v>45138</v>
      </c>
      <c r="E871" s="5">
        <v>1.847</v>
      </c>
    </row>
    <row r="872" spans="1:5" x14ac:dyDescent="0.3">
      <c r="A872" s="4">
        <v>45139</v>
      </c>
      <c r="B872" s="5"/>
      <c r="D872" s="4">
        <v>45139</v>
      </c>
      <c r="E872" s="5">
        <v>1.5580000000000001</v>
      </c>
    </row>
    <row r="873" spans="1:5" x14ac:dyDescent="0.3">
      <c r="A873" s="4">
        <v>45140</v>
      </c>
      <c r="B873" s="5"/>
      <c r="D873" s="4">
        <v>45140</v>
      </c>
      <c r="E873" s="5">
        <v>1.3009999999999999</v>
      </c>
    </row>
    <row r="874" spans="1:5" x14ac:dyDescent="0.3">
      <c r="A874" s="4">
        <v>45141</v>
      </c>
      <c r="B874" s="5"/>
      <c r="D874" s="4">
        <v>45141</v>
      </c>
      <c r="E874" s="5">
        <v>1.083</v>
      </c>
    </row>
    <row r="875" spans="1:5" x14ac:dyDescent="0.3">
      <c r="A875" s="4">
        <v>45142</v>
      </c>
      <c r="B875" s="5"/>
      <c r="D875" s="4">
        <v>45142</v>
      </c>
      <c r="E875" s="5">
        <v>1.141</v>
      </c>
    </row>
    <row r="876" spans="1:5" x14ac:dyDescent="0.3">
      <c r="A876" s="4">
        <v>45145</v>
      </c>
      <c r="B876" s="5"/>
      <c r="D876" s="4">
        <v>45145</v>
      </c>
      <c r="E876" s="5">
        <v>1.518</v>
      </c>
    </row>
    <row r="877" spans="1:5" x14ac:dyDescent="0.3">
      <c r="A877" s="4">
        <v>45146</v>
      </c>
      <c r="B877" s="5"/>
      <c r="D877" s="4">
        <v>45146</v>
      </c>
      <c r="E877" s="5">
        <v>1.361</v>
      </c>
    </row>
    <row r="878" spans="1:5" x14ac:dyDescent="0.3">
      <c r="A878" s="4">
        <v>45147</v>
      </c>
      <c r="B878" s="5"/>
      <c r="D878" s="4">
        <v>45147</v>
      </c>
      <c r="E878" s="5">
        <v>1.5409999999999999</v>
      </c>
    </row>
    <row r="879" spans="1:5" x14ac:dyDescent="0.3">
      <c r="A879" s="4">
        <v>45148</v>
      </c>
      <c r="B879" s="5"/>
      <c r="D879" s="4">
        <v>45148</v>
      </c>
      <c r="E879" s="5">
        <v>1.34</v>
      </c>
    </row>
    <row r="880" spans="1:5" x14ac:dyDescent="0.3">
      <c r="A880" s="4">
        <v>45149</v>
      </c>
      <c r="B880" s="5"/>
      <c r="D880" s="4">
        <v>45149</v>
      </c>
      <c r="E880" s="5">
        <v>1.331</v>
      </c>
    </row>
    <row r="881" spans="1:5" x14ac:dyDescent="0.3">
      <c r="A881" s="4">
        <v>45152</v>
      </c>
      <c r="B881" s="5"/>
      <c r="D881" s="4">
        <v>45152</v>
      </c>
      <c r="E881" s="5">
        <v>1.6839999999999999</v>
      </c>
    </row>
    <row r="882" spans="1:5" x14ac:dyDescent="0.3">
      <c r="A882" s="4">
        <v>45153</v>
      </c>
      <c r="B882" s="5"/>
      <c r="D882" s="4">
        <v>45153</v>
      </c>
      <c r="E882" s="5">
        <v>1.77</v>
      </c>
    </row>
    <row r="883" spans="1:5" x14ac:dyDescent="0.3">
      <c r="A883" s="4">
        <v>45154</v>
      </c>
      <c r="B883" s="5"/>
      <c r="D883" s="4">
        <v>45154</v>
      </c>
      <c r="E883" s="5">
        <v>1.833</v>
      </c>
    </row>
    <row r="884" spans="1:5" x14ac:dyDescent="0.3">
      <c r="A884" s="4">
        <v>45155</v>
      </c>
      <c r="B884" s="5"/>
      <c r="D884" s="4">
        <v>45155</v>
      </c>
      <c r="E884" s="5">
        <v>1.8420000000000001</v>
      </c>
    </row>
    <row r="885" spans="1:5" x14ac:dyDescent="0.3">
      <c r="A885" s="4">
        <v>45156</v>
      </c>
      <c r="B885" s="5"/>
      <c r="D885" s="4">
        <v>45156</v>
      </c>
      <c r="E885" s="5">
        <v>1.946</v>
      </c>
    </row>
    <row r="886" spans="1:5" x14ac:dyDescent="0.3">
      <c r="A886" s="4">
        <v>45159</v>
      </c>
      <c r="B886" s="5"/>
      <c r="D886" s="4">
        <v>45159</v>
      </c>
      <c r="E886" s="5">
        <v>1.9370000000000001</v>
      </c>
    </row>
    <row r="887" spans="1:5" x14ac:dyDescent="0.3">
      <c r="A887" s="4">
        <v>45160</v>
      </c>
      <c r="B887" s="5"/>
      <c r="D887" s="4">
        <v>45160</v>
      </c>
      <c r="E887" s="5">
        <v>1.8180000000000001</v>
      </c>
    </row>
    <row r="888" spans="1:5" x14ac:dyDescent="0.3">
      <c r="A888" s="4">
        <v>45161</v>
      </c>
      <c r="B888" s="5"/>
      <c r="D888" s="4">
        <v>45161</v>
      </c>
      <c r="E888" s="5">
        <v>1.738</v>
      </c>
    </row>
    <row r="889" spans="1:5" x14ac:dyDescent="0.3">
      <c r="A889" s="4">
        <v>45162</v>
      </c>
      <c r="B889" s="5"/>
      <c r="D889" s="4">
        <v>45162</v>
      </c>
      <c r="E889" s="5">
        <v>1.569</v>
      </c>
    </row>
    <row r="890" spans="1:5" x14ac:dyDescent="0.3">
      <c r="A890" s="4">
        <v>45163</v>
      </c>
      <c r="B890" s="5"/>
      <c r="D890" s="4">
        <v>45163</v>
      </c>
      <c r="E890" s="5">
        <v>1.819</v>
      </c>
    </row>
    <row r="891" spans="1:5" x14ac:dyDescent="0.3">
      <c r="A891" s="4">
        <v>45166</v>
      </c>
      <c r="B891" s="5"/>
      <c r="D891" s="4">
        <v>45166</v>
      </c>
      <c r="E891" s="5">
        <v>1.91</v>
      </c>
    </row>
    <row r="892" spans="1:5" x14ac:dyDescent="0.3">
      <c r="A892" s="4">
        <v>45167</v>
      </c>
      <c r="B892" s="5"/>
      <c r="D892" s="4">
        <v>45167</v>
      </c>
      <c r="E892" s="5">
        <v>1.9730000000000001</v>
      </c>
    </row>
    <row r="893" spans="1:5" x14ac:dyDescent="0.3">
      <c r="A893" s="4">
        <v>45168</v>
      </c>
      <c r="B893" s="5"/>
      <c r="D893" s="4">
        <v>45168</v>
      </c>
      <c r="E893" s="5">
        <v>1.911</v>
      </c>
    </row>
    <row r="894" spans="1:5" x14ac:dyDescent="0.3">
      <c r="A894" s="4">
        <v>45169</v>
      </c>
      <c r="B894" s="5"/>
      <c r="D894" s="4">
        <v>45169</v>
      </c>
      <c r="E894" s="5">
        <v>1.865</v>
      </c>
    </row>
    <row r="895" spans="1:5" x14ac:dyDescent="0.3">
      <c r="A895" s="4">
        <v>45170</v>
      </c>
      <c r="B895" s="5"/>
      <c r="D895" s="4">
        <v>45170</v>
      </c>
      <c r="E895" s="5">
        <v>1.677</v>
      </c>
    </row>
    <row r="896" spans="1:5" x14ac:dyDescent="0.3">
      <c r="A896" s="4">
        <v>45173</v>
      </c>
      <c r="B896" s="5"/>
      <c r="D896" s="4">
        <v>45173</v>
      </c>
      <c r="E896" s="5">
        <v>1.528</v>
      </c>
    </row>
    <row r="897" spans="1:5" x14ac:dyDescent="0.3">
      <c r="A897" s="4">
        <v>45174</v>
      </c>
      <c r="B897" s="5"/>
      <c r="D897" s="4">
        <v>45174</v>
      </c>
      <c r="E897" s="5">
        <v>1.39</v>
      </c>
    </row>
    <row r="898" spans="1:5" x14ac:dyDescent="0.3">
      <c r="A898" s="4">
        <v>45175</v>
      </c>
      <c r="B898" s="5"/>
      <c r="D898" s="4">
        <v>45175</v>
      </c>
      <c r="E898" s="5">
        <v>1.4930000000000001</v>
      </c>
    </row>
    <row r="899" spans="1:5" x14ac:dyDescent="0.3">
      <c r="A899" s="4">
        <v>45176</v>
      </c>
      <c r="B899" s="5"/>
      <c r="D899" s="4">
        <v>45176</v>
      </c>
      <c r="E899" s="5">
        <v>1.84</v>
      </c>
    </row>
    <row r="900" spans="1:5" x14ac:dyDescent="0.3">
      <c r="A900" s="4">
        <v>45177</v>
      </c>
      <c r="B900" s="5"/>
      <c r="D900" s="4">
        <v>45177</v>
      </c>
      <c r="E900" s="5">
        <v>1.893</v>
      </c>
    </row>
    <row r="901" spans="1:5" x14ac:dyDescent="0.3">
      <c r="A901" s="4">
        <v>45180</v>
      </c>
      <c r="B901" s="5"/>
      <c r="D901" s="4">
        <v>45180</v>
      </c>
      <c r="E901" s="5">
        <v>1.9059999999999999</v>
      </c>
    </row>
    <row r="902" spans="1:5" x14ac:dyDescent="0.3">
      <c r="A902" s="4">
        <v>45181</v>
      </c>
      <c r="B902" s="5"/>
      <c r="D902" s="4">
        <v>45181</v>
      </c>
      <c r="E902" s="5">
        <v>1.8340000000000001</v>
      </c>
    </row>
    <row r="903" spans="1:5" x14ac:dyDescent="0.3">
      <c r="A903" s="4">
        <v>45182</v>
      </c>
      <c r="B903" s="5"/>
      <c r="D903" s="4">
        <v>45182</v>
      </c>
      <c r="E903" s="5">
        <v>1.524</v>
      </c>
    </row>
    <row r="904" spans="1:5" x14ac:dyDescent="0.3">
      <c r="A904" s="4">
        <v>45183</v>
      </c>
      <c r="B904" s="5"/>
      <c r="D904" s="4">
        <v>45183</v>
      </c>
      <c r="E904" s="5">
        <v>1.766</v>
      </c>
    </row>
    <row r="905" spans="1:5" x14ac:dyDescent="0.3">
      <c r="A905" s="4">
        <v>45184</v>
      </c>
      <c r="B905" s="5"/>
      <c r="D905" s="4">
        <v>45184</v>
      </c>
      <c r="E905" s="5">
        <v>1.7629999999999999</v>
      </c>
    </row>
    <row r="906" spans="1:5" x14ac:dyDescent="0.3">
      <c r="A906" s="4">
        <v>45187</v>
      </c>
      <c r="B906" s="5"/>
      <c r="D906" s="4">
        <v>45187</v>
      </c>
      <c r="E906" s="5">
        <v>1.9119999999999999</v>
      </c>
    </row>
    <row r="907" spans="1:5" x14ac:dyDescent="0.3">
      <c r="A907" s="4">
        <v>45188</v>
      </c>
      <c r="B907" s="5"/>
      <c r="D907" s="4">
        <v>45188</v>
      </c>
      <c r="E907" s="5">
        <v>1.837</v>
      </c>
    </row>
    <row r="908" spans="1:5" x14ac:dyDescent="0.3">
      <c r="A908" s="4">
        <v>45189</v>
      </c>
      <c r="B908" s="5"/>
      <c r="D908" s="4">
        <v>45189</v>
      </c>
      <c r="E908" s="5">
        <v>2.0379999999999998</v>
      </c>
    </row>
    <row r="909" spans="1:5" x14ac:dyDescent="0.3">
      <c r="A909" s="4">
        <v>45190</v>
      </c>
      <c r="B909" s="5"/>
      <c r="D909" s="4">
        <v>45190</v>
      </c>
      <c r="E909" s="5">
        <v>1.8839999999999999</v>
      </c>
    </row>
    <row r="910" spans="1:5" x14ac:dyDescent="0.3">
      <c r="A910" s="4">
        <v>45191</v>
      </c>
      <c r="B910" s="5"/>
      <c r="D910" s="4">
        <v>45191</v>
      </c>
      <c r="E910" s="5">
        <v>1.7270000000000001</v>
      </c>
    </row>
    <row r="911" spans="1:5" x14ac:dyDescent="0.3">
      <c r="A911" s="4">
        <v>45194</v>
      </c>
      <c r="B911" s="5"/>
      <c r="D911" s="4">
        <v>45194</v>
      </c>
      <c r="E911" s="5">
        <v>1.694</v>
      </c>
    </row>
    <row r="912" spans="1:5" x14ac:dyDescent="0.3">
      <c r="A912" s="4">
        <v>45195</v>
      </c>
      <c r="B912" s="5"/>
      <c r="D912" s="4">
        <v>45195</v>
      </c>
      <c r="E912" s="5">
        <v>1.7410000000000001</v>
      </c>
    </row>
    <row r="913" spans="1:5" x14ac:dyDescent="0.3">
      <c r="A913" s="4">
        <v>45196</v>
      </c>
      <c r="B913" s="5"/>
      <c r="D913" s="4">
        <v>45196</v>
      </c>
      <c r="E913" s="5">
        <v>1.706</v>
      </c>
    </row>
    <row r="914" spans="1:5" x14ac:dyDescent="0.3">
      <c r="A914" s="4">
        <v>45197</v>
      </c>
      <c r="B914" s="5"/>
      <c r="D914" s="4">
        <v>45197</v>
      </c>
      <c r="E914" s="5">
        <v>2.1549999999999998</v>
      </c>
    </row>
    <row r="915" spans="1:5" x14ac:dyDescent="0.3">
      <c r="A915" s="4">
        <v>45208</v>
      </c>
      <c r="B915" s="5"/>
      <c r="D915" s="4">
        <v>45208</v>
      </c>
      <c r="E915" s="5">
        <v>1.73</v>
      </c>
    </row>
    <row r="916" spans="1:5" x14ac:dyDescent="0.3">
      <c r="A916" s="4">
        <v>45209</v>
      </c>
      <c r="B916" s="5"/>
      <c r="D916" s="4">
        <v>45209</v>
      </c>
      <c r="E916" s="5">
        <v>1.827</v>
      </c>
    </row>
    <row r="917" spans="1:5" x14ac:dyDescent="0.3">
      <c r="A917" s="4">
        <v>45210</v>
      </c>
      <c r="B917" s="5"/>
      <c r="D917" s="4">
        <v>45210</v>
      </c>
      <c r="E917" s="5">
        <v>1.8640000000000001</v>
      </c>
    </row>
    <row r="918" spans="1:5" x14ac:dyDescent="0.3">
      <c r="A918" s="4">
        <v>45211</v>
      </c>
      <c r="B918" s="5"/>
      <c r="D918" s="4">
        <v>45211</v>
      </c>
      <c r="E918" s="5">
        <v>1.81</v>
      </c>
    </row>
    <row r="919" spans="1:5" x14ac:dyDescent="0.3">
      <c r="A919" s="4">
        <v>45212</v>
      </c>
      <c r="B919" s="5"/>
      <c r="D919" s="4">
        <v>45212</v>
      </c>
      <c r="E919" s="5">
        <v>1.7410000000000001</v>
      </c>
    </row>
    <row r="920" spans="1:5" x14ac:dyDescent="0.3">
      <c r="A920" s="4">
        <v>45215</v>
      </c>
      <c r="B920" s="5"/>
      <c r="D920" s="4">
        <v>45215</v>
      </c>
      <c r="E920" s="5">
        <v>1.722</v>
      </c>
    </row>
    <row r="921" spans="1:5" x14ac:dyDescent="0.3">
      <c r="A921" s="4">
        <v>45216</v>
      </c>
      <c r="B921" s="5"/>
      <c r="D921" s="4">
        <v>45216</v>
      </c>
      <c r="E921" s="5">
        <v>1.8140000000000001</v>
      </c>
    </row>
    <row r="922" spans="1:5" x14ac:dyDescent="0.3">
      <c r="A922" s="4">
        <v>45217</v>
      </c>
      <c r="B922" s="5"/>
      <c r="D922" s="4">
        <v>45217</v>
      </c>
      <c r="E922" s="5">
        <v>1.835</v>
      </c>
    </row>
    <row r="923" spans="1:5" x14ac:dyDescent="0.3">
      <c r="A923" s="4">
        <v>45218</v>
      </c>
      <c r="B923" s="5"/>
      <c r="D923" s="4">
        <v>45218</v>
      </c>
      <c r="E923" s="5">
        <v>1.859</v>
      </c>
    </row>
    <row r="924" spans="1:5" x14ac:dyDescent="0.3">
      <c r="A924" s="4">
        <v>45219</v>
      </c>
      <c r="B924" s="5"/>
      <c r="D924" s="4">
        <v>45219</v>
      </c>
      <c r="E924" s="5">
        <v>1.907</v>
      </c>
    </row>
    <row r="925" spans="1:5" x14ac:dyDescent="0.3">
      <c r="A925" s="4">
        <v>45222</v>
      </c>
      <c r="B925" s="5"/>
      <c r="D925" s="4">
        <v>45222</v>
      </c>
      <c r="E925" s="5">
        <v>1.931</v>
      </c>
    </row>
    <row r="926" spans="1:5" x14ac:dyDescent="0.3">
      <c r="A926" s="4">
        <v>45223</v>
      </c>
      <c r="B926" s="5"/>
      <c r="D926" s="4">
        <v>45223</v>
      </c>
      <c r="E926" s="5">
        <v>1.877</v>
      </c>
    </row>
    <row r="927" spans="1:5" x14ac:dyDescent="0.3">
      <c r="A927" s="4">
        <v>45224</v>
      </c>
      <c r="B927" s="5"/>
      <c r="D927" s="4">
        <v>45224</v>
      </c>
      <c r="E927" s="5">
        <v>1.952</v>
      </c>
    </row>
    <row r="928" spans="1:5" x14ac:dyDescent="0.3">
      <c r="A928" s="4">
        <v>45225</v>
      </c>
      <c r="B928" s="5"/>
      <c r="D928" s="4">
        <v>45225</v>
      </c>
      <c r="E928" s="5">
        <v>1.65</v>
      </c>
    </row>
    <row r="929" spans="1:5" x14ac:dyDescent="0.3">
      <c r="A929" s="4">
        <v>45226</v>
      </c>
      <c r="B929" s="5"/>
      <c r="D929" s="4">
        <v>45226</v>
      </c>
      <c r="E929" s="5">
        <v>1.6259999999999999</v>
      </c>
    </row>
    <row r="930" spans="1:5" x14ac:dyDescent="0.3">
      <c r="A930" s="4">
        <v>45229</v>
      </c>
      <c r="B930" s="5"/>
      <c r="D930" s="4">
        <v>45229</v>
      </c>
      <c r="E930" s="5">
        <v>1.6950000000000001</v>
      </c>
    </row>
    <row r="931" spans="1:5" x14ac:dyDescent="0.3">
      <c r="A931" s="4">
        <v>45230</v>
      </c>
      <c r="B931" s="5"/>
      <c r="D931" s="4">
        <v>45230</v>
      </c>
      <c r="E931" s="5">
        <v>1.75</v>
      </c>
    </row>
    <row r="932" spans="1:5" x14ac:dyDescent="0.3">
      <c r="A932" s="4">
        <v>45231</v>
      </c>
      <c r="B932" s="5"/>
      <c r="D932" s="4">
        <v>45231</v>
      </c>
      <c r="E932" s="5">
        <v>1.7889999999999999</v>
      </c>
    </row>
    <row r="933" spans="1:5" x14ac:dyDescent="0.3">
      <c r="A933" s="4">
        <v>45232</v>
      </c>
      <c r="B933" s="5"/>
      <c r="D933" s="4">
        <v>45232</v>
      </c>
      <c r="E933" s="5">
        <v>1.494</v>
      </c>
    </row>
    <row r="934" spans="1:5" x14ac:dyDescent="0.3">
      <c r="A934" s="4">
        <v>45233</v>
      </c>
      <c r="B934" s="5"/>
      <c r="D934" s="4">
        <v>45233</v>
      </c>
      <c r="E934" s="5">
        <v>1.623</v>
      </c>
    </row>
    <row r="935" spans="1:5" x14ac:dyDescent="0.3">
      <c r="A935" s="4">
        <v>45236</v>
      </c>
      <c r="B935" s="5"/>
      <c r="D935" s="4">
        <v>45236</v>
      </c>
      <c r="E935" s="5">
        <v>1.579</v>
      </c>
    </row>
    <row r="936" spans="1:5" x14ac:dyDescent="0.3">
      <c r="A936" s="4">
        <v>45237</v>
      </c>
      <c r="B936" s="5"/>
      <c r="D936" s="4">
        <v>45237</v>
      </c>
      <c r="E936" s="5">
        <v>1.637</v>
      </c>
    </row>
    <row r="937" spans="1:5" x14ac:dyDescent="0.3">
      <c r="A937" s="4">
        <v>45238</v>
      </c>
      <c r="B937" s="5"/>
      <c r="D937" s="4">
        <v>45238</v>
      </c>
      <c r="E937" s="5">
        <v>1.73</v>
      </c>
    </row>
    <row r="938" spans="1:5" x14ac:dyDescent="0.3">
      <c r="A938" s="4">
        <v>45239</v>
      </c>
      <c r="B938" s="5"/>
      <c r="D938" s="4">
        <v>45239</v>
      </c>
      <c r="E938" s="5">
        <v>1.647</v>
      </c>
    </row>
    <row r="939" spans="1:5" x14ac:dyDescent="0.3">
      <c r="A939" s="4">
        <v>45240</v>
      </c>
      <c r="B939" s="5"/>
      <c r="D939" s="4">
        <v>45240</v>
      </c>
      <c r="E939" s="5">
        <v>1.7010000000000001</v>
      </c>
    </row>
    <row r="940" spans="1:5" x14ac:dyDescent="0.3">
      <c r="A940" s="4">
        <v>45243</v>
      </c>
      <c r="B940" s="5"/>
      <c r="D940" s="4">
        <v>45243</v>
      </c>
      <c r="E940" s="5">
        <v>1.754</v>
      </c>
    </row>
    <row r="941" spans="1:5" x14ac:dyDescent="0.3">
      <c r="A941" s="4">
        <v>45244</v>
      </c>
      <c r="B941" s="5"/>
      <c r="D941" s="4">
        <v>45244</v>
      </c>
      <c r="E941" s="5">
        <v>1.913</v>
      </c>
    </row>
    <row r="942" spans="1:5" x14ac:dyDescent="0.3">
      <c r="A942" s="4">
        <v>45245</v>
      </c>
      <c r="B942" s="5"/>
      <c r="D942" s="4">
        <v>45245</v>
      </c>
      <c r="E942" s="5">
        <v>1.863</v>
      </c>
    </row>
    <row r="943" spans="1:5" x14ac:dyDescent="0.3">
      <c r="A943" s="4">
        <v>45246</v>
      </c>
      <c r="B943" s="5"/>
      <c r="D943" s="4">
        <v>45246</v>
      </c>
      <c r="E943" s="5">
        <v>1.907</v>
      </c>
    </row>
    <row r="944" spans="1:5" x14ac:dyDescent="0.3">
      <c r="A944" s="4">
        <v>45247</v>
      </c>
      <c r="B944" s="5"/>
      <c r="D944" s="4">
        <v>45247</v>
      </c>
      <c r="E944" s="5">
        <v>1.8822000000000001</v>
      </c>
    </row>
    <row r="945" spans="1:5" x14ac:dyDescent="0.3">
      <c r="A945" s="4">
        <v>45250</v>
      </c>
      <c r="B945" s="5"/>
      <c r="D945" s="4">
        <v>45250</v>
      </c>
      <c r="E945" s="5">
        <v>1.897</v>
      </c>
    </row>
    <row r="946" spans="1:5" x14ac:dyDescent="0.3">
      <c r="A946" s="4">
        <v>45251</v>
      </c>
      <c r="B946" s="5"/>
      <c r="D946" s="4">
        <v>45251</v>
      </c>
      <c r="E946" s="5">
        <v>1.89</v>
      </c>
    </row>
    <row r="947" spans="1:5" x14ac:dyDescent="0.3">
      <c r="A947" s="4">
        <v>45252</v>
      </c>
      <c r="B947" s="5"/>
      <c r="D947" s="4">
        <v>45252</v>
      </c>
      <c r="E947" s="5">
        <v>1.899</v>
      </c>
    </row>
    <row r="948" spans="1:5" x14ac:dyDescent="0.3">
      <c r="A948" s="4">
        <v>45253</v>
      </c>
      <c r="B948" s="5"/>
      <c r="D948" s="4">
        <v>45253</v>
      </c>
      <c r="E948" s="5">
        <v>1.8959999999999999</v>
      </c>
    </row>
    <row r="949" spans="1:5" x14ac:dyDescent="0.3">
      <c r="A949" s="4">
        <v>45254</v>
      </c>
      <c r="B949" s="5"/>
      <c r="D949" s="4">
        <v>45254</v>
      </c>
      <c r="E949" s="5">
        <v>1.837</v>
      </c>
    </row>
    <row r="950" spans="1:5" x14ac:dyDescent="0.3">
      <c r="A950" s="4">
        <v>45257</v>
      </c>
      <c r="B950" s="5"/>
      <c r="D950" s="4">
        <v>45257</v>
      </c>
      <c r="E950" s="5">
        <v>1.8089999999999999</v>
      </c>
    </row>
    <row r="951" spans="1:5" x14ac:dyDescent="0.3">
      <c r="A951" s="4">
        <v>45258</v>
      </c>
      <c r="B951" s="5"/>
      <c r="D951" s="4">
        <v>45258</v>
      </c>
      <c r="E951" s="5">
        <v>1.7110000000000001</v>
      </c>
    </row>
    <row r="952" spans="1:5" x14ac:dyDescent="0.3">
      <c r="A952" s="4">
        <v>45259</v>
      </c>
      <c r="B952" s="5"/>
      <c r="D952" s="4">
        <v>45259</v>
      </c>
      <c r="E952" s="5">
        <v>1.6080000000000001</v>
      </c>
    </row>
    <row r="953" spans="1:5" x14ac:dyDescent="0.3">
      <c r="A953" s="4">
        <v>45260</v>
      </c>
      <c r="B953" s="5"/>
      <c r="D953" s="4">
        <v>45260</v>
      </c>
      <c r="E953" s="5">
        <v>1.8580000000000001</v>
      </c>
    </row>
    <row r="954" spans="1:5" x14ac:dyDescent="0.3">
      <c r="A954" s="4">
        <v>45261</v>
      </c>
      <c r="B954" s="5"/>
      <c r="D954" s="4">
        <v>45261</v>
      </c>
      <c r="E954" s="5">
        <v>1.6180000000000001</v>
      </c>
    </row>
    <row r="955" spans="1:5" x14ac:dyDescent="0.3">
      <c r="A955" s="4">
        <v>45264</v>
      </c>
      <c r="B955" s="5"/>
      <c r="D955" s="4">
        <v>45264</v>
      </c>
      <c r="E955" s="5">
        <v>1.724</v>
      </c>
    </row>
    <row r="956" spans="1:5" x14ac:dyDescent="0.3">
      <c r="A956" s="4">
        <v>45265</v>
      </c>
      <c r="B956" s="5"/>
      <c r="D956" s="4">
        <v>45265</v>
      </c>
      <c r="E956" s="5">
        <v>1.714</v>
      </c>
    </row>
    <row r="957" spans="1:5" x14ac:dyDescent="0.3">
      <c r="A957" s="4">
        <v>45266</v>
      </c>
      <c r="B957" s="5"/>
      <c r="D957" s="4">
        <v>45266</v>
      </c>
      <c r="E957" s="5">
        <v>1.6060000000000001</v>
      </c>
    </row>
    <row r="958" spans="1:5" x14ac:dyDescent="0.3">
      <c r="A958" s="4">
        <v>45267</v>
      </c>
      <c r="B958" s="5"/>
      <c r="D958" s="4">
        <v>45267</v>
      </c>
      <c r="E958" s="5">
        <v>1.619</v>
      </c>
    </row>
    <row r="959" spans="1:5" x14ac:dyDescent="0.3">
      <c r="A959" s="4">
        <v>45268</v>
      </c>
      <c r="B959" s="5"/>
      <c r="D959" s="4">
        <v>45268</v>
      </c>
      <c r="E959" s="5">
        <v>1.63</v>
      </c>
    </row>
    <row r="960" spans="1:5" x14ac:dyDescent="0.3">
      <c r="A960" s="4">
        <v>45271</v>
      </c>
      <c r="B960" s="5"/>
      <c r="D960" s="4">
        <v>45271</v>
      </c>
      <c r="E960" s="5">
        <v>1.7549999999999999</v>
      </c>
    </row>
    <row r="961" spans="1:5" x14ac:dyDescent="0.3">
      <c r="A961" s="4">
        <v>45272</v>
      </c>
      <c r="B961" s="5"/>
      <c r="D961" s="4">
        <v>45272</v>
      </c>
      <c r="E961" s="5">
        <v>1.7609999999999999</v>
      </c>
    </row>
    <row r="962" spans="1:5" x14ac:dyDescent="0.3">
      <c r="A962" s="4">
        <v>45273</v>
      </c>
      <c r="B962" s="5"/>
      <c r="D962" s="4">
        <v>45273</v>
      </c>
      <c r="E962" s="5">
        <v>1.6339999999999999</v>
      </c>
    </row>
    <row r="963" spans="1:5" x14ac:dyDescent="0.3">
      <c r="A963" s="4">
        <v>45274</v>
      </c>
      <c r="B963" s="5"/>
      <c r="D963" s="4">
        <v>45274</v>
      </c>
      <c r="E963" s="5">
        <v>1.6279999999999999</v>
      </c>
    </row>
    <row r="964" spans="1:5" x14ac:dyDescent="0.3">
      <c r="A964" s="4">
        <v>45275</v>
      </c>
      <c r="B964" s="5"/>
      <c r="D964" s="4">
        <v>45275</v>
      </c>
      <c r="E964" s="5">
        <v>1.5940000000000001</v>
      </c>
    </row>
    <row r="965" spans="1:5" x14ac:dyDescent="0.3">
      <c r="A965" s="4">
        <v>45278</v>
      </c>
      <c r="B965" s="5"/>
      <c r="D965" s="4">
        <v>45278</v>
      </c>
      <c r="E965" s="5">
        <v>1.623</v>
      </c>
    </row>
    <row r="966" spans="1:5" x14ac:dyDescent="0.3">
      <c r="A966" s="4">
        <v>45279</v>
      </c>
      <c r="B966" s="5"/>
      <c r="D966" s="4">
        <v>45279</v>
      </c>
      <c r="E966" s="5">
        <v>1.57</v>
      </c>
    </row>
    <row r="967" spans="1:5" x14ac:dyDescent="0.3">
      <c r="A967" s="4">
        <v>45280</v>
      </c>
      <c r="B967" s="5"/>
      <c r="D967" s="4">
        <v>45280</v>
      </c>
      <c r="E967" s="5">
        <v>1.5920000000000001</v>
      </c>
    </row>
    <row r="968" spans="1:5" x14ac:dyDescent="0.3">
      <c r="A968" s="4">
        <v>45281</v>
      </c>
      <c r="B968" s="5"/>
      <c r="D968" s="4">
        <v>45281</v>
      </c>
      <c r="E968" s="5">
        <v>1.7110000000000001</v>
      </c>
    </row>
    <row r="969" spans="1:5" x14ac:dyDescent="0.3">
      <c r="A969" s="4">
        <v>45282</v>
      </c>
      <c r="B969" s="5"/>
      <c r="D969" s="4">
        <v>45282</v>
      </c>
      <c r="E969" s="5">
        <v>1.6160000000000001</v>
      </c>
    </row>
    <row r="970" spans="1:5" x14ac:dyDescent="0.3">
      <c r="A970" s="4">
        <v>45285</v>
      </c>
      <c r="B970" s="5"/>
      <c r="D970" s="4">
        <v>45285</v>
      </c>
      <c r="E970" s="5">
        <v>1.5920000000000001</v>
      </c>
    </row>
    <row r="971" spans="1:5" x14ac:dyDescent="0.3">
      <c r="A971" s="4">
        <v>45286</v>
      </c>
      <c r="B971" s="5"/>
      <c r="D971" s="4">
        <v>45286</v>
      </c>
      <c r="E971" s="5">
        <v>1.494</v>
      </c>
    </row>
    <row r="972" spans="1:5" x14ac:dyDescent="0.3">
      <c r="A972" s="4">
        <v>45287</v>
      </c>
      <c r="B972" s="5"/>
      <c r="D972" s="4">
        <v>45287</v>
      </c>
      <c r="E972" s="5">
        <v>1.4670000000000001</v>
      </c>
    </row>
    <row r="973" spans="1:5" x14ac:dyDescent="0.3">
      <c r="A973" s="4">
        <v>45288</v>
      </c>
      <c r="B973" s="5"/>
      <c r="D973" s="4">
        <v>45288</v>
      </c>
      <c r="E973" s="5">
        <v>1.429</v>
      </c>
    </row>
    <row r="974" spans="1:5" x14ac:dyDescent="0.3">
      <c r="A974" s="4">
        <v>45289</v>
      </c>
      <c r="B974" s="5"/>
      <c r="D974" s="4">
        <v>45289</v>
      </c>
      <c r="E974" s="5">
        <v>1.746</v>
      </c>
    </row>
    <row r="975" spans="1:5" x14ac:dyDescent="0.3">
      <c r="A975" s="4">
        <v>45293</v>
      </c>
      <c r="B975" s="5"/>
      <c r="D975" s="4">
        <v>45293</v>
      </c>
      <c r="E975" s="5">
        <v>1.5860000000000001</v>
      </c>
    </row>
    <row r="976" spans="1:5" x14ac:dyDescent="0.3">
      <c r="A976" s="4">
        <v>45294</v>
      </c>
      <c r="B976" s="5"/>
      <c r="D976" s="4">
        <v>45294</v>
      </c>
      <c r="E976" s="5">
        <v>1.6040000000000001</v>
      </c>
    </row>
    <row r="977" spans="1:5" x14ac:dyDescent="0.3">
      <c r="A977" s="4">
        <v>45295</v>
      </c>
      <c r="B977" s="5"/>
      <c r="D977" s="4">
        <v>45295</v>
      </c>
      <c r="E977" s="5">
        <v>1.589</v>
      </c>
    </row>
    <row r="978" spans="1:5" x14ac:dyDescent="0.3">
      <c r="A978" s="4">
        <v>45296</v>
      </c>
      <c r="B978" s="5"/>
      <c r="D978" s="4">
        <v>45296</v>
      </c>
      <c r="E978" s="5">
        <v>1.5880000000000001</v>
      </c>
    </row>
    <row r="979" spans="1:5" x14ac:dyDescent="0.3">
      <c r="A979" s="4">
        <v>45299</v>
      </c>
      <c r="B979" s="5"/>
      <c r="D979" s="4">
        <v>45299</v>
      </c>
      <c r="E979" s="5">
        <v>1.585</v>
      </c>
    </row>
    <row r="980" spans="1:5" x14ac:dyDescent="0.3">
      <c r="A980" s="4">
        <v>45300</v>
      </c>
      <c r="B980" s="5"/>
      <c r="D980" s="4">
        <v>45300</v>
      </c>
      <c r="E980" s="5">
        <v>1.5820000000000001</v>
      </c>
    </row>
    <row r="981" spans="1:5" x14ac:dyDescent="0.3">
      <c r="A981" s="4">
        <v>45301</v>
      </c>
      <c r="B981" s="5"/>
      <c r="D981" s="4">
        <v>45301</v>
      </c>
      <c r="E981" s="5">
        <v>1.5880000000000001</v>
      </c>
    </row>
    <row r="982" spans="1:5" x14ac:dyDescent="0.3">
      <c r="A982" s="4">
        <v>45302</v>
      </c>
      <c r="B982" s="5"/>
      <c r="D982" s="4">
        <v>45302</v>
      </c>
      <c r="E982" s="5">
        <v>1.627</v>
      </c>
    </row>
    <row r="983" spans="1:5" x14ac:dyDescent="0.3">
      <c r="A983" s="4">
        <v>45303</v>
      </c>
      <c r="B983" s="5"/>
      <c r="D983" s="4">
        <v>45303</v>
      </c>
      <c r="E983" s="5">
        <v>1.6779999999999999</v>
      </c>
    </row>
    <row r="984" spans="1:5" x14ac:dyDescent="0.3">
      <c r="A984" s="4">
        <v>45306</v>
      </c>
      <c r="B984" s="5"/>
      <c r="D984" s="4">
        <v>45306</v>
      </c>
      <c r="E984" s="5">
        <v>1.677</v>
      </c>
    </row>
    <row r="985" spans="1:5" x14ac:dyDescent="0.3">
      <c r="A985" s="4">
        <v>45307</v>
      </c>
      <c r="B985" s="5"/>
      <c r="D985" s="4">
        <v>45307</v>
      </c>
      <c r="E985" s="5">
        <v>1.7450000000000001</v>
      </c>
    </row>
    <row r="986" spans="1:5" x14ac:dyDescent="0.3">
      <c r="A986" s="4">
        <v>45308</v>
      </c>
      <c r="B986" s="5"/>
      <c r="D986" s="4">
        <v>45308</v>
      </c>
      <c r="E986" s="5">
        <v>1.8320000000000001</v>
      </c>
    </row>
    <row r="987" spans="1:5" x14ac:dyDescent="0.3">
      <c r="A987" s="4">
        <v>45309</v>
      </c>
      <c r="B987" s="5"/>
      <c r="D987" s="4">
        <v>45309</v>
      </c>
      <c r="E987" s="5">
        <v>1.734</v>
      </c>
    </row>
    <row r="988" spans="1:5" x14ac:dyDescent="0.3">
      <c r="A988" s="4">
        <v>45310</v>
      </c>
      <c r="B988" s="5"/>
      <c r="D988" s="4">
        <v>45310</v>
      </c>
      <c r="E988" s="5">
        <v>1.724</v>
      </c>
    </row>
    <row r="989" spans="1:5" x14ac:dyDescent="0.3">
      <c r="A989" s="4">
        <v>45313</v>
      </c>
      <c r="B989" s="5"/>
      <c r="D989" s="4">
        <v>45313</v>
      </c>
      <c r="E989" s="5">
        <v>1.76</v>
      </c>
    </row>
    <row r="990" spans="1:5" x14ac:dyDescent="0.3">
      <c r="A990" s="4">
        <v>45314</v>
      </c>
      <c r="B990" s="5"/>
      <c r="D990" s="4">
        <v>45314</v>
      </c>
      <c r="E990" s="5">
        <v>1.76</v>
      </c>
    </row>
    <row r="991" spans="1:5" x14ac:dyDescent="0.3">
      <c r="A991" s="4">
        <v>45315</v>
      </c>
      <c r="B991" s="5"/>
      <c r="D991" s="4">
        <v>45315</v>
      </c>
      <c r="E991" s="5">
        <v>1.8080000000000001</v>
      </c>
    </row>
    <row r="992" spans="1:5" x14ac:dyDescent="0.3">
      <c r="A992" s="4">
        <v>45316</v>
      </c>
      <c r="B992" s="5"/>
      <c r="D992" s="4">
        <v>45316</v>
      </c>
      <c r="E992" s="5">
        <v>1.8440000000000001</v>
      </c>
    </row>
    <row r="993" spans="1:5" x14ac:dyDescent="0.3">
      <c r="A993" s="4">
        <v>45317</v>
      </c>
      <c r="B993" s="5"/>
      <c r="D993" s="4">
        <v>45317</v>
      </c>
      <c r="E993" s="5">
        <v>1.82</v>
      </c>
    </row>
    <row r="994" spans="1:5" x14ac:dyDescent="0.3">
      <c r="A994" s="4">
        <v>45320</v>
      </c>
      <c r="B994" s="5"/>
      <c r="D994" s="4">
        <v>45320</v>
      </c>
      <c r="E994" s="5">
        <v>1.7310000000000001</v>
      </c>
    </row>
    <row r="995" spans="1:5" x14ac:dyDescent="0.3">
      <c r="A995" s="4">
        <v>45321</v>
      </c>
      <c r="B995" s="5"/>
      <c r="D995" s="4">
        <v>45321</v>
      </c>
      <c r="E995" s="5">
        <v>1.6180000000000001</v>
      </c>
    </row>
    <row r="996" spans="1:5" x14ac:dyDescent="0.3">
      <c r="A996" s="4">
        <v>45322</v>
      </c>
      <c r="B996" s="5"/>
      <c r="D996" s="4">
        <v>45322</v>
      </c>
      <c r="E996" s="5">
        <v>1.708</v>
      </c>
    </row>
    <row r="997" spans="1:5" x14ac:dyDescent="0.3">
      <c r="A997" s="4">
        <v>45323</v>
      </c>
      <c r="B997" s="5"/>
      <c r="D997" s="4">
        <v>45323</v>
      </c>
      <c r="E997" s="5">
        <v>1.6759999999999999</v>
      </c>
    </row>
    <row r="998" spans="1:5" x14ac:dyDescent="0.3">
      <c r="A998" s="4">
        <v>45324</v>
      </c>
      <c r="B998" s="5"/>
      <c r="D998" s="4">
        <v>45324</v>
      </c>
      <c r="E998" s="5">
        <v>1.7190000000000001</v>
      </c>
    </row>
    <row r="999" spans="1:5" x14ac:dyDescent="0.3">
      <c r="A999" s="4">
        <v>45327</v>
      </c>
      <c r="B999" s="5"/>
      <c r="D999" s="4">
        <v>45327</v>
      </c>
      <c r="E999" s="5">
        <v>1.68</v>
      </c>
    </row>
    <row r="1000" spans="1:5" x14ac:dyDescent="0.3">
      <c r="A1000" s="4">
        <v>45328</v>
      </c>
      <c r="B1000" s="5"/>
      <c r="D1000" s="4">
        <v>45328</v>
      </c>
      <c r="E1000" s="5">
        <v>1.7270000000000001</v>
      </c>
    </row>
    <row r="1001" spans="1:5" x14ac:dyDescent="0.3">
      <c r="A1001" s="4">
        <v>45329</v>
      </c>
      <c r="B1001" s="5"/>
      <c r="D1001" s="4">
        <v>45329</v>
      </c>
      <c r="E1001" s="5">
        <v>1.716</v>
      </c>
    </row>
    <row r="1002" spans="1:5" x14ac:dyDescent="0.3">
      <c r="A1002" s="4">
        <v>45330</v>
      </c>
      <c r="B1002" s="5"/>
      <c r="D1002" s="4">
        <v>45330</v>
      </c>
      <c r="E1002" s="5">
        <v>1.6970000000000001</v>
      </c>
    </row>
    <row r="1003" spans="1:5" x14ac:dyDescent="0.3">
      <c r="A1003" s="4">
        <v>45341</v>
      </c>
      <c r="B1003" s="5"/>
      <c r="D1003" s="4">
        <v>45341</v>
      </c>
      <c r="E1003" s="5">
        <v>1.607</v>
      </c>
    </row>
    <row r="1004" spans="1:5" x14ac:dyDescent="0.3">
      <c r="A1004" s="4">
        <v>45342</v>
      </c>
      <c r="B1004" s="5"/>
      <c r="D1004" s="4">
        <v>45342</v>
      </c>
      <c r="E1004" s="5">
        <v>1.63</v>
      </c>
    </row>
    <row r="1005" spans="1:5" x14ac:dyDescent="0.3">
      <c r="A1005" s="4">
        <v>45343</v>
      </c>
      <c r="B1005" s="5"/>
      <c r="D1005" s="4">
        <v>45343</v>
      </c>
      <c r="E1005" s="5">
        <v>1.698</v>
      </c>
    </row>
    <row r="1006" spans="1:5" x14ac:dyDescent="0.3">
      <c r="A1006" s="4">
        <v>45344</v>
      </c>
      <c r="B1006" s="5"/>
      <c r="D1006" s="4">
        <v>45344</v>
      </c>
      <c r="E1006" s="5">
        <v>1.635</v>
      </c>
    </row>
    <row r="1007" spans="1:5" x14ac:dyDescent="0.3">
      <c r="A1007" s="4">
        <v>45345</v>
      </c>
      <c r="B1007" s="5"/>
      <c r="D1007" s="4">
        <v>45345</v>
      </c>
      <c r="E1007" s="5">
        <v>1.7470000000000001</v>
      </c>
    </row>
    <row r="1008" spans="1:5" x14ac:dyDescent="0.3">
      <c r="A1008" s="4">
        <v>45348</v>
      </c>
      <c r="B1008" s="5"/>
      <c r="D1008" s="4">
        <v>45348</v>
      </c>
      <c r="E1008" s="5">
        <v>1.7789999999999999</v>
      </c>
    </row>
    <row r="1009" spans="1:5" x14ac:dyDescent="0.3">
      <c r="A1009" s="4">
        <v>45349</v>
      </c>
      <c r="B1009" s="5"/>
      <c r="D1009" s="4">
        <v>45349</v>
      </c>
      <c r="E1009" s="5">
        <v>1.819</v>
      </c>
    </row>
    <row r="1010" spans="1:5" x14ac:dyDescent="0.3">
      <c r="A1010" s="4">
        <v>45350</v>
      </c>
      <c r="B1010" s="5"/>
      <c r="D1010" s="4">
        <v>45350</v>
      </c>
      <c r="E1010" s="5">
        <v>1.7056</v>
      </c>
    </row>
    <row r="1011" spans="1:5" x14ac:dyDescent="0.3">
      <c r="A1011" s="4">
        <v>45351</v>
      </c>
      <c r="B1011" s="5"/>
      <c r="D1011" s="4">
        <v>45351</v>
      </c>
      <c r="E1011" s="5">
        <v>1.639</v>
      </c>
    </row>
    <row r="1012" spans="1:5" x14ac:dyDescent="0.3">
      <c r="A1012" s="4">
        <v>45352</v>
      </c>
      <c r="B1012" s="5"/>
      <c r="D1012" s="4">
        <v>45352</v>
      </c>
      <c r="E1012" s="5">
        <v>1.694</v>
      </c>
    </row>
    <row r="1013" spans="1:5" x14ac:dyDescent="0.3">
      <c r="A1013" s="4">
        <v>45355</v>
      </c>
      <c r="B1013" s="5"/>
      <c r="D1013" s="4">
        <v>45355</v>
      </c>
      <c r="E1013" s="5">
        <v>1.7110000000000001</v>
      </c>
    </row>
    <row r="1014" spans="1:5" x14ac:dyDescent="0.3">
      <c r="A1014" s="4">
        <v>45356</v>
      </c>
      <c r="B1014" s="5"/>
      <c r="D1014" s="4">
        <v>45356</v>
      </c>
      <c r="E1014" s="5">
        <v>1.7190000000000001</v>
      </c>
    </row>
    <row r="1015" spans="1:5" x14ac:dyDescent="0.3">
      <c r="A1015" s="4">
        <v>45357</v>
      </c>
      <c r="B1015" s="5"/>
      <c r="D1015" s="4">
        <v>45357</v>
      </c>
      <c r="E1015" s="5">
        <v>1.7130000000000001</v>
      </c>
    </row>
    <row r="1016" spans="1:5" x14ac:dyDescent="0.3">
      <c r="A1016" s="4">
        <v>45358</v>
      </c>
      <c r="B1016" s="5"/>
      <c r="D1016" s="4">
        <v>45358</v>
      </c>
      <c r="E1016" s="5">
        <v>1.7130000000000001</v>
      </c>
    </row>
    <row r="1017" spans="1:5" x14ac:dyDescent="0.3">
      <c r="A1017" s="4">
        <v>45359</v>
      </c>
      <c r="B1017" s="5"/>
      <c r="D1017" s="4">
        <v>45359</v>
      </c>
      <c r="E1017" s="5">
        <v>1.72</v>
      </c>
    </row>
    <row r="1018" spans="1:5" x14ac:dyDescent="0.3">
      <c r="A1018" s="4">
        <v>45362</v>
      </c>
      <c r="B1018" s="5"/>
      <c r="D1018" s="4">
        <v>45362</v>
      </c>
      <c r="E1018" s="5">
        <v>1.7310000000000001</v>
      </c>
    </row>
    <row r="1019" spans="1:5" x14ac:dyDescent="0.3">
      <c r="A1019" s="4">
        <v>45363</v>
      </c>
      <c r="B1019" s="5"/>
      <c r="D1019" s="4">
        <v>45363</v>
      </c>
      <c r="E1019" s="5">
        <v>1.7210000000000001</v>
      </c>
    </row>
    <row r="1020" spans="1:5" x14ac:dyDescent="0.3">
      <c r="A1020" s="4">
        <v>45364</v>
      </c>
      <c r="B1020" s="5"/>
      <c r="D1020" s="4">
        <v>45364</v>
      </c>
      <c r="E1020" s="5">
        <v>1.7350000000000001</v>
      </c>
    </row>
    <row r="1021" spans="1:5" x14ac:dyDescent="0.3">
      <c r="A1021" s="4">
        <v>45365</v>
      </c>
      <c r="B1021" s="5"/>
      <c r="D1021" s="4">
        <v>45365</v>
      </c>
      <c r="E1021" s="5">
        <v>1.746</v>
      </c>
    </row>
    <row r="1022" spans="1:5" x14ac:dyDescent="0.3">
      <c r="A1022" s="4">
        <v>45366</v>
      </c>
      <c r="B1022" s="5"/>
      <c r="D1022" s="4">
        <v>45366</v>
      </c>
      <c r="E1022" s="5">
        <v>1.766</v>
      </c>
    </row>
    <row r="1023" spans="1:5" x14ac:dyDescent="0.3">
      <c r="A1023" s="4">
        <v>45369</v>
      </c>
      <c r="B1023" s="5"/>
      <c r="D1023" s="4">
        <v>45369</v>
      </c>
      <c r="E1023" s="5">
        <v>1.746</v>
      </c>
    </row>
    <row r="1024" spans="1:5" x14ac:dyDescent="0.3">
      <c r="A1024" s="4">
        <v>45370</v>
      </c>
      <c r="B1024" s="5"/>
      <c r="D1024" s="4">
        <v>45370</v>
      </c>
      <c r="E1024" s="5">
        <v>1.754</v>
      </c>
    </row>
    <row r="1025" spans="1:5" x14ac:dyDescent="0.3">
      <c r="A1025" s="4">
        <v>45371</v>
      </c>
      <c r="B1025" s="5"/>
      <c r="D1025" s="4">
        <v>45371</v>
      </c>
      <c r="E1025" s="5">
        <v>1.7649999999999999</v>
      </c>
    </row>
    <row r="1026" spans="1:5" x14ac:dyDescent="0.3">
      <c r="A1026" s="4">
        <v>45372</v>
      </c>
      <c r="B1026" s="5"/>
      <c r="D1026" s="4">
        <v>45372</v>
      </c>
      <c r="E1026" s="5">
        <v>1.7709999999999999</v>
      </c>
    </row>
    <row r="1027" spans="1:5" x14ac:dyDescent="0.3">
      <c r="A1027" s="4">
        <v>45373</v>
      </c>
      <c r="B1027" s="5"/>
      <c r="D1027" s="4">
        <v>45373</v>
      </c>
      <c r="E1027" s="5">
        <v>1.772</v>
      </c>
    </row>
    <row r="1028" spans="1:5" x14ac:dyDescent="0.3">
      <c r="A1028" s="4">
        <v>45376</v>
      </c>
      <c r="B1028" s="5"/>
      <c r="D1028" s="4">
        <v>45376</v>
      </c>
      <c r="E1028" s="5">
        <v>1.774</v>
      </c>
    </row>
    <row r="1029" spans="1:5" x14ac:dyDescent="0.3">
      <c r="A1029" s="4">
        <v>45377</v>
      </c>
      <c r="B1029" s="5"/>
      <c r="D1029" s="4">
        <v>45377</v>
      </c>
      <c r="E1029" s="5">
        <v>1.77</v>
      </c>
    </row>
    <row r="1030" spans="1:5" x14ac:dyDescent="0.3">
      <c r="A1030" s="4">
        <v>45378</v>
      </c>
      <c r="B1030" s="5"/>
      <c r="D1030" s="4">
        <v>45378</v>
      </c>
      <c r="E1030" s="5">
        <v>1.77</v>
      </c>
    </row>
    <row r="1031" spans="1:5" x14ac:dyDescent="0.3">
      <c r="A1031" s="4">
        <v>45379</v>
      </c>
      <c r="B1031" s="5"/>
      <c r="D1031" s="4">
        <v>45379</v>
      </c>
      <c r="E1031" s="5">
        <v>1.734</v>
      </c>
    </row>
    <row r="1032" spans="1:5" x14ac:dyDescent="0.3">
      <c r="A1032" s="4">
        <v>45380</v>
      </c>
      <c r="B1032" s="5"/>
      <c r="D1032" s="4">
        <v>45380</v>
      </c>
      <c r="E1032" s="5">
        <v>1.718</v>
      </c>
    </row>
    <row r="1033" spans="1:5" x14ac:dyDescent="0.3">
      <c r="A1033" s="4">
        <v>45383</v>
      </c>
      <c r="B1033" s="5"/>
      <c r="D1033" s="4">
        <v>45383</v>
      </c>
      <c r="E1033" s="5">
        <v>1.728</v>
      </c>
    </row>
    <row r="1034" spans="1:5" x14ac:dyDescent="0.3">
      <c r="A1034" s="4">
        <v>45384</v>
      </c>
      <c r="B1034" s="5"/>
      <c r="D1034" s="4">
        <v>45384</v>
      </c>
      <c r="E1034" s="5">
        <v>1.704</v>
      </c>
    </row>
    <row r="1035" spans="1:5" x14ac:dyDescent="0.3">
      <c r="A1035" s="4">
        <v>45385</v>
      </c>
      <c r="B1035" s="5"/>
      <c r="D1035" s="4">
        <v>45385</v>
      </c>
      <c r="E1035" s="5">
        <v>1.6850000000000001</v>
      </c>
    </row>
    <row r="1036" spans="1:5" x14ac:dyDescent="0.3">
      <c r="A1036" s="4">
        <v>45390</v>
      </c>
      <c r="B1036" s="5"/>
      <c r="D1036" s="4">
        <v>45390</v>
      </c>
      <c r="E1036" s="5">
        <v>1.7110000000000001</v>
      </c>
    </row>
    <row r="1037" spans="1:5" x14ac:dyDescent="0.3">
      <c r="A1037" s="4">
        <v>45391</v>
      </c>
      <c r="B1037" s="5"/>
      <c r="D1037" s="4">
        <v>45391</v>
      </c>
      <c r="E1037" s="5">
        <v>1.718</v>
      </c>
    </row>
    <row r="1038" spans="1:5" x14ac:dyDescent="0.3">
      <c r="A1038" s="4">
        <v>45392</v>
      </c>
      <c r="B1038" s="5"/>
      <c r="D1038" s="4">
        <v>45392</v>
      </c>
      <c r="E1038" s="5">
        <v>1.722</v>
      </c>
    </row>
    <row r="1039" spans="1:5" x14ac:dyDescent="0.3">
      <c r="A1039" s="4">
        <v>45393</v>
      </c>
      <c r="B1039" s="5"/>
      <c r="D1039" s="4">
        <v>45393</v>
      </c>
      <c r="E1039" s="5">
        <v>1.7210000000000001</v>
      </c>
    </row>
    <row r="1040" spans="1:5" x14ac:dyDescent="0.3">
      <c r="A1040" s="4">
        <v>45394</v>
      </c>
      <c r="B1040" s="5"/>
      <c r="D1040" s="4">
        <v>45394</v>
      </c>
      <c r="E1040" s="5">
        <v>1.7170000000000001</v>
      </c>
    </row>
    <row r="1041" spans="1:5" x14ac:dyDescent="0.3">
      <c r="A1041" s="4">
        <v>45397</v>
      </c>
      <c r="B1041" s="5"/>
      <c r="D1041" s="4">
        <v>45397</v>
      </c>
      <c r="E1041" s="5">
        <v>1.716</v>
      </c>
    </row>
    <row r="1042" spans="1:5" x14ac:dyDescent="0.3">
      <c r="A1042" s="4">
        <v>45398</v>
      </c>
      <c r="B1042" s="5"/>
      <c r="D1042" s="4">
        <v>45398</v>
      </c>
      <c r="E1042" s="5">
        <v>1.7150000000000001</v>
      </c>
    </row>
    <row r="1043" spans="1:5" x14ac:dyDescent="0.3">
      <c r="A1043" s="4">
        <v>45399</v>
      </c>
      <c r="B1043" s="5"/>
      <c r="D1043" s="4">
        <v>45399</v>
      </c>
      <c r="E1043" s="5">
        <v>1.7230000000000001</v>
      </c>
    </row>
    <row r="1044" spans="1:5" x14ac:dyDescent="0.3">
      <c r="A1044" s="4">
        <v>45400</v>
      </c>
      <c r="B1044" s="5"/>
      <c r="D1044" s="4">
        <v>45400</v>
      </c>
      <c r="E1044" s="5">
        <v>1.776</v>
      </c>
    </row>
    <row r="1045" spans="1:5" x14ac:dyDescent="0.3">
      <c r="A1045" s="4">
        <v>45401</v>
      </c>
      <c r="B1045" s="5"/>
      <c r="D1045" s="4">
        <v>45401</v>
      </c>
      <c r="E1045" s="5">
        <v>1.7969999999999999</v>
      </c>
    </row>
    <row r="1046" spans="1:5" x14ac:dyDescent="0.3">
      <c r="A1046" s="4">
        <v>45404</v>
      </c>
      <c r="B1046" s="5"/>
      <c r="D1046" s="4">
        <v>45404</v>
      </c>
      <c r="E1046" s="5">
        <v>1.78</v>
      </c>
    </row>
    <row r="1047" spans="1:5" x14ac:dyDescent="0.3">
      <c r="A1047" s="4">
        <v>45405</v>
      </c>
      <c r="B1047" s="5"/>
      <c r="D1047" s="4">
        <v>45405</v>
      </c>
      <c r="E1047" s="5">
        <v>1.788</v>
      </c>
    </row>
    <row r="1048" spans="1:5" x14ac:dyDescent="0.3">
      <c r="A1048" s="4">
        <v>45406</v>
      </c>
      <c r="B1048" s="5"/>
      <c r="D1048" s="4">
        <v>45406</v>
      </c>
      <c r="E1048" s="5">
        <v>1.784</v>
      </c>
    </row>
    <row r="1049" spans="1:5" x14ac:dyDescent="0.3">
      <c r="A1049" s="4">
        <v>45407</v>
      </c>
      <c r="B1049" s="5"/>
      <c r="D1049" s="4">
        <v>45407</v>
      </c>
      <c r="E1049" s="5">
        <v>1.8460000000000001</v>
      </c>
    </row>
    <row r="1050" spans="1:5" x14ac:dyDescent="0.3">
      <c r="A1050" s="4">
        <v>45408</v>
      </c>
      <c r="B1050" s="5"/>
      <c r="D1050" s="4">
        <v>45408</v>
      </c>
      <c r="E1050" s="5">
        <v>1.879</v>
      </c>
    </row>
    <row r="1051" spans="1:5" x14ac:dyDescent="0.3">
      <c r="A1051" s="4">
        <v>45411</v>
      </c>
      <c r="B1051" s="5"/>
      <c r="D1051" s="4">
        <v>45411</v>
      </c>
      <c r="E1051" s="5">
        <v>1.823</v>
      </c>
    </row>
    <row r="1052" spans="1:5" x14ac:dyDescent="0.3">
      <c r="A1052" s="4">
        <v>45412</v>
      </c>
      <c r="B1052" s="5"/>
      <c r="D1052" s="4">
        <v>45412</v>
      </c>
      <c r="E1052" s="5">
        <v>1.921</v>
      </c>
    </row>
    <row r="1053" spans="1:5" x14ac:dyDescent="0.3">
      <c r="A1053" s="4">
        <v>45418</v>
      </c>
      <c r="B1053" s="5"/>
      <c r="D1053" s="4">
        <v>45418</v>
      </c>
      <c r="E1053" s="5">
        <v>1.7769999999999999</v>
      </c>
    </row>
    <row r="1054" spans="1:5" x14ac:dyDescent="0.3">
      <c r="A1054" s="4">
        <v>45419</v>
      </c>
      <c r="B1054" s="5"/>
      <c r="D1054" s="4">
        <v>45419</v>
      </c>
      <c r="E1054" s="5">
        <v>1.744</v>
      </c>
    </row>
    <row r="1055" spans="1:5" x14ac:dyDescent="0.3">
      <c r="A1055" s="4">
        <v>45420</v>
      </c>
      <c r="B1055" s="5"/>
      <c r="D1055" s="4">
        <v>45420</v>
      </c>
      <c r="E1055" s="5">
        <v>1.837</v>
      </c>
    </row>
    <row r="1056" spans="1:5" x14ac:dyDescent="0.3">
      <c r="A1056" s="4">
        <v>45421</v>
      </c>
      <c r="B1056" s="5"/>
      <c r="D1056" s="4">
        <v>45421</v>
      </c>
      <c r="E1056" s="5">
        <v>1.7270000000000001</v>
      </c>
    </row>
    <row r="1057" spans="1:5" x14ac:dyDescent="0.3">
      <c r="A1057" s="4">
        <v>45422</v>
      </c>
      <c r="B1057" s="5"/>
      <c r="D1057" s="4">
        <v>45422</v>
      </c>
      <c r="E1057" s="5">
        <v>1.7330000000000001</v>
      </c>
    </row>
    <row r="1058" spans="1:5" x14ac:dyDescent="0.3">
      <c r="A1058" s="4">
        <v>45425</v>
      </c>
      <c r="B1058" s="5"/>
      <c r="D1058" s="4">
        <v>45425</v>
      </c>
      <c r="E1058" s="5">
        <v>1.7809999999999999</v>
      </c>
    </row>
    <row r="1059" spans="1:5" x14ac:dyDescent="0.3">
      <c r="A1059" s="4">
        <v>45426</v>
      </c>
      <c r="B1059" s="5"/>
      <c r="D1059" s="4">
        <v>45426</v>
      </c>
      <c r="E1059" s="5">
        <v>1.7689999999999999</v>
      </c>
    </row>
    <row r="1060" spans="1:5" x14ac:dyDescent="0.3">
      <c r="A1060" s="4">
        <v>45427</v>
      </c>
      <c r="B1060" s="5"/>
      <c r="D1060" s="4">
        <v>45427</v>
      </c>
      <c r="E1060" s="5">
        <v>1.7270000000000001</v>
      </c>
    </row>
    <row r="1061" spans="1:5" x14ac:dyDescent="0.3">
      <c r="A1061" s="4">
        <v>45428</v>
      </c>
      <c r="B1061" s="5"/>
      <c r="D1061" s="4">
        <v>45428</v>
      </c>
      <c r="E1061" s="5">
        <v>1.724</v>
      </c>
    </row>
    <row r="1062" spans="1:5" x14ac:dyDescent="0.3">
      <c r="A1062" s="4">
        <v>45429</v>
      </c>
      <c r="B1062" s="5"/>
      <c r="D1062" s="4">
        <v>45429</v>
      </c>
      <c r="E1062" s="5">
        <v>1.7190000000000001</v>
      </c>
    </row>
    <row r="1063" spans="1:5" x14ac:dyDescent="0.3">
      <c r="A1063" s="4">
        <v>45432</v>
      </c>
      <c r="B1063" s="5"/>
      <c r="D1063" s="4">
        <v>45432</v>
      </c>
      <c r="E1063" s="5">
        <v>1.7190000000000001</v>
      </c>
    </row>
    <row r="1064" spans="1:5" x14ac:dyDescent="0.3">
      <c r="A1064" s="4">
        <v>45433</v>
      </c>
      <c r="B1064" s="5"/>
      <c r="D1064" s="4">
        <v>45433</v>
      </c>
      <c r="E1064" s="5">
        <v>1.758</v>
      </c>
    </row>
    <row r="1065" spans="1:5" x14ac:dyDescent="0.3">
      <c r="A1065" s="4">
        <v>45434</v>
      </c>
      <c r="B1065" s="5"/>
      <c r="D1065" s="4">
        <v>45434</v>
      </c>
      <c r="E1065" s="5">
        <v>1.7789999999999999</v>
      </c>
    </row>
    <row r="1066" spans="1:5" x14ac:dyDescent="0.3">
      <c r="A1066" s="4">
        <v>45435</v>
      </c>
      <c r="B1066" s="5"/>
      <c r="D1066" s="4">
        <v>45435</v>
      </c>
      <c r="E1066" s="5">
        <v>1.7689999999999999</v>
      </c>
    </row>
    <row r="1067" spans="1:5" x14ac:dyDescent="0.3">
      <c r="A1067" s="4">
        <v>45436</v>
      </c>
      <c r="B1067" s="5"/>
      <c r="D1067" s="4">
        <v>45436</v>
      </c>
      <c r="E1067" s="5">
        <v>1.766</v>
      </c>
    </row>
    <row r="1068" spans="1:5" x14ac:dyDescent="0.3">
      <c r="A1068" s="4">
        <v>45439</v>
      </c>
      <c r="B1068" s="5"/>
      <c r="D1068" s="4">
        <v>45439</v>
      </c>
      <c r="E1068" s="5">
        <v>1.7669999999999999</v>
      </c>
    </row>
    <row r="1069" spans="1:5" x14ac:dyDescent="0.3">
      <c r="A1069" s="4">
        <v>45440</v>
      </c>
      <c r="B1069" s="5"/>
      <c r="D1069" s="4">
        <v>45440</v>
      </c>
      <c r="E1069" s="5">
        <v>1.81</v>
      </c>
    </row>
    <row r="1070" spans="1:5" x14ac:dyDescent="0.3">
      <c r="A1070" s="4">
        <v>45441</v>
      </c>
      <c r="B1070" s="5"/>
      <c r="D1070" s="4">
        <v>45441</v>
      </c>
      <c r="E1070" s="5">
        <v>1.849</v>
      </c>
    </row>
    <row r="1071" spans="1:5" x14ac:dyDescent="0.3">
      <c r="A1071" s="4">
        <v>45442</v>
      </c>
      <c r="B1071" s="5"/>
      <c r="D1071" s="4">
        <v>45442</v>
      </c>
      <c r="E1071" s="5">
        <v>1.746</v>
      </c>
    </row>
    <row r="1072" spans="1:5" x14ac:dyDescent="0.3">
      <c r="A1072" s="4">
        <v>45443</v>
      </c>
      <c r="B1072" s="5"/>
      <c r="D1072" s="4">
        <v>45443</v>
      </c>
      <c r="E1072" s="5">
        <v>1.8049999999999999</v>
      </c>
    </row>
    <row r="1073" spans="1:5" x14ac:dyDescent="0.3">
      <c r="A1073" s="4">
        <v>45446</v>
      </c>
      <c r="B1073" s="5"/>
      <c r="D1073" s="4">
        <v>45446</v>
      </c>
      <c r="E1073" s="5">
        <v>1.7230000000000001</v>
      </c>
    </row>
    <row r="1074" spans="1:5" x14ac:dyDescent="0.3">
      <c r="A1074" s="4">
        <v>45447</v>
      </c>
      <c r="B1074" s="5"/>
      <c r="D1074" s="4">
        <v>45447</v>
      </c>
      <c r="E1074" s="5">
        <v>1.663</v>
      </c>
    </row>
    <row r="1075" spans="1:5" x14ac:dyDescent="0.3">
      <c r="A1075" s="4">
        <v>45448</v>
      </c>
      <c r="B1075" s="5"/>
      <c r="D1075" s="4">
        <v>45448</v>
      </c>
      <c r="E1075" s="5">
        <v>1.6639999999999999</v>
      </c>
    </row>
    <row r="1076" spans="1:5" x14ac:dyDescent="0.3">
      <c r="A1076" s="4">
        <v>45449</v>
      </c>
      <c r="B1076" s="5"/>
      <c r="D1076" s="4">
        <v>45449</v>
      </c>
      <c r="E1076" s="5">
        <v>1.6559999999999999</v>
      </c>
    </row>
    <row r="1077" spans="1:5" x14ac:dyDescent="0.3">
      <c r="A1077" s="4">
        <v>45450</v>
      </c>
      <c r="B1077" s="5"/>
      <c r="D1077" s="4">
        <v>45450</v>
      </c>
      <c r="E1077" s="5">
        <v>1.7190000000000001</v>
      </c>
    </row>
    <row r="1078" spans="1:5" x14ac:dyDescent="0.3">
      <c r="A1078" s="4">
        <v>45454</v>
      </c>
      <c r="B1078" s="5"/>
      <c r="D1078" s="4">
        <v>45454</v>
      </c>
      <c r="E1078" s="5">
        <v>1.679</v>
      </c>
    </row>
    <row r="1079" spans="1:5" x14ac:dyDescent="0.3">
      <c r="A1079" s="4">
        <v>45455</v>
      </c>
      <c r="B1079" s="5"/>
      <c r="D1079" s="4">
        <v>45455</v>
      </c>
      <c r="E1079" s="5">
        <v>1.68</v>
      </c>
    </row>
    <row r="1080" spans="1:5" x14ac:dyDescent="0.3">
      <c r="A1080" s="4">
        <v>45456</v>
      </c>
      <c r="B1080" s="5"/>
      <c r="D1080" s="4">
        <v>45456</v>
      </c>
      <c r="E1080" s="5">
        <v>1.7230000000000001</v>
      </c>
    </row>
    <row r="1081" spans="1:5" x14ac:dyDescent="0.3">
      <c r="A1081" s="4">
        <v>45457</v>
      </c>
      <c r="B1081" s="5"/>
      <c r="D1081" s="4">
        <v>45457</v>
      </c>
      <c r="E1081" s="5">
        <v>1.732</v>
      </c>
    </row>
    <row r="1082" spans="1:5" x14ac:dyDescent="0.3">
      <c r="A1082" s="4">
        <v>45460</v>
      </c>
      <c r="B1082" s="5"/>
      <c r="D1082" s="4">
        <v>45460</v>
      </c>
      <c r="E1082" s="5">
        <v>1.7829999999999999</v>
      </c>
    </row>
    <row r="1083" spans="1:5" x14ac:dyDescent="0.3">
      <c r="A1083" s="4">
        <v>45461</v>
      </c>
      <c r="B1083" s="5"/>
      <c r="D1083" s="4">
        <v>45461</v>
      </c>
      <c r="E1083" s="5">
        <v>1.829</v>
      </c>
    </row>
    <row r="1084" spans="1:5" x14ac:dyDescent="0.3">
      <c r="A1084" s="4">
        <v>45462</v>
      </c>
      <c r="B1084" s="5"/>
      <c r="D1084" s="4">
        <v>45462</v>
      </c>
      <c r="E1084" s="5">
        <v>1.853</v>
      </c>
    </row>
    <row r="1085" spans="1:5" x14ac:dyDescent="0.3">
      <c r="A1085" s="4">
        <v>45463</v>
      </c>
      <c r="B1085" s="5"/>
      <c r="D1085" s="4">
        <v>45463</v>
      </c>
      <c r="E1085" s="5">
        <v>1.877</v>
      </c>
    </row>
    <row r="1086" spans="1:5" x14ac:dyDescent="0.3">
      <c r="A1086" s="4">
        <v>45464</v>
      </c>
      <c r="B1086" s="5"/>
      <c r="D1086" s="4">
        <v>45464</v>
      </c>
      <c r="E1086" s="5">
        <v>1.96</v>
      </c>
    </row>
    <row r="1087" spans="1:5" x14ac:dyDescent="0.3">
      <c r="A1087" s="4">
        <v>45467</v>
      </c>
      <c r="B1087" s="5"/>
      <c r="D1087" s="4">
        <v>45467</v>
      </c>
      <c r="E1087" s="5">
        <v>1.98</v>
      </c>
    </row>
    <row r="1088" spans="1:5" x14ac:dyDescent="0.3">
      <c r="A1088" s="4">
        <v>45468</v>
      </c>
      <c r="B1088" s="5"/>
      <c r="D1088" s="4">
        <v>45468</v>
      </c>
      <c r="E1088" s="5">
        <v>1.964</v>
      </c>
    </row>
    <row r="1089" spans="1:5" x14ac:dyDescent="0.3">
      <c r="A1089" s="4">
        <v>45469</v>
      </c>
      <c r="B1089" s="5"/>
      <c r="D1089" s="4">
        <v>45469</v>
      </c>
      <c r="E1089" s="5">
        <v>1.976</v>
      </c>
    </row>
    <row r="1090" spans="1:5" x14ac:dyDescent="0.3">
      <c r="A1090" s="4">
        <v>45470</v>
      </c>
      <c r="B1090" s="5"/>
      <c r="D1090" s="4">
        <v>45470</v>
      </c>
      <c r="E1090" s="5">
        <v>1.879</v>
      </c>
    </row>
    <row r="1091" spans="1:5" x14ac:dyDescent="0.3">
      <c r="A1091" s="4">
        <v>45471</v>
      </c>
      <c r="B1091" s="5"/>
      <c r="D1091" s="4">
        <v>45471</v>
      </c>
      <c r="E1091" s="5">
        <v>1.889</v>
      </c>
    </row>
    <row r="1092" spans="1:5" x14ac:dyDescent="0.3">
      <c r="A1092" s="4">
        <v>45474</v>
      </c>
      <c r="B1092" s="5"/>
      <c r="D1092" s="4">
        <v>45474</v>
      </c>
      <c r="E1092" s="5">
        <v>1.7490000000000001</v>
      </c>
    </row>
    <row r="1093" spans="1:5" x14ac:dyDescent="0.3">
      <c r="A1093" s="4">
        <v>45475</v>
      </c>
      <c r="B1093" s="5"/>
      <c r="D1093" s="4">
        <v>45475</v>
      </c>
      <c r="E1093" s="5">
        <v>1.7150000000000001</v>
      </c>
    </row>
    <row r="1094" spans="1:5" x14ac:dyDescent="0.3">
      <c r="A1094" s="4">
        <v>45476</v>
      </c>
      <c r="B1094" s="5"/>
      <c r="D1094" s="4">
        <v>45476</v>
      </c>
      <c r="E1094" s="5">
        <v>1.6879999999999999</v>
      </c>
    </row>
    <row r="1095" spans="1:5" x14ac:dyDescent="0.3">
      <c r="A1095" s="4">
        <v>45477</v>
      </c>
      <c r="B1095" s="5"/>
      <c r="D1095" s="4">
        <v>45477</v>
      </c>
      <c r="E1095" s="5">
        <v>1.712</v>
      </c>
    </row>
    <row r="1096" spans="1:5" x14ac:dyDescent="0.3">
      <c r="A1096" s="4">
        <v>45478</v>
      </c>
      <c r="B1096" s="5"/>
      <c r="D1096" s="4">
        <v>45478</v>
      </c>
      <c r="E1096" s="5">
        <v>1.764</v>
      </c>
    </row>
    <row r="1097" spans="1:5" x14ac:dyDescent="0.3">
      <c r="A1097" s="4">
        <v>45481</v>
      </c>
      <c r="B1097" s="5"/>
      <c r="D1097" s="4">
        <v>45481</v>
      </c>
      <c r="E1097" s="5">
        <v>1.754</v>
      </c>
    </row>
    <row r="1098" spans="1:5" x14ac:dyDescent="0.3">
      <c r="A1098" s="4">
        <v>45482</v>
      </c>
      <c r="B1098" s="5"/>
      <c r="D1098" s="4">
        <v>45482</v>
      </c>
      <c r="E1098" s="5">
        <v>1.679</v>
      </c>
    </row>
    <row r="1099" spans="1:5" x14ac:dyDescent="0.3">
      <c r="A1099" s="4">
        <v>45483</v>
      </c>
      <c r="B1099" s="5"/>
      <c r="D1099" s="4">
        <v>45483</v>
      </c>
      <c r="E1099" s="5">
        <v>1.64</v>
      </c>
    </row>
    <row r="1100" spans="1:5" x14ac:dyDescent="0.3">
      <c r="A1100" s="4">
        <v>45484</v>
      </c>
      <c r="B1100" s="5"/>
      <c r="D1100" s="4">
        <v>45484</v>
      </c>
      <c r="E1100" s="5">
        <v>1.67</v>
      </c>
    </row>
    <row r="1101" spans="1:5" x14ac:dyDescent="0.3">
      <c r="A1101" s="4">
        <v>45485</v>
      </c>
      <c r="B1101" s="5"/>
      <c r="D1101" s="4">
        <v>45485</v>
      </c>
      <c r="E1101" s="5">
        <v>1.6679999999999999</v>
      </c>
    </row>
    <row r="1102" spans="1:5" x14ac:dyDescent="0.3">
      <c r="A1102" s="4">
        <v>45488</v>
      </c>
      <c r="B1102" s="5"/>
      <c r="D1102" s="4">
        <v>45488</v>
      </c>
      <c r="E1102" s="5">
        <v>1.78</v>
      </c>
    </row>
    <row r="1103" spans="1:5" x14ac:dyDescent="0.3">
      <c r="A1103" s="4">
        <v>45489</v>
      </c>
      <c r="B1103" s="5"/>
      <c r="D1103" s="4">
        <v>45489</v>
      </c>
      <c r="E1103" s="5">
        <v>1.8939999999999999</v>
      </c>
    </row>
    <row r="1104" spans="1:5" x14ac:dyDescent="0.3">
      <c r="A1104" s="4">
        <v>45490</v>
      </c>
      <c r="B1104" s="5"/>
      <c r="D1104" s="4">
        <v>45490</v>
      </c>
      <c r="E1104" s="5">
        <v>1.913</v>
      </c>
    </row>
    <row r="1105" spans="1:5" x14ac:dyDescent="0.3">
      <c r="A1105" s="4">
        <v>45491</v>
      </c>
      <c r="B1105" s="5"/>
      <c r="D1105" s="4">
        <v>45491</v>
      </c>
      <c r="E1105" s="5">
        <v>1.9330000000000001</v>
      </c>
    </row>
    <row r="1106" spans="1:5" x14ac:dyDescent="0.3">
      <c r="A1106" s="4">
        <v>45492</v>
      </c>
      <c r="B1106" s="5"/>
      <c r="D1106" s="4">
        <v>45492</v>
      </c>
      <c r="E1106" s="5">
        <v>1.855</v>
      </c>
    </row>
    <row r="1107" spans="1:5" x14ac:dyDescent="0.3">
      <c r="A1107" s="4">
        <v>45495</v>
      </c>
      <c r="B1107" s="5"/>
      <c r="D1107" s="4">
        <v>45495</v>
      </c>
      <c r="E1107" s="5">
        <v>1.647</v>
      </c>
    </row>
    <row r="1108" spans="1:5" x14ac:dyDescent="0.3">
      <c r="A1108" s="4">
        <v>45496</v>
      </c>
      <c r="B1108" s="5"/>
      <c r="D1108" s="4">
        <v>45496</v>
      </c>
      <c r="E1108" s="5">
        <v>1.736</v>
      </c>
    </row>
    <row r="1109" spans="1:5" x14ac:dyDescent="0.3">
      <c r="A1109" s="4">
        <v>45497</v>
      </c>
      <c r="B1109" s="5"/>
      <c r="D1109" s="4">
        <v>45497</v>
      </c>
      <c r="E1109" s="5">
        <v>1.7390000000000001</v>
      </c>
    </row>
    <row r="1110" spans="1:5" x14ac:dyDescent="0.3">
      <c r="A1110" s="4">
        <v>45498</v>
      </c>
      <c r="B1110" s="5"/>
      <c r="D1110" s="4">
        <v>45498</v>
      </c>
      <c r="E1110" s="5">
        <v>1.764</v>
      </c>
    </row>
    <row r="1111" spans="1:5" x14ac:dyDescent="0.3">
      <c r="A1111" s="4">
        <v>45499</v>
      </c>
      <c r="B1111" s="5"/>
      <c r="D1111" s="4">
        <v>45499</v>
      </c>
      <c r="E1111" s="5">
        <v>1.6890000000000001</v>
      </c>
    </row>
    <row r="1112" spans="1:5" x14ac:dyDescent="0.3">
      <c r="A1112" s="4">
        <v>45502</v>
      </c>
      <c r="B1112" s="5"/>
      <c r="D1112" s="4">
        <v>45502</v>
      </c>
      <c r="E1112" s="5">
        <v>1.631</v>
      </c>
    </row>
    <row r="1113" spans="1:5" x14ac:dyDescent="0.3">
      <c r="A1113" s="4">
        <v>45503</v>
      </c>
      <c r="B1113" s="5"/>
      <c r="D1113" s="4">
        <v>45503</v>
      </c>
      <c r="E1113" s="5">
        <v>1.639</v>
      </c>
    </row>
    <row r="1114" spans="1:5" x14ac:dyDescent="0.3">
      <c r="A1114" s="4">
        <v>45504</v>
      </c>
      <c r="B1114" s="5"/>
      <c r="D1114" s="4">
        <v>45504</v>
      </c>
      <c r="E1114" s="5">
        <v>1.782</v>
      </c>
    </row>
    <row r="1115" spans="1:5" x14ac:dyDescent="0.3">
      <c r="A1115" s="4">
        <v>45505</v>
      </c>
      <c r="B1115" s="5"/>
      <c r="D1115" s="4">
        <v>45505</v>
      </c>
      <c r="E1115" s="5">
        <v>1.6080000000000001</v>
      </c>
    </row>
    <row r="1116" spans="1:5" x14ac:dyDescent="0.3">
      <c r="A1116" s="4">
        <v>45506</v>
      </c>
      <c r="B1116" s="5"/>
      <c r="D1116" s="4">
        <v>45506</v>
      </c>
      <c r="E1116" s="5">
        <v>1.573</v>
      </c>
    </row>
    <row r="1117" spans="1:5" x14ac:dyDescent="0.3">
      <c r="A1117" s="4">
        <v>45509</v>
      </c>
      <c r="B1117" s="5"/>
      <c r="D1117" s="4">
        <v>45509</v>
      </c>
      <c r="E1117" s="5">
        <v>1.585</v>
      </c>
    </row>
    <row r="1118" spans="1:5" x14ac:dyDescent="0.3">
      <c r="A1118" s="4">
        <v>45510</v>
      </c>
      <c r="B1118" s="5"/>
      <c r="D1118" s="4">
        <v>45510</v>
      </c>
      <c r="E1118" s="5">
        <v>1.583</v>
      </c>
    </row>
    <row r="1119" spans="1:5" x14ac:dyDescent="0.3">
      <c r="A1119" s="4">
        <v>45511</v>
      </c>
      <c r="B1119" s="5"/>
      <c r="D1119" s="4">
        <v>45511</v>
      </c>
      <c r="E1119" s="5">
        <v>1.617</v>
      </c>
    </row>
    <row r="1120" spans="1:5" x14ac:dyDescent="0.3">
      <c r="A1120" s="4">
        <v>45512</v>
      </c>
      <c r="B1120" s="5"/>
      <c r="D1120" s="4">
        <v>45512</v>
      </c>
      <c r="E1120" s="5">
        <v>1.681</v>
      </c>
    </row>
    <row r="1121" spans="1:5" x14ac:dyDescent="0.3">
      <c r="A1121" s="4">
        <v>45513</v>
      </c>
      <c r="B1121" s="5"/>
      <c r="D1121" s="4">
        <v>45513</v>
      </c>
      <c r="E1121" s="5">
        <v>1.778</v>
      </c>
    </row>
    <row r="1122" spans="1:5" x14ac:dyDescent="0.3">
      <c r="A1122" s="4">
        <v>45516</v>
      </c>
      <c r="B1122" s="5"/>
      <c r="D1122" s="4">
        <v>45516</v>
      </c>
      <c r="E1122" s="5">
        <v>1.9510000000000001</v>
      </c>
    </row>
    <row r="1123" spans="1:5" x14ac:dyDescent="0.3">
      <c r="A1123" s="4">
        <v>45517</v>
      </c>
      <c r="B1123" s="5"/>
      <c r="D1123" s="4">
        <v>45517</v>
      </c>
      <c r="E1123" s="5">
        <v>1.9279999999999999</v>
      </c>
    </row>
    <row r="1124" spans="1:5" x14ac:dyDescent="0.3">
      <c r="A1124" s="4">
        <v>45518</v>
      </c>
      <c r="B1124" s="5"/>
      <c r="D1124" s="4">
        <v>45518</v>
      </c>
      <c r="E1124" s="5">
        <v>1.8420000000000001</v>
      </c>
    </row>
    <row r="1125" spans="1:5" x14ac:dyDescent="0.3">
      <c r="A1125" s="4">
        <v>45519</v>
      </c>
      <c r="B1125" s="5"/>
      <c r="D1125" s="4">
        <v>45519</v>
      </c>
      <c r="E1125" s="5">
        <v>1.754</v>
      </c>
    </row>
    <row r="1126" spans="1:5" x14ac:dyDescent="0.3">
      <c r="A1126" s="4">
        <v>45520</v>
      </c>
      <c r="B1126" s="5"/>
      <c r="D1126" s="4">
        <v>45520</v>
      </c>
      <c r="E1126" s="5">
        <v>1.7</v>
      </c>
    </row>
    <row r="1127" spans="1:5" x14ac:dyDescent="0.3">
      <c r="A1127" s="4">
        <v>45523</v>
      </c>
      <c r="B1127" s="5"/>
      <c r="D1127" s="4">
        <v>45523</v>
      </c>
      <c r="E1127" s="5">
        <v>1.6819999999999999</v>
      </c>
    </row>
    <row r="1128" spans="1:5" x14ac:dyDescent="0.3">
      <c r="A1128" s="4">
        <v>45524</v>
      </c>
      <c r="B1128" s="5"/>
      <c r="D1128" s="4">
        <v>45524</v>
      </c>
      <c r="E1128" s="5">
        <v>1.712</v>
      </c>
    </row>
    <row r="1129" spans="1:5" x14ac:dyDescent="0.3">
      <c r="A1129" s="4">
        <v>45525</v>
      </c>
      <c r="B1129" s="5"/>
      <c r="D1129" s="4">
        <v>45525</v>
      </c>
      <c r="E1129" s="5">
        <v>1.722</v>
      </c>
    </row>
    <row r="1130" spans="1:5" x14ac:dyDescent="0.3">
      <c r="A1130" s="4">
        <v>45526</v>
      </c>
      <c r="B1130" s="5"/>
      <c r="D1130" s="4">
        <v>45526</v>
      </c>
      <c r="E1130" s="5">
        <v>1.7649999999999999</v>
      </c>
    </row>
    <row r="1131" spans="1:5" x14ac:dyDescent="0.3">
      <c r="A1131" s="4">
        <v>45527</v>
      </c>
      <c r="B1131" s="5"/>
      <c r="D1131" s="4">
        <v>45527</v>
      </c>
      <c r="E1131" s="5">
        <v>1.8009999999999999</v>
      </c>
    </row>
    <row r="1132" spans="1:5" x14ac:dyDescent="0.3">
      <c r="A1132" s="4">
        <v>45530</v>
      </c>
      <c r="B1132" s="5"/>
      <c r="D1132" s="4">
        <v>45530</v>
      </c>
      <c r="E1132" s="5">
        <v>1.8620000000000001</v>
      </c>
    </row>
    <row r="1133" spans="1:5" x14ac:dyDescent="0.3">
      <c r="A1133" s="4">
        <v>45531</v>
      </c>
      <c r="B1133" s="5"/>
      <c r="D1133" s="4">
        <v>45531</v>
      </c>
      <c r="E1133" s="5">
        <v>1.667</v>
      </c>
    </row>
    <row r="1134" spans="1:5" x14ac:dyDescent="0.3">
      <c r="A1134" s="4">
        <v>45532</v>
      </c>
      <c r="B1134" s="5"/>
      <c r="D1134" s="4">
        <v>45532</v>
      </c>
      <c r="E1134" s="5">
        <v>1.52</v>
      </c>
    </row>
    <row r="1135" spans="1:5" x14ac:dyDescent="0.3">
      <c r="A1135" s="4">
        <v>45533</v>
      </c>
      <c r="B1135" s="5"/>
      <c r="D1135" s="4">
        <v>45533</v>
      </c>
      <c r="E1135" s="5">
        <v>1.514</v>
      </c>
    </row>
    <row r="1136" spans="1:5" x14ac:dyDescent="0.3">
      <c r="A1136" s="4">
        <v>45534</v>
      </c>
      <c r="B1136" s="5"/>
      <c r="D1136" s="4">
        <v>45534</v>
      </c>
      <c r="E1136" s="5">
        <v>1.5289999999999999</v>
      </c>
    </row>
    <row r="1137" spans="1:5" x14ac:dyDescent="0.3">
      <c r="A1137" s="4">
        <v>45537</v>
      </c>
      <c r="B1137" s="5"/>
      <c r="D1137" s="4">
        <v>45537</v>
      </c>
      <c r="E1137" s="5">
        <v>1.516</v>
      </c>
    </row>
    <row r="1138" spans="1:5" x14ac:dyDescent="0.3">
      <c r="A1138" s="4">
        <v>45538</v>
      </c>
      <c r="B1138" s="5"/>
      <c r="D1138" s="4">
        <v>45538</v>
      </c>
      <c r="E1138" s="5">
        <v>1.5680000000000001</v>
      </c>
    </row>
    <row r="1139" spans="1:5" x14ac:dyDescent="0.3">
      <c r="A1139" s="4">
        <v>45539</v>
      </c>
      <c r="B1139" s="5"/>
      <c r="D1139" s="4">
        <v>45539</v>
      </c>
      <c r="E1139" s="5">
        <v>1.5289999999999999</v>
      </c>
    </row>
    <row r="1140" spans="1:5" x14ac:dyDescent="0.3">
      <c r="A1140" s="4">
        <v>45540</v>
      </c>
      <c r="B1140" s="5"/>
      <c r="D1140" s="4">
        <v>45540</v>
      </c>
      <c r="E1140" s="5">
        <v>1.5780000000000001</v>
      </c>
    </row>
    <row r="1141" spans="1:5" x14ac:dyDescent="0.3">
      <c r="A1141" s="4">
        <v>45541</v>
      </c>
      <c r="B1141" s="5"/>
      <c r="D1141" s="4">
        <v>45541</v>
      </c>
      <c r="E1141" s="5">
        <v>1.716</v>
      </c>
    </row>
    <row r="1142" spans="1:5" x14ac:dyDescent="0.3">
      <c r="A1142" s="4">
        <v>45544</v>
      </c>
      <c r="B1142" s="5"/>
      <c r="D1142" s="4">
        <v>45544</v>
      </c>
      <c r="E1142" s="5">
        <v>1.8</v>
      </c>
    </row>
    <row r="1143" spans="1:5" x14ac:dyDescent="0.3">
      <c r="A1143" s="4">
        <v>45545</v>
      </c>
      <c r="B1143" s="5"/>
      <c r="D1143" s="4">
        <v>45545</v>
      </c>
      <c r="E1143" s="5">
        <v>1.9550000000000001</v>
      </c>
    </row>
    <row r="1144" spans="1:5" x14ac:dyDescent="0.3">
      <c r="A1144" s="4">
        <v>45546</v>
      </c>
      <c r="B1144" s="5"/>
      <c r="D1144" s="4">
        <v>45546</v>
      </c>
      <c r="E1144" s="5">
        <v>1.7729999999999999</v>
      </c>
    </row>
    <row r="1145" spans="1:5" x14ac:dyDescent="0.3">
      <c r="A1145" s="4">
        <v>45547</v>
      </c>
      <c r="B1145" s="5"/>
      <c r="D1145" s="4">
        <v>45547</v>
      </c>
      <c r="E1145" s="5">
        <v>1.7769999999999999</v>
      </c>
    </row>
    <row r="1146" spans="1:5" x14ac:dyDescent="0.3">
      <c r="A1146" s="4">
        <v>45548</v>
      </c>
      <c r="B1146" s="5"/>
      <c r="D1146" s="4">
        <v>45548</v>
      </c>
      <c r="E1146" s="5">
        <v>1.6559999999999999</v>
      </c>
    </row>
    <row r="1147" spans="1:5" x14ac:dyDescent="0.3">
      <c r="A1147" s="4">
        <v>45553</v>
      </c>
      <c r="B1147" s="5"/>
      <c r="D1147" s="4">
        <v>45553</v>
      </c>
      <c r="E1147" s="5">
        <v>1.744</v>
      </c>
    </row>
    <row r="1148" spans="1:5" x14ac:dyDescent="0.3">
      <c r="A1148" s="4">
        <v>45554</v>
      </c>
      <c r="B1148" s="5"/>
      <c r="D1148" s="4">
        <v>45554</v>
      </c>
      <c r="E1148" s="5">
        <v>1.879</v>
      </c>
    </row>
    <row r="1149" spans="1:5" x14ac:dyDescent="0.3">
      <c r="A1149" s="4">
        <v>45555</v>
      </c>
      <c r="B1149" s="5"/>
      <c r="D1149" s="4">
        <v>45555</v>
      </c>
      <c r="E1149" s="5">
        <v>1.9319999999999999</v>
      </c>
    </row>
    <row r="1150" spans="1:5" x14ac:dyDescent="0.3">
      <c r="A1150" s="4">
        <v>45558</v>
      </c>
      <c r="B1150" s="5"/>
      <c r="D1150" s="4">
        <v>45558</v>
      </c>
      <c r="E1150" s="5">
        <v>1.921</v>
      </c>
    </row>
    <row r="1151" spans="1:5" x14ac:dyDescent="0.3">
      <c r="A1151" s="4">
        <v>45559</v>
      </c>
      <c r="B1151" s="5"/>
      <c r="D1151" s="4">
        <v>45559</v>
      </c>
      <c r="E1151" s="5">
        <v>1.7849999999999999</v>
      </c>
    </row>
    <row r="1152" spans="1:5" x14ac:dyDescent="0.3">
      <c r="A1152" s="4">
        <v>45560</v>
      </c>
      <c r="B1152" s="5"/>
      <c r="D1152" s="4">
        <v>45560</v>
      </c>
      <c r="E1152" s="5">
        <v>1.643</v>
      </c>
    </row>
    <row r="1153" spans="1:5" x14ac:dyDescent="0.3">
      <c r="A1153" s="4">
        <v>45561</v>
      </c>
      <c r="B1153" s="5"/>
      <c r="D1153" s="4">
        <v>45561</v>
      </c>
      <c r="E1153" s="5">
        <v>1.6080000000000001</v>
      </c>
    </row>
    <row r="1154" spans="1:5" x14ac:dyDescent="0.3">
      <c r="A1154" s="4">
        <v>45562</v>
      </c>
      <c r="B1154" s="5"/>
      <c r="D1154" s="4">
        <v>45562</v>
      </c>
      <c r="E1154" s="5">
        <v>1.401</v>
      </c>
    </row>
    <row r="1155" spans="1:5" x14ac:dyDescent="0.3">
      <c r="A1155" s="4">
        <v>45565</v>
      </c>
      <c r="B1155" s="5"/>
      <c r="D1155" s="4">
        <v>45565</v>
      </c>
      <c r="E1155" s="5">
        <v>1.514</v>
      </c>
    </row>
    <row r="1156" spans="1:5" x14ac:dyDescent="0.3">
      <c r="A1156" s="4">
        <v>45573</v>
      </c>
      <c r="B1156" s="5"/>
      <c r="D1156" s="4">
        <v>45573</v>
      </c>
      <c r="E1156" s="5">
        <v>1.5089999999999999</v>
      </c>
    </row>
    <row r="1157" spans="1:5" x14ac:dyDescent="0.3">
      <c r="A1157" s="4">
        <v>45574</v>
      </c>
      <c r="B1157" s="5"/>
      <c r="D1157" s="4">
        <v>45574</v>
      </c>
      <c r="E1157" s="5">
        <v>1.6180000000000001</v>
      </c>
    </row>
    <row r="1158" spans="1:5" x14ac:dyDescent="0.3">
      <c r="A1158" s="4">
        <v>45575</v>
      </c>
      <c r="B1158" s="5"/>
      <c r="D1158" s="4">
        <v>45575</v>
      </c>
      <c r="E1158" s="5">
        <v>1.5269999999999999</v>
      </c>
    </row>
    <row r="1159" spans="1:5" x14ac:dyDescent="0.3">
      <c r="A1159" s="4">
        <v>45576</v>
      </c>
      <c r="B1159" s="5"/>
      <c r="D1159" s="4">
        <v>45576</v>
      </c>
      <c r="E1159" s="5">
        <v>1.4059999999999999</v>
      </c>
    </row>
    <row r="1160" spans="1:5" x14ac:dyDescent="0.3">
      <c r="A1160" s="4">
        <v>45579</v>
      </c>
      <c r="B1160" s="5"/>
      <c r="D1160" s="4">
        <v>45579</v>
      </c>
      <c r="E1160" s="5">
        <v>1.4179999999999999</v>
      </c>
    </row>
    <row r="1161" spans="1:5" x14ac:dyDescent="0.3">
      <c r="A1161" s="4">
        <v>45580</v>
      </c>
      <c r="B1161" s="5"/>
      <c r="D1161" s="4">
        <v>45580</v>
      </c>
      <c r="E1161" s="5">
        <v>1.407</v>
      </c>
    </row>
    <row r="1162" spans="1:5" x14ac:dyDescent="0.3">
      <c r="A1162" s="4">
        <v>45581</v>
      </c>
      <c r="B1162" s="5"/>
      <c r="D1162" s="4">
        <v>45581</v>
      </c>
      <c r="E1162" s="5">
        <v>1.46</v>
      </c>
    </row>
    <row r="1163" spans="1:5" x14ac:dyDescent="0.3">
      <c r="A1163" s="4">
        <v>45582</v>
      </c>
      <c r="B1163" s="5"/>
      <c r="D1163" s="4">
        <v>45582</v>
      </c>
      <c r="E1163" s="5">
        <v>1.425</v>
      </c>
    </row>
    <row r="1164" spans="1:5" x14ac:dyDescent="0.3">
      <c r="A1164" s="4">
        <v>45583</v>
      </c>
      <c r="B1164" s="5"/>
      <c r="D1164" s="4">
        <v>45583</v>
      </c>
      <c r="E1164" s="5">
        <v>1.399</v>
      </c>
    </row>
    <row r="1165" spans="1:5" x14ac:dyDescent="0.3">
      <c r="A1165" s="4">
        <v>45586</v>
      </c>
      <c r="B1165" s="5"/>
      <c r="D1165" s="4">
        <v>45586</v>
      </c>
      <c r="E1165" s="5">
        <v>1.474</v>
      </c>
    </row>
    <row r="1166" spans="1:5" x14ac:dyDescent="0.3">
      <c r="A1166" s="4">
        <v>45587</v>
      </c>
      <c r="B1166" s="5"/>
      <c r="D1166" s="4">
        <v>45587</v>
      </c>
      <c r="E1166" s="5">
        <v>1.4770000000000001</v>
      </c>
    </row>
    <row r="1167" spans="1:5" x14ac:dyDescent="0.3">
      <c r="A1167" s="4">
        <v>45588</v>
      </c>
      <c r="B1167" s="5"/>
      <c r="D1167" s="4">
        <v>45588</v>
      </c>
      <c r="E1167" s="5">
        <v>1.49</v>
      </c>
    </row>
    <row r="1168" spans="1:5" x14ac:dyDescent="0.3">
      <c r="A1168" s="4">
        <v>45589</v>
      </c>
      <c r="B1168" s="5"/>
      <c r="D1168" s="4">
        <v>45589</v>
      </c>
      <c r="E1168" s="5">
        <v>1.53</v>
      </c>
    </row>
    <row r="1169" spans="1:5" x14ac:dyDescent="0.3">
      <c r="A1169" s="4">
        <v>45590</v>
      </c>
      <c r="B1169" s="5"/>
      <c r="D1169" s="4">
        <v>45590</v>
      </c>
      <c r="E1169" s="5">
        <v>1.5069999999999999</v>
      </c>
    </row>
    <row r="1170" spans="1:5" x14ac:dyDescent="0.3">
      <c r="A1170" s="4">
        <v>45593</v>
      </c>
      <c r="B1170" s="5"/>
      <c r="D1170" s="4">
        <v>45593</v>
      </c>
      <c r="E1170" s="5">
        <v>1.4950000000000001</v>
      </c>
    </row>
    <row r="1171" spans="1:5" x14ac:dyDescent="0.3">
      <c r="A1171" s="4">
        <v>45594</v>
      </c>
      <c r="B1171" s="5"/>
      <c r="D1171" s="4">
        <v>45594</v>
      </c>
      <c r="E1171" s="5">
        <v>1.4390000000000001</v>
      </c>
    </row>
    <row r="1172" spans="1:5" x14ac:dyDescent="0.3">
      <c r="A1172" s="4">
        <v>45595</v>
      </c>
      <c r="B1172" s="5"/>
      <c r="D1172" s="4">
        <v>45595</v>
      </c>
      <c r="E1172" s="5">
        <v>1.3939999999999999</v>
      </c>
    </row>
    <row r="1173" spans="1:5" x14ac:dyDescent="0.3">
      <c r="A1173" s="4">
        <v>45596</v>
      </c>
      <c r="B1173" s="5"/>
      <c r="D1173" s="4">
        <v>45596</v>
      </c>
      <c r="E1173" s="5">
        <v>1.3640000000000001</v>
      </c>
    </row>
    <row r="1174" spans="1:5" x14ac:dyDescent="0.3">
      <c r="A1174" s="4">
        <v>45597</v>
      </c>
      <c r="B1174" s="5"/>
      <c r="D1174" s="4">
        <v>45597</v>
      </c>
      <c r="E1174" s="5">
        <v>1.36</v>
      </c>
    </row>
    <row r="1175" spans="1:5" x14ac:dyDescent="0.3">
      <c r="A1175" s="4">
        <v>45600</v>
      </c>
      <c r="B1175" s="5"/>
      <c r="D1175" s="4">
        <v>45600</v>
      </c>
      <c r="E1175" s="5">
        <v>1.3460000000000001</v>
      </c>
    </row>
    <row r="1176" spans="1:5" x14ac:dyDescent="0.3">
      <c r="A1176" s="4">
        <v>45601</v>
      </c>
      <c r="B1176" s="5"/>
      <c r="D1176" s="4">
        <v>45601</v>
      </c>
      <c r="E1176" s="5">
        <v>1.3380000000000001</v>
      </c>
    </row>
    <row r="1177" spans="1:5" x14ac:dyDescent="0.3">
      <c r="A1177" s="4">
        <v>45602</v>
      </c>
      <c r="B1177" s="5"/>
      <c r="D1177" s="4">
        <v>45602</v>
      </c>
      <c r="E1177" s="5">
        <v>1.33</v>
      </c>
    </row>
    <row r="1178" spans="1:5" x14ac:dyDescent="0.3">
      <c r="A1178" s="4">
        <v>45603</v>
      </c>
      <c r="B1178" s="5"/>
      <c r="D1178" s="4">
        <v>45603</v>
      </c>
      <c r="E1178" s="5">
        <v>1.319</v>
      </c>
    </row>
    <row r="1179" spans="1:5" x14ac:dyDescent="0.3">
      <c r="A1179" s="4">
        <v>45604</v>
      </c>
      <c r="B1179" s="5"/>
      <c r="D1179" s="4">
        <v>45604</v>
      </c>
      <c r="E1179" s="5">
        <v>1.4610000000000001</v>
      </c>
    </row>
    <row r="1180" spans="1:5" x14ac:dyDescent="0.3">
      <c r="A1180" s="4">
        <v>45607</v>
      </c>
      <c r="B1180" s="5"/>
      <c r="D1180" s="4">
        <v>45607</v>
      </c>
      <c r="E1180" s="5">
        <v>1.4430000000000001</v>
      </c>
    </row>
    <row r="1181" spans="1:5" x14ac:dyDescent="0.3">
      <c r="A1181" s="4">
        <v>45608</v>
      </c>
      <c r="B1181" s="5"/>
      <c r="D1181" s="4">
        <v>45608</v>
      </c>
      <c r="E1181" s="5">
        <v>1.5249999999999999</v>
      </c>
    </row>
    <row r="1182" spans="1:5" x14ac:dyDescent="0.3">
      <c r="A1182" s="4">
        <v>45609</v>
      </c>
      <c r="B1182" s="5"/>
      <c r="D1182" s="4">
        <v>45609</v>
      </c>
      <c r="E1182" s="5">
        <v>1.4650000000000001</v>
      </c>
    </row>
    <row r="1183" spans="1:5" x14ac:dyDescent="0.3">
      <c r="A1183" s="4">
        <v>45610</v>
      </c>
      <c r="B1183" s="5"/>
      <c r="D1183" s="4">
        <v>45610</v>
      </c>
      <c r="E1183" s="5">
        <v>1.456</v>
      </c>
    </row>
    <row r="1184" spans="1:5" x14ac:dyDescent="0.3">
      <c r="A1184" s="4">
        <v>45611</v>
      </c>
      <c r="B1184" s="5"/>
      <c r="D1184" s="4">
        <v>45611</v>
      </c>
      <c r="E1184" s="5">
        <v>1.47</v>
      </c>
    </row>
    <row r="1185" spans="1:5" x14ac:dyDescent="0.3">
      <c r="A1185" s="4">
        <v>45614</v>
      </c>
      <c r="B1185" s="5"/>
      <c r="D1185" s="4">
        <v>45614</v>
      </c>
      <c r="E1185" s="5">
        <v>1.47</v>
      </c>
    </row>
    <row r="1186" spans="1:5" x14ac:dyDescent="0.3">
      <c r="A1186" s="4">
        <v>45615</v>
      </c>
      <c r="B1186" s="5"/>
      <c r="D1186" s="4">
        <v>45615</v>
      </c>
      <c r="E1186" s="5">
        <v>1.48</v>
      </c>
    </row>
    <row r="1187" spans="1:5" x14ac:dyDescent="0.3">
      <c r="A1187" s="4">
        <v>45616</v>
      </c>
      <c r="B1187" s="5"/>
      <c r="D1187" s="4">
        <v>45616</v>
      </c>
      <c r="E1187" s="5">
        <v>1.47</v>
      </c>
    </row>
    <row r="1188" spans="1:5" x14ac:dyDescent="0.3">
      <c r="A1188" s="4">
        <v>45617</v>
      </c>
      <c r="B1188" s="5"/>
      <c r="D1188" s="4">
        <v>45617</v>
      </c>
      <c r="E1188" s="5">
        <v>1.4550000000000001</v>
      </c>
    </row>
    <row r="1189" spans="1:5" x14ac:dyDescent="0.3">
      <c r="A1189" s="4">
        <v>45618</v>
      </c>
      <c r="B1189" s="5"/>
      <c r="D1189" s="4">
        <v>45618</v>
      </c>
      <c r="E1189" s="5">
        <v>1.456</v>
      </c>
    </row>
    <row r="1190" spans="1:5" x14ac:dyDescent="0.3">
      <c r="A1190" s="4">
        <v>45621</v>
      </c>
      <c r="B1190" s="5"/>
      <c r="D1190" s="4">
        <v>45621</v>
      </c>
      <c r="E1190" s="5">
        <v>1.464</v>
      </c>
    </row>
    <row r="1191" spans="1:5" x14ac:dyDescent="0.3">
      <c r="A1191" s="4">
        <v>45622</v>
      </c>
      <c r="B1191" s="5"/>
      <c r="D1191" s="4">
        <v>45622</v>
      </c>
      <c r="E1191" s="5">
        <v>1.43</v>
      </c>
    </row>
    <row r="1192" spans="1:5" x14ac:dyDescent="0.3">
      <c r="A1192" s="4">
        <v>45623</v>
      </c>
      <c r="B1192" s="5"/>
      <c r="D1192" s="4">
        <v>45623</v>
      </c>
      <c r="E1192" s="5">
        <v>1.385</v>
      </c>
    </row>
    <row r="1193" spans="1:5" x14ac:dyDescent="0.3">
      <c r="A1193" s="4">
        <v>45624</v>
      </c>
      <c r="B1193" s="5"/>
      <c r="D1193" s="4">
        <v>45624</v>
      </c>
      <c r="E1193" s="5">
        <v>1.329</v>
      </c>
    </row>
    <row r="1194" spans="1:5" x14ac:dyDescent="0.3">
      <c r="A1194" s="4">
        <v>45625</v>
      </c>
      <c r="B1194" s="5"/>
      <c r="D1194" s="4">
        <v>45625</v>
      </c>
      <c r="E1194" s="5">
        <v>1.319</v>
      </c>
    </row>
    <row r="1195" spans="1:5" x14ac:dyDescent="0.3">
      <c r="A1195" s="4">
        <v>45628</v>
      </c>
      <c r="B1195" s="5"/>
      <c r="D1195" s="4">
        <v>45628</v>
      </c>
      <c r="E1195" s="5">
        <v>1.4139999999999999</v>
      </c>
    </row>
    <row r="1196" spans="1:5" x14ac:dyDescent="0.3">
      <c r="A1196" s="4">
        <v>45629</v>
      </c>
      <c r="B1196" s="5"/>
      <c r="D1196" s="4">
        <v>45629</v>
      </c>
      <c r="E1196" s="5">
        <v>1.337</v>
      </c>
    </row>
    <row r="1197" spans="1:5" x14ac:dyDescent="0.3">
      <c r="A1197" s="4">
        <v>45630</v>
      </c>
      <c r="B1197" s="5"/>
      <c r="D1197" s="4">
        <v>45630</v>
      </c>
      <c r="E1197" s="5">
        <v>1.381</v>
      </c>
    </row>
    <row r="1198" spans="1:5" x14ac:dyDescent="0.3">
      <c r="A1198" s="4">
        <v>45631</v>
      </c>
      <c r="B1198" s="5"/>
      <c r="D1198" s="4">
        <v>45631</v>
      </c>
      <c r="E1198" s="5">
        <v>1.4790000000000001</v>
      </c>
    </row>
    <row r="1199" spans="1:5" x14ac:dyDescent="0.3">
      <c r="A1199" s="4">
        <v>45632</v>
      </c>
      <c r="B1199" s="5"/>
      <c r="D1199" s="4">
        <v>45632</v>
      </c>
      <c r="E1199" s="5">
        <v>1.478</v>
      </c>
    </row>
    <row r="1200" spans="1:5" x14ac:dyDescent="0.3">
      <c r="A1200" s="4">
        <v>45635</v>
      </c>
      <c r="B1200" s="5"/>
      <c r="D1200" s="4">
        <v>45635</v>
      </c>
      <c r="E1200" s="5">
        <v>1.516</v>
      </c>
    </row>
    <row r="1201" spans="1:5" x14ac:dyDescent="0.3">
      <c r="A1201" s="4">
        <v>45636</v>
      </c>
      <c r="B1201" s="5"/>
      <c r="D1201" s="4">
        <v>45636</v>
      </c>
      <c r="E1201" s="5">
        <v>1.47</v>
      </c>
    </row>
    <row r="1202" spans="1:5" x14ac:dyDescent="0.3">
      <c r="A1202" s="4">
        <v>45637</v>
      </c>
      <c r="B1202" s="5"/>
      <c r="D1202" s="4">
        <v>45637</v>
      </c>
      <c r="E1202" s="5">
        <v>1.528</v>
      </c>
    </row>
    <row r="1203" spans="1:5" x14ac:dyDescent="0.3">
      <c r="A1203" s="4">
        <v>45638</v>
      </c>
      <c r="B1203" s="5"/>
      <c r="D1203" s="4">
        <v>45638</v>
      </c>
      <c r="E1203" s="5">
        <v>1.482</v>
      </c>
    </row>
    <row r="1204" spans="1:5" x14ac:dyDescent="0.3">
      <c r="A1204" s="4">
        <v>45639</v>
      </c>
      <c r="B1204" s="5"/>
      <c r="D1204" s="4">
        <v>45639</v>
      </c>
      <c r="E1204" s="5">
        <v>1.4039999999999999</v>
      </c>
    </row>
    <row r="1205" spans="1:5" x14ac:dyDescent="0.3">
      <c r="A1205" s="4">
        <v>45642</v>
      </c>
      <c r="B1205" s="5"/>
      <c r="D1205" s="4">
        <v>45642</v>
      </c>
      <c r="E1205" s="5">
        <v>1.421</v>
      </c>
    </row>
    <row r="1206" spans="1:5" x14ac:dyDescent="0.3">
      <c r="A1206" s="4">
        <v>45643</v>
      </c>
      <c r="B1206" s="5"/>
      <c r="D1206" s="4">
        <v>45643</v>
      </c>
      <c r="E1206" s="5">
        <v>1.425</v>
      </c>
    </row>
    <row r="1207" spans="1:5" x14ac:dyDescent="0.3">
      <c r="A1207" s="4">
        <v>45644</v>
      </c>
      <c r="B1207" s="5"/>
      <c r="D1207" s="4">
        <v>45644</v>
      </c>
      <c r="E1207" s="5">
        <v>1.4279999999999999</v>
      </c>
    </row>
    <row r="1208" spans="1:5" x14ac:dyDescent="0.3">
      <c r="A1208" s="4">
        <v>45645</v>
      </c>
      <c r="B1208" s="5"/>
      <c r="D1208" s="4">
        <v>45645</v>
      </c>
      <c r="E1208" s="5">
        <v>1.4239999999999999</v>
      </c>
    </row>
    <row r="1209" spans="1:5" x14ac:dyDescent="0.3">
      <c r="A1209" s="4">
        <v>45646</v>
      </c>
      <c r="B1209" s="5"/>
      <c r="D1209" s="4">
        <v>45646</v>
      </c>
      <c r="E1209" s="5">
        <v>1.4139999999999999</v>
      </c>
    </row>
    <row r="1210" spans="1:5" x14ac:dyDescent="0.3">
      <c r="A1210" s="4">
        <v>45649</v>
      </c>
      <c r="B1210" s="5"/>
      <c r="D1210" s="4">
        <v>45649</v>
      </c>
      <c r="E1210" s="5">
        <v>1.31</v>
      </c>
    </row>
    <row r="1211" spans="1:5" x14ac:dyDescent="0.3">
      <c r="A1211" s="4">
        <v>45650</v>
      </c>
      <c r="B1211" s="5"/>
      <c r="D1211" s="4">
        <v>45650</v>
      </c>
      <c r="E1211" s="5">
        <v>1.321</v>
      </c>
    </row>
    <row r="1212" spans="1:5" x14ac:dyDescent="0.3">
      <c r="A1212" s="4">
        <v>45651</v>
      </c>
      <c r="B1212" s="5"/>
      <c r="D1212" s="4">
        <v>45651</v>
      </c>
      <c r="E1212" s="5">
        <v>1.365</v>
      </c>
    </row>
    <row r="1213" spans="1:5" x14ac:dyDescent="0.3">
      <c r="A1213" s="4">
        <v>45652</v>
      </c>
      <c r="B1213" s="5"/>
      <c r="D1213" s="4">
        <v>45652</v>
      </c>
      <c r="E1213" s="5">
        <v>1.3859999999999999</v>
      </c>
    </row>
    <row r="1214" spans="1:5" x14ac:dyDescent="0.3">
      <c r="A1214" s="4">
        <v>45653</v>
      </c>
      <c r="B1214" s="5"/>
      <c r="D1214" s="4">
        <v>45653</v>
      </c>
      <c r="E1214" s="5">
        <v>1.3879999999999999</v>
      </c>
    </row>
    <row r="1215" spans="1:5" x14ac:dyDescent="0.3">
      <c r="A1215" s="4">
        <v>45656</v>
      </c>
      <c r="B1215" s="5"/>
      <c r="D1215" s="4">
        <v>45656</v>
      </c>
      <c r="E1215" s="5">
        <v>1.367</v>
      </c>
    </row>
    <row r="1216" spans="1:5" x14ac:dyDescent="0.3">
      <c r="A1216" s="4">
        <v>45657</v>
      </c>
      <c r="B1216" s="5"/>
      <c r="D1216" s="4">
        <v>45657</v>
      </c>
      <c r="E1216" s="5">
        <v>1.454</v>
      </c>
    </row>
    <row r="1217" spans="1:5" x14ac:dyDescent="0.3">
      <c r="A1217" s="4">
        <v>45659</v>
      </c>
      <c r="B1217" s="5"/>
      <c r="D1217" s="4">
        <v>45659</v>
      </c>
      <c r="E1217" s="5">
        <v>1.532</v>
      </c>
    </row>
    <row r="1218" spans="1:5" x14ac:dyDescent="0.3">
      <c r="A1218" s="4">
        <v>45660</v>
      </c>
      <c r="B1218" s="5"/>
      <c r="D1218" s="4">
        <v>45660</v>
      </c>
      <c r="E1218" s="5">
        <v>1.6180000000000001</v>
      </c>
    </row>
    <row r="1219" spans="1:5" x14ac:dyDescent="0.3">
      <c r="A1219" s="4">
        <v>45663</v>
      </c>
      <c r="B1219" s="5"/>
      <c r="D1219" s="4">
        <v>45663</v>
      </c>
      <c r="E1219" s="5">
        <v>1.454</v>
      </c>
    </row>
    <row r="1220" spans="1:5" x14ac:dyDescent="0.3">
      <c r="A1220" s="4">
        <v>45664</v>
      </c>
      <c r="B1220" s="5"/>
      <c r="D1220" s="4">
        <v>45664</v>
      </c>
      <c r="E1220" s="5">
        <v>1.4830000000000001</v>
      </c>
    </row>
    <row r="1221" spans="1:5" x14ac:dyDescent="0.3">
      <c r="A1221" s="4">
        <v>45665</v>
      </c>
      <c r="B1221" s="5"/>
      <c r="D1221" s="4">
        <v>45665</v>
      </c>
      <c r="E1221" s="5">
        <v>1.5229999999999999</v>
      </c>
    </row>
    <row r="1222" spans="1:5" x14ac:dyDescent="0.3">
      <c r="A1222" s="4">
        <v>45666</v>
      </c>
      <c r="B1222" s="5"/>
      <c r="D1222" s="4">
        <v>45666</v>
      </c>
      <c r="E1222" s="5">
        <v>1.5469999999999999</v>
      </c>
    </row>
    <row r="1223" spans="1:5" x14ac:dyDescent="0.3">
      <c r="A1223" s="4">
        <v>45667</v>
      </c>
      <c r="B1223" s="5"/>
      <c r="D1223" s="4">
        <v>45667</v>
      </c>
      <c r="E1223" s="5">
        <v>1.643</v>
      </c>
    </row>
    <row r="1224" spans="1:5" x14ac:dyDescent="0.3">
      <c r="A1224" s="4">
        <v>45670</v>
      </c>
      <c r="B1224" s="5"/>
      <c r="D1224" s="4">
        <v>45670</v>
      </c>
      <c r="E1224" s="5">
        <v>1.823</v>
      </c>
    </row>
    <row r="1225" spans="1:5" x14ac:dyDescent="0.3">
      <c r="A1225" s="4">
        <v>45671</v>
      </c>
      <c r="B1225" s="5"/>
      <c r="D1225" s="4">
        <v>45671</v>
      </c>
      <c r="E1225" s="5">
        <v>1.9650000000000001</v>
      </c>
    </row>
    <row r="1226" spans="1:5" x14ac:dyDescent="0.3">
      <c r="A1226" s="4">
        <v>45672</v>
      </c>
      <c r="B1226" s="5"/>
      <c r="D1226" s="4">
        <v>45672</v>
      </c>
      <c r="E1226" s="5">
        <v>1.8320000000000001</v>
      </c>
    </row>
    <row r="1227" spans="1:5" x14ac:dyDescent="0.3">
      <c r="A1227" s="4">
        <v>45673</v>
      </c>
      <c r="B1227" s="5"/>
      <c r="D1227" s="4">
        <v>45673</v>
      </c>
      <c r="E1227" s="5">
        <v>1.833</v>
      </c>
    </row>
    <row r="1228" spans="1:5" x14ac:dyDescent="0.3">
      <c r="A1228" s="4">
        <v>45674</v>
      </c>
      <c r="B1228" s="5"/>
      <c r="D1228" s="4">
        <v>45674</v>
      </c>
      <c r="E1228" s="5">
        <v>1.8480000000000001</v>
      </c>
    </row>
    <row r="1229" spans="1:5" x14ac:dyDescent="0.3">
      <c r="A1229" s="4">
        <v>45677</v>
      </c>
      <c r="B1229" s="5"/>
      <c r="D1229" s="4">
        <v>45677</v>
      </c>
      <c r="E1229" s="5">
        <v>1.835</v>
      </c>
    </row>
    <row r="1230" spans="1:5" x14ac:dyDescent="0.3">
      <c r="A1230" s="4">
        <v>45678</v>
      </c>
      <c r="B1230" s="5"/>
      <c r="D1230" s="4">
        <v>45678</v>
      </c>
      <c r="E1230" s="5">
        <v>1.7789999999999999</v>
      </c>
    </row>
    <row r="1231" spans="1:5" x14ac:dyDescent="0.3">
      <c r="A1231" s="4">
        <v>45679</v>
      </c>
      <c r="B1231" s="5"/>
      <c r="D1231" s="4">
        <v>45679</v>
      </c>
      <c r="E1231" s="5">
        <v>1.78</v>
      </c>
    </row>
    <row r="1232" spans="1:5" x14ac:dyDescent="0.3">
      <c r="A1232" s="4">
        <v>45680</v>
      </c>
      <c r="B1232" s="5"/>
      <c r="D1232" s="4">
        <v>45680</v>
      </c>
      <c r="E1232" s="5">
        <v>1.764</v>
      </c>
    </row>
    <row r="1233" spans="1:5" x14ac:dyDescent="0.3">
      <c r="A1233" s="4">
        <v>45681</v>
      </c>
      <c r="B1233" s="5"/>
      <c r="D1233" s="4">
        <v>45681</v>
      </c>
      <c r="E1233" s="5">
        <v>1.77</v>
      </c>
    </row>
    <row r="1234" spans="1:5" x14ac:dyDescent="0.3">
      <c r="A1234" s="4">
        <v>45684</v>
      </c>
      <c r="B1234" s="5"/>
      <c r="D1234" s="4">
        <v>45684</v>
      </c>
      <c r="E1234" s="5">
        <v>1.708</v>
      </c>
    </row>
    <row r="1235" spans="1:5" x14ac:dyDescent="0.3">
      <c r="A1235" s="4">
        <v>45693</v>
      </c>
      <c r="B1235" s="5"/>
      <c r="D1235" s="4">
        <v>45693</v>
      </c>
      <c r="E1235" s="5">
        <v>1.7929999999999999</v>
      </c>
    </row>
    <row r="1236" spans="1:5" x14ac:dyDescent="0.3">
      <c r="A1236" s="4">
        <v>45694</v>
      </c>
      <c r="B1236" s="5"/>
      <c r="D1236" s="4">
        <v>45694</v>
      </c>
      <c r="E1236" s="5">
        <v>1.792</v>
      </c>
    </row>
    <row r="1237" spans="1:5" x14ac:dyDescent="0.3">
      <c r="A1237" s="4">
        <v>45695</v>
      </c>
      <c r="B1237" s="5"/>
      <c r="D1237" s="4">
        <v>45695</v>
      </c>
      <c r="E1237" s="5">
        <v>1.8160000000000001</v>
      </c>
    </row>
    <row r="1238" spans="1:5" x14ac:dyDescent="0.3">
      <c r="A1238" s="4">
        <v>45698</v>
      </c>
      <c r="B1238" s="5"/>
      <c r="D1238" s="4">
        <v>45698</v>
      </c>
      <c r="E1238" s="5">
        <v>1.841</v>
      </c>
    </row>
    <row r="1239" spans="1:5" x14ac:dyDescent="0.3">
      <c r="A1239" s="4">
        <v>45699</v>
      </c>
      <c r="B1239" s="5"/>
      <c r="D1239" s="4">
        <v>45699</v>
      </c>
      <c r="E1239" s="5">
        <v>1.919</v>
      </c>
    </row>
    <row r="1240" spans="1:5" x14ac:dyDescent="0.3">
      <c r="A1240" s="4">
        <v>45700</v>
      </c>
      <c r="B1240" s="5"/>
      <c r="D1240" s="4">
        <v>45700</v>
      </c>
      <c r="E1240" s="5">
        <v>1.8320000000000001</v>
      </c>
    </row>
    <row r="1241" spans="1:5" x14ac:dyDescent="0.3">
      <c r="A1241" s="4">
        <v>45701</v>
      </c>
      <c r="B1241" s="5"/>
      <c r="D1241" s="4">
        <v>45701</v>
      </c>
      <c r="E1241" s="5">
        <v>1.827</v>
      </c>
    </row>
    <row r="1242" spans="1:5" x14ac:dyDescent="0.3">
      <c r="A1242" s="4">
        <v>45702</v>
      </c>
      <c r="B1242" s="5"/>
      <c r="D1242" s="4">
        <v>45702</v>
      </c>
      <c r="E1242" s="5">
        <v>1.889</v>
      </c>
    </row>
    <row r="1243" spans="1:5" x14ac:dyDescent="0.3">
      <c r="A1243" s="4">
        <v>45705</v>
      </c>
      <c r="B1243" s="5"/>
      <c r="D1243" s="4">
        <v>45705</v>
      </c>
      <c r="E1243" s="5">
        <v>1.893</v>
      </c>
    </row>
    <row r="1244" spans="1:5" x14ac:dyDescent="0.3">
      <c r="A1244" s="4">
        <v>45706</v>
      </c>
      <c r="B1244" s="5"/>
      <c r="D1244" s="4">
        <v>45706</v>
      </c>
      <c r="E1244" s="5">
        <v>1.9330000000000001</v>
      </c>
    </row>
    <row r="1245" spans="1:5" x14ac:dyDescent="0.3">
      <c r="A1245" s="4">
        <v>45707</v>
      </c>
      <c r="B1245" s="5"/>
      <c r="D1245" s="4">
        <v>45707</v>
      </c>
      <c r="E1245" s="5">
        <v>1.915</v>
      </c>
    </row>
    <row r="1246" spans="1:5" x14ac:dyDescent="0.3">
      <c r="A1246" s="4">
        <v>45708</v>
      </c>
      <c r="B1246" s="5"/>
      <c r="D1246" s="4">
        <v>45708</v>
      </c>
      <c r="E1246" s="5">
        <v>1.919</v>
      </c>
    </row>
    <row r="1247" spans="1:5" x14ac:dyDescent="0.3">
      <c r="A1247" s="4">
        <v>45709</v>
      </c>
      <c r="B1247" s="5"/>
      <c r="D1247" s="4">
        <v>45709</v>
      </c>
      <c r="E1247" s="5">
        <v>1.931</v>
      </c>
    </row>
    <row r="1248" spans="1:5" x14ac:dyDescent="0.3">
      <c r="A1248" s="4">
        <v>45712</v>
      </c>
      <c r="B1248" s="5"/>
      <c r="D1248" s="4">
        <v>45712</v>
      </c>
      <c r="E1248" s="5">
        <v>1.8660000000000001</v>
      </c>
    </row>
    <row r="1249" spans="1:5" x14ac:dyDescent="0.3">
      <c r="A1249" s="4">
        <v>45713</v>
      </c>
      <c r="B1249" s="5"/>
      <c r="D1249" s="4">
        <v>45713</v>
      </c>
      <c r="E1249" s="5">
        <v>1.8620000000000001</v>
      </c>
    </row>
    <row r="1250" spans="1:5" x14ac:dyDescent="0.3">
      <c r="A1250" s="4">
        <v>45714</v>
      </c>
      <c r="B1250" s="5"/>
      <c r="D1250" s="4">
        <v>45714</v>
      </c>
      <c r="E1250" s="5">
        <v>1.875</v>
      </c>
    </row>
    <row r="1251" spans="1:5" x14ac:dyDescent="0.3">
      <c r="A1251" s="4">
        <v>45715</v>
      </c>
      <c r="B1251" s="5"/>
      <c r="D1251" s="4">
        <v>45715</v>
      </c>
      <c r="E1251" s="5">
        <v>1.867</v>
      </c>
    </row>
    <row r="1252" spans="1:5" x14ac:dyDescent="0.3">
      <c r="A1252" s="4">
        <v>45716</v>
      </c>
      <c r="B1252" s="5"/>
      <c r="D1252" s="4">
        <v>45716</v>
      </c>
      <c r="E1252" s="5">
        <v>1.865</v>
      </c>
    </row>
    <row r="1253" spans="1:5" x14ac:dyDescent="0.3">
      <c r="A1253" s="4">
        <v>45719</v>
      </c>
      <c r="B1253" s="5"/>
      <c r="D1253" s="4">
        <v>45719</v>
      </c>
      <c r="E1253" s="5">
        <v>1.8160000000000001</v>
      </c>
    </row>
    <row r="1254" spans="1:5" x14ac:dyDescent="0.3">
      <c r="A1254" s="4">
        <v>45720</v>
      </c>
      <c r="B1254" s="5"/>
      <c r="D1254" s="4">
        <v>45720</v>
      </c>
      <c r="E1254" s="5">
        <v>1.6859999999999999</v>
      </c>
    </row>
    <row r="1255" spans="1:5" x14ac:dyDescent="0.3">
      <c r="A1255" s="4">
        <v>45721</v>
      </c>
      <c r="B1255" s="5"/>
      <c r="D1255" s="4">
        <v>45721</v>
      </c>
      <c r="E1255" s="5">
        <v>1.7549999999999999</v>
      </c>
    </row>
    <row r="1256" spans="1:5" x14ac:dyDescent="0.3">
      <c r="A1256" s="4">
        <v>45722</v>
      </c>
      <c r="B1256" s="5"/>
      <c r="D1256" s="4">
        <v>45722</v>
      </c>
      <c r="E1256" s="5">
        <v>1.79</v>
      </c>
    </row>
    <row r="1257" spans="1:5" x14ac:dyDescent="0.3">
      <c r="A1257" s="4">
        <v>45723</v>
      </c>
      <c r="B1257" s="5"/>
      <c r="D1257" s="4">
        <v>45723</v>
      </c>
      <c r="E1257" s="5">
        <v>1.8009999999999999</v>
      </c>
    </row>
    <row r="1258" spans="1:5" x14ac:dyDescent="0.3">
      <c r="A1258" s="4">
        <v>45726</v>
      </c>
      <c r="B1258" s="5"/>
      <c r="D1258" s="4">
        <v>45726</v>
      </c>
      <c r="E1258" s="5">
        <v>1.819</v>
      </c>
    </row>
    <row r="1259" spans="1:5" x14ac:dyDescent="0.3">
      <c r="A1259" s="4">
        <v>45727</v>
      </c>
      <c r="B1259" s="5"/>
      <c r="D1259" s="4">
        <v>45727</v>
      </c>
      <c r="E1259" s="5">
        <v>1.782</v>
      </c>
    </row>
    <row r="1260" spans="1:5" x14ac:dyDescent="0.3">
      <c r="A1260" s="4">
        <v>45728</v>
      </c>
      <c r="B1260" s="5"/>
      <c r="D1260" s="4">
        <v>45728</v>
      </c>
      <c r="E1260" s="5">
        <v>1.758</v>
      </c>
    </row>
    <row r="1261" spans="1:5" x14ac:dyDescent="0.3">
      <c r="A1261" s="4">
        <v>45729</v>
      </c>
      <c r="B1261" s="5"/>
      <c r="D1261" s="4">
        <v>45729</v>
      </c>
      <c r="E1261" s="5">
        <v>1.7709999999999999</v>
      </c>
    </row>
    <row r="1262" spans="1:5" x14ac:dyDescent="0.3">
      <c r="A1262" s="4">
        <v>45730</v>
      </c>
      <c r="B1262" s="5"/>
      <c r="D1262" s="4">
        <v>45730</v>
      </c>
      <c r="E1262" s="5">
        <v>1.8109999999999999</v>
      </c>
    </row>
    <row r="1263" spans="1:5" x14ac:dyDescent="0.3">
      <c r="A1263" s="4">
        <v>45733</v>
      </c>
      <c r="B1263" s="5"/>
      <c r="D1263" s="4">
        <v>45733</v>
      </c>
      <c r="E1263" s="5">
        <v>1.8049999999999999</v>
      </c>
    </row>
    <row r="1264" spans="1:5" x14ac:dyDescent="0.3">
      <c r="A1264" s="4">
        <v>45734</v>
      </c>
      <c r="B1264" s="5"/>
      <c r="D1264" s="4">
        <v>45734</v>
      </c>
      <c r="E1264" s="5">
        <v>1.7849999999999999</v>
      </c>
    </row>
    <row r="1265" spans="1:5" x14ac:dyDescent="0.3">
      <c r="A1265" s="4">
        <v>45735</v>
      </c>
      <c r="B1265" s="5"/>
      <c r="D1265" s="4">
        <v>45735</v>
      </c>
      <c r="E1265" s="5">
        <v>1.7629999999999999</v>
      </c>
    </row>
    <row r="1266" spans="1:5" x14ac:dyDescent="0.3">
      <c r="A1266" s="4">
        <v>45736</v>
      </c>
      <c r="B1266" s="5"/>
      <c r="D1266" s="4">
        <v>45736</v>
      </c>
      <c r="E1266" s="5">
        <v>1.7849999999999999</v>
      </c>
    </row>
    <row r="1267" spans="1:5" x14ac:dyDescent="0.3">
      <c r="A1267" s="4">
        <v>45737</v>
      </c>
      <c r="B1267" s="5"/>
      <c r="D1267" s="4">
        <v>45737</v>
      </c>
      <c r="E1267" s="5">
        <v>1.76</v>
      </c>
    </row>
    <row r="1268" spans="1:5" x14ac:dyDescent="0.3">
      <c r="A1268" s="4">
        <v>45740</v>
      </c>
      <c r="B1268" s="5"/>
      <c r="D1268" s="4">
        <v>45740</v>
      </c>
      <c r="E1268" s="5">
        <v>1.75</v>
      </c>
    </row>
    <row r="1269" spans="1:5" x14ac:dyDescent="0.3">
      <c r="A1269" s="4">
        <v>45741</v>
      </c>
      <c r="B1269" s="5"/>
      <c r="D1269" s="4">
        <v>45741</v>
      </c>
      <c r="E1269" s="5">
        <v>1.7749999999999999</v>
      </c>
    </row>
    <row r="1270" spans="1:5" x14ac:dyDescent="0.3">
      <c r="A1270" s="4">
        <v>45742</v>
      </c>
      <c r="B1270" s="5"/>
      <c r="D1270" s="4">
        <v>45742</v>
      </c>
      <c r="E1270" s="5">
        <v>1.7849999999999999</v>
      </c>
    </row>
    <row r="1271" spans="1:5" x14ac:dyDescent="0.3">
      <c r="A1271" s="4">
        <v>45743</v>
      </c>
      <c r="B1271" s="5"/>
      <c r="D1271" s="4">
        <v>45743</v>
      </c>
      <c r="E1271" s="5">
        <v>1.738</v>
      </c>
    </row>
    <row r="1272" spans="1:5" x14ac:dyDescent="0.3">
      <c r="A1272" s="4">
        <v>45744</v>
      </c>
      <c r="B1272" s="5"/>
      <c r="D1272" s="4">
        <v>45744</v>
      </c>
      <c r="E1272" s="5">
        <v>1.728</v>
      </c>
    </row>
    <row r="1273" spans="1:5" x14ac:dyDescent="0.3">
      <c r="A1273" s="4">
        <v>45747</v>
      </c>
      <c r="B1273" s="5"/>
      <c r="D1273" s="4">
        <v>45747</v>
      </c>
      <c r="E1273" s="5">
        <v>1.7390000000000001</v>
      </c>
    </row>
    <row r="1274" spans="1:5" x14ac:dyDescent="0.3">
      <c r="A1274" s="4">
        <v>45748</v>
      </c>
      <c r="B1274" s="5"/>
      <c r="D1274" s="4">
        <v>45748</v>
      </c>
      <c r="E1274" s="5">
        <v>1.823</v>
      </c>
    </row>
    <row r="1275" spans="1:5" x14ac:dyDescent="0.3">
      <c r="A1275" s="4">
        <v>45749</v>
      </c>
      <c r="B1275" s="5"/>
      <c r="D1275" s="4">
        <v>45749</v>
      </c>
      <c r="E1275" s="5">
        <v>1.756</v>
      </c>
    </row>
    <row r="1276" spans="1:5" x14ac:dyDescent="0.3">
      <c r="A1276" s="4">
        <v>45750</v>
      </c>
      <c r="B1276" s="5"/>
      <c r="D1276" s="4">
        <v>45750</v>
      </c>
      <c r="E1276" s="5">
        <v>1.617</v>
      </c>
    </row>
    <row r="1277" spans="1:5" x14ac:dyDescent="0.3">
      <c r="A1277" s="4">
        <v>45754</v>
      </c>
      <c r="B1277" s="5"/>
      <c r="D1277" s="4">
        <v>45754</v>
      </c>
      <c r="E1277" s="5">
        <v>1.79</v>
      </c>
    </row>
    <row r="1278" spans="1:5" x14ac:dyDescent="0.3">
      <c r="A1278" s="4">
        <v>45755</v>
      </c>
      <c r="B1278" s="5"/>
      <c r="D1278" s="4">
        <v>45755</v>
      </c>
      <c r="E1278" s="5">
        <v>1.744</v>
      </c>
    </row>
    <row r="1279" spans="1:5" x14ac:dyDescent="0.3">
      <c r="A1279" s="4">
        <v>45756</v>
      </c>
      <c r="B1279" s="5"/>
      <c r="D1279" s="4">
        <v>45756</v>
      </c>
      <c r="E1279" s="5">
        <v>1.7410000000000001</v>
      </c>
    </row>
    <row r="1280" spans="1:5" x14ac:dyDescent="0.3">
      <c r="A1280" s="4">
        <v>45757</v>
      </c>
      <c r="B1280" s="5"/>
      <c r="D1280" s="4">
        <v>45757</v>
      </c>
      <c r="E1280" s="5">
        <v>1.607</v>
      </c>
    </row>
    <row r="1281" spans="1:5" x14ac:dyDescent="0.3">
      <c r="A1281" s="4">
        <v>45758</v>
      </c>
      <c r="B1281" s="5"/>
      <c r="D1281" s="4">
        <v>45758</v>
      </c>
      <c r="E1281" s="5">
        <v>1.609</v>
      </c>
    </row>
    <row r="1282" spans="1:5" x14ac:dyDescent="0.3">
      <c r="A1282" s="4">
        <v>45761</v>
      </c>
      <c r="B1282" s="5"/>
      <c r="D1282" s="4">
        <v>45761</v>
      </c>
      <c r="E1282" s="5">
        <v>1.6439999999999999</v>
      </c>
    </row>
    <row r="1283" spans="1:5" x14ac:dyDescent="0.3">
      <c r="A1283" s="4">
        <v>45762</v>
      </c>
      <c r="B1283" s="5"/>
      <c r="D1283" s="4">
        <v>45762</v>
      </c>
      <c r="E1283" s="5">
        <v>1.7010000000000001</v>
      </c>
    </row>
    <row r="1284" spans="1:5" x14ac:dyDescent="0.3">
      <c r="A1284" s="4">
        <v>45763</v>
      </c>
      <c r="B1284" s="5"/>
      <c r="D1284" s="4">
        <v>45763</v>
      </c>
      <c r="E1284" s="5">
        <v>1.708</v>
      </c>
    </row>
    <row r="1285" spans="1:5" x14ac:dyDescent="0.3">
      <c r="A1285" s="4">
        <v>45764</v>
      </c>
      <c r="B1285" s="5"/>
      <c r="D1285" s="4">
        <v>45764</v>
      </c>
      <c r="E1285" s="5">
        <v>1.6339999999999999</v>
      </c>
    </row>
    <row r="1286" spans="1:5" x14ac:dyDescent="0.3">
      <c r="A1286" s="4">
        <v>45765</v>
      </c>
      <c r="B1286" s="5"/>
      <c r="D1286" s="4">
        <v>45765</v>
      </c>
      <c r="E1286" s="5">
        <v>1.66</v>
      </c>
    </row>
    <row r="1287" spans="1:5" x14ac:dyDescent="0.3">
      <c r="A1287" s="4">
        <v>45768</v>
      </c>
      <c r="B1287" s="5"/>
      <c r="D1287" s="4">
        <v>45768</v>
      </c>
      <c r="E1287" s="5">
        <v>1.716</v>
      </c>
    </row>
    <row r="1288" spans="1:5" x14ac:dyDescent="0.3">
      <c r="A1288" s="4">
        <v>45769</v>
      </c>
      <c r="B1288" s="5"/>
      <c r="D1288" s="4">
        <v>45769</v>
      </c>
      <c r="E1288" s="5">
        <v>1.7090000000000001</v>
      </c>
    </row>
    <row r="1289" spans="1:5" x14ac:dyDescent="0.3">
      <c r="A1289" s="4">
        <v>45770</v>
      </c>
      <c r="B1289" s="5"/>
      <c r="D1289" s="4">
        <v>45770</v>
      </c>
      <c r="E1289" s="5">
        <v>1.6259999999999999</v>
      </c>
    </row>
    <row r="1290" spans="1:5" x14ac:dyDescent="0.3">
      <c r="A1290" s="4">
        <v>45771</v>
      </c>
      <c r="B1290" s="5"/>
      <c r="D1290" s="4">
        <v>45771</v>
      </c>
      <c r="E1290" s="5">
        <v>1.61</v>
      </c>
    </row>
    <row r="1291" spans="1:5" x14ac:dyDescent="0.3">
      <c r="A1291" s="4">
        <v>45772</v>
      </c>
      <c r="B1291" s="5"/>
      <c r="D1291" s="4">
        <v>45772</v>
      </c>
      <c r="E1291" s="5">
        <v>1.5669999999999999</v>
      </c>
    </row>
    <row r="1292" spans="1:5" x14ac:dyDescent="0.3">
      <c r="A1292" s="4">
        <v>45775</v>
      </c>
      <c r="B1292" s="5"/>
      <c r="D1292" s="4">
        <v>45775</v>
      </c>
      <c r="E1292" s="5">
        <v>1.603</v>
      </c>
    </row>
    <row r="1293" spans="1:5" x14ac:dyDescent="0.3">
      <c r="A1293" s="4">
        <v>45776</v>
      </c>
      <c r="B1293" s="5"/>
      <c r="D1293" s="4">
        <v>45776</v>
      </c>
      <c r="E1293" s="5">
        <v>1.5409999999999999</v>
      </c>
    </row>
    <row r="1294" spans="1:5" x14ac:dyDescent="0.3">
      <c r="A1294" s="4">
        <v>45777</v>
      </c>
      <c r="B1294" s="5"/>
      <c r="D1294" s="4">
        <v>45777</v>
      </c>
      <c r="E1294" s="5">
        <v>1.76</v>
      </c>
    </row>
    <row r="1295" spans="1:5" x14ac:dyDescent="0.3">
      <c r="A1295" s="4">
        <v>45783</v>
      </c>
      <c r="B1295" s="5"/>
      <c r="D1295" s="4">
        <v>45783</v>
      </c>
      <c r="E1295" s="5">
        <v>1.702</v>
      </c>
    </row>
    <row r="1296" spans="1:5" x14ac:dyDescent="0.3">
      <c r="A1296" s="4">
        <v>45784</v>
      </c>
      <c r="B1296" s="5"/>
      <c r="D1296" s="4">
        <v>45784</v>
      </c>
      <c r="E1296" s="5">
        <v>1.657</v>
      </c>
    </row>
    <row r="1297" spans="1:5" x14ac:dyDescent="0.3">
      <c r="A1297" s="4">
        <v>45785</v>
      </c>
      <c r="B1297" s="5"/>
      <c r="D1297" s="4">
        <v>45785</v>
      </c>
      <c r="E1297" s="5">
        <v>1.5389999999999999</v>
      </c>
    </row>
    <row r="1298" spans="1:5" x14ac:dyDescent="0.3">
      <c r="A1298" s="4">
        <v>45786</v>
      </c>
      <c r="B1298" s="5"/>
      <c r="D1298" s="4">
        <v>45786</v>
      </c>
      <c r="E1298" s="5">
        <v>1.4970000000000001</v>
      </c>
    </row>
    <row r="1299" spans="1:5" x14ac:dyDescent="0.3">
      <c r="A1299" s="4">
        <v>45789</v>
      </c>
      <c r="B1299" s="5"/>
      <c r="D1299" s="4">
        <v>45789</v>
      </c>
      <c r="E1299" s="5">
        <v>1.4219999999999999</v>
      </c>
    </row>
    <row r="1300" spans="1:5" x14ac:dyDescent="0.3">
      <c r="A1300" s="4">
        <v>45790</v>
      </c>
      <c r="B1300" s="5"/>
      <c r="D1300" s="4">
        <v>45790</v>
      </c>
      <c r="E1300" s="5">
        <v>1.4059999999999999</v>
      </c>
    </row>
    <row r="1301" spans="1:5" x14ac:dyDescent="0.3">
      <c r="A1301" s="4">
        <v>45791</v>
      </c>
      <c r="B1301" s="5"/>
      <c r="D1301" s="4">
        <v>45791</v>
      </c>
      <c r="E1301" s="5">
        <v>1.405</v>
      </c>
    </row>
    <row r="1302" spans="1:5" x14ac:dyDescent="0.3">
      <c r="A1302" s="4">
        <v>45792</v>
      </c>
      <c r="B1302" s="5"/>
      <c r="D1302" s="4">
        <v>45792</v>
      </c>
      <c r="E1302" s="5">
        <v>1.4039999999999999</v>
      </c>
    </row>
    <row r="1303" spans="1:5" x14ac:dyDescent="0.3">
      <c r="A1303" s="4">
        <v>45793</v>
      </c>
      <c r="B1303" s="5"/>
      <c r="D1303" s="4">
        <v>45793</v>
      </c>
      <c r="E1303" s="5">
        <v>1.6539999999999999</v>
      </c>
    </row>
    <row r="1304" spans="1:5" x14ac:dyDescent="0.3">
      <c r="A1304" s="4">
        <v>45796</v>
      </c>
      <c r="B1304" s="5"/>
      <c r="D1304" s="4">
        <v>45796</v>
      </c>
      <c r="E1304" s="5">
        <v>1.5369999999999999</v>
      </c>
    </row>
    <row r="1305" spans="1:5" x14ac:dyDescent="0.3">
      <c r="A1305" s="4">
        <v>45797</v>
      </c>
      <c r="B1305" s="5"/>
      <c r="D1305" s="4">
        <v>45797</v>
      </c>
      <c r="E1305" s="5">
        <v>1.5089999999999999</v>
      </c>
    </row>
    <row r="1306" spans="1:5" x14ac:dyDescent="0.3">
      <c r="A1306" s="4">
        <v>45798</v>
      </c>
      <c r="B1306" s="5"/>
      <c r="D1306" s="4">
        <v>45798</v>
      </c>
      <c r="E1306" s="5">
        <v>1.5089999999999999</v>
      </c>
    </row>
    <row r="1307" spans="1:5" x14ac:dyDescent="0.3">
      <c r="A1307" s="4">
        <v>45799</v>
      </c>
      <c r="B1307" s="5"/>
      <c r="D1307" s="4">
        <v>45799</v>
      </c>
      <c r="E1307" s="5">
        <v>1.4650000000000001</v>
      </c>
    </row>
    <row r="1308" spans="1:5" x14ac:dyDescent="0.3">
      <c r="A1308" s="4">
        <v>45800</v>
      </c>
      <c r="B1308" s="5"/>
      <c r="D1308" s="4">
        <v>45800</v>
      </c>
      <c r="E1308" s="5">
        <v>1.5649999999999999</v>
      </c>
    </row>
    <row r="1309" spans="1:5" x14ac:dyDescent="0.3">
      <c r="A1309" s="4">
        <v>45803</v>
      </c>
      <c r="B1309" s="5"/>
      <c r="D1309" s="4">
        <v>45803</v>
      </c>
      <c r="E1309" s="5">
        <v>1.506</v>
      </c>
    </row>
    <row r="1310" spans="1:5" x14ac:dyDescent="0.3">
      <c r="A1310" s="4">
        <v>45804</v>
      </c>
      <c r="B1310" s="5"/>
      <c r="D1310" s="4">
        <v>45804</v>
      </c>
      <c r="E1310" s="5">
        <v>1.452</v>
      </c>
    </row>
    <row r="1311" spans="1:5" x14ac:dyDescent="0.3">
      <c r="A1311" s="4">
        <v>45805</v>
      </c>
      <c r="B1311" s="5"/>
      <c r="D1311" s="4">
        <v>45805</v>
      </c>
      <c r="E1311" s="5">
        <v>1.411</v>
      </c>
    </row>
    <row r="1312" spans="1:5" x14ac:dyDescent="0.3">
      <c r="A1312" s="4">
        <v>45806</v>
      </c>
      <c r="B1312" s="5"/>
      <c r="D1312" s="4">
        <v>45806</v>
      </c>
      <c r="E1312" s="5">
        <v>1.411</v>
      </c>
    </row>
    <row r="1313" spans="1:5" x14ac:dyDescent="0.3">
      <c r="A1313" s="4">
        <v>45807</v>
      </c>
      <c r="B1313" s="5"/>
      <c r="D1313" s="4">
        <v>45807</v>
      </c>
      <c r="E1313" s="5">
        <v>1.4710000000000001</v>
      </c>
    </row>
    <row r="1314" spans="1:5" x14ac:dyDescent="0.3">
      <c r="A1314" s="4">
        <v>45811</v>
      </c>
      <c r="B1314" s="5"/>
      <c r="D1314" s="4">
        <v>45811</v>
      </c>
      <c r="E1314" s="5">
        <v>1.41</v>
      </c>
    </row>
    <row r="1315" spans="1:5" x14ac:dyDescent="0.3">
      <c r="A1315" s="4">
        <v>45812</v>
      </c>
      <c r="B1315" s="5"/>
      <c r="D1315" s="4">
        <v>45812</v>
      </c>
      <c r="E1315" s="5">
        <v>1.4079999999999999</v>
      </c>
    </row>
    <row r="1316" spans="1:5" x14ac:dyDescent="0.3">
      <c r="A1316" s="4">
        <v>45813</v>
      </c>
      <c r="B1316" s="5"/>
      <c r="D1316" s="4">
        <v>45813</v>
      </c>
      <c r="E1316" s="5">
        <v>1.4079999999999999</v>
      </c>
    </row>
    <row r="1317" spans="1:5" x14ac:dyDescent="0.3">
      <c r="A1317" s="4">
        <v>45814</v>
      </c>
      <c r="B1317" s="5"/>
      <c r="D1317" s="4">
        <v>45814</v>
      </c>
      <c r="E1317" s="5">
        <v>1.411</v>
      </c>
    </row>
    <row r="1318" spans="1:5" x14ac:dyDescent="0.3">
      <c r="A1318" s="4">
        <v>45817</v>
      </c>
      <c r="B1318" s="5"/>
      <c r="D1318" s="4">
        <v>45817</v>
      </c>
      <c r="E1318" s="5">
        <v>1.3779999999999999</v>
      </c>
    </row>
    <row r="1319" spans="1:5" x14ac:dyDescent="0.3">
      <c r="A1319" s="4">
        <v>45818</v>
      </c>
      <c r="B1319" s="5"/>
      <c r="D1319" s="4">
        <v>45818</v>
      </c>
      <c r="E1319" s="5">
        <v>1.3620000000000001</v>
      </c>
    </row>
    <row r="1320" spans="1:5" x14ac:dyDescent="0.3">
      <c r="A1320" s="4">
        <v>45819</v>
      </c>
      <c r="B1320" s="5"/>
      <c r="D1320" s="4">
        <v>45819</v>
      </c>
      <c r="E1320" s="5">
        <v>1.361</v>
      </c>
    </row>
    <row r="1321" spans="1:5" x14ac:dyDescent="0.3">
      <c r="A1321" s="4">
        <v>45820</v>
      </c>
      <c r="B1321" s="5"/>
      <c r="D1321" s="4">
        <v>45820</v>
      </c>
      <c r="E1321" s="5">
        <v>1.367</v>
      </c>
    </row>
    <row r="1322" spans="1:5" x14ac:dyDescent="0.3">
      <c r="A1322" s="4">
        <v>45821</v>
      </c>
      <c r="B1322" s="5"/>
      <c r="D1322" s="4">
        <v>45821</v>
      </c>
      <c r="E1322" s="5">
        <v>1.411</v>
      </c>
    </row>
    <row r="1323" spans="1:5" x14ac:dyDescent="0.3">
      <c r="A1323" s="4">
        <v>45824</v>
      </c>
      <c r="B1323" s="5"/>
      <c r="D1323" s="4">
        <v>45824</v>
      </c>
      <c r="E1323" s="5">
        <v>1.3879999999999999</v>
      </c>
    </row>
    <row r="1324" spans="1:5" x14ac:dyDescent="0.3">
      <c r="A1324" s="4">
        <v>45825</v>
      </c>
      <c r="B1324" s="5"/>
      <c r="D1324" s="4">
        <v>45825</v>
      </c>
      <c r="E1324" s="5">
        <v>1.369</v>
      </c>
    </row>
    <row r="1325" spans="1:5" x14ac:dyDescent="0.3">
      <c r="A1325" s="4">
        <v>45826</v>
      </c>
      <c r="B1325" s="5"/>
      <c r="D1325" s="4">
        <v>45826</v>
      </c>
      <c r="E1325" s="5">
        <v>1.3660000000000001</v>
      </c>
    </row>
    <row r="1326" spans="1:5" x14ac:dyDescent="0.3">
      <c r="A1326" s="4">
        <v>45827</v>
      </c>
      <c r="B1326" s="5"/>
      <c r="D1326" s="4">
        <v>45827</v>
      </c>
      <c r="E1326" s="5">
        <v>1.367</v>
      </c>
    </row>
    <row r="1327" spans="1:5" x14ac:dyDescent="0.3">
      <c r="A1327" s="4">
        <v>45828</v>
      </c>
      <c r="B1327" s="5"/>
      <c r="D1327" s="4">
        <v>45828</v>
      </c>
      <c r="E1327" s="5">
        <v>1.3680000000000001</v>
      </c>
    </row>
    <row r="1328" spans="1:5" x14ac:dyDescent="0.3">
      <c r="A1328" s="4">
        <v>45831</v>
      </c>
      <c r="B1328" s="5"/>
      <c r="D1328" s="4">
        <v>45831</v>
      </c>
      <c r="E1328" s="5">
        <v>1.367</v>
      </c>
    </row>
    <row r="1329" spans="1:5" x14ac:dyDescent="0.3">
      <c r="A1329" s="4">
        <v>45832</v>
      </c>
      <c r="B1329" s="5"/>
      <c r="D1329" s="4">
        <v>45832</v>
      </c>
      <c r="E1329" s="5">
        <v>1.37</v>
      </c>
    </row>
    <row r="1330" spans="1:5" x14ac:dyDescent="0.3">
      <c r="A1330" s="4">
        <v>45833</v>
      </c>
      <c r="B1330" s="5"/>
      <c r="D1330" s="4">
        <v>45833</v>
      </c>
      <c r="E1330" s="5">
        <v>1.371</v>
      </c>
    </row>
    <row r="1331" spans="1:5" x14ac:dyDescent="0.3">
      <c r="A1331" s="4">
        <v>45834</v>
      </c>
      <c r="B1331" s="5"/>
      <c r="D1331" s="4">
        <v>45834</v>
      </c>
      <c r="E1331" s="5">
        <v>1.37</v>
      </c>
    </row>
    <row r="1332" spans="1:5" x14ac:dyDescent="0.3">
      <c r="A1332" s="4">
        <v>45835</v>
      </c>
      <c r="B1332" s="5"/>
      <c r="D1332" s="4">
        <v>45835</v>
      </c>
      <c r="E1332" s="5">
        <v>1.371</v>
      </c>
    </row>
    <row r="1333" spans="1:5" x14ac:dyDescent="0.3">
      <c r="A1333" s="4">
        <v>45838</v>
      </c>
      <c r="B1333" s="5"/>
      <c r="D1333" s="4">
        <v>45838</v>
      </c>
      <c r="E1333" s="5">
        <v>1.4219999999999999</v>
      </c>
    </row>
    <row r="1334" spans="1:5" x14ac:dyDescent="0.3">
      <c r="A1334" s="4">
        <v>45839</v>
      </c>
      <c r="B1334" s="5"/>
      <c r="D1334" s="4">
        <v>45839</v>
      </c>
      <c r="E1334" s="5">
        <v>1.367</v>
      </c>
    </row>
    <row r="1335" spans="1:5" x14ac:dyDescent="0.3">
      <c r="A1335" s="4">
        <v>45840</v>
      </c>
      <c r="B1335" s="5"/>
      <c r="D1335" s="4">
        <v>45840</v>
      </c>
      <c r="E1335" s="5">
        <v>1.365</v>
      </c>
    </row>
    <row r="1336" spans="1:5" x14ac:dyDescent="0.3">
      <c r="A1336" s="4">
        <v>45841</v>
      </c>
      <c r="B1336" s="5"/>
      <c r="D1336" s="4">
        <v>45841</v>
      </c>
      <c r="E1336" s="5">
        <v>1.3149999999999999</v>
      </c>
    </row>
    <row r="1337" spans="1:5" x14ac:dyDescent="0.3">
      <c r="A1337" s="4">
        <v>45842</v>
      </c>
      <c r="B1337" s="5"/>
      <c r="D1337" s="4">
        <v>45842</v>
      </c>
      <c r="E1337" s="5">
        <v>1.3129999999999999</v>
      </c>
    </row>
    <row r="1338" spans="1:5" x14ac:dyDescent="0.3">
      <c r="A1338" s="4">
        <v>45845</v>
      </c>
      <c r="B1338" s="5"/>
      <c r="D1338" s="4">
        <v>45845</v>
      </c>
      <c r="E1338" s="5">
        <v>1.3120000000000001</v>
      </c>
    </row>
    <row r="1339" spans="1:5" x14ac:dyDescent="0.3">
      <c r="A1339" s="4">
        <v>45846</v>
      </c>
      <c r="B1339" s="5"/>
      <c r="D1339" s="4">
        <v>45846</v>
      </c>
      <c r="E1339" s="5">
        <v>1.3120000000000001</v>
      </c>
    </row>
    <row r="1340" spans="1:5" x14ac:dyDescent="0.3">
      <c r="A1340" s="4">
        <v>45847</v>
      </c>
      <c r="B1340" s="5"/>
      <c r="D1340" s="4">
        <v>45847</v>
      </c>
      <c r="E1340" s="5">
        <v>1.3129999999999999</v>
      </c>
    </row>
    <row r="1341" spans="1:5" x14ac:dyDescent="0.3">
      <c r="A1341" s="4">
        <v>45848</v>
      </c>
      <c r="B1341" s="5"/>
      <c r="D1341" s="4">
        <v>45848</v>
      </c>
      <c r="E1341" s="5">
        <v>1.3160000000000001</v>
      </c>
    </row>
    <row r="1342" spans="1:5" x14ac:dyDescent="0.3">
      <c r="A1342" s="4">
        <v>45849</v>
      </c>
      <c r="B1342" s="5"/>
      <c r="D1342" s="4">
        <v>45849</v>
      </c>
      <c r="E1342" s="5">
        <v>1.333</v>
      </c>
    </row>
    <row r="1343" spans="1:5" x14ac:dyDescent="0.3">
      <c r="A1343" s="4">
        <v>45852</v>
      </c>
      <c r="B1343" s="5"/>
      <c r="D1343" s="4">
        <v>45852</v>
      </c>
      <c r="E1343" s="5">
        <v>1.415</v>
      </c>
    </row>
    <row r="1344" spans="1:5" x14ac:dyDescent="0.3">
      <c r="A1344" s="4">
        <v>45853</v>
      </c>
      <c r="B1344" s="5"/>
      <c r="D1344" s="4">
        <v>45853</v>
      </c>
      <c r="E1344" s="5">
        <v>1.5349999999999999</v>
      </c>
    </row>
    <row r="1345" spans="1:5" x14ac:dyDescent="0.3">
      <c r="A1345" s="4">
        <v>45854</v>
      </c>
      <c r="B1345" s="5"/>
      <c r="D1345" s="4">
        <v>45854</v>
      </c>
      <c r="E1345" s="5">
        <v>1.466</v>
      </c>
    </row>
    <row r="1346" spans="1:5" x14ac:dyDescent="0.3">
      <c r="A1346" s="4">
        <v>45855</v>
      </c>
      <c r="B1346" s="5"/>
      <c r="D1346" s="4">
        <v>45855</v>
      </c>
      <c r="E1346" s="5">
        <v>1.4630000000000001</v>
      </c>
    </row>
    <row r="1347" spans="1:5" x14ac:dyDescent="0.3">
      <c r="A1347" s="4">
        <v>45856</v>
      </c>
      <c r="B1347" s="5"/>
      <c r="D1347" s="4">
        <v>45856</v>
      </c>
      <c r="E1347" s="5">
        <v>1.462</v>
      </c>
    </row>
    <row r="1348" spans="1:5" x14ac:dyDescent="0.3">
      <c r="A1348" s="4">
        <v>45859</v>
      </c>
      <c r="B1348" s="5"/>
      <c r="D1348" s="4">
        <v>45859</v>
      </c>
      <c r="E1348" s="5">
        <v>1.3660000000000001</v>
      </c>
    </row>
    <row r="1349" spans="1:5" x14ac:dyDescent="0.3">
      <c r="A1349" s="4">
        <v>45860</v>
      </c>
      <c r="B1349" s="5"/>
      <c r="D1349" s="4">
        <v>45860</v>
      </c>
      <c r="E1349" s="5">
        <v>1.3169999999999999</v>
      </c>
    </row>
    <row r="1350" spans="1:5" x14ac:dyDescent="0.3">
      <c r="A1350" s="4">
        <v>45861</v>
      </c>
      <c r="B1350" s="5"/>
      <c r="D1350" s="4">
        <v>45861</v>
      </c>
      <c r="E1350" s="5">
        <v>1.367</v>
      </c>
    </row>
    <row r="1351" spans="1:5" x14ac:dyDescent="0.3">
      <c r="A1351" s="4">
        <v>45862</v>
      </c>
      <c r="B1351" s="5"/>
      <c r="D1351" s="4">
        <v>45862</v>
      </c>
      <c r="E1351" s="5">
        <v>1.635</v>
      </c>
    </row>
    <row r="1352" spans="1:5" x14ac:dyDescent="0.3">
      <c r="A1352" s="4">
        <v>45863</v>
      </c>
      <c r="B1352" s="5"/>
      <c r="D1352" s="4">
        <v>45863</v>
      </c>
      <c r="E1352" s="5">
        <v>1.52</v>
      </c>
    </row>
    <row r="1353" spans="1:5" x14ac:dyDescent="0.3">
      <c r="A1353" s="4">
        <v>45866</v>
      </c>
      <c r="B1353" s="5"/>
      <c r="D1353" s="4">
        <v>45866</v>
      </c>
      <c r="E1353" s="5">
        <v>1.4670000000000001</v>
      </c>
    </row>
    <row r="1354" spans="1:5" x14ac:dyDescent="0.3">
      <c r="A1354" s="4">
        <v>45867</v>
      </c>
      <c r="B1354" s="5"/>
      <c r="D1354" s="4">
        <v>45867</v>
      </c>
      <c r="E1354" s="5">
        <v>1.3660000000000001</v>
      </c>
    </row>
    <row r="1355" spans="1:5" x14ac:dyDescent="0.3">
      <c r="A1355" s="4">
        <v>45868</v>
      </c>
      <c r="B1355" s="5"/>
      <c r="D1355" s="4">
        <v>45868</v>
      </c>
      <c r="E1355" s="5">
        <v>1.3169999999999999</v>
      </c>
    </row>
    <row r="1356" spans="1:5" x14ac:dyDescent="0.3">
      <c r="A1356" s="4">
        <v>45869</v>
      </c>
      <c r="B1356" s="5"/>
      <c r="D1356" s="4">
        <v>45869</v>
      </c>
      <c r="E1356" s="5">
        <v>1.3919999999999999</v>
      </c>
    </row>
    <row r="1357" spans="1:5" x14ac:dyDescent="0.3">
      <c r="A1357" s="4">
        <v>45870</v>
      </c>
      <c r="B1357" s="5"/>
      <c r="D1357" s="4">
        <v>45870</v>
      </c>
      <c r="E1357" s="5">
        <v>1.3149999999999999</v>
      </c>
    </row>
    <row r="1358" spans="1:5" x14ac:dyDescent="0.3">
      <c r="A1358" s="4">
        <v>45873</v>
      </c>
      <c r="B1358" s="5"/>
      <c r="D1358" s="4">
        <v>45873</v>
      </c>
      <c r="E1358" s="5">
        <v>1.3140000000000001</v>
      </c>
    </row>
    <row r="1359" spans="1:5" x14ac:dyDescent="0.3">
      <c r="A1359" s="4">
        <v>45874</v>
      </c>
      <c r="B1359" s="5"/>
      <c r="D1359" s="4">
        <v>45874</v>
      </c>
      <c r="E1359" s="5">
        <v>1.3149999999999999</v>
      </c>
    </row>
    <row r="1360" spans="1:5" x14ac:dyDescent="0.3">
      <c r="A1360" s="4">
        <v>45875</v>
      </c>
      <c r="B1360" s="5"/>
      <c r="D1360" s="4">
        <v>45875</v>
      </c>
      <c r="E1360" s="5">
        <v>1.3160000000000001</v>
      </c>
    </row>
    <row r="1361" spans="1:5" x14ac:dyDescent="0.3">
      <c r="A1361" s="4">
        <v>45876</v>
      </c>
      <c r="B1361" s="5"/>
      <c r="D1361" s="4">
        <v>45876</v>
      </c>
      <c r="E1361" s="5">
        <v>1.3149999999999999</v>
      </c>
    </row>
    <row r="1362" spans="1:5" x14ac:dyDescent="0.3">
      <c r="A1362" s="4">
        <v>45877</v>
      </c>
      <c r="B1362" s="5"/>
      <c r="D1362" s="4">
        <v>45877</v>
      </c>
      <c r="E1362" s="5">
        <v>1.3144</v>
      </c>
    </row>
    <row r="1363" spans="1:5" x14ac:dyDescent="0.3">
      <c r="A1363" s="4">
        <v>45880</v>
      </c>
      <c r="B1363" s="5"/>
      <c r="D1363" s="4">
        <v>45880</v>
      </c>
      <c r="E1363" s="5">
        <v>1.3149999999999999</v>
      </c>
    </row>
    <row r="1364" spans="1:5" x14ac:dyDescent="0.3">
      <c r="A1364" s="4">
        <v>45881</v>
      </c>
      <c r="B1364" s="5"/>
      <c r="D1364" s="4">
        <v>45881</v>
      </c>
      <c r="E1364" s="5">
        <v>1.3149999999999999</v>
      </c>
    </row>
    <row r="1365" spans="1:5" x14ac:dyDescent="0.3">
      <c r="A1365" s="4">
        <v>45882</v>
      </c>
      <c r="B1365" s="5"/>
      <c r="D1365" s="4">
        <v>45882</v>
      </c>
      <c r="E1365" s="5">
        <v>1.3149999999999999</v>
      </c>
    </row>
    <row r="1366" spans="1:5" x14ac:dyDescent="0.3">
      <c r="A1366" s="4">
        <v>45883</v>
      </c>
      <c r="B1366" s="5"/>
      <c r="D1366" s="4">
        <v>45883</v>
      </c>
      <c r="E1366" s="5">
        <v>1.3149999999999999</v>
      </c>
    </row>
    <row r="1367" spans="1:5" x14ac:dyDescent="0.3">
      <c r="A1367" s="4">
        <v>45884</v>
      </c>
      <c r="B1367" s="5"/>
      <c r="D1367" s="4">
        <v>45884</v>
      </c>
      <c r="E1367" s="5">
        <v>1.3979999999999999</v>
      </c>
    </row>
    <row r="1368" spans="1:5" x14ac:dyDescent="0.3">
      <c r="A1368" s="4">
        <v>45887</v>
      </c>
      <c r="B1368" s="5"/>
      <c r="D1368" s="4">
        <v>45887</v>
      </c>
      <c r="E1368" s="5">
        <v>1.4359999999999999</v>
      </c>
    </row>
    <row r="1369" spans="1:5" x14ac:dyDescent="0.3">
      <c r="A1369" s="4">
        <v>45888</v>
      </c>
      <c r="B1369" s="5"/>
      <c r="D1369" s="4">
        <v>45888</v>
      </c>
      <c r="E1369" s="5">
        <v>1.464</v>
      </c>
    </row>
    <row r="1370" spans="1:5" x14ac:dyDescent="0.3">
      <c r="A1370" s="4">
        <v>45889</v>
      </c>
      <c r="B1370" s="5"/>
      <c r="D1370" s="4">
        <v>45889</v>
      </c>
      <c r="E1370" s="5">
        <v>1.4730000000000001</v>
      </c>
    </row>
    <row r="1371" spans="1:5" x14ac:dyDescent="0.3">
      <c r="A1371" s="4">
        <v>45890</v>
      </c>
      <c r="B1371" s="5"/>
      <c r="D1371" s="4">
        <v>45890</v>
      </c>
      <c r="E1371" s="5">
        <v>1.466</v>
      </c>
    </row>
    <row r="1372" spans="1:5" x14ac:dyDescent="0.3">
      <c r="A1372" s="4">
        <v>45891</v>
      </c>
      <c r="B1372" s="5"/>
      <c r="D1372" s="4">
        <v>45891</v>
      </c>
      <c r="E1372" s="5">
        <v>1.4179999999999999</v>
      </c>
    </row>
    <row r="1373" spans="1:5" x14ac:dyDescent="0.3">
      <c r="A1373" s="4">
        <v>45894</v>
      </c>
      <c r="B1373" s="5"/>
      <c r="D1373" s="4">
        <v>45894</v>
      </c>
      <c r="E1373" s="5">
        <v>1.3560000000000001</v>
      </c>
    </row>
    <row r="1374" spans="1:5" x14ac:dyDescent="0.3">
      <c r="A1374" s="4">
        <v>45895</v>
      </c>
      <c r="B1374" s="5"/>
      <c r="D1374" s="4">
        <v>45895</v>
      </c>
      <c r="E1374" s="5">
        <v>1.3169999999999999</v>
      </c>
    </row>
    <row r="1375" spans="1:5" x14ac:dyDescent="0.3">
      <c r="A1375" s="4">
        <v>45896</v>
      </c>
      <c r="B1375" s="5"/>
      <c r="D1375" s="4">
        <v>45896</v>
      </c>
      <c r="E1375" s="5">
        <v>1.3149999999999999</v>
      </c>
    </row>
    <row r="1376" spans="1:5" x14ac:dyDescent="0.3">
      <c r="A1376" s="4">
        <v>45897</v>
      </c>
      <c r="B1376" s="5"/>
      <c r="D1376" s="4">
        <v>45897</v>
      </c>
      <c r="E1376" s="5">
        <v>1.3160000000000001</v>
      </c>
    </row>
    <row r="1377" spans="1:5" x14ac:dyDescent="0.3">
      <c r="A1377" s="4">
        <v>45898</v>
      </c>
      <c r="B1377" s="5"/>
      <c r="D1377" s="4">
        <v>45898</v>
      </c>
      <c r="E1377" s="5">
        <v>1.331</v>
      </c>
    </row>
    <row r="1378" spans="1:5" x14ac:dyDescent="0.3">
      <c r="A1378" s="4">
        <v>45901</v>
      </c>
      <c r="B1378" s="5"/>
      <c r="D1378" s="4">
        <v>45901</v>
      </c>
      <c r="E1378" s="5">
        <v>1.3149999999999999</v>
      </c>
    </row>
    <row r="1379" spans="1:5" x14ac:dyDescent="0.3">
      <c r="A1379" s="4">
        <v>45902</v>
      </c>
      <c r="B1379" s="5"/>
      <c r="D1379" s="4">
        <v>45902</v>
      </c>
      <c r="E1379" s="5">
        <v>1.3140000000000001</v>
      </c>
    </row>
    <row r="1380" spans="1:5" x14ac:dyDescent="0.3">
      <c r="A1380" s="4">
        <v>45903</v>
      </c>
      <c r="B1380" s="5"/>
      <c r="D1380" s="4">
        <v>45903</v>
      </c>
      <c r="E1380" s="5">
        <v>1.3160000000000001</v>
      </c>
    </row>
    <row r="1381" spans="1:5" x14ac:dyDescent="0.3">
      <c r="A1381" s="4">
        <v>45904</v>
      </c>
      <c r="B1381" s="5"/>
      <c r="D1381" s="4">
        <v>45904</v>
      </c>
      <c r="E1381" s="5">
        <v>1.3160000000000001</v>
      </c>
    </row>
    <row r="1382" spans="1:5" x14ac:dyDescent="0.3">
      <c r="A1382" s="4">
        <v>45905</v>
      </c>
      <c r="B1382" s="5"/>
      <c r="D1382" s="4">
        <v>45905</v>
      </c>
      <c r="E1382" s="5">
        <v>1.3160000000000001</v>
      </c>
    </row>
    <row r="1383" spans="1:5" x14ac:dyDescent="0.3">
      <c r="A1383" s="4">
        <v>45908</v>
      </c>
      <c r="B1383" s="5"/>
      <c r="D1383" s="4">
        <v>45908</v>
      </c>
      <c r="E1383" s="5">
        <v>1.353</v>
      </c>
    </row>
    <row r="1384" spans="1:5" x14ac:dyDescent="0.3">
      <c r="A1384" s="4">
        <v>45909</v>
      </c>
      <c r="B1384" s="5"/>
      <c r="D1384" s="4">
        <v>45909</v>
      </c>
      <c r="E1384" s="5">
        <v>1.419</v>
      </c>
    </row>
    <row r="1385" spans="1:5" x14ac:dyDescent="0.3">
      <c r="A1385" s="4">
        <v>45910</v>
      </c>
      <c r="B1385" s="5"/>
      <c r="D1385" s="4">
        <v>45910</v>
      </c>
      <c r="E1385" s="5">
        <v>1.425</v>
      </c>
    </row>
    <row r="1386" spans="1:5" x14ac:dyDescent="0.3">
      <c r="A1386" s="4">
        <v>45911</v>
      </c>
      <c r="B1386" s="5"/>
      <c r="D1386" s="4">
        <v>45911</v>
      </c>
      <c r="E1386" s="5">
        <v>1.369</v>
      </c>
    </row>
    <row r="1387" spans="1:5" x14ac:dyDescent="0.3">
      <c r="A1387" s="4">
        <v>45912</v>
      </c>
      <c r="B1387" s="5"/>
      <c r="D1387" s="4">
        <v>45912</v>
      </c>
      <c r="E1387" s="5">
        <v>1.367</v>
      </c>
    </row>
    <row r="1388" spans="1:5" x14ac:dyDescent="0.3">
      <c r="A1388" s="4">
        <v>45915</v>
      </c>
      <c r="B1388" s="5"/>
      <c r="D1388" s="4">
        <v>45915</v>
      </c>
      <c r="E1388" s="5">
        <v>1.4079999999999999</v>
      </c>
    </row>
    <row r="1389" spans="1:5" x14ac:dyDescent="0.3">
      <c r="A1389" s="4">
        <v>45916</v>
      </c>
      <c r="B1389" s="5"/>
      <c r="D1389" s="4">
        <v>45916</v>
      </c>
      <c r="E1389" s="5">
        <v>1.4370000000000001</v>
      </c>
    </row>
    <row r="1390" spans="1:5" x14ac:dyDescent="0.3">
      <c r="A1390" s="4">
        <v>45917</v>
      </c>
      <c r="B1390" s="5"/>
      <c r="D1390" s="4">
        <v>45917</v>
      </c>
      <c r="E1390" s="5">
        <v>1.4830000000000001</v>
      </c>
    </row>
    <row r="1391" spans="1:5" x14ac:dyDescent="0.3">
      <c r="A1391" s="4">
        <v>45918</v>
      </c>
      <c r="B1391" s="5"/>
      <c r="D1391" s="4">
        <v>45918</v>
      </c>
      <c r="E1391" s="5">
        <v>1.514</v>
      </c>
    </row>
    <row r="1392" spans="1:5" x14ac:dyDescent="0.3">
      <c r="A1392" s="4">
        <v>45919</v>
      </c>
      <c r="B1392" s="5"/>
      <c r="D1392" s="4">
        <v>45919</v>
      </c>
      <c r="E1392" s="5">
        <v>1.4610000000000001</v>
      </c>
    </row>
    <row r="1393" spans="1:5" x14ac:dyDescent="0.3">
      <c r="A1393" s="4">
        <v>45922</v>
      </c>
      <c r="B1393" s="5"/>
      <c r="D1393" s="4">
        <v>45922</v>
      </c>
      <c r="E1393" s="5">
        <v>1.427</v>
      </c>
    </row>
    <row r="1394" spans="1:5" x14ac:dyDescent="0.3">
      <c r="A1394" s="4">
        <v>45923</v>
      </c>
      <c r="B1394" s="5"/>
      <c r="D1394" s="4">
        <v>45923</v>
      </c>
      <c r="E1394" s="5">
        <v>1.413</v>
      </c>
    </row>
    <row r="1395" spans="1:5" x14ac:dyDescent="0.3">
      <c r="A1395" s="4">
        <v>45924</v>
      </c>
      <c r="B1395" s="5"/>
      <c r="D1395" s="4">
        <v>45924</v>
      </c>
      <c r="E1395" s="5">
        <v>1.4339999999999999</v>
      </c>
    </row>
    <row r="1396" spans="1:5" x14ac:dyDescent="0.3">
      <c r="A1396" s="4">
        <v>45925</v>
      </c>
      <c r="B1396" s="5"/>
      <c r="D1396" s="4">
        <v>45925</v>
      </c>
      <c r="E1396" s="5">
        <v>1.472</v>
      </c>
    </row>
    <row r="1397" spans="1:5" x14ac:dyDescent="0.3">
      <c r="A1397" s="4">
        <v>45926</v>
      </c>
      <c r="B1397" s="5"/>
      <c r="D1397" s="4">
        <v>45926</v>
      </c>
      <c r="E1397" s="5">
        <v>1.321</v>
      </c>
    </row>
    <row r="1398" spans="1:5" x14ac:dyDescent="0.3">
      <c r="A1398" s="4">
        <v>45929</v>
      </c>
      <c r="B1398" s="5"/>
      <c r="D1398" s="4">
        <v>45929</v>
      </c>
      <c r="E1398" s="5">
        <v>1.3149999999999999</v>
      </c>
    </row>
    <row r="1399" spans="1:5" x14ac:dyDescent="0.3">
      <c r="A1399" s="4">
        <v>45930</v>
      </c>
      <c r="B1399" s="5"/>
      <c r="D1399" s="4">
        <v>45930</v>
      </c>
      <c r="E1399" s="5">
        <v>1.379</v>
      </c>
    </row>
    <row r="1400" spans="1:5" x14ac:dyDescent="0.3">
      <c r="A1400" s="4">
        <v>45939</v>
      </c>
      <c r="B1400" s="5"/>
      <c r="D1400" s="4">
        <v>45939</v>
      </c>
      <c r="E1400" s="5">
        <v>1.3220000000000001</v>
      </c>
    </row>
    <row r="1401" spans="1:5" x14ac:dyDescent="0.3">
      <c r="A1401" s="4">
        <v>45940</v>
      </c>
      <c r="B1401" s="5"/>
      <c r="D1401" s="4">
        <v>45940</v>
      </c>
      <c r="E1401" s="5">
        <v>1.319</v>
      </c>
    </row>
    <row r="1402" spans="1:5" x14ac:dyDescent="0.3">
      <c r="A1402" s="4">
        <v>45943</v>
      </c>
      <c r="B1402" s="5"/>
      <c r="D1402" s="4">
        <v>45943</v>
      </c>
      <c r="E1402" s="5">
        <v>1.3140000000000001</v>
      </c>
    </row>
    <row r="1403" spans="1:5" x14ac:dyDescent="0.3">
      <c r="A1403" s="4">
        <v>45944</v>
      </c>
      <c r="B1403" s="5"/>
      <c r="D1403" s="4">
        <v>45944</v>
      </c>
      <c r="E1403" s="5">
        <v>1.3149999999999999</v>
      </c>
    </row>
    <row r="1404" spans="1:5" x14ac:dyDescent="0.3">
      <c r="A1404" s="4">
        <v>45945</v>
      </c>
      <c r="B1404" s="5"/>
      <c r="D1404" s="4">
        <v>45945</v>
      </c>
      <c r="E1404" s="5">
        <v>1.3160000000000001</v>
      </c>
    </row>
    <row r="1405" spans="1:5" x14ac:dyDescent="0.3">
      <c r="A1405" s="4">
        <v>45946</v>
      </c>
      <c r="B1405" s="5"/>
      <c r="D1405" s="4">
        <v>45946</v>
      </c>
      <c r="E1405" s="5">
        <v>1.3160000000000001</v>
      </c>
    </row>
    <row r="1406" spans="1:5" x14ac:dyDescent="0.3">
      <c r="A1406" s="4">
        <v>45947</v>
      </c>
      <c r="B1406" s="5"/>
      <c r="D1406" s="4">
        <v>45947</v>
      </c>
      <c r="E1406" s="5">
        <v>1.3180000000000001</v>
      </c>
    </row>
    <row r="1407" spans="1:5" x14ac:dyDescent="0.3">
      <c r="A1407" s="4">
        <v>45950</v>
      </c>
      <c r="B1407" s="5"/>
      <c r="D1407" s="4">
        <v>45950</v>
      </c>
      <c r="E1407" s="5">
        <v>1.3169999999999999</v>
      </c>
    </row>
    <row r="1408" spans="1:5" x14ac:dyDescent="0.3">
      <c r="A1408" s="4">
        <v>45951</v>
      </c>
      <c r="B1408" s="5"/>
      <c r="D1408" s="4">
        <v>45951</v>
      </c>
      <c r="E1408" s="5">
        <v>1.3169999999999999</v>
      </c>
    </row>
    <row r="1409" spans="1:5" x14ac:dyDescent="0.3">
      <c r="A1409" s="4">
        <v>45952</v>
      </c>
      <c r="B1409" s="5"/>
      <c r="D1409" s="4">
        <v>45952</v>
      </c>
      <c r="E1409" s="5">
        <v>1.3180000000000001</v>
      </c>
    </row>
    <row r="1410" spans="1:5" x14ac:dyDescent="0.3">
      <c r="A1410" s="4">
        <v>45953</v>
      </c>
      <c r="B1410" s="5"/>
      <c r="D1410" s="4">
        <v>45953</v>
      </c>
      <c r="E1410" s="5">
        <v>1.3180000000000001</v>
      </c>
    </row>
    <row r="1411" spans="1:5" x14ac:dyDescent="0.3">
      <c r="A1411" s="4">
        <v>45954</v>
      </c>
      <c r="B1411" s="5"/>
      <c r="D1411" s="4">
        <v>45954</v>
      </c>
      <c r="E1411" s="5">
        <v>1.32</v>
      </c>
    </row>
    <row r="1412" spans="1:5" x14ac:dyDescent="0.3">
      <c r="A1412" s="4">
        <v>45957</v>
      </c>
      <c r="B1412" s="5"/>
      <c r="D1412" s="4">
        <v>45957</v>
      </c>
      <c r="E1412" s="5">
        <v>1.4419999999999999</v>
      </c>
    </row>
    <row r="1413" spans="1:5" x14ac:dyDescent="0.3">
      <c r="A1413" s="4">
        <v>45958</v>
      </c>
      <c r="B1413" s="5"/>
      <c r="D1413" s="4">
        <v>45958</v>
      </c>
      <c r="E1413" s="5">
        <v>1.4690000000000001</v>
      </c>
    </row>
    <row r="1414" spans="1:5" x14ac:dyDescent="0.3">
      <c r="A1414" s="4">
        <v>45959</v>
      </c>
      <c r="B1414" s="5"/>
      <c r="D1414" s="4">
        <v>45959</v>
      </c>
      <c r="E1414" s="5">
        <v>1.4139999999999999</v>
      </c>
    </row>
    <row r="1415" spans="1:5" x14ac:dyDescent="0.3">
      <c r="A1415" s="4">
        <v>45960</v>
      </c>
      <c r="B1415" s="5"/>
      <c r="D1415" s="4">
        <v>45960</v>
      </c>
      <c r="E1415" s="5">
        <v>1.3169999999999999</v>
      </c>
    </row>
    <row r="1416" spans="1:5" x14ac:dyDescent="0.3">
      <c r="A1416" s="4">
        <v>45961</v>
      </c>
      <c r="B1416" s="5"/>
      <c r="D1416" s="4">
        <v>45961</v>
      </c>
      <c r="E1416" s="5">
        <v>1.321</v>
      </c>
    </row>
    <row r="1417" spans="1:5" x14ac:dyDescent="0.3">
      <c r="A1417" s="4">
        <v>45964</v>
      </c>
      <c r="B1417" s="5"/>
      <c r="D1417" s="4">
        <v>45964</v>
      </c>
      <c r="E1417" s="5">
        <v>1.3160000000000001</v>
      </c>
    </row>
    <row r="1418" spans="1:5" x14ac:dyDescent="0.3">
      <c r="A1418" s="4">
        <v>45965</v>
      </c>
      <c r="B1418" s="5"/>
      <c r="D1418" s="4">
        <v>45965</v>
      </c>
      <c r="E1418" s="5">
        <v>1.3149999999999999</v>
      </c>
    </row>
    <row r="1419" spans="1:5" x14ac:dyDescent="0.3">
      <c r="A1419" s="4">
        <v>45966</v>
      </c>
      <c r="B1419" s="5"/>
      <c r="D1419" s="4">
        <v>45966</v>
      </c>
      <c r="E1419" s="5">
        <v>1.3149999999999999</v>
      </c>
    </row>
    <row r="1420" spans="1:5" x14ac:dyDescent="0.3">
      <c r="A1420" s="4">
        <v>45967</v>
      </c>
      <c r="B1420" s="5"/>
      <c r="D1420" s="4">
        <v>45967</v>
      </c>
      <c r="E1420" s="5">
        <v>1.3129999999999999</v>
      </c>
    </row>
    <row r="1421" spans="1:5" x14ac:dyDescent="0.3">
      <c r="A1421" s="4">
        <v>45968</v>
      </c>
      <c r="B1421" s="5"/>
      <c r="D1421" s="4">
        <v>45968</v>
      </c>
      <c r="E1421" s="5">
        <v>1.327</v>
      </c>
    </row>
    <row r="1422" spans="1:5" x14ac:dyDescent="0.3">
      <c r="A1422" s="4">
        <v>45971</v>
      </c>
      <c r="B1422" s="5"/>
      <c r="D1422" s="4">
        <v>45971</v>
      </c>
      <c r="E1422" s="5">
        <v>1.4790000000000001</v>
      </c>
    </row>
    <row r="1423" spans="1:5" x14ac:dyDescent="0.3">
      <c r="A1423" s="4">
        <v>45972</v>
      </c>
      <c r="B1423" s="5"/>
      <c r="D1423" s="4">
        <v>45972</v>
      </c>
      <c r="E1423" s="5">
        <v>1.508</v>
      </c>
    </row>
    <row r="1424" spans="1:5" x14ac:dyDescent="0.3">
      <c r="A1424" s="4">
        <v>45973</v>
      </c>
      <c r="B1424" s="5"/>
      <c r="D1424" s="4">
        <v>45973</v>
      </c>
      <c r="E1424" s="5">
        <v>1.415</v>
      </c>
    </row>
    <row r="1425" spans="1:5" x14ac:dyDescent="0.3">
      <c r="A1425" s="4">
        <v>45974</v>
      </c>
      <c r="B1425" s="5"/>
      <c r="D1425" s="4">
        <v>45974</v>
      </c>
      <c r="E1425" s="5">
        <v>1.3149999999999999</v>
      </c>
    </row>
    <row r="1426" spans="1:5" x14ac:dyDescent="0.3">
      <c r="A1426" s="4">
        <v>45975</v>
      </c>
      <c r="B1426" s="5"/>
      <c r="D1426" s="4">
        <v>45975</v>
      </c>
      <c r="E1426" s="5">
        <v>1.363</v>
      </c>
    </row>
    <row r="1427" spans="1:5" x14ac:dyDescent="0.3">
      <c r="A1427" s="4">
        <v>45978</v>
      </c>
      <c r="B1427" s="5"/>
      <c r="D1427" s="4">
        <v>45978</v>
      </c>
      <c r="E1427" s="5">
        <v>1.508</v>
      </c>
    </row>
    <row r="1428" spans="1:5" x14ac:dyDescent="0.3">
      <c r="A1428" s="4">
        <v>45979</v>
      </c>
      <c r="B1428" s="5"/>
      <c r="D1428" s="4">
        <v>45979</v>
      </c>
      <c r="E1428" s="5">
        <v>1.5249999999999999</v>
      </c>
    </row>
    <row r="1429" spans="1:5" x14ac:dyDescent="0.3">
      <c r="A1429" s="4">
        <v>45980</v>
      </c>
      <c r="B1429" s="5"/>
      <c r="D1429" s="4">
        <v>45980</v>
      </c>
      <c r="E1429" s="5">
        <v>1.42</v>
      </c>
    </row>
    <row r="1430" spans="1:5" x14ac:dyDescent="0.3">
      <c r="A1430" s="4">
        <v>45981</v>
      </c>
      <c r="B1430" s="5"/>
      <c r="D1430" s="4">
        <v>45981</v>
      </c>
      <c r="E1430" s="5">
        <v>1.3640000000000001</v>
      </c>
    </row>
    <row r="1431" spans="1:5" x14ac:dyDescent="0.3">
      <c r="A1431" s="4">
        <v>45982</v>
      </c>
      <c r="B1431" s="5"/>
      <c r="D1431" s="4">
        <v>45982</v>
      </c>
      <c r="E1431" s="5">
        <v>1.32</v>
      </c>
    </row>
    <row r="1432" spans="1:5" x14ac:dyDescent="0.3">
      <c r="A1432" s="4">
        <v>45985</v>
      </c>
      <c r="B1432" s="5"/>
      <c r="D1432" s="4">
        <v>45985</v>
      </c>
      <c r="E1432" s="5">
        <v>1.3160000000000001</v>
      </c>
    </row>
    <row r="1433" spans="1:5" x14ac:dyDescent="0.3">
      <c r="A1433" s="4">
        <v>45986</v>
      </c>
      <c r="B1433" s="5"/>
      <c r="D1433" s="4">
        <v>45986</v>
      </c>
      <c r="E1433" s="5">
        <v>1.3160000000000001</v>
      </c>
    </row>
    <row r="1434" spans="1:5" x14ac:dyDescent="0.3">
      <c r="A1434" s="4">
        <v>45987</v>
      </c>
      <c r="B1434" s="5"/>
      <c r="D1434" s="4">
        <v>45987</v>
      </c>
      <c r="E1434" s="5">
        <v>1.3160000000000001</v>
      </c>
    </row>
    <row r="1435" spans="1:5" x14ac:dyDescent="0.3">
      <c r="A1435" s="4">
        <v>45988</v>
      </c>
      <c r="B1435" s="5"/>
      <c r="D1435" s="4">
        <v>45988</v>
      </c>
      <c r="E1435" s="5">
        <v>1.3140000000000001</v>
      </c>
    </row>
    <row r="1436" spans="1:5" x14ac:dyDescent="0.3">
      <c r="A1436" s="4">
        <v>45989</v>
      </c>
      <c r="B1436" s="5"/>
      <c r="D1436" s="4">
        <v>45989</v>
      </c>
      <c r="E1436" s="5">
        <v>1.3009999999999999</v>
      </c>
    </row>
    <row r="1437" spans="1:5" x14ac:dyDescent="0.3">
      <c r="A1437" s="4">
        <v>45992</v>
      </c>
      <c r="B1437" s="5"/>
      <c r="D1437" s="4">
        <v>45992</v>
      </c>
      <c r="E1437" s="5">
        <v>1.3069999999999999</v>
      </c>
    </row>
    <row r="1438" spans="1:5" x14ac:dyDescent="0.3">
      <c r="A1438" s="4">
        <v>45993</v>
      </c>
      <c r="B1438" s="5"/>
      <c r="D1438" s="4">
        <v>45993</v>
      </c>
      <c r="E1438" s="5">
        <v>1.302</v>
      </c>
    </row>
    <row r="1439" spans="1:5" x14ac:dyDescent="0.3">
      <c r="A1439" s="4">
        <v>45994</v>
      </c>
      <c r="B1439" s="5"/>
      <c r="D1439" s="4">
        <v>45994</v>
      </c>
      <c r="E1439" s="5">
        <v>1.3009999999999999</v>
      </c>
    </row>
    <row r="1440" spans="1:5" x14ac:dyDescent="0.3">
      <c r="A1440" s="4">
        <v>45995</v>
      </c>
      <c r="B1440" s="5"/>
      <c r="D1440" s="4">
        <v>45995</v>
      </c>
      <c r="E1440" s="5">
        <v>1.302</v>
      </c>
    </row>
    <row r="1441" spans="1:5" x14ac:dyDescent="0.3">
      <c r="A1441" s="4">
        <v>45996</v>
      </c>
      <c r="B1441" s="5"/>
      <c r="D1441" s="4">
        <v>45996</v>
      </c>
      <c r="E1441" s="5">
        <v>1.3009999999999999</v>
      </c>
    </row>
    <row r="1442" spans="1:5" x14ac:dyDescent="0.3">
      <c r="A1442" s="4">
        <v>45999</v>
      </c>
      <c r="B1442" s="5"/>
      <c r="D1442" s="4">
        <v>45999</v>
      </c>
      <c r="E1442" s="5">
        <v>1.302</v>
      </c>
    </row>
    <row r="1443" spans="1:5" x14ac:dyDescent="0.3">
      <c r="A1443" s="4">
        <v>46000</v>
      </c>
      <c r="B1443" s="5"/>
      <c r="D1443" s="4">
        <v>46000</v>
      </c>
      <c r="E1443" s="5">
        <v>1.3029999999999999</v>
      </c>
    </row>
    <row r="1444" spans="1:5" x14ac:dyDescent="0.3">
      <c r="A1444" s="4">
        <v>46001</v>
      </c>
      <c r="B1444" s="5"/>
      <c r="D1444" s="4">
        <v>46001</v>
      </c>
      <c r="E1444" s="5">
        <v>1.298</v>
      </c>
    </row>
    <row r="1445" spans="1:5" x14ac:dyDescent="0.3">
      <c r="A1445" s="4">
        <v>46002</v>
      </c>
      <c r="B1445" s="5"/>
      <c r="D1445" s="4">
        <v>46002</v>
      </c>
      <c r="E1445" s="5">
        <v>1.2829999999999999</v>
      </c>
    </row>
    <row r="1446" spans="1:5" x14ac:dyDescent="0.3">
      <c r="A1446" s="4">
        <v>46003</v>
      </c>
      <c r="B1446" s="5"/>
      <c r="D1446" s="4">
        <v>46003</v>
      </c>
      <c r="E1446" s="5">
        <v>1.2789999999999999</v>
      </c>
    </row>
    <row r="1447" spans="1:5" x14ac:dyDescent="0.3">
      <c r="A1447" s="4">
        <v>46006</v>
      </c>
      <c r="B1447" s="5"/>
      <c r="D1447" s="4">
        <v>46006</v>
      </c>
      <c r="E1447" s="5">
        <v>1.274</v>
      </c>
    </row>
    <row r="1448" spans="1:5" x14ac:dyDescent="0.3">
      <c r="A1448" s="4">
        <v>46007</v>
      </c>
      <c r="B1448" s="5"/>
      <c r="D1448" s="4">
        <v>46007</v>
      </c>
      <c r="E1448" s="5">
        <v>1.276</v>
      </c>
    </row>
    <row r="1449" spans="1:5" x14ac:dyDescent="0.3">
      <c r="A1449" s="4">
        <v>46008</v>
      </c>
      <c r="B1449" s="5"/>
      <c r="D1449" s="4">
        <v>46008</v>
      </c>
      <c r="E1449" s="5">
        <v>1.2749999999999999</v>
      </c>
    </row>
    <row r="1450" spans="1:5" x14ac:dyDescent="0.3">
      <c r="A1450" s="4">
        <v>46009</v>
      </c>
      <c r="B1450" s="5"/>
      <c r="D1450" s="4">
        <v>46009</v>
      </c>
      <c r="E1450" s="5">
        <v>1.2729999999999999</v>
      </c>
    </row>
    <row r="1451" spans="1:5" x14ac:dyDescent="0.3">
      <c r="A1451" s="4">
        <v>46010</v>
      </c>
      <c r="B1451" s="5"/>
      <c r="D1451" s="4">
        <v>46010</v>
      </c>
      <c r="E1451" s="5">
        <v>1.2733000000000001</v>
      </c>
    </row>
    <row r="1452" spans="1:5" x14ac:dyDescent="0.3">
      <c r="A1452" s="4">
        <v>46013</v>
      </c>
      <c r="B1452" s="5"/>
      <c r="D1452" s="4">
        <v>46013</v>
      </c>
      <c r="E1452" s="5">
        <v>1.272</v>
      </c>
    </row>
    <row r="1453" spans="1:5" x14ac:dyDescent="0.3">
      <c r="A1453" s="4">
        <v>46014</v>
      </c>
      <c r="B1453" s="5"/>
      <c r="D1453" s="4">
        <v>46014</v>
      </c>
      <c r="E1453" s="5">
        <v>1.272</v>
      </c>
    </row>
    <row r="1454" spans="1:5" x14ac:dyDescent="0.3">
      <c r="A1454" s="4">
        <v>46015</v>
      </c>
      <c r="B1454" s="5"/>
      <c r="D1454" s="4">
        <v>46015</v>
      </c>
      <c r="E1454" s="5">
        <v>1.2669999999999999</v>
      </c>
    </row>
    <row r="1455" spans="1:5" x14ac:dyDescent="0.3">
      <c r="A1455" s="4">
        <v>46016</v>
      </c>
      <c r="B1455" s="5"/>
      <c r="D1455" s="4">
        <v>46016</v>
      </c>
      <c r="E1455" s="5">
        <v>1.262</v>
      </c>
    </row>
    <row r="1456" spans="1:5" x14ac:dyDescent="0.3">
      <c r="A1456" s="4">
        <v>46017</v>
      </c>
      <c r="B1456" s="5"/>
      <c r="D1456" s="4">
        <v>46017</v>
      </c>
      <c r="E1456" s="5">
        <v>1.258</v>
      </c>
    </row>
    <row r="1457" spans="1:5" x14ac:dyDescent="0.3">
      <c r="A1457" s="4">
        <v>46020</v>
      </c>
      <c r="B1457" s="5"/>
      <c r="D1457" s="4">
        <v>46020</v>
      </c>
      <c r="E1457" s="5">
        <v>1.248</v>
      </c>
    </row>
    <row r="1458" spans="1:5" x14ac:dyDescent="0.3">
      <c r="A1458" s="4">
        <v>46021</v>
      </c>
      <c r="B1458" s="5"/>
      <c r="D1458" s="4">
        <v>46021</v>
      </c>
      <c r="E1458" s="5">
        <v>1.2470000000000001</v>
      </c>
    </row>
    <row r="1459" spans="1:5" x14ac:dyDescent="0.3">
      <c r="A1459" s="4">
        <v>46022</v>
      </c>
      <c r="B1459" s="5"/>
      <c r="D1459" s="4">
        <v>46022</v>
      </c>
      <c r="E1459" s="5">
        <v>1.327</v>
      </c>
    </row>
    <row r="1460" spans="1:5" x14ac:dyDescent="0.3">
      <c r="A1460" s="4">
        <v>46027</v>
      </c>
      <c r="B1460" s="5"/>
      <c r="D1460" s="4">
        <v>46027</v>
      </c>
      <c r="E1460" s="5">
        <v>1.264</v>
      </c>
    </row>
    <row r="1461" spans="1:5" x14ac:dyDescent="0.3">
      <c r="A1461" s="4">
        <v>46028</v>
      </c>
      <c r="B1461" s="5"/>
      <c r="D1461" s="4">
        <v>46028</v>
      </c>
      <c r="E1461" s="5">
        <v>1.2629999999999999</v>
      </c>
    </row>
    <row r="1462" spans="1:5" x14ac:dyDescent="0.3">
      <c r="A1462" s="4">
        <v>46029</v>
      </c>
      <c r="B1462" s="5"/>
      <c r="D1462" s="4">
        <v>46029</v>
      </c>
      <c r="E1462" s="5">
        <v>1.266</v>
      </c>
    </row>
    <row r="1463" spans="1:5" x14ac:dyDescent="0.3">
      <c r="A1463" s="4">
        <v>46030</v>
      </c>
      <c r="B1463" s="5"/>
      <c r="D1463" s="4">
        <v>46030</v>
      </c>
      <c r="E1463" s="5">
        <v>1.27</v>
      </c>
    </row>
    <row r="1464" spans="1:5" x14ac:dyDescent="0.3">
      <c r="A1464" s="4">
        <v>46031</v>
      </c>
      <c r="B1464" s="5"/>
      <c r="D1464" s="4">
        <v>46031</v>
      </c>
      <c r="E1464" s="5">
        <v>1.272</v>
      </c>
    </row>
    <row r="1465" spans="1:5" x14ac:dyDescent="0.3">
      <c r="A1465" s="4">
        <v>46034</v>
      </c>
      <c r="B1465" s="5"/>
      <c r="D1465" s="4">
        <v>46034</v>
      </c>
      <c r="E1465" s="5">
        <v>1.3160000000000001</v>
      </c>
    </row>
    <row r="1466" spans="1:5" x14ac:dyDescent="0.3">
      <c r="A1466" s="4">
        <v>46035</v>
      </c>
      <c r="B1466" s="5"/>
      <c r="D1466" s="4">
        <v>46035</v>
      </c>
      <c r="E1466" s="5">
        <v>1.391</v>
      </c>
    </row>
    <row r="1467" spans="1:5" x14ac:dyDescent="0.3">
      <c r="A1467" s="4">
        <v>46036</v>
      </c>
      <c r="B1467" s="5"/>
      <c r="D1467" s="4">
        <v>46036</v>
      </c>
      <c r="E1467" s="5">
        <v>1.39</v>
      </c>
    </row>
    <row r="1468" spans="1:5" x14ac:dyDescent="0.3">
      <c r="A1468" s="4">
        <v>46037</v>
      </c>
      <c r="B1468" s="5"/>
      <c r="D1468" s="4">
        <v>46037</v>
      </c>
      <c r="E1468" s="5">
        <v>1.3740000000000001</v>
      </c>
    </row>
    <row r="1469" spans="1:5" x14ac:dyDescent="0.3">
      <c r="A1469" s="4">
        <v>46038</v>
      </c>
      <c r="B1469" s="5"/>
      <c r="D1469" s="4">
        <v>46038</v>
      </c>
      <c r="E1469" s="5">
        <v>1.325</v>
      </c>
    </row>
    <row r="1470" spans="1:5" x14ac:dyDescent="0.3">
      <c r="A1470" s="4">
        <v>46041</v>
      </c>
      <c r="B1470" s="5"/>
      <c r="D1470" s="4">
        <v>46041</v>
      </c>
      <c r="E1470" s="5">
        <v>1.3180000000000001</v>
      </c>
    </row>
    <row r="1471" spans="1:5" x14ac:dyDescent="0.3">
      <c r="A1471" s="4">
        <v>46042</v>
      </c>
      <c r="B1471" s="5"/>
      <c r="D1471" s="4">
        <v>46042</v>
      </c>
      <c r="E1471" s="5">
        <v>1.3740000000000001</v>
      </c>
    </row>
    <row r="1472" spans="1:5" x14ac:dyDescent="0.3">
      <c r="A1472" s="4">
        <v>46043</v>
      </c>
      <c r="B1472" s="5"/>
      <c r="D1472" s="4">
        <v>46043</v>
      </c>
      <c r="E1472" s="5">
        <v>1.3220000000000001</v>
      </c>
    </row>
    <row r="1473" spans="1:5" x14ac:dyDescent="0.3">
      <c r="A1473" s="4">
        <v>46044</v>
      </c>
      <c r="B1473" s="5"/>
      <c r="D1473" s="4">
        <v>46044</v>
      </c>
      <c r="E1473" s="5">
        <v>1.413</v>
      </c>
    </row>
    <row r="1474" spans="1:5" x14ac:dyDescent="0.3">
      <c r="A1474" s="4">
        <v>46045</v>
      </c>
      <c r="B1474" s="5"/>
      <c r="D1474" s="4">
        <v>46045</v>
      </c>
      <c r="E1474" s="5">
        <v>1.3959999999999999</v>
      </c>
    </row>
    <row r="1475" spans="1:5" x14ac:dyDescent="0.3">
      <c r="A1475" s="4">
        <v>46048</v>
      </c>
      <c r="B1475" s="5"/>
      <c r="D1475" s="4">
        <v>46048</v>
      </c>
      <c r="E1475" s="5">
        <v>1.42</v>
      </c>
    </row>
    <row r="1476" spans="1:5" x14ac:dyDescent="0.3">
      <c r="A1476" s="4">
        <v>46049</v>
      </c>
      <c r="B1476" s="5"/>
      <c r="D1476" s="4">
        <v>46049</v>
      </c>
      <c r="E1476" s="5">
        <v>1.371</v>
      </c>
    </row>
    <row r="1477" spans="1:5" x14ac:dyDescent="0.3">
      <c r="A1477" s="4">
        <v>46050</v>
      </c>
      <c r="B1477" s="5"/>
      <c r="D1477" s="4">
        <v>46050</v>
      </c>
      <c r="E1477" s="5">
        <v>1.3660000000000001</v>
      </c>
    </row>
    <row r="1478" spans="1:5" x14ac:dyDescent="0.3">
      <c r="A1478" s="4">
        <v>46051</v>
      </c>
      <c r="B1478" s="5"/>
      <c r="D1478" s="4">
        <v>46051</v>
      </c>
      <c r="E1478" s="5">
        <v>1.3680000000000001</v>
      </c>
    </row>
    <row r="1479" spans="1:5" x14ac:dyDescent="0.3">
      <c r="A1479" s="4">
        <v>46052</v>
      </c>
      <c r="B1479" s="5"/>
      <c r="D1479" s="4">
        <v>46052</v>
      </c>
      <c r="E1479" s="5">
        <v>1.3280000000000001</v>
      </c>
    </row>
    <row r="1480" spans="1:5" x14ac:dyDescent="0.3">
      <c r="A1480" s="4">
        <v>46055</v>
      </c>
      <c r="B1480" s="5"/>
      <c r="D1480" s="4">
        <v>46055</v>
      </c>
      <c r="E1480" s="5">
        <v>1.365</v>
      </c>
    </row>
    <row r="1481" spans="1:5" x14ac:dyDescent="0.3">
      <c r="A1481" s="4">
        <v>46056</v>
      </c>
      <c r="B1481" s="5"/>
      <c r="D1481" s="4">
        <v>46056</v>
      </c>
      <c r="E1481" s="5">
        <v>1.3169999999999999</v>
      </c>
    </row>
    <row r="1482" spans="1:5" x14ac:dyDescent="0.3">
      <c r="A1482" s="4">
        <v>46057</v>
      </c>
      <c r="B1482" s="5"/>
      <c r="D1482" s="4">
        <v>46057</v>
      </c>
      <c r="E1482" s="5">
        <v>1.3180000000000001</v>
      </c>
    </row>
    <row r="1483" spans="1:5" x14ac:dyDescent="0.3">
      <c r="A1483" s="4">
        <v>46058</v>
      </c>
      <c r="B1483" s="5"/>
      <c r="D1483" s="4">
        <v>46058</v>
      </c>
      <c r="E1483" s="5">
        <v>1.319</v>
      </c>
    </row>
    <row r="1484" spans="1:5" x14ac:dyDescent="0.3">
      <c r="A1484" s="4">
        <v>46059</v>
      </c>
      <c r="B1484" s="5"/>
      <c r="D1484" s="4">
        <v>46059</v>
      </c>
      <c r="E1484" s="5">
        <v>1.2769999999999999</v>
      </c>
    </row>
    <row r="1485" spans="1:5" x14ac:dyDescent="0.3">
      <c r="A1485" s="4">
        <v>46062</v>
      </c>
      <c r="B1485" s="5"/>
      <c r="D1485" s="4">
        <v>46062</v>
      </c>
      <c r="E1485" s="5">
        <v>1.27</v>
      </c>
    </row>
    <row r="1486" spans="1:5" x14ac:dyDescent="0.3">
      <c r="A1486" s="4">
        <v>46063</v>
      </c>
      <c r="B1486" s="5"/>
      <c r="D1486" s="4">
        <v>46063</v>
      </c>
      <c r="E1486" s="5">
        <v>1.3620000000000001</v>
      </c>
    </row>
    <row r="1487" spans="1:5" x14ac:dyDescent="0.3">
      <c r="A1487" s="4">
        <v>46064</v>
      </c>
      <c r="B1487" s="5"/>
      <c r="D1487" s="4">
        <v>46064</v>
      </c>
      <c r="E1487" s="5">
        <v>1.3660000000000001</v>
      </c>
    </row>
    <row r="1488" spans="1:5" x14ac:dyDescent="0.3">
      <c r="A1488" s="4">
        <v>46065</v>
      </c>
      <c r="B1488" s="5"/>
      <c r="D1488" s="4">
        <v>46065</v>
      </c>
      <c r="E1488" s="5">
        <v>1.3680000000000001</v>
      </c>
    </row>
    <row r="1489" spans="1:5" x14ac:dyDescent="0.3">
      <c r="A1489" s="4">
        <v>46066</v>
      </c>
      <c r="B1489" s="5"/>
      <c r="D1489" s="4">
        <v>46066</v>
      </c>
      <c r="E1489" s="5">
        <v>1.2709999999999999</v>
      </c>
    </row>
    <row r="1490" spans="1:5" x14ac:dyDescent="0.3">
      <c r="A1490" s="4">
        <v>46077</v>
      </c>
      <c r="B1490" s="5"/>
      <c r="D1490" s="4">
        <v>46077</v>
      </c>
      <c r="E1490" s="5">
        <v>1.3620000000000001</v>
      </c>
    </row>
    <row r="1491" spans="1:5" x14ac:dyDescent="0.3">
      <c r="A1491" s="4">
        <v>46078</v>
      </c>
      <c r="B1491" s="5"/>
      <c r="D1491" s="4">
        <v>46078</v>
      </c>
      <c r="E1491" s="5">
        <v>1.3779999999999999</v>
      </c>
    </row>
    <row r="1492" spans="1:5" x14ac:dyDescent="0.3">
      <c r="A1492" s="4">
        <v>46079</v>
      </c>
      <c r="B1492" s="5"/>
      <c r="D1492" s="4">
        <v>46079</v>
      </c>
      <c r="E1492" s="5">
        <v>1.3680000000000001</v>
      </c>
    </row>
    <row r="1493" spans="1:5" x14ac:dyDescent="0.3">
      <c r="A1493" s="4">
        <v>46080</v>
      </c>
      <c r="B1493" s="5"/>
      <c r="D1493" s="4">
        <v>46080</v>
      </c>
      <c r="E1493" s="5">
        <v>1.3580000000000001</v>
      </c>
    </row>
    <row r="1494" spans="1:5" x14ac:dyDescent="0.3">
      <c r="A1494" s="4">
        <v>46083</v>
      </c>
      <c r="B1494" s="5"/>
      <c r="D1494" s="4">
        <v>46083</v>
      </c>
      <c r="E1494" s="5">
        <v>1.3149999999999999</v>
      </c>
    </row>
    <row r="1495" spans="1:5" x14ac:dyDescent="0.3">
      <c r="A1495" s="4">
        <v>46084</v>
      </c>
      <c r="B1495" s="5"/>
      <c r="D1495" s="4">
        <v>46084</v>
      </c>
      <c r="E1495" s="5">
        <v>1.2669999999999999</v>
      </c>
    </row>
    <row r="1496" spans="1:5" x14ac:dyDescent="0.3">
      <c r="A1496" s="4">
        <v>46085</v>
      </c>
      <c r="B1496" s="5"/>
      <c r="D1496" s="4">
        <v>46085</v>
      </c>
      <c r="E1496" s="5">
        <v>1.266</v>
      </c>
    </row>
    <row r="1497" spans="1:5" x14ac:dyDescent="0.3">
      <c r="A1497" s="4">
        <v>46086</v>
      </c>
      <c r="B1497" s="5"/>
      <c r="D1497" s="4">
        <v>46086</v>
      </c>
      <c r="E1497" s="5">
        <v>1.2669999999999999</v>
      </c>
    </row>
    <row r="1498" spans="1:5" x14ac:dyDescent="0.3">
      <c r="A1498" s="4">
        <v>46087</v>
      </c>
      <c r="B1498" s="5"/>
      <c r="D1498" s="4">
        <v>46087</v>
      </c>
      <c r="E1498" s="5">
        <v>1.319</v>
      </c>
    </row>
    <row r="1499" spans="1:5" x14ac:dyDescent="0.3">
      <c r="A1499" s="4">
        <v>46090</v>
      </c>
      <c r="B1499" s="5"/>
      <c r="D1499" s="4">
        <v>46090</v>
      </c>
      <c r="E1499" s="5">
        <v>1.3220000000000001</v>
      </c>
    </row>
    <row r="1500" spans="1:5" x14ac:dyDescent="0.3">
      <c r="A1500" s="4">
        <v>46091</v>
      </c>
      <c r="B1500" s="5"/>
      <c r="D1500" s="4">
        <v>46091</v>
      </c>
      <c r="E1500" s="5">
        <v>1.3180000000000001</v>
      </c>
    </row>
    <row r="1501" spans="1:5" x14ac:dyDescent="0.3">
      <c r="A1501" s="4">
        <v>46092</v>
      </c>
      <c r="B1501" s="5"/>
      <c r="D1501" s="4">
        <v>46092</v>
      </c>
      <c r="E1501" s="5">
        <v>1.367</v>
      </c>
    </row>
    <row r="1502" spans="1:5" x14ac:dyDescent="0.3">
      <c r="A1502" s="4">
        <v>46093</v>
      </c>
      <c r="B1502" s="5"/>
      <c r="D1502" s="4">
        <v>46093</v>
      </c>
      <c r="E1502" s="5">
        <v>1.337</v>
      </c>
    </row>
    <row r="1503" spans="1:5" x14ac:dyDescent="0.3">
      <c r="A1503" s="4">
        <v>46094</v>
      </c>
      <c r="B1503" s="5"/>
      <c r="D1503" s="4">
        <v>46094</v>
      </c>
      <c r="E1503" s="5">
        <v>1.321</v>
      </c>
    </row>
    <row r="1504" spans="1:5" x14ac:dyDescent="0.3">
      <c r="A1504" s="4">
        <v>46097</v>
      </c>
      <c r="B1504" s="5"/>
      <c r="D1504" s="4">
        <v>46097</v>
      </c>
      <c r="E1504" s="5">
        <v>1.32</v>
      </c>
    </row>
    <row r="1505" spans="1:5" x14ac:dyDescent="0.3">
      <c r="A1505" s="4">
        <v>46098</v>
      </c>
      <c r="B1505" s="5"/>
      <c r="D1505" s="4">
        <v>46098</v>
      </c>
      <c r="E1505" s="5">
        <v>1.319</v>
      </c>
    </row>
    <row r="1506" spans="1:5" x14ac:dyDescent="0.3">
      <c r="A1506" s="4">
        <v>46099</v>
      </c>
      <c r="B1506" s="5"/>
      <c r="D1506" s="4">
        <v>46099</v>
      </c>
      <c r="E1506" s="5">
        <v>1.32</v>
      </c>
    </row>
    <row r="1507" spans="1:5" x14ac:dyDescent="0.3">
      <c r="A1507" s="4">
        <v>46100</v>
      </c>
      <c r="B1507" s="5"/>
      <c r="D1507" s="4">
        <v>46100</v>
      </c>
      <c r="E1507" s="5">
        <v>1.321</v>
      </c>
    </row>
    <row r="1508" spans="1:5" x14ac:dyDescent="0.3">
      <c r="A1508" s="4">
        <v>46101</v>
      </c>
      <c r="B1508" s="5"/>
      <c r="D1508" s="4">
        <v>46101</v>
      </c>
      <c r="E1508" s="5">
        <v>1.319</v>
      </c>
    </row>
    <row r="1509" spans="1:5" x14ac:dyDescent="0.3">
      <c r="A1509" s="4">
        <v>46104</v>
      </c>
      <c r="B1509" s="5"/>
      <c r="D1509" s="4">
        <v>46104</v>
      </c>
      <c r="E1509" s="5">
        <v>1.3169999999999999</v>
      </c>
    </row>
    <row r="1510" spans="1:5" x14ac:dyDescent="0.3">
      <c r="A1510" s="4">
        <v>46105</v>
      </c>
      <c r="B1510" s="5"/>
      <c r="D1510" s="4">
        <v>46105</v>
      </c>
      <c r="E1510" s="5">
        <v>1.3180000000000001</v>
      </c>
    </row>
    <row r="1511" spans="1:5" x14ac:dyDescent="0.3">
      <c r="A1511" s="4">
        <v>46106</v>
      </c>
      <c r="B1511" s="5"/>
      <c r="D1511" s="4">
        <v>46106</v>
      </c>
      <c r="E1511" s="5">
        <v>1.319</v>
      </c>
    </row>
    <row r="1512" spans="1:5" x14ac:dyDescent="0.3">
      <c r="A1512" s="4">
        <v>46107</v>
      </c>
      <c r="B1512" s="5"/>
      <c r="D1512" s="4">
        <v>46107</v>
      </c>
      <c r="E1512" s="5">
        <v>1.32</v>
      </c>
    </row>
    <row r="1513" spans="1:5" x14ac:dyDescent="0.3">
      <c r="A1513" s="4">
        <v>46108</v>
      </c>
      <c r="B1513" s="5"/>
      <c r="D1513" s="4">
        <v>46108</v>
      </c>
      <c r="E1513" s="5">
        <v>1.3169999999999999</v>
      </c>
    </row>
    <row r="1514" spans="1:5" x14ac:dyDescent="0.3">
      <c r="A1514" s="4">
        <v>46111</v>
      </c>
      <c r="B1514" s="5"/>
      <c r="D1514" s="4">
        <v>46111</v>
      </c>
      <c r="E1514" s="5">
        <v>1.3180000000000001</v>
      </c>
    </row>
    <row r="1515" spans="1:5" x14ac:dyDescent="0.3">
      <c r="A1515" s="4">
        <v>46112</v>
      </c>
      <c r="B1515" s="5"/>
      <c r="D1515" s="4">
        <v>46112</v>
      </c>
      <c r="E1515" s="5">
        <v>1.2769999999999999</v>
      </c>
    </row>
    <row r="1516" spans="1:5" x14ac:dyDescent="0.3">
      <c r="A1516" s="4">
        <v>46113</v>
      </c>
      <c r="B1516" s="5"/>
      <c r="D1516" s="4">
        <v>46113</v>
      </c>
      <c r="E1516" s="5">
        <v>1.27</v>
      </c>
    </row>
    <row r="1517" spans="1:5" x14ac:dyDescent="0.3">
      <c r="A1517" s="4">
        <v>46114</v>
      </c>
      <c r="B1517" s="5"/>
      <c r="D1517" s="4">
        <v>46114</v>
      </c>
      <c r="E1517" s="5">
        <v>1.2709999999999999</v>
      </c>
    </row>
    <row r="1518" spans="1:5" x14ac:dyDescent="0.3">
      <c r="A1518" s="4">
        <v>46115</v>
      </c>
      <c r="B1518" s="5"/>
      <c r="D1518" s="4">
        <v>46115</v>
      </c>
      <c r="E1518" s="5">
        <v>1.238</v>
      </c>
    </row>
    <row r="1519" spans="1:5" x14ac:dyDescent="0.3">
      <c r="A1519" s="4">
        <v>46119</v>
      </c>
      <c r="B1519" s="5"/>
      <c r="D1519" s="4">
        <v>46119</v>
      </c>
      <c r="E1519" s="5">
        <v>1.226</v>
      </c>
    </row>
    <row r="1520" spans="1:5" x14ac:dyDescent="0.3">
      <c r="A1520" s="4">
        <v>46120</v>
      </c>
      <c r="B1520" s="5"/>
      <c r="D1520" s="4">
        <v>46120</v>
      </c>
      <c r="E1520" s="5">
        <v>1.222</v>
      </c>
    </row>
    <row r="1521" spans="1:5" x14ac:dyDescent="0.3">
      <c r="A1521" s="4">
        <v>46121</v>
      </c>
      <c r="B1521" s="5"/>
      <c r="D1521" s="4">
        <v>46121</v>
      </c>
      <c r="E1521" s="5">
        <v>1.2230000000000001</v>
      </c>
    </row>
    <row r="1522" spans="1:5" x14ac:dyDescent="0.3">
      <c r="A1522" s="4">
        <v>46122</v>
      </c>
      <c r="B1522" s="5"/>
      <c r="D1522" s="4">
        <v>46122</v>
      </c>
      <c r="E1522" s="5">
        <v>1.222</v>
      </c>
    </row>
    <row r="1523" spans="1:5" x14ac:dyDescent="0.3">
      <c r="A1523" s="4">
        <v>46125</v>
      </c>
      <c r="B1523" s="5"/>
      <c r="D1523" s="4">
        <v>46125</v>
      </c>
      <c r="E1523" s="5">
        <v>1.224</v>
      </c>
    </row>
    <row r="1524" spans="1:5" x14ac:dyDescent="0.3">
      <c r="A1524" s="4">
        <v>46126</v>
      </c>
      <c r="B1524" s="5"/>
      <c r="D1524" s="4">
        <v>46126</v>
      </c>
      <c r="E1524" s="5">
        <v>1.2230000000000001</v>
      </c>
    </row>
    <row r="1525" spans="1:5" x14ac:dyDescent="0.3">
      <c r="A1525" s="4">
        <v>46127</v>
      </c>
      <c r="B1525" s="5"/>
      <c r="D1525" s="4">
        <v>46127</v>
      </c>
      <c r="E1525" s="5">
        <v>1.2210000000000001</v>
      </c>
    </row>
    <row r="1526" spans="1:5" x14ac:dyDescent="0.3">
      <c r="A1526" s="4">
        <v>46128</v>
      </c>
      <c r="B1526" s="5"/>
      <c r="D1526" s="4">
        <v>46128</v>
      </c>
      <c r="E1526" s="5">
        <v>1.2210000000000001</v>
      </c>
    </row>
    <row r="1527" spans="1:5" x14ac:dyDescent="0.3">
      <c r="A1527" s="4">
        <v>46129</v>
      </c>
      <c r="B1527" s="5"/>
      <c r="D1527" s="4">
        <v>46129</v>
      </c>
      <c r="E1527" s="5">
        <v>1.2210000000000001</v>
      </c>
    </row>
    <row r="1528" spans="1:5" x14ac:dyDescent="0.3">
      <c r="A1528" s="4">
        <v>46132</v>
      </c>
      <c r="B1528" s="5"/>
      <c r="D1528" s="4">
        <v>46132</v>
      </c>
      <c r="E1528" s="5">
        <v>1.2210000000000001</v>
      </c>
    </row>
    <row r="1529" spans="1:5" x14ac:dyDescent="0.3">
      <c r="A1529" s="4">
        <v>46133</v>
      </c>
      <c r="B1529" s="5"/>
      <c r="D1529" s="4">
        <v>46133</v>
      </c>
      <c r="E1529" s="5">
        <v>1.22</v>
      </c>
    </row>
    <row r="1530" spans="1:5" x14ac:dyDescent="0.3">
      <c r="A1530" s="4">
        <v>46134</v>
      </c>
      <c r="B1530" s="5"/>
      <c r="D1530" s="4">
        <v>46134</v>
      </c>
      <c r="E1530" s="5">
        <v>1.2190000000000001</v>
      </c>
    </row>
    <row r="1531" spans="1:5" x14ac:dyDescent="0.3">
      <c r="A1531" s="4">
        <v>46135</v>
      </c>
      <c r="B1531" s="5"/>
      <c r="D1531" s="4">
        <v>46135</v>
      </c>
      <c r="E1531" s="5">
        <v>1.2190000000000001</v>
      </c>
    </row>
    <row r="1532" spans="1:5" x14ac:dyDescent="0.3">
      <c r="A1532" s="4">
        <v>46136</v>
      </c>
      <c r="B1532" s="5"/>
      <c r="D1532" s="4">
        <v>46136</v>
      </c>
      <c r="E1532" s="5">
        <v>1.2190000000000001</v>
      </c>
    </row>
    <row r="1533" spans="1:5" x14ac:dyDescent="0.3">
      <c r="A1533" s="4">
        <v>46139</v>
      </c>
      <c r="B1533" s="5"/>
      <c r="D1533" s="4">
        <v>46139</v>
      </c>
      <c r="E1533" s="5">
        <v>1.24</v>
      </c>
    </row>
    <row r="1534" spans="1:5" x14ac:dyDescent="0.3">
      <c r="A1534" s="4">
        <v>46140</v>
      </c>
      <c r="B1534" s="5"/>
      <c r="D1534" s="4">
        <v>46140</v>
      </c>
      <c r="E1534" s="5">
        <v>1.242</v>
      </c>
    </row>
    <row r="1535" spans="1:5" x14ac:dyDescent="0.3">
      <c r="A1535" s="4">
        <v>46141</v>
      </c>
      <c r="B1535" s="5"/>
      <c r="D1535" s="4">
        <v>46141</v>
      </c>
      <c r="E1535" s="5">
        <v>1.2430000000000001</v>
      </c>
    </row>
    <row r="1536" spans="1:5" x14ac:dyDescent="0.3">
      <c r="A1536" s="4">
        <v>46142</v>
      </c>
      <c r="B1536" s="5"/>
      <c r="D1536" s="4">
        <v>46142</v>
      </c>
      <c r="E1536" s="5">
        <v>1.327</v>
      </c>
    </row>
    <row r="1537" spans="1:5" x14ac:dyDescent="0.3">
      <c r="A1537" s="4">
        <v>46148</v>
      </c>
      <c r="B1537" s="5"/>
      <c r="D1537" s="4">
        <v>46148</v>
      </c>
      <c r="E1537" s="5">
        <v>1.2709999999999999</v>
      </c>
    </row>
    <row r="1538" spans="1:5" x14ac:dyDescent="0.3">
      <c r="A1538" s="4">
        <v>46149</v>
      </c>
      <c r="B1538" s="5"/>
      <c r="D1538" s="4">
        <v>46149</v>
      </c>
      <c r="E1538" s="5">
        <v>1.2749999999999999</v>
      </c>
    </row>
    <row r="1539" spans="1:5" x14ac:dyDescent="0.3">
      <c r="A1539" s="4">
        <v>46150</v>
      </c>
      <c r="B1539" s="5"/>
      <c r="D1539" s="4">
        <v>46150</v>
      </c>
      <c r="E1539" s="5">
        <v>1.2549999999999999</v>
      </c>
    </row>
    <row r="1540" spans="1:5" x14ac:dyDescent="0.3">
      <c r="A1540" s="4">
        <v>46153</v>
      </c>
      <c r="B1540" s="5"/>
      <c r="D1540" s="4">
        <v>46153</v>
      </c>
      <c r="E1540" s="5">
        <v>1.2210000000000001</v>
      </c>
    </row>
    <row r="1541" spans="1:5" x14ac:dyDescent="0.3">
      <c r="A1541" s="4">
        <v>46154</v>
      </c>
      <c r="B1541" s="5"/>
      <c r="D1541" s="4">
        <v>46154</v>
      </c>
      <c r="E1541" s="5">
        <v>1.2549999999999999</v>
      </c>
    </row>
    <row r="1542" spans="1:5" x14ac:dyDescent="0.3">
      <c r="A1542" s="4">
        <v>46155</v>
      </c>
      <c r="B1542" s="5"/>
      <c r="D1542" s="4">
        <v>46155</v>
      </c>
      <c r="E1542" s="5"/>
    </row>
  </sheetData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1542"/>
  <sheetViews>
    <sheetView workbookViewId="0">
      <pane xSplit="1" ySplit="4" topLeftCell="B1529" activePane="bottomRight" state="frozen"/>
      <selection pane="topRight" activeCell="B1" sqref="B1"/>
      <selection pane="bottomLeft" activeCell="A5" sqref="A5"/>
      <selection pane="bottomRight" activeCell="E1537" sqref="E1537"/>
    </sheetView>
  </sheetViews>
  <sheetFormatPr defaultColWidth="9" defaultRowHeight="13.5" x14ac:dyDescent="0.3"/>
  <cols>
    <col min="1" max="1" width="11.6640625" customWidth="1"/>
    <col min="2" max="2" width="9.46484375" customWidth="1"/>
    <col min="4" max="4" width="11.6640625" customWidth="1"/>
    <col min="5" max="5" width="16.06640625" customWidth="1"/>
  </cols>
  <sheetData>
    <row r="1" spans="1:5" ht="13.9" x14ac:dyDescent="0.35">
      <c r="B1" s="54" t="str">
        <f>[1]!WSS(B2,"sec_name","ShowCodes=N","cols=1;rows=1")</f>
        <v>Fetching...</v>
      </c>
      <c r="E1" s="56" t="str">
        <f>[1]!WSS(E2,"sec_name","ShowCodes=N","cols=1;rows=1")</f>
        <v>美元中间价</v>
      </c>
    </row>
    <row r="2" spans="1:5" ht="13.9" x14ac:dyDescent="0.35">
      <c r="B2" s="1" t="s">
        <v>21</v>
      </c>
      <c r="E2" s="1" t="s">
        <v>22</v>
      </c>
    </row>
    <row r="3" spans="1:5" ht="13.9" x14ac:dyDescent="0.35">
      <c r="A3" s="1" t="s">
        <v>12</v>
      </c>
      <c r="B3" s="1" t="s">
        <v>10</v>
      </c>
      <c r="D3" s="1" t="s">
        <v>12</v>
      </c>
      <c r="E3" s="53" t="s">
        <v>132</v>
      </c>
    </row>
    <row r="4" spans="1:5" ht="13.9" x14ac:dyDescent="0.35">
      <c r="A4" s="1" t="s">
        <v>13</v>
      </c>
      <c r="B4" s="1" t="s">
        <v>11</v>
      </c>
      <c r="D4" s="1" t="s">
        <v>13</v>
      </c>
      <c r="E4" s="1" t="s">
        <v>11</v>
      </c>
    </row>
    <row r="5" spans="1:5" ht="13.9" x14ac:dyDescent="0.35">
      <c r="A5" s="2">
        <v>43832</v>
      </c>
      <c r="B5" s="3">
        <f>[1]!WSD(B2,B4:B4,"2020-01-01","","TradingCalendar=SSE","rptType=1","ShowParams=Y","cols=1;rows=1538")</f>
        <v>96.807699999999997</v>
      </c>
      <c r="D5" s="2">
        <v>43832</v>
      </c>
      <c r="E5" s="3">
        <f>[1]!WSD(E2,E4:E4,"2020-01-01","","TradingCalendar=SSE","rptType=1","ShowParams=Y","cols=1;rows=1538")</f>
        <v>6.9614000000000003</v>
      </c>
    </row>
    <row r="6" spans="1:5" ht="13.9" x14ac:dyDescent="0.35">
      <c r="A6" s="2">
        <v>43833</v>
      </c>
      <c r="B6" s="3">
        <v>96.887100000000004</v>
      </c>
      <c r="D6" s="2">
        <v>43833</v>
      </c>
      <c r="E6" s="3">
        <v>6.9680999999999997</v>
      </c>
    </row>
    <row r="7" spans="1:5" ht="13.9" x14ac:dyDescent="0.35">
      <c r="A7" s="2">
        <v>43836</v>
      </c>
      <c r="B7" s="3">
        <v>96.630200000000002</v>
      </c>
      <c r="D7" s="2">
        <v>43836</v>
      </c>
      <c r="E7" s="3">
        <v>6.9718</v>
      </c>
    </row>
    <row r="8" spans="1:5" ht="13.9" x14ac:dyDescent="0.35">
      <c r="A8" s="2">
        <v>43837</v>
      </c>
      <c r="B8" s="3">
        <v>96.960099999999997</v>
      </c>
      <c r="D8" s="2">
        <v>43837</v>
      </c>
      <c r="E8" s="3">
        <v>6.9690000000000003</v>
      </c>
    </row>
    <row r="9" spans="1:5" ht="13.9" x14ac:dyDescent="0.35">
      <c r="A9" s="2">
        <v>43838</v>
      </c>
      <c r="B9" s="3">
        <v>97.340100000000007</v>
      </c>
      <c r="D9" s="2">
        <v>43838</v>
      </c>
      <c r="E9" s="3">
        <v>6.9450000000000003</v>
      </c>
    </row>
    <row r="10" spans="1:5" ht="13.9" x14ac:dyDescent="0.35">
      <c r="A10" s="2">
        <v>43839</v>
      </c>
      <c r="B10" s="3">
        <v>97.434899999999999</v>
      </c>
      <c r="D10" s="2">
        <v>43839</v>
      </c>
      <c r="E10" s="3">
        <v>6.9497</v>
      </c>
    </row>
    <row r="11" spans="1:5" ht="13.9" x14ac:dyDescent="0.35">
      <c r="A11" s="2">
        <v>43840</v>
      </c>
      <c r="B11" s="3">
        <v>97.375200000000007</v>
      </c>
      <c r="D11" s="2">
        <v>43840</v>
      </c>
      <c r="E11" s="3">
        <v>6.9351000000000003</v>
      </c>
    </row>
    <row r="12" spans="1:5" ht="13.9" x14ac:dyDescent="0.35">
      <c r="A12" s="2">
        <v>43843</v>
      </c>
      <c r="B12" s="3">
        <v>97.385599999999997</v>
      </c>
      <c r="D12" s="2">
        <v>43843</v>
      </c>
      <c r="E12" s="3">
        <v>6.9263000000000003</v>
      </c>
    </row>
    <row r="13" spans="1:5" ht="13.9" x14ac:dyDescent="0.35">
      <c r="A13" s="2">
        <v>43844</v>
      </c>
      <c r="B13" s="3">
        <v>97.395600000000002</v>
      </c>
      <c r="D13" s="2">
        <v>43844</v>
      </c>
      <c r="E13" s="3">
        <v>6.8954000000000004</v>
      </c>
    </row>
    <row r="14" spans="1:5" ht="13.9" x14ac:dyDescent="0.35">
      <c r="A14" s="2">
        <v>43845</v>
      </c>
      <c r="B14" s="3">
        <v>97.223600000000005</v>
      </c>
      <c r="D14" s="2">
        <v>43845</v>
      </c>
      <c r="E14" s="3">
        <v>6.8845000000000001</v>
      </c>
    </row>
    <row r="15" spans="1:5" ht="13.9" x14ac:dyDescent="0.35">
      <c r="A15" s="2">
        <v>43846</v>
      </c>
      <c r="B15" s="3">
        <v>97.310199999999995</v>
      </c>
      <c r="D15" s="2">
        <v>43846</v>
      </c>
      <c r="E15" s="3">
        <v>6.8807</v>
      </c>
    </row>
    <row r="16" spans="1:5" ht="13.9" x14ac:dyDescent="0.35">
      <c r="A16" s="2">
        <v>43847</v>
      </c>
      <c r="B16" s="3">
        <v>97.640299999999996</v>
      </c>
      <c r="D16" s="2">
        <v>43847</v>
      </c>
      <c r="E16" s="3">
        <v>6.8878000000000004</v>
      </c>
    </row>
    <row r="17" spans="1:5" ht="13.9" x14ac:dyDescent="0.35">
      <c r="A17" s="2">
        <v>43850</v>
      </c>
      <c r="B17" s="3">
        <v>97.601100000000002</v>
      </c>
      <c r="D17" s="2">
        <v>43850</v>
      </c>
      <c r="E17" s="3">
        <v>6.8663999999999996</v>
      </c>
    </row>
    <row r="18" spans="1:5" ht="13.9" x14ac:dyDescent="0.35">
      <c r="A18" s="2">
        <v>43851</v>
      </c>
      <c r="B18" s="3">
        <v>97.611400000000003</v>
      </c>
      <c r="D18" s="2">
        <v>43851</v>
      </c>
      <c r="E18" s="3">
        <v>6.8605999999999998</v>
      </c>
    </row>
    <row r="19" spans="1:5" ht="13.9" x14ac:dyDescent="0.35">
      <c r="A19" s="2">
        <v>43852</v>
      </c>
      <c r="B19" s="3">
        <v>97.504599999999996</v>
      </c>
      <c r="D19" s="2">
        <v>43852</v>
      </c>
      <c r="E19" s="3">
        <v>6.8853</v>
      </c>
    </row>
    <row r="20" spans="1:5" ht="13.9" x14ac:dyDescent="0.35">
      <c r="A20" s="2">
        <v>43853</v>
      </c>
      <c r="B20" s="3">
        <v>97.677800000000005</v>
      </c>
      <c r="D20" s="2">
        <v>43853</v>
      </c>
      <c r="E20" s="3">
        <v>6.8875999999999999</v>
      </c>
    </row>
    <row r="21" spans="1:5" ht="13.9" x14ac:dyDescent="0.35">
      <c r="A21" s="2">
        <v>43864</v>
      </c>
      <c r="B21" s="3">
        <v>97.820099999999996</v>
      </c>
      <c r="D21" s="2">
        <v>43864</v>
      </c>
      <c r="E21" s="3">
        <v>6.9249000000000001</v>
      </c>
    </row>
    <row r="22" spans="1:5" ht="13.9" x14ac:dyDescent="0.35">
      <c r="A22" s="2">
        <v>43865</v>
      </c>
      <c r="B22" s="3">
        <v>97.951800000000006</v>
      </c>
      <c r="D22" s="2">
        <v>43865</v>
      </c>
      <c r="E22" s="3">
        <v>6.9779</v>
      </c>
    </row>
    <row r="23" spans="1:5" ht="13.9" x14ac:dyDescent="0.35">
      <c r="A23" s="2">
        <v>43866</v>
      </c>
      <c r="B23" s="3">
        <v>98.26</v>
      </c>
      <c r="D23" s="2">
        <v>43866</v>
      </c>
      <c r="E23" s="3">
        <v>6.9823000000000004</v>
      </c>
    </row>
    <row r="24" spans="1:5" ht="13.9" x14ac:dyDescent="0.35">
      <c r="A24" s="2">
        <v>43867</v>
      </c>
      <c r="B24" s="3">
        <v>98.453400000000002</v>
      </c>
      <c r="D24" s="2">
        <v>43867</v>
      </c>
      <c r="E24" s="3">
        <v>6.9984999999999999</v>
      </c>
    </row>
    <row r="25" spans="1:5" ht="13.9" x14ac:dyDescent="0.35">
      <c r="A25" s="2">
        <v>43868</v>
      </c>
      <c r="B25" s="3">
        <v>98.708399999999997</v>
      </c>
      <c r="D25" s="2">
        <v>43868</v>
      </c>
      <c r="E25" s="3">
        <v>6.9767999999999999</v>
      </c>
    </row>
    <row r="26" spans="1:5" ht="13.9" x14ac:dyDescent="0.35">
      <c r="A26" s="2">
        <v>43871</v>
      </c>
      <c r="B26" s="3">
        <v>98.860699999999994</v>
      </c>
      <c r="D26" s="2">
        <v>43871</v>
      </c>
      <c r="E26" s="3">
        <v>6.9863</v>
      </c>
    </row>
    <row r="27" spans="1:5" ht="13.9" x14ac:dyDescent="0.35">
      <c r="A27" s="2">
        <v>43872</v>
      </c>
      <c r="B27" s="3">
        <v>98.772400000000005</v>
      </c>
      <c r="D27" s="2">
        <v>43872</v>
      </c>
      <c r="E27" s="3">
        <v>6.9897</v>
      </c>
    </row>
    <row r="28" spans="1:5" ht="13.9" x14ac:dyDescent="0.35">
      <c r="A28" s="2">
        <v>43873</v>
      </c>
      <c r="B28" s="3">
        <v>99.002300000000005</v>
      </c>
      <c r="D28" s="2">
        <v>43873</v>
      </c>
      <c r="E28" s="3">
        <v>6.9718</v>
      </c>
    </row>
    <row r="29" spans="1:5" ht="13.9" x14ac:dyDescent="0.35">
      <c r="A29" s="2">
        <v>43874</v>
      </c>
      <c r="B29" s="3">
        <v>99.105599999999995</v>
      </c>
      <c r="D29" s="2">
        <v>43874</v>
      </c>
      <c r="E29" s="3">
        <v>6.9785000000000004</v>
      </c>
    </row>
    <row r="30" spans="1:5" ht="13.9" x14ac:dyDescent="0.35">
      <c r="A30" s="2">
        <v>43875</v>
      </c>
      <c r="B30" s="3">
        <v>99.158799999999999</v>
      </c>
      <c r="D30" s="2">
        <v>43875</v>
      </c>
      <c r="E30" s="3">
        <v>6.9843000000000002</v>
      </c>
    </row>
    <row r="31" spans="1:5" ht="13.9" x14ac:dyDescent="0.35">
      <c r="A31" s="2">
        <v>43878</v>
      </c>
      <c r="B31" s="3">
        <v>99.157200000000003</v>
      </c>
      <c r="D31" s="2">
        <v>43878</v>
      </c>
      <c r="E31" s="3">
        <v>6.9794999999999998</v>
      </c>
    </row>
    <row r="32" spans="1:5" ht="13.9" x14ac:dyDescent="0.35">
      <c r="A32" s="2">
        <v>43879</v>
      </c>
      <c r="B32" s="3">
        <v>99.466499999999996</v>
      </c>
      <c r="D32" s="2">
        <v>43879</v>
      </c>
      <c r="E32" s="3">
        <v>6.9825999999999997</v>
      </c>
    </row>
    <row r="33" spans="1:5" ht="13.9" x14ac:dyDescent="0.35">
      <c r="A33" s="2">
        <v>43880</v>
      </c>
      <c r="B33" s="3">
        <v>99.626300000000001</v>
      </c>
      <c r="D33" s="2">
        <v>43880</v>
      </c>
      <c r="E33" s="3">
        <v>7.0011999999999999</v>
      </c>
    </row>
    <row r="34" spans="1:5" ht="13.9" x14ac:dyDescent="0.35">
      <c r="A34" s="2">
        <v>43881</v>
      </c>
      <c r="B34" s="3">
        <v>99.888900000000007</v>
      </c>
      <c r="D34" s="2">
        <v>43881</v>
      </c>
      <c r="E34" s="3">
        <v>7.0026000000000002</v>
      </c>
    </row>
    <row r="35" spans="1:5" ht="13.9" x14ac:dyDescent="0.35">
      <c r="A35" s="2">
        <v>43882</v>
      </c>
      <c r="B35" s="3">
        <v>99.348600000000005</v>
      </c>
      <c r="D35" s="2">
        <v>43882</v>
      </c>
      <c r="E35" s="3">
        <v>7.0209999999999999</v>
      </c>
    </row>
    <row r="36" spans="1:5" ht="13.9" x14ac:dyDescent="0.35">
      <c r="A36" s="2">
        <v>43885</v>
      </c>
      <c r="B36" s="3">
        <v>99.289699999999996</v>
      </c>
      <c r="D36" s="2">
        <v>43885</v>
      </c>
      <c r="E36" s="3">
        <v>7.0246000000000004</v>
      </c>
    </row>
    <row r="37" spans="1:5" ht="13.9" x14ac:dyDescent="0.35">
      <c r="A37" s="2">
        <v>43886</v>
      </c>
      <c r="B37" s="3">
        <v>98.975099999999998</v>
      </c>
      <c r="D37" s="2">
        <v>43886</v>
      </c>
      <c r="E37" s="3">
        <v>7.0232000000000001</v>
      </c>
    </row>
    <row r="38" spans="1:5" ht="13.9" x14ac:dyDescent="0.35">
      <c r="A38" s="2">
        <v>43887</v>
      </c>
      <c r="B38" s="3">
        <v>99.159400000000005</v>
      </c>
      <c r="D38" s="2">
        <v>43887</v>
      </c>
      <c r="E38" s="3">
        <v>7.0125999999999999</v>
      </c>
    </row>
    <row r="39" spans="1:5" ht="13.9" x14ac:dyDescent="0.35">
      <c r="A39" s="2">
        <v>43888</v>
      </c>
      <c r="B39" s="3">
        <v>98.411000000000001</v>
      </c>
      <c r="D39" s="2">
        <v>43888</v>
      </c>
      <c r="E39" s="3">
        <v>7.0214999999999996</v>
      </c>
    </row>
    <row r="40" spans="1:5" ht="13.9" x14ac:dyDescent="0.35">
      <c r="A40" s="2">
        <v>43889</v>
      </c>
      <c r="B40" s="3">
        <v>98.132999999999996</v>
      </c>
      <c r="D40" s="2">
        <v>43889</v>
      </c>
      <c r="E40" s="3">
        <v>7.0065999999999997</v>
      </c>
    </row>
    <row r="41" spans="1:5" ht="13.9" x14ac:dyDescent="0.35">
      <c r="A41" s="2">
        <v>43892</v>
      </c>
      <c r="B41" s="3">
        <v>97.570800000000006</v>
      </c>
      <c r="D41" s="2">
        <v>43892</v>
      </c>
      <c r="E41" s="3">
        <v>6.9810999999999996</v>
      </c>
    </row>
    <row r="42" spans="1:5" ht="13.9" x14ac:dyDescent="0.35">
      <c r="A42" s="2">
        <v>43893</v>
      </c>
      <c r="B42" s="3">
        <v>97.182100000000005</v>
      </c>
      <c r="D42" s="2">
        <v>43893</v>
      </c>
      <c r="E42" s="3">
        <v>6.9516</v>
      </c>
    </row>
    <row r="43" spans="1:5" ht="13.9" x14ac:dyDescent="0.35">
      <c r="A43" s="2">
        <v>43894</v>
      </c>
      <c r="B43" s="3">
        <v>97.367199999999997</v>
      </c>
      <c r="D43" s="2">
        <v>43894</v>
      </c>
      <c r="E43" s="3">
        <v>6.9513999999999996</v>
      </c>
    </row>
    <row r="44" spans="1:5" ht="13.9" x14ac:dyDescent="0.35">
      <c r="A44" s="2">
        <v>43895</v>
      </c>
      <c r="B44" s="3">
        <v>96.572999999999993</v>
      </c>
      <c r="D44" s="2">
        <v>43895</v>
      </c>
      <c r="E44" s="3">
        <v>6.9402999999999997</v>
      </c>
    </row>
    <row r="45" spans="1:5" ht="13.9" x14ac:dyDescent="0.35">
      <c r="A45" s="2">
        <v>43896</v>
      </c>
      <c r="B45" s="3">
        <v>96.112799999999993</v>
      </c>
      <c r="D45" s="2">
        <v>43896</v>
      </c>
      <c r="E45" s="3">
        <v>6.9337</v>
      </c>
    </row>
    <row r="46" spans="1:5" ht="13.9" x14ac:dyDescent="0.35">
      <c r="A46" s="2">
        <v>43899</v>
      </c>
      <c r="B46" s="3">
        <v>95.058599999999998</v>
      </c>
      <c r="D46" s="2">
        <v>43899</v>
      </c>
      <c r="E46" s="3">
        <v>6.9260000000000002</v>
      </c>
    </row>
    <row r="47" spans="1:5" ht="13.9" x14ac:dyDescent="0.35">
      <c r="A47" s="2">
        <v>43900</v>
      </c>
      <c r="B47" s="3">
        <v>96.5565</v>
      </c>
      <c r="D47" s="2">
        <v>43900</v>
      </c>
      <c r="E47" s="3">
        <v>6.9389000000000003</v>
      </c>
    </row>
    <row r="48" spans="1:5" ht="13.9" x14ac:dyDescent="0.35">
      <c r="A48" s="2">
        <v>43901</v>
      </c>
      <c r="B48" s="3">
        <v>96.575500000000005</v>
      </c>
      <c r="D48" s="2">
        <v>43901</v>
      </c>
      <c r="E48" s="3">
        <v>6.9611999999999998</v>
      </c>
    </row>
    <row r="49" spans="1:5" ht="13.9" x14ac:dyDescent="0.35">
      <c r="A49" s="2">
        <v>43902</v>
      </c>
      <c r="B49" s="3">
        <v>97.444999999999993</v>
      </c>
      <c r="D49" s="2">
        <v>43902</v>
      </c>
      <c r="E49" s="3">
        <v>6.9641000000000002</v>
      </c>
    </row>
    <row r="50" spans="1:5" ht="13.9" x14ac:dyDescent="0.35">
      <c r="A50" s="2">
        <v>43903</v>
      </c>
      <c r="B50" s="3">
        <v>98.488799999999998</v>
      </c>
      <c r="D50" s="2">
        <v>43903</v>
      </c>
      <c r="E50" s="3">
        <v>7.0033000000000003</v>
      </c>
    </row>
    <row r="51" spans="1:5" ht="13.9" x14ac:dyDescent="0.35">
      <c r="A51" s="2">
        <v>43906</v>
      </c>
      <c r="B51" s="3">
        <v>97.987399999999994</v>
      </c>
      <c r="D51" s="2">
        <v>43906</v>
      </c>
      <c r="E51" s="3">
        <v>7.0018000000000002</v>
      </c>
    </row>
    <row r="52" spans="1:5" ht="13.9" x14ac:dyDescent="0.35">
      <c r="A52" s="2">
        <v>43907</v>
      </c>
      <c r="B52" s="3">
        <v>99.593500000000006</v>
      </c>
      <c r="D52" s="2">
        <v>43907</v>
      </c>
      <c r="E52" s="3">
        <v>7.0094000000000003</v>
      </c>
    </row>
    <row r="53" spans="1:5" ht="13.9" x14ac:dyDescent="0.35">
      <c r="A53" s="2">
        <v>43908</v>
      </c>
      <c r="B53" s="3">
        <v>100.8817</v>
      </c>
      <c r="D53" s="2">
        <v>43908</v>
      </c>
      <c r="E53" s="3">
        <v>7.0327999999999999</v>
      </c>
    </row>
    <row r="54" spans="1:5" ht="13.9" x14ac:dyDescent="0.35">
      <c r="A54" s="2">
        <v>43909</v>
      </c>
      <c r="B54" s="3">
        <v>102.68810000000001</v>
      </c>
      <c r="D54" s="2">
        <v>43909</v>
      </c>
      <c r="E54" s="3">
        <v>7.0522</v>
      </c>
    </row>
    <row r="55" spans="1:5" ht="13.9" x14ac:dyDescent="0.35">
      <c r="A55" s="2">
        <v>43910</v>
      </c>
      <c r="B55" s="3">
        <v>102.3871</v>
      </c>
      <c r="D55" s="2">
        <v>43910</v>
      </c>
      <c r="E55" s="3">
        <v>7.1052</v>
      </c>
    </row>
    <row r="56" spans="1:5" ht="13.9" x14ac:dyDescent="0.35">
      <c r="A56" s="2">
        <v>43913</v>
      </c>
      <c r="B56" s="3">
        <v>102.4528</v>
      </c>
      <c r="D56" s="2">
        <v>43913</v>
      </c>
      <c r="E56" s="3">
        <v>7.0940000000000003</v>
      </c>
    </row>
    <row r="57" spans="1:5" ht="13.9" x14ac:dyDescent="0.35">
      <c r="A57" s="2">
        <v>43914</v>
      </c>
      <c r="B57" s="3">
        <v>101.78740000000001</v>
      </c>
      <c r="D57" s="2">
        <v>43914</v>
      </c>
      <c r="E57" s="3">
        <v>7.0998999999999999</v>
      </c>
    </row>
    <row r="58" spans="1:5" ht="13.9" x14ac:dyDescent="0.35">
      <c r="A58" s="2">
        <v>43915</v>
      </c>
      <c r="B58" s="3">
        <v>100.9413</v>
      </c>
      <c r="D58" s="2">
        <v>43915</v>
      </c>
      <c r="E58" s="3">
        <v>7.0742000000000003</v>
      </c>
    </row>
    <row r="59" spans="1:5" ht="13.9" x14ac:dyDescent="0.35">
      <c r="A59" s="2">
        <v>43916</v>
      </c>
      <c r="B59" s="3">
        <v>99.412999999999997</v>
      </c>
      <c r="D59" s="2">
        <v>43916</v>
      </c>
      <c r="E59" s="3">
        <v>7.0692000000000004</v>
      </c>
    </row>
    <row r="60" spans="1:5" ht="13.9" x14ac:dyDescent="0.35">
      <c r="A60" s="2">
        <v>43917</v>
      </c>
      <c r="B60" s="3">
        <v>98.318700000000007</v>
      </c>
      <c r="D60" s="2">
        <v>43917</v>
      </c>
      <c r="E60" s="3">
        <v>7.0427</v>
      </c>
    </row>
    <row r="61" spans="1:5" ht="13.9" x14ac:dyDescent="0.35">
      <c r="A61" s="2">
        <v>43920</v>
      </c>
      <c r="B61" s="3">
        <v>99.027500000000003</v>
      </c>
      <c r="D61" s="2">
        <v>43920</v>
      </c>
      <c r="E61" s="3">
        <v>7.0446999999999997</v>
      </c>
    </row>
    <row r="62" spans="1:5" ht="13.9" x14ac:dyDescent="0.35">
      <c r="A62" s="2">
        <v>43921</v>
      </c>
      <c r="B62" s="3">
        <v>98.9636</v>
      </c>
      <c r="D62" s="2">
        <v>43921</v>
      </c>
      <c r="E62" s="3">
        <v>7.0850999999999997</v>
      </c>
    </row>
    <row r="63" spans="1:5" ht="13.9" x14ac:dyDescent="0.35">
      <c r="A63" s="2">
        <v>43922</v>
      </c>
      <c r="B63" s="3">
        <v>98.950599999999994</v>
      </c>
      <c r="D63" s="2">
        <v>43922</v>
      </c>
      <c r="E63" s="3">
        <v>7.0770999999999997</v>
      </c>
    </row>
    <row r="64" spans="1:5" ht="13.9" x14ac:dyDescent="0.35">
      <c r="A64" s="2">
        <v>43923</v>
      </c>
      <c r="B64" s="3">
        <v>100.1006</v>
      </c>
      <c r="D64" s="2">
        <v>43923</v>
      </c>
      <c r="E64" s="3">
        <v>7.0994999999999999</v>
      </c>
    </row>
    <row r="65" spans="1:5" ht="13.9" x14ac:dyDescent="0.35">
      <c r="A65" s="2">
        <v>43924</v>
      </c>
      <c r="B65" s="3">
        <v>100.6305</v>
      </c>
      <c r="D65" s="2">
        <v>43924</v>
      </c>
      <c r="E65" s="3">
        <v>7.1104000000000003</v>
      </c>
    </row>
    <row r="66" spans="1:5" ht="13.9" x14ac:dyDescent="0.35">
      <c r="A66" s="2">
        <v>43928</v>
      </c>
      <c r="B66" s="3">
        <v>99.965699999999998</v>
      </c>
      <c r="D66" s="2">
        <v>43928</v>
      </c>
      <c r="E66" s="3">
        <v>7.0938999999999997</v>
      </c>
    </row>
    <row r="67" spans="1:5" ht="13.9" x14ac:dyDescent="0.35">
      <c r="A67" s="2">
        <v>43929</v>
      </c>
      <c r="B67" s="3">
        <v>99.965699999999998</v>
      </c>
      <c r="D67" s="2">
        <v>43929</v>
      </c>
      <c r="E67" s="3">
        <v>7.0483000000000002</v>
      </c>
    </row>
    <row r="68" spans="1:5" ht="13.9" x14ac:dyDescent="0.35">
      <c r="A68" s="2">
        <v>43930</v>
      </c>
      <c r="B68" s="3">
        <v>99.541600000000003</v>
      </c>
      <c r="D68" s="2">
        <v>43930</v>
      </c>
      <c r="E68" s="3">
        <v>7.0536000000000003</v>
      </c>
    </row>
    <row r="69" spans="1:5" ht="13.9" x14ac:dyDescent="0.35">
      <c r="A69" s="2">
        <v>43931</v>
      </c>
      <c r="B69" s="3">
        <v>99.517899999999997</v>
      </c>
      <c r="D69" s="2">
        <v>43931</v>
      </c>
      <c r="E69" s="3">
        <v>7.0354000000000001</v>
      </c>
    </row>
    <row r="70" spans="1:5" ht="13.9" x14ac:dyDescent="0.35">
      <c r="A70" s="2">
        <v>43934</v>
      </c>
      <c r="B70" s="3">
        <v>99.484200000000001</v>
      </c>
      <c r="D70" s="2">
        <v>43934</v>
      </c>
      <c r="E70" s="3">
        <v>7.03</v>
      </c>
    </row>
    <row r="71" spans="1:5" ht="13.9" x14ac:dyDescent="0.35">
      <c r="A71" s="2">
        <v>43935</v>
      </c>
      <c r="B71" s="3">
        <v>98.883200000000002</v>
      </c>
      <c r="D71" s="2">
        <v>43935</v>
      </c>
      <c r="E71" s="3">
        <v>7.0406000000000004</v>
      </c>
    </row>
    <row r="72" spans="1:5" ht="13.9" x14ac:dyDescent="0.35">
      <c r="A72" s="2">
        <v>43936</v>
      </c>
      <c r="B72" s="3">
        <v>99.595600000000005</v>
      </c>
      <c r="D72" s="2">
        <v>43936</v>
      </c>
      <c r="E72" s="3">
        <v>7.0401999999999996</v>
      </c>
    </row>
    <row r="73" spans="1:5" ht="13.9" x14ac:dyDescent="0.35">
      <c r="A73" s="2">
        <v>43937</v>
      </c>
      <c r="B73" s="3">
        <v>100.072</v>
      </c>
      <c r="D73" s="2">
        <v>43937</v>
      </c>
      <c r="E73" s="3">
        <v>7.0713999999999997</v>
      </c>
    </row>
    <row r="74" spans="1:5" ht="13.9" x14ac:dyDescent="0.35">
      <c r="A74" s="2">
        <v>43938</v>
      </c>
      <c r="B74" s="3">
        <v>99.717699999999994</v>
      </c>
      <c r="D74" s="2">
        <v>43938</v>
      </c>
      <c r="E74" s="3">
        <v>7.0717999999999996</v>
      </c>
    </row>
    <row r="75" spans="1:5" ht="13.9" x14ac:dyDescent="0.35">
      <c r="A75" s="2">
        <v>43941</v>
      </c>
      <c r="B75" s="3">
        <v>99.967600000000004</v>
      </c>
      <c r="D75" s="2">
        <v>43941</v>
      </c>
      <c r="E75" s="3">
        <v>7.0656999999999996</v>
      </c>
    </row>
    <row r="76" spans="1:5" ht="13.9" x14ac:dyDescent="0.35">
      <c r="A76" s="2">
        <v>43942</v>
      </c>
      <c r="B76" s="3">
        <v>100.2257</v>
      </c>
      <c r="D76" s="2">
        <v>43942</v>
      </c>
      <c r="E76" s="3">
        <v>7.0751999999999997</v>
      </c>
    </row>
    <row r="77" spans="1:5" ht="13.9" x14ac:dyDescent="0.35">
      <c r="A77" s="2">
        <v>43943</v>
      </c>
      <c r="B77" s="3">
        <v>100.3417</v>
      </c>
      <c r="D77" s="2">
        <v>43943</v>
      </c>
      <c r="E77" s="3">
        <v>7.0903</v>
      </c>
    </row>
    <row r="78" spans="1:5" ht="13.9" x14ac:dyDescent="0.35">
      <c r="A78" s="2">
        <v>43944</v>
      </c>
      <c r="B78" s="3">
        <v>100.5039</v>
      </c>
      <c r="D78" s="2">
        <v>43944</v>
      </c>
      <c r="E78" s="3">
        <v>7.0887000000000002</v>
      </c>
    </row>
    <row r="79" spans="1:5" ht="13.9" x14ac:dyDescent="0.35">
      <c r="A79" s="2">
        <v>43945</v>
      </c>
      <c r="B79" s="3">
        <v>100.2433</v>
      </c>
      <c r="D79" s="2">
        <v>43945</v>
      </c>
      <c r="E79" s="3">
        <v>7.0803000000000003</v>
      </c>
    </row>
    <row r="80" spans="1:5" ht="13.9" x14ac:dyDescent="0.35">
      <c r="A80" s="2">
        <v>43948</v>
      </c>
      <c r="B80" s="3">
        <v>100.04649999999999</v>
      </c>
      <c r="D80" s="2">
        <v>43948</v>
      </c>
      <c r="E80" s="3">
        <v>7.0702999999999996</v>
      </c>
    </row>
    <row r="81" spans="1:5" ht="13.9" x14ac:dyDescent="0.35">
      <c r="A81" s="2">
        <v>43949</v>
      </c>
      <c r="B81" s="3">
        <v>99.976900000000001</v>
      </c>
      <c r="D81" s="2">
        <v>43949</v>
      </c>
      <c r="E81" s="3">
        <v>7.0709999999999997</v>
      </c>
    </row>
    <row r="82" spans="1:5" ht="13.9" x14ac:dyDescent="0.35">
      <c r="A82" s="2">
        <v>43950</v>
      </c>
      <c r="B82" s="3">
        <v>99.518299999999996</v>
      </c>
      <c r="D82" s="2">
        <v>43950</v>
      </c>
      <c r="E82" s="3">
        <v>7.0704000000000002</v>
      </c>
    </row>
    <row r="83" spans="1:5" ht="13.9" x14ac:dyDescent="0.35">
      <c r="A83" s="2">
        <v>43951</v>
      </c>
      <c r="B83" s="3">
        <v>99.0167</v>
      </c>
      <c r="D83" s="2">
        <v>43951</v>
      </c>
      <c r="E83" s="3">
        <v>7.0571000000000002</v>
      </c>
    </row>
    <row r="84" spans="1:5" ht="13.9" x14ac:dyDescent="0.35">
      <c r="A84" s="2">
        <v>43957</v>
      </c>
      <c r="B84" s="3">
        <v>100.1789</v>
      </c>
      <c r="D84" s="2">
        <v>43957</v>
      </c>
      <c r="E84" s="3">
        <v>7.069</v>
      </c>
    </row>
    <row r="85" spans="1:5" ht="13.9" x14ac:dyDescent="0.35">
      <c r="A85" s="2">
        <v>43958</v>
      </c>
      <c r="B85" s="3">
        <v>99.832700000000003</v>
      </c>
      <c r="D85" s="2">
        <v>43958</v>
      </c>
      <c r="E85" s="3">
        <v>7.0930999999999997</v>
      </c>
    </row>
    <row r="86" spans="1:5" ht="13.9" x14ac:dyDescent="0.35">
      <c r="A86" s="2">
        <v>43959</v>
      </c>
      <c r="B86" s="3">
        <v>99.753900000000002</v>
      </c>
      <c r="D86" s="2">
        <v>43959</v>
      </c>
      <c r="E86" s="3">
        <v>7.0788000000000002</v>
      </c>
    </row>
    <row r="87" spans="1:5" ht="13.9" x14ac:dyDescent="0.35">
      <c r="A87" s="2">
        <v>43962</v>
      </c>
      <c r="B87" s="3">
        <v>100.2242</v>
      </c>
      <c r="D87" s="2">
        <v>43962</v>
      </c>
      <c r="E87" s="3">
        <v>7.0769000000000002</v>
      </c>
    </row>
    <row r="88" spans="1:5" ht="13.9" x14ac:dyDescent="0.35">
      <c r="A88" s="2">
        <v>43963</v>
      </c>
      <c r="B88" s="3">
        <v>100.00709999999999</v>
      </c>
      <c r="D88" s="2">
        <v>43963</v>
      </c>
      <c r="E88" s="3">
        <v>7.0918999999999999</v>
      </c>
    </row>
    <row r="89" spans="1:5" ht="13.9" x14ac:dyDescent="0.35">
      <c r="A89" s="2">
        <v>43964</v>
      </c>
      <c r="B89" s="3">
        <v>100.22280000000001</v>
      </c>
      <c r="D89" s="2">
        <v>43964</v>
      </c>
      <c r="E89" s="3">
        <v>7.0875000000000004</v>
      </c>
    </row>
    <row r="90" spans="1:5" ht="13.9" x14ac:dyDescent="0.35">
      <c r="A90" s="2">
        <v>43965</v>
      </c>
      <c r="B90" s="3">
        <v>100.2835</v>
      </c>
      <c r="D90" s="2">
        <v>43965</v>
      </c>
      <c r="E90" s="3">
        <v>7.0948000000000002</v>
      </c>
    </row>
    <row r="91" spans="1:5" ht="13.9" x14ac:dyDescent="0.35">
      <c r="A91" s="2">
        <v>43966</v>
      </c>
      <c r="B91" s="3">
        <v>100.37739999999999</v>
      </c>
      <c r="D91" s="2">
        <v>43966</v>
      </c>
      <c r="E91" s="3">
        <v>7.0936000000000003</v>
      </c>
    </row>
    <row r="92" spans="1:5" ht="13.9" x14ac:dyDescent="0.35">
      <c r="A92" s="2">
        <v>43969</v>
      </c>
      <c r="B92" s="3">
        <v>99.634699999999995</v>
      </c>
      <c r="D92" s="2">
        <v>43969</v>
      </c>
      <c r="E92" s="3">
        <v>7.1029999999999998</v>
      </c>
    </row>
    <row r="93" spans="1:5" ht="13.9" x14ac:dyDescent="0.35">
      <c r="A93" s="2">
        <v>43970</v>
      </c>
      <c r="B93" s="3">
        <v>99.566800000000001</v>
      </c>
      <c r="D93" s="2">
        <v>43970</v>
      </c>
      <c r="E93" s="3">
        <v>7.0911999999999997</v>
      </c>
    </row>
    <row r="94" spans="1:5" ht="13.9" x14ac:dyDescent="0.35">
      <c r="A94" s="2">
        <v>43971</v>
      </c>
      <c r="B94" s="3">
        <v>99.180899999999994</v>
      </c>
      <c r="D94" s="2">
        <v>43971</v>
      </c>
      <c r="E94" s="3">
        <v>7.0956000000000001</v>
      </c>
    </row>
    <row r="95" spans="1:5" ht="13.9" x14ac:dyDescent="0.35">
      <c r="A95" s="2">
        <v>43972</v>
      </c>
      <c r="B95" s="3">
        <v>99.4148</v>
      </c>
      <c r="D95" s="2">
        <v>43972</v>
      </c>
      <c r="E95" s="3">
        <v>7.0868000000000002</v>
      </c>
    </row>
    <row r="96" spans="1:5" ht="13.9" x14ac:dyDescent="0.35">
      <c r="A96" s="2">
        <v>43973</v>
      </c>
      <c r="B96" s="3">
        <v>99.779399999999995</v>
      </c>
      <c r="D96" s="2">
        <v>43973</v>
      </c>
      <c r="E96" s="3">
        <v>7.0938999999999997</v>
      </c>
    </row>
    <row r="97" spans="1:5" ht="13.9" x14ac:dyDescent="0.35">
      <c r="A97" s="10">
        <v>43976</v>
      </c>
      <c r="B97" s="11">
        <v>99.790999999999997</v>
      </c>
      <c r="C97" s="40"/>
      <c r="D97" s="10">
        <v>43976</v>
      </c>
      <c r="E97" s="11">
        <v>7.1208999999999998</v>
      </c>
    </row>
    <row r="98" spans="1:5" ht="13.9" x14ac:dyDescent="0.35">
      <c r="A98" s="10">
        <v>43977</v>
      </c>
      <c r="B98" s="11">
        <v>98.997799999999998</v>
      </c>
      <c r="C98" s="40"/>
      <c r="D98" s="10">
        <v>43977</v>
      </c>
      <c r="E98" s="11">
        <v>7.1292999999999997</v>
      </c>
    </row>
    <row r="99" spans="1:5" ht="13.9" x14ac:dyDescent="0.35">
      <c r="A99" s="10">
        <v>43978</v>
      </c>
      <c r="B99" s="11">
        <v>98.959000000000003</v>
      </c>
      <c r="C99" s="40"/>
      <c r="D99" s="10">
        <v>43978</v>
      </c>
      <c r="E99" s="11">
        <v>7.1092000000000004</v>
      </c>
    </row>
    <row r="100" spans="1:5" ht="13.9" x14ac:dyDescent="0.35">
      <c r="A100" s="10">
        <v>43979</v>
      </c>
      <c r="B100" s="11">
        <v>98.474299999999999</v>
      </c>
      <c r="C100" s="40"/>
      <c r="D100" s="10">
        <v>43979</v>
      </c>
      <c r="E100" s="11">
        <v>7.1276999999999999</v>
      </c>
    </row>
    <row r="101" spans="1:5" ht="13.9" x14ac:dyDescent="0.35">
      <c r="A101" s="10">
        <v>43980</v>
      </c>
      <c r="B101" s="11">
        <v>98.262799999999999</v>
      </c>
      <c r="C101" s="40"/>
      <c r="D101" s="10">
        <v>43980</v>
      </c>
      <c r="E101" s="11">
        <v>7.1315999999999997</v>
      </c>
    </row>
    <row r="102" spans="1:5" ht="13.9" x14ac:dyDescent="0.35">
      <c r="A102" s="12">
        <v>43983</v>
      </c>
      <c r="B102" s="13">
        <v>97.811099999999996</v>
      </c>
      <c r="C102" s="7"/>
      <c r="D102" s="12">
        <v>43983</v>
      </c>
      <c r="E102" s="13">
        <v>7.1315</v>
      </c>
    </row>
    <row r="103" spans="1:5" ht="13.9" x14ac:dyDescent="0.35">
      <c r="A103" s="12">
        <v>43984</v>
      </c>
      <c r="B103" s="13">
        <v>97.672200000000004</v>
      </c>
      <c r="C103" s="7"/>
      <c r="D103" s="12">
        <v>43984</v>
      </c>
      <c r="E103" s="13">
        <v>7.1166999999999998</v>
      </c>
    </row>
    <row r="104" spans="1:5" ht="13.9" x14ac:dyDescent="0.35">
      <c r="A104" s="12">
        <v>43985</v>
      </c>
      <c r="B104" s="13">
        <v>97.318100000000001</v>
      </c>
      <c r="C104" s="7"/>
      <c r="D104" s="12">
        <v>43985</v>
      </c>
      <c r="E104" s="13">
        <v>7.1074000000000002</v>
      </c>
    </row>
    <row r="105" spans="1:5" ht="13.9" x14ac:dyDescent="0.35">
      <c r="A105" s="12">
        <v>43986</v>
      </c>
      <c r="B105" s="13">
        <v>96.763000000000005</v>
      </c>
      <c r="C105" s="7"/>
      <c r="D105" s="12">
        <v>43986</v>
      </c>
      <c r="E105" s="13">
        <v>7.1012000000000004</v>
      </c>
    </row>
    <row r="106" spans="1:5" ht="13.9" x14ac:dyDescent="0.35">
      <c r="A106" s="12">
        <v>43987</v>
      </c>
      <c r="B106" s="13">
        <v>96.935699999999997</v>
      </c>
      <c r="C106" s="7"/>
      <c r="D106" s="12">
        <v>43987</v>
      </c>
      <c r="E106" s="13">
        <v>7.0964999999999998</v>
      </c>
    </row>
    <row r="107" spans="1:5" ht="13.9" x14ac:dyDescent="0.35">
      <c r="A107" s="14">
        <v>43990</v>
      </c>
      <c r="B107" s="15">
        <v>96.697599999999994</v>
      </c>
      <c r="C107" s="38"/>
      <c r="D107" s="14">
        <v>43990</v>
      </c>
      <c r="E107" s="15">
        <v>7.0881999999999996</v>
      </c>
    </row>
    <row r="108" spans="1:5" ht="13.9" x14ac:dyDescent="0.35">
      <c r="A108" s="14">
        <v>43991</v>
      </c>
      <c r="B108" s="15">
        <v>96.385099999999994</v>
      </c>
      <c r="C108" s="38"/>
      <c r="D108" s="14">
        <v>43991</v>
      </c>
      <c r="E108" s="15">
        <v>7.0711000000000004</v>
      </c>
    </row>
    <row r="109" spans="1:5" ht="13.9" x14ac:dyDescent="0.35">
      <c r="A109" s="14">
        <v>43992</v>
      </c>
      <c r="B109" s="15">
        <v>96.092299999999994</v>
      </c>
      <c r="C109" s="38"/>
      <c r="D109" s="14">
        <v>43992</v>
      </c>
      <c r="E109" s="15">
        <v>7.0702999999999996</v>
      </c>
    </row>
    <row r="110" spans="1:5" ht="13.9" x14ac:dyDescent="0.35">
      <c r="A110" s="14">
        <v>43993</v>
      </c>
      <c r="B110" s="15">
        <v>96.762</v>
      </c>
      <c r="C110" s="38"/>
      <c r="D110" s="14">
        <v>43993</v>
      </c>
      <c r="E110" s="15">
        <v>7.0608000000000004</v>
      </c>
    </row>
    <row r="111" spans="1:5" ht="13.9" x14ac:dyDescent="0.35">
      <c r="A111" s="14">
        <v>43994</v>
      </c>
      <c r="B111" s="15">
        <v>97.101200000000006</v>
      </c>
      <c r="C111" s="38"/>
      <c r="D111" s="14">
        <v>43994</v>
      </c>
      <c r="E111" s="15">
        <v>7.0865</v>
      </c>
    </row>
    <row r="112" spans="1:5" ht="13.9" x14ac:dyDescent="0.35">
      <c r="A112" s="2">
        <v>43997</v>
      </c>
      <c r="B112" s="3">
        <v>96.662000000000006</v>
      </c>
      <c r="D112" s="2">
        <v>43997</v>
      </c>
      <c r="E112" s="3">
        <v>7.0902000000000003</v>
      </c>
    </row>
    <row r="113" spans="1:5" ht="13.9" x14ac:dyDescent="0.35">
      <c r="A113" s="2">
        <v>43998</v>
      </c>
      <c r="B113" s="3">
        <v>97.003</v>
      </c>
      <c r="D113" s="2">
        <v>43998</v>
      </c>
      <c r="E113" s="3">
        <v>7.0754999999999999</v>
      </c>
    </row>
    <row r="114" spans="1:5" ht="13.9" x14ac:dyDescent="0.35">
      <c r="A114" s="2">
        <v>43999</v>
      </c>
      <c r="B114" s="3">
        <v>97.067099999999996</v>
      </c>
      <c r="D114" s="2">
        <v>43999</v>
      </c>
      <c r="E114" s="3">
        <v>7.0872999999999999</v>
      </c>
    </row>
    <row r="115" spans="1:5" ht="13.9" x14ac:dyDescent="0.35">
      <c r="A115" s="2">
        <v>44000</v>
      </c>
      <c r="B115" s="3">
        <v>97.455399999999997</v>
      </c>
      <c r="D115" s="2">
        <v>44000</v>
      </c>
      <c r="E115" s="3">
        <v>7.0903</v>
      </c>
    </row>
    <row r="116" spans="1:5" ht="13.9" x14ac:dyDescent="0.35">
      <c r="A116" s="2">
        <v>44001</v>
      </c>
      <c r="B116" s="3">
        <v>97.684200000000004</v>
      </c>
      <c r="D116" s="2">
        <v>44001</v>
      </c>
      <c r="E116" s="3">
        <v>7.0913000000000004</v>
      </c>
    </row>
    <row r="117" spans="1:5" ht="13.9" x14ac:dyDescent="0.35">
      <c r="A117" s="2">
        <v>44004</v>
      </c>
      <c r="B117" s="3">
        <v>97.051699999999997</v>
      </c>
      <c r="D117" s="2">
        <v>44004</v>
      </c>
      <c r="E117" s="3">
        <v>7.0865</v>
      </c>
    </row>
    <row r="118" spans="1:5" ht="13.9" x14ac:dyDescent="0.35">
      <c r="A118" s="2">
        <v>44005</v>
      </c>
      <c r="B118" s="3">
        <v>96.687899999999999</v>
      </c>
      <c r="D118" s="2">
        <v>44005</v>
      </c>
      <c r="E118" s="3">
        <v>7.0670999999999999</v>
      </c>
    </row>
    <row r="119" spans="1:5" ht="13.9" x14ac:dyDescent="0.35">
      <c r="A119" s="2">
        <v>44006</v>
      </c>
      <c r="B119" s="3">
        <v>97.2286</v>
      </c>
      <c r="D119" s="2">
        <v>44006</v>
      </c>
      <c r="E119" s="3">
        <v>7.0555000000000003</v>
      </c>
    </row>
    <row r="120" spans="1:5" ht="13.9" x14ac:dyDescent="0.35">
      <c r="A120" s="2">
        <v>44011</v>
      </c>
      <c r="B120" s="3">
        <v>97.460499999999996</v>
      </c>
      <c r="D120" s="2">
        <v>44011</v>
      </c>
      <c r="E120" s="3">
        <v>7.0808</v>
      </c>
    </row>
    <row r="121" spans="1:5" ht="13.9" x14ac:dyDescent="0.35">
      <c r="A121" s="2">
        <v>44012</v>
      </c>
      <c r="B121" s="3">
        <v>97.384100000000004</v>
      </c>
      <c r="D121" s="2">
        <v>44012</v>
      </c>
      <c r="E121" s="3">
        <v>7.0795000000000003</v>
      </c>
    </row>
    <row r="122" spans="1:5" ht="13.9" x14ac:dyDescent="0.35">
      <c r="A122" s="2">
        <v>44013</v>
      </c>
      <c r="B122" s="3">
        <v>97.162000000000006</v>
      </c>
      <c r="D122" s="2">
        <v>44013</v>
      </c>
      <c r="E122" s="3">
        <v>7.0709999999999997</v>
      </c>
    </row>
    <row r="123" spans="1:5" ht="13.9" x14ac:dyDescent="0.35">
      <c r="A123" s="2">
        <v>44014</v>
      </c>
      <c r="B123" s="3">
        <v>97.215100000000007</v>
      </c>
      <c r="D123" s="2">
        <v>44014</v>
      </c>
      <c r="E123" s="3">
        <v>7.0566000000000004</v>
      </c>
    </row>
    <row r="124" spans="1:5" ht="13.9" x14ac:dyDescent="0.35">
      <c r="A124" s="2">
        <v>44015</v>
      </c>
      <c r="B124" s="3">
        <v>97.184600000000003</v>
      </c>
      <c r="D124" s="2">
        <v>44015</v>
      </c>
      <c r="E124" s="3">
        <v>7.0637999999999996</v>
      </c>
    </row>
    <row r="125" spans="1:5" ht="13.9" x14ac:dyDescent="0.35">
      <c r="A125" s="2">
        <v>44018</v>
      </c>
      <c r="B125" s="3">
        <v>96.775899999999993</v>
      </c>
      <c r="D125" s="2">
        <v>44018</v>
      </c>
      <c r="E125" s="3">
        <v>7.0663</v>
      </c>
    </row>
    <row r="126" spans="1:5" ht="13.9" x14ac:dyDescent="0.35">
      <c r="A126" s="2">
        <v>44019</v>
      </c>
      <c r="B126" s="3">
        <v>96.971299999999999</v>
      </c>
      <c r="D126" s="2">
        <v>44019</v>
      </c>
      <c r="E126" s="3">
        <v>7.0309999999999997</v>
      </c>
    </row>
    <row r="127" spans="1:5" ht="13.9" x14ac:dyDescent="0.35">
      <c r="A127" s="2">
        <v>44020</v>
      </c>
      <c r="B127" s="3">
        <v>96.495900000000006</v>
      </c>
      <c r="D127" s="2">
        <v>44020</v>
      </c>
      <c r="E127" s="3">
        <v>7.0206999999999997</v>
      </c>
    </row>
    <row r="128" spans="1:5" ht="13.9" x14ac:dyDescent="0.35">
      <c r="A128" s="2">
        <v>44021</v>
      </c>
      <c r="B128" s="3">
        <v>96.802800000000005</v>
      </c>
      <c r="D128" s="2">
        <v>44021</v>
      </c>
      <c r="E128" s="3">
        <v>7.0084999999999997</v>
      </c>
    </row>
    <row r="129" spans="1:5" ht="13.9" x14ac:dyDescent="0.35">
      <c r="A129" s="2">
        <v>44022</v>
      </c>
      <c r="B129" s="3">
        <v>96.671899999999994</v>
      </c>
      <c r="D129" s="2">
        <v>44022</v>
      </c>
      <c r="E129" s="3">
        <v>6.9943</v>
      </c>
    </row>
    <row r="130" spans="1:5" ht="13.9" x14ac:dyDescent="0.35">
      <c r="A130" s="2">
        <v>44025</v>
      </c>
      <c r="B130" s="3">
        <v>96.558599999999998</v>
      </c>
      <c r="D130" s="2">
        <v>44025</v>
      </c>
      <c r="E130" s="3">
        <v>6.9965000000000002</v>
      </c>
    </row>
    <row r="131" spans="1:5" ht="13.9" x14ac:dyDescent="0.35">
      <c r="A131" s="2">
        <v>44026</v>
      </c>
      <c r="B131" s="3">
        <v>96.236500000000007</v>
      </c>
      <c r="D131" s="2">
        <v>44026</v>
      </c>
      <c r="E131" s="3">
        <v>6.9996</v>
      </c>
    </row>
    <row r="132" spans="1:5" ht="13.9" x14ac:dyDescent="0.35">
      <c r="A132" s="2">
        <v>44027</v>
      </c>
      <c r="B132" s="3">
        <v>96.041799999999995</v>
      </c>
      <c r="D132" s="2">
        <v>44027</v>
      </c>
      <c r="E132" s="3">
        <v>6.9981999999999998</v>
      </c>
    </row>
    <row r="133" spans="1:5" ht="13.9" x14ac:dyDescent="0.35">
      <c r="A133" s="2">
        <v>44028</v>
      </c>
      <c r="B133" s="3">
        <v>96.3048</v>
      </c>
      <c r="D133" s="2">
        <v>44028</v>
      </c>
      <c r="E133" s="3">
        <v>6.9912999999999998</v>
      </c>
    </row>
    <row r="134" spans="1:5" ht="13.9" x14ac:dyDescent="0.35">
      <c r="A134" s="2">
        <v>44029</v>
      </c>
      <c r="B134" s="3">
        <v>96.013999999999996</v>
      </c>
      <c r="D134" s="2">
        <v>44029</v>
      </c>
      <c r="E134" s="3">
        <v>7.0042999999999997</v>
      </c>
    </row>
    <row r="135" spans="1:5" ht="13.9" x14ac:dyDescent="0.35">
      <c r="A135" s="2">
        <v>44032</v>
      </c>
      <c r="B135" s="3">
        <v>95.797200000000004</v>
      </c>
      <c r="D135" s="2">
        <v>44032</v>
      </c>
      <c r="E135" s="3">
        <v>6.9927999999999999</v>
      </c>
    </row>
    <row r="136" spans="1:5" ht="13.9" x14ac:dyDescent="0.35">
      <c r="A136" s="2">
        <v>44033</v>
      </c>
      <c r="B136" s="3">
        <v>95.182000000000002</v>
      </c>
      <c r="D136" s="2">
        <v>44033</v>
      </c>
      <c r="E136" s="3">
        <v>6.9862000000000002</v>
      </c>
    </row>
    <row r="137" spans="1:5" ht="13.9" x14ac:dyDescent="0.35">
      <c r="A137" s="2">
        <v>44034</v>
      </c>
      <c r="B137" s="3">
        <v>94.975800000000007</v>
      </c>
      <c r="D137" s="2">
        <v>44034</v>
      </c>
      <c r="E137" s="3">
        <v>6.9718</v>
      </c>
    </row>
    <row r="138" spans="1:5" ht="13.9" x14ac:dyDescent="0.35">
      <c r="A138" s="2">
        <v>44035</v>
      </c>
      <c r="B138" s="3">
        <v>94.784099999999995</v>
      </c>
      <c r="D138" s="2">
        <v>44035</v>
      </c>
      <c r="E138" s="3">
        <v>6.9920999999999998</v>
      </c>
    </row>
    <row r="139" spans="1:5" ht="13.9" x14ac:dyDescent="0.35">
      <c r="A139" s="2">
        <v>44036</v>
      </c>
      <c r="B139" s="3">
        <v>94.346999999999994</v>
      </c>
      <c r="D139" s="2">
        <v>44036</v>
      </c>
      <c r="E139" s="3">
        <v>6.9938000000000002</v>
      </c>
    </row>
    <row r="140" spans="1:5" ht="13.9" x14ac:dyDescent="0.35">
      <c r="A140" s="2">
        <v>44039</v>
      </c>
      <c r="B140" s="3">
        <v>93.650800000000004</v>
      </c>
      <c r="D140" s="2">
        <v>44039</v>
      </c>
      <c r="E140" s="3">
        <v>7.0029000000000003</v>
      </c>
    </row>
    <row r="141" spans="1:5" ht="13.9" x14ac:dyDescent="0.35">
      <c r="A141" s="2">
        <v>44040</v>
      </c>
      <c r="B141" s="3">
        <v>93.765500000000003</v>
      </c>
      <c r="D141" s="2">
        <v>44040</v>
      </c>
      <c r="E141" s="3">
        <v>6.9894999999999996</v>
      </c>
    </row>
    <row r="142" spans="1:5" ht="13.9" x14ac:dyDescent="0.35">
      <c r="A142" s="2">
        <v>44041</v>
      </c>
      <c r="B142" s="3">
        <v>93.280299999999997</v>
      </c>
      <c r="D142" s="2">
        <v>44041</v>
      </c>
      <c r="E142" s="3">
        <v>6.9969000000000001</v>
      </c>
    </row>
    <row r="143" spans="1:5" ht="13.9" x14ac:dyDescent="0.35">
      <c r="A143" s="2">
        <v>44042</v>
      </c>
      <c r="B143" s="3">
        <v>92.936599999999999</v>
      </c>
      <c r="D143" s="2">
        <v>44042</v>
      </c>
      <c r="E143" s="3">
        <v>6.9901999999999997</v>
      </c>
    </row>
    <row r="144" spans="1:5" ht="13.9" x14ac:dyDescent="0.35">
      <c r="A144" s="2">
        <v>44043</v>
      </c>
      <c r="B144" s="3">
        <v>93.484099999999998</v>
      </c>
      <c r="D144" s="2">
        <v>44043</v>
      </c>
      <c r="E144" s="3">
        <v>6.9847999999999999</v>
      </c>
    </row>
    <row r="145" spans="1:5" ht="13.9" x14ac:dyDescent="0.35">
      <c r="A145" s="2">
        <v>44046</v>
      </c>
      <c r="B145" s="3">
        <v>93.523799999999994</v>
      </c>
      <c r="D145" s="2">
        <v>44046</v>
      </c>
      <c r="E145" s="3">
        <v>6.9980000000000002</v>
      </c>
    </row>
    <row r="146" spans="1:5" ht="13.9" x14ac:dyDescent="0.35">
      <c r="A146" s="2">
        <v>44047</v>
      </c>
      <c r="B146" s="3">
        <v>93.241100000000003</v>
      </c>
      <c r="D146" s="2">
        <v>44047</v>
      </c>
      <c r="E146" s="3">
        <v>6.9802999999999997</v>
      </c>
    </row>
    <row r="147" spans="1:5" ht="13.9" x14ac:dyDescent="0.35">
      <c r="A147" s="2">
        <v>44048</v>
      </c>
      <c r="B147" s="3">
        <v>92.838999999999999</v>
      </c>
      <c r="D147" s="2">
        <v>44048</v>
      </c>
      <c r="E147" s="3">
        <v>6.9752000000000001</v>
      </c>
    </row>
    <row r="148" spans="1:5" ht="13.9" x14ac:dyDescent="0.35">
      <c r="A148" s="2">
        <v>44049</v>
      </c>
      <c r="B148" s="3">
        <v>92.789900000000003</v>
      </c>
      <c r="D148" s="2">
        <v>44049</v>
      </c>
      <c r="E148" s="3">
        <v>6.9438000000000004</v>
      </c>
    </row>
    <row r="149" spans="1:5" ht="13.9" x14ac:dyDescent="0.35">
      <c r="A149" s="2">
        <v>44050</v>
      </c>
      <c r="B149" s="3">
        <v>93.413300000000007</v>
      </c>
      <c r="D149" s="2">
        <v>44050</v>
      </c>
      <c r="E149" s="3">
        <v>6.9408000000000003</v>
      </c>
    </row>
    <row r="150" spans="1:5" ht="13.9" x14ac:dyDescent="0.35">
      <c r="A150" s="2">
        <v>44053</v>
      </c>
      <c r="B150" s="3">
        <v>93.615700000000004</v>
      </c>
      <c r="D150" s="2">
        <v>44053</v>
      </c>
      <c r="E150" s="3">
        <v>6.9649000000000001</v>
      </c>
    </row>
    <row r="151" spans="1:5" ht="13.9" x14ac:dyDescent="0.35">
      <c r="A151" s="2">
        <v>44054</v>
      </c>
      <c r="B151" s="3">
        <v>93.658299999999997</v>
      </c>
      <c r="D151" s="2">
        <v>44054</v>
      </c>
      <c r="E151" s="3">
        <v>6.9710999999999999</v>
      </c>
    </row>
    <row r="152" spans="1:5" ht="13.9" x14ac:dyDescent="0.35">
      <c r="A152" s="2">
        <v>44055</v>
      </c>
      <c r="B152" s="3">
        <v>93.4328</v>
      </c>
      <c r="D152" s="2">
        <v>44055</v>
      </c>
      <c r="E152" s="3">
        <v>6.9596999999999998</v>
      </c>
    </row>
    <row r="153" spans="1:5" ht="13.9" x14ac:dyDescent="0.35">
      <c r="A153" s="2">
        <v>44056</v>
      </c>
      <c r="B153" s="3">
        <v>93.247</v>
      </c>
      <c r="D153" s="2">
        <v>44056</v>
      </c>
      <c r="E153" s="3">
        <v>6.9428999999999998</v>
      </c>
    </row>
    <row r="154" spans="1:5" ht="13.9" x14ac:dyDescent="0.35">
      <c r="A154" s="2">
        <v>44057</v>
      </c>
      <c r="B154" s="3">
        <v>93.099500000000006</v>
      </c>
      <c r="D154" s="2">
        <v>44057</v>
      </c>
      <c r="E154" s="3">
        <v>6.9405000000000001</v>
      </c>
    </row>
    <row r="155" spans="1:5" ht="13.9" x14ac:dyDescent="0.35">
      <c r="A155" s="2">
        <v>44060</v>
      </c>
      <c r="B155" s="3">
        <v>92.836100000000002</v>
      </c>
      <c r="D155" s="2">
        <v>44060</v>
      </c>
      <c r="E155" s="3">
        <v>6.9362000000000004</v>
      </c>
    </row>
    <row r="156" spans="1:5" ht="13.9" x14ac:dyDescent="0.35">
      <c r="A156" s="2">
        <v>44061</v>
      </c>
      <c r="B156" s="3">
        <v>92.321299999999994</v>
      </c>
      <c r="D156" s="2">
        <v>44061</v>
      </c>
      <c r="E156" s="3">
        <v>6.9325000000000001</v>
      </c>
    </row>
    <row r="157" spans="1:5" ht="13.9" x14ac:dyDescent="0.35">
      <c r="A157" s="2">
        <v>44062</v>
      </c>
      <c r="B157" s="3">
        <v>93.031300000000002</v>
      </c>
      <c r="D157" s="2">
        <v>44062</v>
      </c>
      <c r="E157" s="3">
        <v>6.9168000000000003</v>
      </c>
    </row>
    <row r="158" spans="1:5" ht="13.9" x14ac:dyDescent="0.35">
      <c r="A158" s="2">
        <v>44063</v>
      </c>
      <c r="B158" s="3">
        <v>92.761200000000002</v>
      </c>
      <c r="D158" s="2">
        <v>44063</v>
      </c>
      <c r="E158" s="3">
        <v>6.9273999999999996</v>
      </c>
    </row>
    <row r="159" spans="1:5" ht="13.9" x14ac:dyDescent="0.35">
      <c r="A159" s="2">
        <v>44064</v>
      </c>
      <c r="B159" s="3">
        <v>93.206199999999995</v>
      </c>
      <c r="D159" s="2">
        <v>44064</v>
      </c>
      <c r="E159" s="3">
        <v>6.9107000000000003</v>
      </c>
    </row>
    <row r="160" spans="1:5" ht="13.9" x14ac:dyDescent="0.35">
      <c r="A160" s="2">
        <v>44067</v>
      </c>
      <c r="B160" s="3">
        <v>93.305599999999998</v>
      </c>
      <c r="D160" s="2">
        <v>44067</v>
      </c>
      <c r="E160" s="3">
        <v>6.9194000000000004</v>
      </c>
    </row>
    <row r="161" spans="1:5" ht="13.9" x14ac:dyDescent="0.35">
      <c r="A161" s="2">
        <v>44068</v>
      </c>
      <c r="B161" s="3">
        <v>93.009299999999996</v>
      </c>
      <c r="D161" s="2">
        <v>44068</v>
      </c>
      <c r="E161" s="3">
        <v>6.9183000000000003</v>
      </c>
    </row>
    <row r="162" spans="1:5" ht="13.9" x14ac:dyDescent="0.35">
      <c r="A162" s="2">
        <v>44069</v>
      </c>
      <c r="B162" s="3">
        <v>92.898499999999999</v>
      </c>
      <c r="D162" s="2">
        <v>44069</v>
      </c>
      <c r="E162" s="3">
        <v>6.9078999999999997</v>
      </c>
    </row>
    <row r="163" spans="1:5" ht="13.9" x14ac:dyDescent="0.35">
      <c r="A163" s="2">
        <v>44070</v>
      </c>
      <c r="B163" s="3">
        <v>93.011399999999995</v>
      </c>
      <c r="D163" s="2">
        <v>44070</v>
      </c>
      <c r="E163" s="3">
        <v>6.8902999999999999</v>
      </c>
    </row>
    <row r="164" spans="1:5" ht="13.9" x14ac:dyDescent="0.35">
      <c r="A164" s="2">
        <v>44071</v>
      </c>
      <c r="B164" s="3">
        <v>92.283299999999997</v>
      </c>
      <c r="D164" s="2">
        <v>44071</v>
      </c>
      <c r="E164" s="3">
        <v>6.8891</v>
      </c>
    </row>
    <row r="165" spans="1:5" ht="13.9" x14ac:dyDescent="0.35">
      <c r="A165" s="2">
        <v>44074</v>
      </c>
      <c r="B165" s="3">
        <v>92.171099999999996</v>
      </c>
      <c r="D165" s="2">
        <v>44074</v>
      </c>
      <c r="E165" s="3">
        <v>6.8605</v>
      </c>
    </row>
    <row r="166" spans="1:5" ht="13.9" x14ac:dyDescent="0.35">
      <c r="A166" s="2">
        <v>44075</v>
      </c>
      <c r="B166" s="3">
        <v>92.320499999999996</v>
      </c>
      <c r="D166" s="2">
        <v>44075</v>
      </c>
      <c r="E166" s="3">
        <v>6.8498000000000001</v>
      </c>
    </row>
    <row r="167" spans="1:5" ht="13.9" x14ac:dyDescent="0.35">
      <c r="A167" s="2">
        <v>44076</v>
      </c>
      <c r="B167" s="3">
        <v>92.640699999999995</v>
      </c>
      <c r="D167" s="2">
        <v>44076</v>
      </c>
      <c r="E167" s="3">
        <v>6.8376000000000001</v>
      </c>
    </row>
    <row r="168" spans="1:5" ht="13.9" x14ac:dyDescent="0.35">
      <c r="A168" s="2">
        <v>44077</v>
      </c>
      <c r="B168" s="3">
        <v>92.768699999999995</v>
      </c>
      <c r="D168" s="2">
        <v>44077</v>
      </c>
      <c r="E168" s="3">
        <v>6.8319000000000001</v>
      </c>
    </row>
    <row r="169" spans="1:5" ht="13.9" x14ac:dyDescent="0.35">
      <c r="A169" s="2">
        <v>44078</v>
      </c>
      <c r="B169" s="3">
        <v>92.820800000000006</v>
      </c>
      <c r="D169" s="2">
        <v>44078</v>
      </c>
      <c r="E169" s="3">
        <v>6.8358999999999996</v>
      </c>
    </row>
    <row r="170" spans="1:5" ht="13.9" x14ac:dyDescent="0.35">
      <c r="A170" s="2">
        <v>44081</v>
      </c>
      <c r="B170" s="3">
        <v>93.062299999999993</v>
      </c>
      <c r="D170" s="2">
        <v>44081</v>
      </c>
      <c r="E170" s="3">
        <v>6.8385999999999996</v>
      </c>
    </row>
    <row r="171" spans="1:5" ht="13.9" x14ac:dyDescent="0.35">
      <c r="A171" s="2">
        <v>44082</v>
      </c>
      <c r="B171" s="3">
        <v>93.500600000000006</v>
      </c>
      <c r="D171" s="2">
        <v>44082</v>
      </c>
      <c r="E171" s="3">
        <v>6.8364000000000003</v>
      </c>
    </row>
    <row r="172" spans="1:5" ht="13.9" x14ac:dyDescent="0.35">
      <c r="A172" s="2">
        <v>44083</v>
      </c>
      <c r="B172" s="3">
        <v>93.247799999999998</v>
      </c>
      <c r="D172" s="2">
        <v>44083</v>
      </c>
      <c r="E172" s="3">
        <v>6.8422999999999998</v>
      </c>
    </row>
    <row r="173" spans="1:5" ht="13.9" x14ac:dyDescent="0.35">
      <c r="A173" s="2">
        <v>44084</v>
      </c>
      <c r="B173" s="3">
        <v>93.395600000000002</v>
      </c>
      <c r="D173" s="2">
        <v>44084</v>
      </c>
      <c r="E173" s="3">
        <v>6.8331</v>
      </c>
    </row>
    <row r="174" spans="1:5" ht="13.9" x14ac:dyDescent="0.35">
      <c r="A174" s="2">
        <v>44085</v>
      </c>
      <c r="B174" s="3">
        <v>93.251099999999994</v>
      </c>
      <c r="D174" s="2">
        <v>44085</v>
      </c>
      <c r="E174" s="3">
        <v>6.8388999999999998</v>
      </c>
    </row>
    <row r="175" spans="1:5" ht="13.9" x14ac:dyDescent="0.35">
      <c r="A175" s="2">
        <v>44088</v>
      </c>
      <c r="B175" s="3">
        <v>93.074799999999996</v>
      </c>
      <c r="D175" s="2">
        <v>44088</v>
      </c>
      <c r="E175" s="3">
        <v>6.8361000000000001</v>
      </c>
    </row>
    <row r="176" spans="1:5" ht="13.9" x14ac:dyDescent="0.35">
      <c r="A176" s="2">
        <v>44089</v>
      </c>
      <c r="B176" s="3">
        <v>93.093299999999999</v>
      </c>
      <c r="D176" s="2">
        <v>44089</v>
      </c>
      <c r="E176" s="3">
        <v>6.8221999999999996</v>
      </c>
    </row>
    <row r="177" spans="1:5" ht="13.9" x14ac:dyDescent="0.35">
      <c r="A177" s="2">
        <v>44090</v>
      </c>
      <c r="B177" s="3">
        <v>93.110799999999998</v>
      </c>
      <c r="D177" s="2">
        <v>44090</v>
      </c>
      <c r="E177" s="3">
        <v>6.7824999999999998</v>
      </c>
    </row>
    <row r="178" spans="1:5" ht="13.9" x14ac:dyDescent="0.35">
      <c r="A178" s="2">
        <v>44091</v>
      </c>
      <c r="B178" s="3">
        <v>92.909800000000004</v>
      </c>
      <c r="D178" s="2">
        <v>44091</v>
      </c>
      <c r="E178" s="3">
        <v>6.7675000000000001</v>
      </c>
    </row>
    <row r="179" spans="1:5" ht="13.9" x14ac:dyDescent="0.35">
      <c r="A179" s="2">
        <v>44092</v>
      </c>
      <c r="B179" s="3">
        <v>93.008099999999999</v>
      </c>
      <c r="D179" s="2">
        <v>44092</v>
      </c>
      <c r="E179" s="3">
        <v>6.7591000000000001</v>
      </c>
    </row>
    <row r="180" spans="1:5" ht="13.9" x14ac:dyDescent="0.35">
      <c r="A180" s="2">
        <v>44095</v>
      </c>
      <c r="B180" s="3">
        <v>93.529600000000002</v>
      </c>
      <c r="D180" s="2">
        <v>44095</v>
      </c>
      <c r="E180" s="3">
        <v>6.7595000000000001</v>
      </c>
    </row>
    <row r="181" spans="1:5" ht="13.9" x14ac:dyDescent="0.35">
      <c r="A181" s="2">
        <v>44096</v>
      </c>
      <c r="B181" s="3">
        <v>93.9739</v>
      </c>
      <c r="D181" s="2">
        <v>44096</v>
      </c>
      <c r="E181" s="3">
        <v>6.7872000000000003</v>
      </c>
    </row>
    <row r="182" spans="1:5" ht="13.9" x14ac:dyDescent="0.35">
      <c r="A182" s="2">
        <v>44097</v>
      </c>
      <c r="B182" s="3">
        <v>94.368799999999993</v>
      </c>
      <c r="D182" s="2">
        <v>44097</v>
      </c>
      <c r="E182" s="3">
        <v>6.7986000000000004</v>
      </c>
    </row>
    <row r="183" spans="1:5" ht="13.9" x14ac:dyDescent="0.35">
      <c r="A183" s="2">
        <v>44098</v>
      </c>
      <c r="B183" s="3">
        <v>94.355199999999996</v>
      </c>
      <c r="D183" s="2">
        <v>44098</v>
      </c>
      <c r="E183" s="3">
        <v>6.8028000000000004</v>
      </c>
    </row>
    <row r="184" spans="1:5" ht="13.9" x14ac:dyDescent="0.35">
      <c r="A184" s="2">
        <v>44099</v>
      </c>
      <c r="B184" s="3">
        <v>94.587100000000007</v>
      </c>
      <c r="D184" s="2">
        <v>44099</v>
      </c>
      <c r="E184" s="3">
        <v>6.8121</v>
      </c>
    </row>
    <row r="185" spans="1:5" ht="13.9" x14ac:dyDescent="0.35">
      <c r="A185" s="2">
        <v>44102</v>
      </c>
      <c r="B185" s="3">
        <v>94.265600000000006</v>
      </c>
      <c r="D185" s="2">
        <v>44102</v>
      </c>
      <c r="E185" s="3">
        <v>6.8251999999999997</v>
      </c>
    </row>
    <row r="186" spans="1:5" ht="13.9" x14ac:dyDescent="0.35">
      <c r="A186" s="2">
        <v>44103</v>
      </c>
      <c r="B186" s="3">
        <v>93.859700000000004</v>
      </c>
      <c r="D186" s="2">
        <v>44103</v>
      </c>
      <c r="E186" s="3">
        <v>6.8170999999999999</v>
      </c>
    </row>
    <row r="187" spans="1:5" ht="13.9" x14ac:dyDescent="0.35">
      <c r="A187" s="2">
        <v>44104</v>
      </c>
      <c r="B187" s="3">
        <v>93.847999999999999</v>
      </c>
      <c r="D187" s="2">
        <v>44104</v>
      </c>
      <c r="E187" s="3">
        <v>6.8101000000000003</v>
      </c>
    </row>
    <row r="188" spans="1:5" ht="13.9" x14ac:dyDescent="0.35">
      <c r="A188" s="2">
        <v>44113</v>
      </c>
      <c r="B188" s="3">
        <v>93.010900000000007</v>
      </c>
      <c r="D188" s="2">
        <v>44113</v>
      </c>
      <c r="E188" s="3">
        <v>6.7796000000000003</v>
      </c>
    </row>
    <row r="189" spans="1:5" ht="13.9" x14ac:dyDescent="0.35">
      <c r="A189" s="2">
        <v>44116</v>
      </c>
      <c r="B189" s="3">
        <v>93.044300000000007</v>
      </c>
      <c r="D189" s="2">
        <v>44116</v>
      </c>
      <c r="E189" s="3">
        <v>6.7126000000000001</v>
      </c>
    </row>
    <row r="190" spans="1:5" ht="13.9" x14ac:dyDescent="0.35">
      <c r="A190" s="2">
        <v>44117</v>
      </c>
      <c r="B190" s="3">
        <v>93.533600000000007</v>
      </c>
      <c r="D190" s="2">
        <v>44117</v>
      </c>
      <c r="E190" s="3">
        <v>6.7295999999999996</v>
      </c>
    </row>
    <row r="191" spans="1:5" ht="13.9" x14ac:dyDescent="0.35">
      <c r="A191" s="2">
        <v>44118</v>
      </c>
      <c r="B191" s="3">
        <v>93.42</v>
      </c>
      <c r="D191" s="2">
        <v>44118</v>
      </c>
      <c r="E191" s="3">
        <v>6.7473000000000001</v>
      </c>
    </row>
    <row r="192" spans="1:5" ht="13.9" x14ac:dyDescent="0.35">
      <c r="A192" s="2">
        <v>44119</v>
      </c>
      <c r="B192" s="3">
        <v>93.795400000000001</v>
      </c>
      <c r="D192" s="2">
        <v>44119</v>
      </c>
      <c r="E192" s="3">
        <v>6.7374000000000001</v>
      </c>
    </row>
    <row r="193" spans="1:5" ht="13.9" x14ac:dyDescent="0.35">
      <c r="A193" s="2">
        <v>44120</v>
      </c>
      <c r="B193" s="3">
        <v>93.706400000000002</v>
      </c>
      <c r="D193" s="2">
        <v>44120</v>
      </c>
      <c r="E193" s="3">
        <v>6.7332000000000001</v>
      </c>
    </row>
    <row r="194" spans="1:5" ht="13.9" x14ac:dyDescent="0.35">
      <c r="A194" s="2">
        <v>44123</v>
      </c>
      <c r="B194" s="3">
        <v>93.423100000000005</v>
      </c>
      <c r="D194" s="2">
        <v>44123</v>
      </c>
      <c r="E194" s="3">
        <v>6.7009999999999996</v>
      </c>
    </row>
    <row r="195" spans="1:5" ht="13.9" x14ac:dyDescent="0.35">
      <c r="A195" s="2">
        <v>44124</v>
      </c>
      <c r="B195" s="3">
        <v>93.100499999999997</v>
      </c>
      <c r="D195" s="2">
        <v>44124</v>
      </c>
      <c r="E195" s="3">
        <v>6.6929999999999996</v>
      </c>
    </row>
    <row r="196" spans="1:5" ht="13.9" x14ac:dyDescent="0.35">
      <c r="A196" s="2">
        <v>44125</v>
      </c>
      <c r="B196" s="3">
        <v>92.657700000000006</v>
      </c>
      <c r="D196" s="2">
        <v>44125</v>
      </c>
      <c r="E196" s="3">
        <v>6.6780999999999997</v>
      </c>
    </row>
    <row r="197" spans="1:5" ht="13.9" x14ac:dyDescent="0.35">
      <c r="A197" s="2">
        <v>44126</v>
      </c>
      <c r="B197" s="3">
        <v>92.944599999999994</v>
      </c>
      <c r="D197" s="2">
        <v>44126</v>
      </c>
      <c r="E197" s="3">
        <v>6.6555999999999997</v>
      </c>
    </row>
    <row r="198" spans="1:5" ht="13.9" x14ac:dyDescent="0.35">
      <c r="A198" s="2">
        <v>44127</v>
      </c>
      <c r="B198" s="3">
        <v>92.736699999999999</v>
      </c>
      <c r="D198" s="2">
        <v>44127</v>
      </c>
      <c r="E198" s="3">
        <v>6.6703000000000001</v>
      </c>
    </row>
    <row r="199" spans="1:5" ht="13.9" x14ac:dyDescent="0.35">
      <c r="A199" s="2">
        <v>44130</v>
      </c>
      <c r="B199" s="3">
        <v>93.066699999999997</v>
      </c>
      <c r="D199" s="2">
        <v>44130</v>
      </c>
      <c r="E199" s="3">
        <v>6.6725000000000003</v>
      </c>
    </row>
    <row r="200" spans="1:5" ht="13.9" x14ac:dyDescent="0.35">
      <c r="A200" s="2">
        <v>44131</v>
      </c>
      <c r="B200" s="3">
        <v>93.038899999999998</v>
      </c>
      <c r="D200" s="2">
        <v>44131</v>
      </c>
      <c r="E200" s="3">
        <v>6.6989000000000001</v>
      </c>
    </row>
    <row r="201" spans="1:5" ht="13.9" x14ac:dyDescent="0.35">
      <c r="A201" s="2">
        <v>44132</v>
      </c>
      <c r="B201" s="3">
        <v>93.449799999999996</v>
      </c>
      <c r="D201" s="2">
        <v>44132</v>
      </c>
      <c r="E201" s="3">
        <v>6.7195</v>
      </c>
    </row>
    <row r="202" spans="1:5" ht="13.9" x14ac:dyDescent="0.35">
      <c r="A202" s="2">
        <v>44133</v>
      </c>
      <c r="B202" s="3">
        <v>93.932500000000005</v>
      </c>
      <c r="D202" s="2">
        <v>44133</v>
      </c>
      <c r="E202" s="3">
        <v>6.726</v>
      </c>
    </row>
    <row r="203" spans="1:5" ht="13.9" x14ac:dyDescent="0.35">
      <c r="A203" s="2">
        <v>44134</v>
      </c>
      <c r="B203" s="3">
        <v>94.017499999999998</v>
      </c>
      <c r="D203" s="2">
        <v>44134</v>
      </c>
      <c r="E203" s="3">
        <v>6.7232000000000003</v>
      </c>
    </row>
    <row r="204" spans="1:5" ht="13.9" x14ac:dyDescent="0.35">
      <c r="A204" s="2">
        <v>44137</v>
      </c>
      <c r="B204" s="3">
        <v>94.050600000000003</v>
      </c>
      <c r="D204" s="2">
        <v>44137</v>
      </c>
      <c r="E204" s="3">
        <v>6.7050000000000001</v>
      </c>
    </row>
    <row r="205" spans="1:5" ht="13.9" x14ac:dyDescent="0.35">
      <c r="A205" s="2">
        <v>44138</v>
      </c>
      <c r="B205" s="3">
        <v>93.409300000000002</v>
      </c>
      <c r="D205" s="2">
        <v>44138</v>
      </c>
      <c r="E205" s="3">
        <v>6.6957000000000004</v>
      </c>
    </row>
    <row r="206" spans="1:5" ht="13.9" x14ac:dyDescent="0.35">
      <c r="A206" s="2">
        <v>44139</v>
      </c>
      <c r="B206" s="3">
        <v>93.441999999999993</v>
      </c>
      <c r="D206" s="2">
        <v>44139</v>
      </c>
      <c r="E206" s="3">
        <v>6.6771000000000003</v>
      </c>
    </row>
    <row r="207" spans="1:5" ht="13.9" x14ac:dyDescent="0.35">
      <c r="A207" s="2">
        <v>44140</v>
      </c>
      <c r="B207" s="3">
        <v>92.583299999999994</v>
      </c>
      <c r="D207" s="2">
        <v>44140</v>
      </c>
      <c r="E207" s="3">
        <v>6.6894999999999998</v>
      </c>
    </row>
    <row r="208" spans="1:5" ht="13.9" x14ac:dyDescent="0.35">
      <c r="A208" s="2">
        <v>44141</v>
      </c>
      <c r="B208" s="3">
        <v>92.324600000000004</v>
      </c>
      <c r="D208" s="2">
        <v>44141</v>
      </c>
      <c r="E208" s="3">
        <v>6.6289999999999996</v>
      </c>
    </row>
    <row r="209" spans="1:5" ht="13.9" x14ac:dyDescent="0.35">
      <c r="A209" s="2">
        <v>44144</v>
      </c>
      <c r="B209" s="3">
        <v>92.836100000000002</v>
      </c>
      <c r="D209" s="2">
        <v>44144</v>
      </c>
      <c r="E209" s="3">
        <v>6.6123000000000003</v>
      </c>
    </row>
    <row r="210" spans="1:5" ht="13.9" x14ac:dyDescent="0.35">
      <c r="A210" s="2">
        <v>44145</v>
      </c>
      <c r="B210" s="3">
        <v>92.72</v>
      </c>
      <c r="D210" s="2">
        <v>44145</v>
      </c>
      <c r="E210" s="3">
        <v>6.5896999999999997</v>
      </c>
    </row>
    <row r="211" spans="1:5" ht="13.9" x14ac:dyDescent="0.35">
      <c r="A211" s="2">
        <v>44146</v>
      </c>
      <c r="B211" s="3">
        <v>93.008099999999999</v>
      </c>
      <c r="D211" s="2">
        <v>44146</v>
      </c>
      <c r="E211" s="3">
        <v>6.6070000000000002</v>
      </c>
    </row>
    <row r="212" spans="1:5" ht="13.9" x14ac:dyDescent="0.35">
      <c r="A212" s="2">
        <v>44147</v>
      </c>
      <c r="B212" s="3">
        <v>92.974800000000002</v>
      </c>
      <c r="D212" s="2">
        <v>44147</v>
      </c>
      <c r="E212" s="3">
        <v>6.6235999999999997</v>
      </c>
    </row>
    <row r="213" spans="1:5" ht="13.9" x14ac:dyDescent="0.35">
      <c r="A213" s="2">
        <v>44148</v>
      </c>
      <c r="B213" s="3">
        <v>92.727900000000005</v>
      </c>
      <c r="D213" s="2">
        <v>44148</v>
      </c>
      <c r="E213" s="3">
        <v>6.6284999999999998</v>
      </c>
    </row>
    <row r="214" spans="1:5" ht="13.9" x14ac:dyDescent="0.35">
      <c r="A214" s="2">
        <v>44151</v>
      </c>
      <c r="B214" s="3">
        <v>92.555099999999996</v>
      </c>
      <c r="D214" s="2">
        <v>44151</v>
      </c>
      <c r="E214" s="3">
        <v>6.6048</v>
      </c>
    </row>
    <row r="215" spans="1:5" ht="13.9" x14ac:dyDescent="0.35">
      <c r="A215" s="2">
        <v>44152</v>
      </c>
      <c r="B215" s="3">
        <v>92.456400000000002</v>
      </c>
      <c r="D215" s="2">
        <v>44152</v>
      </c>
      <c r="E215" s="3">
        <v>6.5762</v>
      </c>
    </row>
    <row r="216" spans="1:5" ht="13.9" x14ac:dyDescent="0.35">
      <c r="A216" s="2">
        <v>44153</v>
      </c>
      <c r="B216" s="3">
        <v>92.404300000000006</v>
      </c>
      <c r="D216" s="2">
        <v>44153</v>
      </c>
      <c r="E216" s="3">
        <v>6.5593000000000004</v>
      </c>
    </row>
    <row r="217" spans="1:5" ht="13.9" x14ac:dyDescent="0.35">
      <c r="A217" s="2">
        <v>44154</v>
      </c>
      <c r="B217" s="3">
        <v>92.3035</v>
      </c>
      <c r="D217" s="2">
        <v>44154</v>
      </c>
      <c r="E217" s="3">
        <v>6.5484</v>
      </c>
    </row>
    <row r="218" spans="1:5" ht="13.9" x14ac:dyDescent="0.35">
      <c r="A218" s="2">
        <v>44155</v>
      </c>
      <c r="B218" s="3">
        <v>92.391199999999998</v>
      </c>
      <c r="D218" s="2">
        <v>44155</v>
      </c>
      <c r="E218" s="3">
        <v>6.5785999999999998</v>
      </c>
    </row>
    <row r="219" spans="1:5" ht="13.9" x14ac:dyDescent="0.35">
      <c r="A219" s="2">
        <v>44158</v>
      </c>
      <c r="B219" s="3">
        <v>92.5197</v>
      </c>
      <c r="D219" s="2">
        <v>44158</v>
      </c>
      <c r="E219" s="3">
        <v>6.5719000000000003</v>
      </c>
    </row>
    <row r="220" spans="1:5" ht="13.9" x14ac:dyDescent="0.35">
      <c r="A220" s="2">
        <v>44159</v>
      </c>
      <c r="B220" s="3">
        <v>92.140299999999996</v>
      </c>
      <c r="D220" s="2">
        <v>44159</v>
      </c>
      <c r="E220" s="3">
        <v>6.5808999999999997</v>
      </c>
    </row>
    <row r="221" spans="1:5" ht="13.9" x14ac:dyDescent="0.35">
      <c r="A221" s="2">
        <v>44160</v>
      </c>
      <c r="B221" s="3">
        <v>92.013800000000003</v>
      </c>
      <c r="D221" s="2">
        <v>44160</v>
      </c>
      <c r="E221" s="3">
        <v>6.5749000000000004</v>
      </c>
    </row>
    <row r="222" spans="1:5" ht="13.9" x14ac:dyDescent="0.35">
      <c r="A222" s="2">
        <v>44161</v>
      </c>
      <c r="B222" s="3">
        <v>92.019400000000005</v>
      </c>
      <c r="D222" s="2">
        <v>44161</v>
      </c>
      <c r="E222" s="3">
        <v>6.5780000000000003</v>
      </c>
    </row>
    <row r="223" spans="1:5" ht="13.9" x14ac:dyDescent="0.35">
      <c r="A223" s="2">
        <v>44162</v>
      </c>
      <c r="B223" s="3">
        <v>91.784499999999994</v>
      </c>
      <c r="D223" s="2">
        <v>44162</v>
      </c>
      <c r="E223" s="3">
        <v>6.5754999999999999</v>
      </c>
    </row>
    <row r="224" spans="1:5" ht="13.9" x14ac:dyDescent="0.35">
      <c r="A224" s="2">
        <v>44165</v>
      </c>
      <c r="B224" s="3">
        <v>92.033000000000001</v>
      </c>
      <c r="D224" s="2">
        <v>44165</v>
      </c>
      <c r="E224" s="3">
        <v>6.5781999999999998</v>
      </c>
    </row>
    <row r="225" spans="1:5" ht="13.9" x14ac:dyDescent="0.35">
      <c r="A225" s="2">
        <v>44166</v>
      </c>
      <c r="B225" s="3">
        <v>91.180099999999996</v>
      </c>
      <c r="D225" s="2">
        <v>44166</v>
      </c>
      <c r="E225" s="3">
        <v>6.5921000000000003</v>
      </c>
    </row>
    <row r="226" spans="1:5" ht="13.9" x14ac:dyDescent="0.35">
      <c r="A226" s="2">
        <v>44167</v>
      </c>
      <c r="B226" s="3">
        <v>91.018299999999996</v>
      </c>
      <c r="D226" s="2">
        <v>44167</v>
      </c>
      <c r="E226" s="3">
        <v>6.5610999999999997</v>
      </c>
    </row>
    <row r="227" spans="1:5" ht="13.9" x14ac:dyDescent="0.35">
      <c r="A227" s="2">
        <v>44168</v>
      </c>
      <c r="B227" s="3">
        <v>90.674899999999994</v>
      </c>
      <c r="D227" s="2">
        <v>44168</v>
      </c>
      <c r="E227" s="3">
        <v>6.5591999999999997</v>
      </c>
    </row>
    <row r="228" spans="1:5" ht="13.9" x14ac:dyDescent="0.35">
      <c r="A228" s="2">
        <v>44169</v>
      </c>
      <c r="B228" s="3">
        <v>90.803399999999996</v>
      </c>
      <c r="D228" s="2">
        <v>44169</v>
      </c>
      <c r="E228" s="3">
        <v>6.5507</v>
      </c>
    </row>
    <row r="229" spans="1:5" ht="13.9" x14ac:dyDescent="0.35">
      <c r="A229" s="2">
        <v>44172</v>
      </c>
      <c r="B229" s="3">
        <v>90.864999999999995</v>
      </c>
      <c r="D229" s="2">
        <v>44172</v>
      </c>
      <c r="E229" s="3">
        <v>6.5362</v>
      </c>
    </row>
    <row r="230" spans="1:5" ht="13.9" x14ac:dyDescent="0.35">
      <c r="A230" s="2">
        <v>44173</v>
      </c>
      <c r="B230" s="3">
        <v>90.9495</v>
      </c>
      <c r="D230" s="2">
        <v>44173</v>
      </c>
      <c r="E230" s="3">
        <v>6.532</v>
      </c>
    </row>
    <row r="231" spans="1:5" ht="13.9" x14ac:dyDescent="0.35">
      <c r="A231" s="2">
        <v>44174</v>
      </c>
      <c r="B231" s="3">
        <v>91.034199999999998</v>
      </c>
      <c r="D231" s="2">
        <v>44174</v>
      </c>
      <c r="E231" s="3">
        <v>6.5311000000000003</v>
      </c>
    </row>
    <row r="232" spans="1:5" ht="13.9" x14ac:dyDescent="0.35">
      <c r="A232" s="2">
        <v>44175</v>
      </c>
      <c r="B232" s="3">
        <v>90.777900000000002</v>
      </c>
      <c r="D232" s="2">
        <v>44175</v>
      </c>
      <c r="E232" s="3">
        <v>6.5476000000000001</v>
      </c>
    </row>
    <row r="233" spans="1:5" ht="13.9" x14ac:dyDescent="0.35">
      <c r="A233" s="2">
        <v>44176</v>
      </c>
      <c r="B233" s="3">
        <v>90.974299999999999</v>
      </c>
      <c r="D233" s="2">
        <v>44176</v>
      </c>
      <c r="E233" s="3">
        <v>6.5404999999999998</v>
      </c>
    </row>
    <row r="234" spans="1:5" ht="13.9" x14ac:dyDescent="0.35">
      <c r="A234" s="2">
        <v>44179</v>
      </c>
      <c r="B234" s="3">
        <v>90.728300000000004</v>
      </c>
      <c r="D234" s="2">
        <v>44179</v>
      </c>
      <c r="E234" s="3">
        <v>6.5361000000000002</v>
      </c>
    </row>
    <row r="235" spans="1:5" ht="13.9" x14ac:dyDescent="0.35">
      <c r="A235" s="2">
        <v>44180</v>
      </c>
      <c r="B235" s="3">
        <v>90.584299999999999</v>
      </c>
      <c r="D235" s="2">
        <v>44180</v>
      </c>
      <c r="E235" s="3">
        <v>6.5434000000000001</v>
      </c>
    </row>
    <row r="236" spans="1:5" ht="13.9" x14ac:dyDescent="0.35">
      <c r="A236" s="2">
        <v>44181</v>
      </c>
      <c r="B236" s="3">
        <v>90.22</v>
      </c>
      <c r="D236" s="2">
        <v>44181</v>
      </c>
      <c r="E236" s="3">
        <v>6.5354999999999999</v>
      </c>
    </row>
    <row r="237" spans="1:5" ht="13.9" x14ac:dyDescent="0.35">
      <c r="A237" s="2">
        <v>44182</v>
      </c>
      <c r="B237" s="3">
        <v>89.77</v>
      </c>
      <c r="D237" s="2">
        <v>44182</v>
      </c>
      <c r="E237" s="3">
        <v>6.5362</v>
      </c>
    </row>
    <row r="238" spans="1:5" ht="13.9" x14ac:dyDescent="0.35">
      <c r="A238" s="2">
        <v>44183</v>
      </c>
      <c r="B238" s="3">
        <v>89.92</v>
      </c>
      <c r="D238" s="2">
        <v>44183</v>
      </c>
      <c r="E238" s="3">
        <v>6.5315000000000003</v>
      </c>
    </row>
    <row r="239" spans="1:5" ht="13.9" x14ac:dyDescent="0.35">
      <c r="A239" s="2">
        <v>44186</v>
      </c>
      <c r="B239" s="3">
        <v>90.081599999999995</v>
      </c>
      <c r="D239" s="2">
        <v>44186</v>
      </c>
      <c r="E239" s="3">
        <v>6.5507</v>
      </c>
    </row>
    <row r="240" spans="1:5" ht="13.9" x14ac:dyDescent="0.35">
      <c r="A240" s="2">
        <v>44187</v>
      </c>
      <c r="B240" s="3">
        <v>90.633399999999995</v>
      </c>
      <c r="D240" s="2">
        <v>44187</v>
      </c>
      <c r="E240" s="3">
        <v>6.5387000000000004</v>
      </c>
    </row>
    <row r="241" spans="1:5" ht="13.9" x14ac:dyDescent="0.35">
      <c r="A241" s="2">
        <v>44188</v>
      </c>
      <c r="B241" s="3">
        <v>90.347499999999997</v>
      </c>
      <c r="D241" s="2">
        <v>44188</v>
      </c>
      <c r="E241" s="3">
        <v>6.5557999999999996</v>
      </c>
    </row>
    <row r="242" spans="1:5" ht="13.9" x14ac:dyDescent="0.35">
      <c r="A242" s="2">
        <v>44189</v>
      </c>
      <c r="B242" s="3">
        <v>90.302599999999998</v>
      </c>
      <c r="D242" s="2">
        <v>44189</v>
      </c>
      <c r="E242" s="3">
        <v>6.5361000000000002</v>
      </c>
    </row>
    <row r="243" spans="1:5" ht="13.9" x14ac:dyDescent="0.35">
      <c r="A243" s="2">
        <v>44190</v>
      </c>
      <c r="B243" s="3">
        <v>90.333100000000002</v>
      </c>
      <c r="D243" s="2">
        <v>44190</v>
      </c>
      <c r="E243" s="3">
        <v>6.5332999999999997</v>
      </c>
    </row>
    <row r="244" spans="1:5" ht="13.9" x14ac:dyDescent="0.35">
      <c r="A244" s="2">
        <v>44193</v>
      </c>
      <c r="B244" s="3">
        <v>90.284099999999995</v>
      </c>
      <c r="D244" s="2">
        <v>44193</v>
      </c>
      <c r="E244" s="3">
        <v>6.5236000000000001</v>
      </c>
    </row>
    <row r="245" spans="1:5" ht="13.9" x14ac:dyDescent="0.35">
      <c r="A245" s="2">
        <v>44194</v>
      </c>
      <c r="B245" s="3">
        <v>90.004000000000005</v>
      </c>
      <c r="D245" s="2">
        <v>44194</v>
      </c>
      <c r="E245" s="3">
        <v>6.5450999999999997</v>
      </c>
    </row>
    <row r="246" spans="1:5" ht="13.9" x14ac:dyDescent="0.35">
      <c r="A246" s="2">
        <v>44195</v>
      </c>
      <c r="B246" s="3">
        <v>89.600099999999998</v>
      </c>
      <c r="D246" s="2">
        <v>44195</v>
      </c>
      <c r="E246" s="3">
        <v>6.5324999999999998</v>
      </c>
    </row>
    <row r="247" spans="1:5" ht="13.9" x14ac:dyDescent="0.35">
      <c r="A247" s="2">
        <v>44196</v>
      </c>
      <c r="B247" s="3">
        <v>89.958299999999994</v>
      </c>
      <c r="D247" s="2">
        <v>44196</v>
      </c>
      <c r="E247" s="3">
        <v>6.5248999999999997</v>
      </c>
    </row>
    <row r="248" spans="1:5" ht="13.9" x14ac:dyDescent="0.35">
      <c r="A248" s="2">
        <v>44200</v>
      </c>
      <c r="B248" s="3">
        <v>89.877799999999993</v>
      </c>
      <c r="D248" s="2">
        <v>44200</v>
      </c>
      <c r="E248" s="3">
        <v>6.5407999999999999</v>
      </c>
    </row>
    <row r="249" spans="1:5" ht="13.9" x14ac:dyDescent="0.35">
      <c r="A249" s="2">
        <v>44201</v>
      </c>
      <c r="B249" s="3">
        <v>89.475399999999993</v>
      </c>
      <c r="D249" s="2">
        <v>44201</v>
      </c>
      <c r="E249" s="3">
        <v>6.476</v>
      </c>
    </row>
    <row r="250" spans="1:5" ht="13.9" x14ac:dyDescent="0.35">
      <c r="A250" s="2">
        <v>44202</v>
      </c>
      <c r="B250" s="3">
        <v>89.416700000000006</v>
      </c>
      <c r="D250" s="2">
        <v>44202</v>
      </c>
      <c r="E250" s="3">
        <v>6.4603999999999999</v>
      </c>
    </row>
    <row r="251" spans="1:5" ht="13.9" x14ac:dyDescent="0.35">
      <c r="A251" s="2">
        <v>44203</v>
      </c>
      <c r="B251" s="3">
        <v>89.826999999999998</v>
      </c>
      <c r="D251" s="2">
        <v>44203</v>
      </c>
      <c r="E251" s="3">
        <v>6.4607999999999999</v>
      </c>
    </row>
    <row r="252" spans="1:5" ht="13.9" x14ac:dyDescent="0.35">
      <c r="A252" s="2">
        <v>44204</v>
      </c>
      <c r="B252" s="3">
        <v>90.065100000000001</v>
      </c>
      <c r="D252" s="2">
        <v>44204</v>
      </c>
      <c r="E252" s="3">
        <v>6.4707999999999997</v>
      </c>
    </row>
    <row r="253" spans="1:5" ht="13.9" x14ac:dyDescent="0.35">
      <c r="A253" s="2">
        <v>44207</v>
      </c>
      <c r="B253" s="3">
        <v>90.55</v>
      </c>
      <c r="D253" s="2">
        <v>44207</v>
      </c>
      <c r="E253" s="3">
        <v>6.4763999999999999</v>
      </c>
    </row>
    <row r="254" spans="1:5" ht="13.9" x14ac:dyDescent="0.35">
      <c r="A254" s="2">
        <v>44208</v>
      </c>
      <c r="B254" s="3">
        <v>90.04</v>
      </c>
      <c r="D254" s="2">
        <v>44208</v>
      </c>
      <c r="E254" s="3">
        <v>6.4823000000000004</v>
      </c>
    </row>
    <row r="255" spans="1:5" ht="13.9" x14ac:dyDescent="0.35">
      <c r="A255" s="2">
        <v>44209</v>
      </c>
      <c r="B255" s="3">
        <v>90.32</v>
      </c>
      <c r="D255" s="2">
        <v>44209</v>
      </c>
      <c r="E255" s="3">
        <v>6.4604999999999997</v>
      </c>
    </row>
    <row r="256" spans="1:5" ht="13.9" x14ac:dyDescent="0.35">
      <c r="A256" s="2">
        <v>44210</v>
      </c>
      <c r="B256" s="3">
        <v>90.25</v>
      </c>
      <c r="D256" s="2">
        <v>44210</v>
      </c>
      <c r="E256" s="3">
        <v>6.4745999999999997</v>
      </c>
    </row>
    <row r="257" spans="1:5" ht="13.9" x14ac:dyDescent="0.35">
      <c r="A257" s="2">
        <v>44211</v>
      </c>
      <c r="B257" s="3">
        <v>90.79</v>
      </c>
      <c r="D257" s="2">
        <v>44211</v>
      </c>
      <c r="E257" s="3">
        <v>6.4633000000000003</v>
      </c>
    </row>
    <row r="258" spans="1:5" ht="13.9" x14ac:dyDescent="0.35">
      <c r="A258" s="2">
        <v>44214</v>
      </c>
      <c r="B258" s="3">
        <v>90.771600000000007</v>
      </c>
      <c r="D258" s="2">
        <v>44214</v>
      </c>
      <c r="E258" s="3">
        <v>6.4844999999999997</v>
      </c>
    </row>
    <row r="259" spans="1:5" ht="13.9" x14ac:dyDescent="0.35">
      <c r="A259" s="2">
        <v>44215</v>
      </c>
      <c r="B259" s="3">
        <v>90.488200000000006</v>
      </c>
      <c r="D259" s="2">
        <v>44215</v>
      </c>
      <c r="E259" s="3">
        <v>6.4882999999999997</v>
      </c>
    </row>
    <row r="260" spans="1:5" ht="13.9" x14ac:dyDescent="0.35">
      <c r="A260" s="2">
        <v>44216</v>
      </c>
      <c r="B260" s="3">
        <v>90.460099999999997</v>
      </c>
      <c r="D260" s="2">
        <v>44216</v>
      </c>
      <c r="E260" s="3">
        <v>6.4836</v>
      </c>
    </row>
    <row r="261" spans="1:5" ht="13.9" x14ac:dyDescent="0.35">
      <c r="A261" s="2">
        <v>44217</v>
      </c>
      <c r="B261" s="3">
        <v>90.0839</v>
      </c>
      <c r="D261" s="2">
        <v>44217</v>
      </c>
      <c r="E261" s="3">
        <v>6.4695999999999998</v>
      </c>
    </row>
    <row r="262" spans="1:5" ht="13.9" x14ac:dyDescent="0.35">
      <c r="A262" s="2">
        <v>44218</v>
      </c>
      <c r="B262" s="3">
        <v>90.211200000000005</v>
      </c>
      <c r="D262" s="2">
        <v>44218</v>
      </c>
      <c r="E262" s="3">
        <v>6.4617000000000004</v>
      </c>
    </row>
    <row r="263" spans="1:5" ht="13.9" x14ac:dyDescent="0.35">
      <c r="A263" s="2">
        <v>44221</v>
      </c>
      <c r="B263" s="3">
        <v>90.350999999999999</v>
      </c>
      <c r="D263" s="2">
        <v>44221</v>
      </c>
      <c r="E263" s="3">
        <v>6.4819000000000004</v>
      </c>
    </row>
    <row r="264" spans="1:5" ht="13.9" x14ac:dyDescent="0.35">
      <c r="A264" s="2">
        <v>44222</v>
      </c>
      <c r="B264" s="3">
        <v>90.186899999999994</v>
      </c>
      <c r="D264" s="2">
        <v>44222</v>
      </c>
      <c r="E264" s="3">
        <v>6.4847000000000001</v>
      </c>
    </row>
    <row r="265" spans="1:5" ht="13.9" x14ac:dyDescent="0.35">
      <c r="A265" s="2">
        <v>44223</v>
      </c>
      <c r="B265" s="3">
        <v>90.591700000000003</v>
      </c>
      <c r="D265" s="2">
        <v>44223</v>
      </c>
      <c r="E265" s="3">
        <v>6.4664999999999999</v>
      </c>
    </row>
    <row r="266" spans="1:5" ht="13.9" x14ac:dyDescent="0.35">
      <c r="A266" s="2">
        <v>44224</v>
      </c>
      <c r="B266" s="3">
        <v>90.540499999999994</v>
      </c>
      <c r="D266" s="2">
        <v>44224</v>
      </c>
      <c r="E266" s="3">
        <v>6.4844999999999997</v>
      </c>
    </row>
    <row r="267" spans="1:5" ht="13.9" x14ac:dyDescent="0.35">
      <c r="A267" s="2">
        <v>44225</v>
      </c>
      <c r="B267" s="3">
        <v>90.538200000000003</v>
      </c>
      <c r="D267" s="2">
        <v>44225</v>
      </c>
      <c r="E267" s="3">
        <v>6.4709000000000003</v>
      </c>
    </row>
    <row r="268" spans="1:5" ht="13.9" x14ac:dyDescent="0.35">
      <c r="A268" s="2">
        <v>44228</v>
      </c>
      <c r="B268" s="3">
        <v>91.027199999999993</v>
      </c>
      <c r="D268" s="2">
        <v>44228</v>
      </c>
      <c r="E268" s="3">
        <v>6.4622999999999999</v>
      </c>
    </row>
    <row r="269" spans="1:5" ht="13.9" x14ac:dyDescent="0.35">
      <c r="A269" s="2">
        <v>44229</v>
      </c>
      <c r="B269" s="3">
        <v>91.043099999999995</v>
      </c>
      <c r="D269" s="2">
        <v>44229</v>
      </c>
      <c r="E269" s="3">
        <v>6.4736000000000002</v>
      </c>
    </row>
    <row r="270" spans="1:5" ht="13.9" x14ac:dyDescent="0.35">
      <c r="A270" s="2">
        <v>44230</v>
      </c>
      <c r="B270" s="3">
        <v>91.112899999999996</v>
      </c>
      <c r="D270" s="2">
        <v>44230</v>
      </c>
      <c r="E270" s="3">
        <v>6.4668999999999999</v>
      </c>
    </row>
    <row r="271" spans="1:5" ht="13.9" x14ac:dyDescent="0.35">
      <c r="A271" s="2">
        <v>44231</v>
      </c>
      <c r="B271" s="3">
        <v>91.551299999999998</v>
      </c>
      <c r="D271" s="2">
        <v>44231</v>
      </c>
      <c r="E271" s="3">
        <v>6.4604999999999997</v>
      </c>
    </row>
    <row r="272" spans="1:5" ht="13.9" x14ac:dyDescent="0.35">
      <c r="A272" s="2">
        <v>44232</v>
      </c>
      <c r="B272" s="3">
        <v>90.992099999999994</v>
      </c>
      <c r="D272" s="2">
        <v>44232</v>
      </c>
      <c r="E272" s="3">
        <v>6.4710000000000001</v>
      </c>
    </row>
    <row r="273" spans="1:5" ht="13.9" x14ac:dyDescent="0.35">
      <c r="A273" s="2">
        <v>44235</v>
      </c>
      <c r="B273" s="3">
        <v>90.968199999999996</v>
      </c>
      <c r="D273" s="2">
        <v>44235</v>
      </c>
      <c r="E273" s="3">
        <v>6.4678000000000004</v>
      </c>
    </row>
    <row r="274" spans="1:5" ht="13.9" x14ac:dyDescent="0.35">
      <c r="A274" s="2">
        <v>44236</v>
      </c>
      <c r="B274" s="3">
        <v>90.44</v>
      </c>
      <c r="D274" s="2">
        <v>44236</v>
      </c>
      <c r="E274" s="3">
        <v>6.4532999999999996</v>
      </c>
    </row>
    <row r="275" spans="1:5" ht="13.9" x14ac:dyDescent="0.35">
      <c r="A275" s="2">
        <v>44237</v>
      </c>
      <c r="B275" s="3">
        <v>90.428700000000006</v>
      </c>
      <c r="D275" s="2">
        <v>44237</v>
      </c>
      <c r="E275" s="3">
        <v>6.4390999999999998</v>
      </c>
    </row>
    <row r="276" spans="1:5" ht="13.9" x14ac:dyDescent="0.35">
      <c r="A276" s="2">
        <v>44245</v>
      </c>
      <c r="B276" s="3">
        <v>90.555499999999995</v>
      </c>
      <c r="D276" s="2">
        <v>44245</v>
      </c>
      <c r="E276" s="3">
        <v>6.4535999999999998</v>
      </c>
    </row>
    <row r="277" spans="1:5" ht="13.9" x14ac:dyDescent="0.35">
      <c r="A277" s="2">
        <v>44246</v>
      </c>
      <c r="B277" s="3">
        <v>90.339799999999997</v>
      </c>
      <c r="D277" s="2">
        <v>44246</v>
      </c>
      <c r="E277" s="3">
        <v>6.4623999999999997</v>
      </c>
    </row>
    <row r="278" spans="1:5" ht="13.9" x14ac:dyDescent="0.35">
      <c r="A278" s="2">
        <v>44249</v>
      </c>
      <c r="B278" s="3">
        <v>90.0869</v>
      </c>
      <c r="D278" s="2">
        <v>44249</v>
      </c>
      <c r="E278" s="3">
        <v>6.4562999999999997</v>
      </c>
    </row>
    <row r="279" spans="1:5" ht="13.9" x14ac:dyDescent="0.35">
      <c r="A279" s="2">
        <v>44250</v>
      </c>
      <c r="B279" s="3">
        <v>90.1173</v>
      </c>
      <c r="D279" s="2">
        <v>44250</v>
      </c>
      <c r="E279" s="3">
        <v>6.4516</v>
      </c>
    </row>
    <row r="280" spans="1:5" ht="13.9" x14ac:dyDescent="0.35">
      <c r="A280" s="2">
        <v>44251</v>
      </c>
      <c r="B280" s="3">
        <v>90.043499999999995</v>
      </c>
      <c r="D280" s="2">
        <v>44251</v>
      </c>
      <c r="E280" s="3">
        <v>6.4615</v>
      </c>
    </row>
    <row r="281" spans="1:5" ht="13.9" x14ac:dyDescent="0.35">
      <c r="A281" s="2">
        <v>44252</v>
      </c>
      <c r="B281" s="3">
        <v>90.2149</v>
      </c>
      <c r="D281" s="2">
        <v>44252</v>
      </c>
      <c r="E281" s="3">
        <v>6.4522000000000004</v>
      </c>
    </row>
    <row r="282" spans="1:5" ht="13.9" x14ac:dyDescent="0.35">
      <c r="A282" s="2">
        <v>44253</v>
      </c>
      <c r="B282" s="3">
        <v>90.939899999999994</v>
      </c>
      <c r="D282" s="2">
        <v>44253</v>
      </c>
      <c r="E282" s="3">
        <v>6.4713000000000003</v>
      </c>
    </row>
    <row r="283" spans="1:5" ht="13.9" x14ac:dyDescent="0.35">
      <c r="A283" s="2">
        <v>44256</v>
      </c>
      <c r="B283" s="3">
        <v>91.017300000000006</v>
      </c>
      <c r="D283" s="2">
        <v>44256</v>
      </c>
      <c r="E283" s="3">
        <v>6.4753999999999996</v>
      </c>
    </row>
    <row r="284" spans="1:5" ht="13.9" x14ac:dyDescent="0.35">
      <c r="A284" s="2">
        <v>44257</v>
      </c>
      <c r="B284" s="3">
        <v>90.764600000000002</v>
      </c>
      <c r="D284" s="2">
        <v>44257</v>
      </c>
      <c r="E284" s="3">
        <v>6.4625000000000004</v>
      </c>
    </row>
    <row r="285" spans="1:5" ht="13.9" x14ac:dyDescent="0.35">
      <c r="A285" s="2">
        <v>44258</v>
      </c>
      <c r="B285" s="3">
        <v>90.990899999999996</v>
      </c>
      <c r="D285" s="2">
        <v>44258</v>
      </c>
      <c r="E285" s="3">
        <v>6.4565000000000001</v>
      </c>
    </row>
    <row r="286" spans="1:5" ht="13.9" x14ac:dyDescent="0.35">
      <c r="A286" s="2">
        <v>44259</v>
      </c>
      <c r="B286" s="3">
        <v>91.614099999999993</v>
      </c>
      <c r="D286" s="2">
        <v>44259</v>
      </c>
      <c r="E286" s="3">
        <v>6.4757999999999996</v>
      </c>
    </row>
    <row r="287" spans="1:5" ht="13.9" x14ac:dyDescent="0.35">
      <c r="A287" s="2">
        <v>44260</v>
      </c>
      <c r="B287" s="3">
        <v>91.997</v>
      </c>
      <c r="D287" s="2">
        <v>44260</v>
      </c>
      <c r="E287" s="3">
        <v>6.4904000000000002</v>
      </c>
    </row>
    <row r="288" spans="1:5" ht="13.9" x14ac:dyDescent="0.35">
      <c r="A288" s="2">
        <v>44263</v>
      </c>
      <c r="B288" s="3">
        <v>92.407399999999996</v>
      </c>
      <c r="D288" s="2">
        <v>44263</v>
      </c>
      <c r="E288" s="3">
        <v>6.4794999999999998</v>
      </c>
    </row>
    <row r="289" spans="1:5" ht="13.9" x14ac:dyDescent="0.35">
      <c r="A289" s="2">
        <v>44264</v>
      </c>
      <c r="B289" s="3">
        <v>91.9696</v>
      </c>
      <c r="D289" s="2">
        <v>44264</v>
      </c>
      <c r="E289" s="3">
        <v>6.5338000000000003</v>
      </c>
    </row>
    <row r="290" spans="1:5" ht="13.9" x14ac:dyDescent="0.35">
      <c r="A290" s="2">
        <v>44265</v>
      </c>
      <c r="B290" s="3">
        <v>91.781800000000004</v>
      </c>
      <c r="D290" s="2">
        <v>44265</v>
      </c>
      <c r="E290" s="3">
        <v>6.5106000000000002</v>
      </c>
    </row>
    <row r="291" spans="1:5" ht="13.9" x14ac:dyDescent="0.35">
      <c r="A291" s="2">
        <v>44266</v>
      </c>
      <c r="B291" s="3">
        <v>91.417199999999994</v>
      </c>
      <c r="D291" s="2">
        <v>44266</v>
      </c>
      <c r="E291" s="3">
        <v>6.4969999999999999</v>
      </c>
    </row>
    <row r="292" spans="1:5" ht="13.9" x14ac:dyDescent="0.35">
      <c r="A292" s="2">
        <v>44267</v>
      </c>
      <c r="B292" s="3">
        <v>91.667599999999993</v>
      </c>
      <c r="D292" s="2">
        <v>44267</v>
      </c>
      <c r="E292" s="3">
        <v>6.4844999999999997</v>
      </c>
    </row>
    <row r="293" spans="1:5" ht="13.9" x14ac:dyDescent="0.35">
      <c r="A293" s="2">
        <v>44270</v>
      </c>
      <c r="B293" s="3">
        <v>91.803200000000004</v>
      </c>
      <c r="D293" s="2">
        <v>44270</v>
      </c>
      <c r="E293" s="3">
        <v>6.5010000000000003</v>
      </c>
    </row>
    <row r="294" spans="1:5" ht="13.9" x14ac:dyDescent="0.35">
      <c r="A294" s="2">
        <v>44271</v>
      </c>
      <c r="B294" s="3">
        <v>91.875200000000007</v>
      </c>
      <c r="D294" s="2">
        <v>44271</v>
      </c>
      <c r="E294" s="3">
        <v>6.5029000000000003</v>
      </c>
    </row>
    <row r="295" spans="1:5" ht="13.9" x14ac:dyDescent="0.35">
      <c r="A295" s="2">
        <v>44272</v>
      </c>
      <c r="B295" s="3">
        <v>91.973799999999997</v>
      </c>
      <c r="D295" s="2">
        <v>44272</v>
      </c>
      <c r="E295" s="3">
        <v>6.4977999999999998</v>
      </c>
    </row>
    <row r="296" spans="1:5" ht="13.9" x14ac:dyDescent="0.35">
      <c r="A296" s="2">
        <v>44273</v>
      </c>
      <c r="B296" s="3">
        <v>91.828299999999999</v>
      </c>
      <c r="D296" s="2">
        <v>44273</v>
      </c>
      <c r="E296" s="3">
        <v>6.4859</v>
      </c>
    </row>
    <row r="297" spans="1:5" ht="13.9" x14ac:dyDescent="0.35">
      <c r="A297" s="2">
        <v>44274</v>
      </c>
      <c r="B297" s="3">
        <v>91.949299999999994</v>
      </c>
      <c r="D297" s="2">
        <v>44274</v>
      </c>
      <c r="E297" s="3">
        <v>6.5098000000000003</v>
      </c>
    </row>
    <row r="298" spans="1:5" ht="13.9" x14ac:dyDescent="0.35">
      <c r="A298" s="2">
        <v>44277</v>
      </c>
      <c r="B298" s="3">
        <v>91.803100000000001</v>
      </c>
      <c r="D298" s="2">
        <v>44277</v>
      </c>
      <c r="E298" s="3">
        <v>6.5190999999999999</v>
      </c>
    </row>
    <row r="299" spans="1:5" ht="13.9" x14ac:dyDescent="0.35">
      <c r="A299" s="2">
        <v>44278</v>
      </c>
      <c r="B299" s="3">
        <v>92.352699999999999</v>
      </c>
      <c r="D299" s="2">
        <v>44278</v>
      </c>
      <c r="E299" s="3">
        <v>6.5035999999999996</v>
      </c>
    </row>
    <row r="300" spans="1:5" ht="13.9" x14ac:dyDescent="0.35">
      <c r="A300" s="2">
        <v>44279</v>
      </c>
      <c r="B300" s="3">
        <v>92.5886</v>
      </c>
      <c r="D300" s="2">
        <v>44279</v>
      </c>
      <c r="E300" s="3">
        <v>6.5228000000000002</v>
      </c>
    </row>
    <row r="301" spans="1:5" ht="13.9" x14ac:dyDescent="0.35">
      <c r="A301" s="2">
        <v>44280</v>
      </c>
      <c r="B301" s="3">
        <v>92.884600000000006</v>
      </c>
      <c r="D301" s="2">
        <v>44280</v>
      </c>
      <c r="E301" s="3">
        <v>6.5282</v>
      </c>
    </row>
    <row r="302" spans="1:5" ht="13.9" x14ac:dyDescent="0.35">
      <c r="A302" s="2">
        <v>44281</v>
      </c>
      <c r="B302" s="3">
        <v>92.725200000000001</v>
      </c>
      <c r="D302" s="2">
        <v>44281</v>
      </c>
      <c r="E302" s="3">
        <v>6.5376000000000003</v>
      </c>
    </row>
    <row r="303" spans="1:5" ht="13.9" x14ac:dyDescent="0.35">
      <c r="A303" s="2">
        <v>44284</v>
      </c>
      <c r="B303" s="3">
        <v>92.935400000000001</v>
      </c>
      <c r="D303" s="2">
        <v>44284</v>
      </c>
      <c r="E303" s="3">
        <v>6.5415999999999999</v>
      </c>
    </row>
    <row r="304" spans="1:5" ht="13.9" x14ac:dyDescent="0.35">
      <c r="A304" s="2">
        <v>44285</v>
      </c>
      <c r="B304" s="3">
        <v>93.286000000000001</v>
      </c>
      <c r="D304" s="2">
        <v>44285</v>
      </c>
      <c r="E304" s="3">
        <v>6.5640999999999998</v>
      </c>
    </row>
    <row r="305" spans="1:5" ht="13.9" x14ac:dyDescent="0.35">
      <c r="A305" s="2">
        <v>44286</v>
      </c>
      <c r="B305" s="3">
        <v>93.183899999999994</v>
      </c>
      <c r="D305" s="2">
        <v>44286</v>
      </c>
      <c r="E305" s="3">
        <v>6.5712999999999999</v>
      </c>
    </row>
    <row r="306" spans="1:5" ht="13.9" x14ac:dyDescent="0.35">
      <c r="A306" s="2">
        <v>44287</v>
      </c>
      <c r="B306" s="3">
        <v>92.896299999999997</v>
      </c>
      <c r="D306" s="2">
        <v>44287</v>
      </c>
      <c r="E306" s="3">
        <v>6.5583999999999998</v>
      </c>
    </row>
    <row r="307" spans="1:5" ht="13.9" x14ac:dyDescent="0.35">
      <c r="A307" s="2">
        <v>44288</v>
      </c>
      <c r="B307" s="3">
        <v>92.997699999999995</v>
      </c>
      <c r="D307" s="2">
        <v>44288</v>
      </c>
      <c r="E307" s="3">
        <v>6.5648999999999997</v>
      </c>
    </row>
    <row r="308" spans="1:5" ht="13.9" x14ac:dyDescent="0.35">
      <c r="A308" s="2">
        <v>44292</v>
      </c>
      <c r="B308" s="3">
        <v>92.289500000000004</v>
      </c>
      <c r="D308" s="2">
        <v>44292</v>
      </c>
      <c r="E308" s="3">
        <v>6.5526999999999997</v>
      </c>
    </row>
    <row r="309" spans="1:5" ht="13.9" x14ac:dyDescent="0.35">
      <c r="A309" s="2">
        <v>44293</v>
      </c>
      <c r="B309" s="3">
        <v>92.420100000000005</v>
      </c>
      <c r="D309" s="2">
        <v>44293</v>
      </c>
      <c r="E309" s="3">
        <v>6.5384000000000002</v>
      </c>
    </row>
    <row r="310" spans="1:5" ht="13.9" x14ac:dyDescent="0.35">
      <c r="A310" s="2">
        <v>44294</v>
      </c>
      <c r="B310" s="3">
        <v>92.064499999999995</v>
      </c>
      <c r="D310" s="2">
        <v>44294</v>
      </c>
      <c r="E310" s="3">
        <v>6.5462999999999996</v>
      </c>
    </row>
    <row r="311" spans="1:5" ht="13.9" x14ac:dyDescent="0.35">
      <c r="A311" s="2">
        <v>44295</v>
      </c>
      <c r="B311" s="3">
        <v>92.176599999999993</v>
      </c>
      <c r="D311" s="2">
        <v>44295</v>
      </c>
      <c r="E311" s="3">
        <v>6.5408999999999997</v>
      </c>
    </row>
    <row r="312" spans="1:5" ht="13.9" x14ac:dyDescent="0.35">
      <c r="A312" s="2">
        <v>44298</v>
      </c>
      <c r="B312" s="3">
        <v>92.106499999999997</v>
      </c>
      <c r="D312" s="2">
        <v>44298</v>
      </c>
      <c r="E312" s="3">
        <v>6.5578000000000003</v>
      </c>
    </row>
    <row r="313" spans="1:5" ht="13.9" x14ac:dyDescent="0.35">
      <c r="A313" s="2">
        <v>44299</v>
      </c>
      <c r="B313" s="3">
        <v>91.844399999999993</v>
      </c>
      <c r="D313" s="2">
        <v>44299</v>
      </c>
      <c r="E313" s="3">
        <v>6.5453999999999999</v>
      </c>
    </row>
    <row r="314" spans="1:5" ht="13.9" x14ac:dyDescent="0.35">
      <c r="A314" s="2">
        <v>44300</v>
      </c>
      <c r="B314" s="3">
        <v>91.650700000000001</v>
      </c>
      <c r="D314" s="2">
        <v>44300</v>
      </c>
      <c r="E314" s="3">
        <v>6.5362</v>
      </c>
    </row>
    <row r="315" spans="1:5" ht="13.9" x14ac:dyDescent="0.35">
      <c r="A315" s="2">
        <v>44301</v>
      </c>
      <c r="B315" s="3">
        <v>91.679500000000004</v>
      </c>
      <c r="D315" s="2">
        <v>44301</v>
      </c>
      <c r="E315" s="3">
        <v>6.5297000000000001</v>
      </c>
    </row>
    <row r="316" spans="1:5" ht="13.9" x14ac:dyDescent="0.35">
      <c r="A316" s="2">
        <v>44302</v>
      </c>
      <c r="B316" s="3">
        <v>91.536299999999997</v>
      </c>
      <c r="D316" s="2">
        <v>44302</v>
      </c>
      <c r="E316" s="3">
        <v>6.5288000000000004</v>
      </c>
    </row>
    <row r="317" spans="1:5" ht="13.9" x14ac:dyDescent="0.35">
      <c r="A317" s="2">
        <v>44305</v>
      </c>
      <c r="B317" s="3">
        <v>91.099199999999996</v>
      </c>
      <c r="D317" s="2">
        <v>44305</v>
      </c>
      <c r="E317" s="3">
        <v>6.5232999999999999</v>
      </c>
    </row>
    <row r="318" spans="1:5" ht="13.9" x14ac:dyDescent="0.35">
      <c r="A318" s="2">
        <v>44306</v>
      </c>
      <c r="B318" s="3">
        <v>91.194299999999998</v>
      </c>
      <c r="D318" s="2">
        <v>44306</v>
      </c>
      <c r="E318" s="3">
        <v>6.5103</v>
      </c>
    </row>
    <row r="319" spans="1:5" ht="13.9" x14ac:dyDescent="0.35">
      <c r="A319" s="2">
        <v>44307</v>
      </c>
      <c r="B319" s="3">
        <v>91.115099999999998</v>
      </c>
      <c r="D319" s="2">
        <v>44307</v>
      </c>
      <c r="E319" s="3">
        <v>6.5045999999999999</v>
      </c>
    </row>
    <row r="320" spans="1:5" ht="13.9" x14ac:dyDescent="0.35">
      <c r="A320" s="2">
        <v>44308</v>
      </c>
      <c r="B320" s="3">
        <v>91.2774</v>
      </c>
      <c r="D320" s="2">
        <v>44308</v>
      </c>
      <c r="E320" s="3">
        <v>6.4901999999999997</v>
      </c>
    </row>
    <row r="321" spans="1:5" ht="13.9" x14ac:dyDescent="0.35">
      <c r="A321" s="2">
        <v>44309</v>
      </c>
      <c r="B321" s="3">
        <v>90.829499999999996</v>
      </c>
      <c r="D321" s="2">
        <v>44309</v>
      </c>
      <c r="E321" s="3">
        <v>6.4934000000000003</v>
      </c>
    </row>
    <row r="322" spans="1:5" ht="13.9" x14ac:dyDescent="0.35">
      <c r="A322" s="2">
        <v>44312</v>
      </c>
      <c r="B322" s="3">
        <v>90.840500000000006</v>
      </c>
      <c r="D322" s="2">
        <v>44312</v>
      </c>
      <c r="E322" s="3">
        <v>6.4912999999999998</v>
      </c>
    </row>
    <row r="323" spans="1:5" ht="13.9" x14ac:dyDescent="0.35">
      <c r="A323" s="2">
        <v>44313</v>
      </c>
      <c r="B323" s="3">
        <v>90.874899999999997</v>
      </c>
      <c r="D323" s="2">
        <v>44313</v>
      </c>
      <c r="E323" s="3">
        <v>6.4923999999999999</v>
      </c>
    </row>
    <row r="324" spans="1:5" ht="13.9" x14ac:dyDescent="0.35">
      <c r="A324" s="2">
        <v>44314</v>
      </c>
      <c r="B324" s="3">
        <v>90.606399999999994</v>
      </c>
      <c r="D324" s="2">
        <v>44314</v>
      </c>
      <c r="E324" s="3">
        <v>6.4852999999999996</v>
      </c>
    </row>
    <row r="325" spans="1:5" ht="13.9" x14ac:dyDescent="0.35">
      <c r="A325" s="2">
        <v>44315</v>
      </c>
      <c r="B325" s="3">
        <v>90.655500000000004</v>
      </c>
      <c r="D325" s="2">
        <v>44315</v>
      </c>
      <c r="E325" s="3">
        <v>6.4714999999999998</v>
      </c>
    </row>
    <row r="326" spans="1:5" ht="13.9" x14ac:dyDescent="0.35">
      <c r="A326" s="2">
        <v>44316</v>
      </c>
      <c r="B326" s="3">
        <v>91.298500000000004</v>
      </c>
      <c r="D326" s="2">
        <v>44316</v>
      </c>
      <c r="E326" s="3">
        <v>6.4672000000000001</v>
      </c>
    </row>
    <row r="327" spans="1:5" ht="13.9" x14ac:dyDescent="0.35">
      <c r="A327" s="2">
        <v>44322</v>
      </c>
      <c r="B327" s="3">
        <v>90.871499999999997</v>
      </c>
      <c r="D327" s="2">
        <v>44322</v>
      </c>
      <c r="E327" s="3">
        <v>6.4894999999999996</v>
      </c>
    </row>
    <row r="328" spans="1:5" ht="13.9" x14ac:dyDescent="0.35">
      <c r="A328" s="2">
        <v>44323</v>
      </c>
      <c r="B328" s="3">
        <v>90.239500000000007</v>
      </c>
      <c r="D328" s="2">
        <v>44323</v>
      </c>
      <c r="E328" s="3">
        <v>6.4678000000000004</v>
      </c>
    </row>
    <row r="329" spans="1:5" ht="13.9" x14ac:dyDescent="0.35">
      <c r="A329" s="2">
        <v>44326</v>
      </c>
      <c r="B329" s="3">
        <v>90.310199999999995</v>
      </c>
      <c r="D329" s="2">
        <v>44326</v>
      </c>
      <c r="E329" s="3">
        <v>6.4424999999999999</v>
      </c>
    </row>
    <row r="330" spans="1:5" ht="13.9" x14ac:dyDescent="0.35">
      <c r="A330" s="2">
        <v>44327</v>
      </c>
      <c r="B330" s="3">
        <v>90.177700000000002</v>
      </c>
      <c r="D330" s="2">
        <v>44327</v>
      </c>
      <c r="E330" s="3">
        <v>6.4253999999999998</v>
      </c>
    </row>
    <row r="331" spans="1:5" ht="13.9" x14ac:dyDescent="0.35">
      <c r="A331" s="2">
        <v>44328</v>
      </c>
      <c r="B331" s="3">
        <v>90.803299999999993</v>
      </c>
      <c r="D331" s="2">
        <v>44328</v>
      </c>
      <c r="E331" s="3">
        <v>6.4257999999999997</v>
      </c>
    </row>
    <row r="332" spans="1:5" ht="13.9" x14ac:dyDescent="0.35">
      <c r="A332" s="2">
        <v>44329</v>
      </c>
      <c r="B332" s="3">
        <v>90.736999999999995</v>
      </c>
      <c r="D332" s="2">
        <v>44329</v>
      </c>
      <c r="E332" s="3">
        <v>6.4611999999999998</v>
      </c>
    </row>
    <row r="333" spans="1:5" ht="13.9" x14ac:dyDescent="0.35">
      <c r="A333" s="2">
        <v>44330</v>
      </c>
      <c r="B333" s="3">
        <v>90.309399999999997</v>
      </c>
      <c r="D333" s="2">
        <v>44330</v>
      </c>
      <c r="E333" s="3">
        <v>6.4524999999999997</v>
      </c>
    </row>
    <row r="334" spans="1:5" ht="13.9" x14ac:dyDescent="0.35">
      <c r="A334" s="2">
        <v>44333</v>
      </c>
      <c r="B334" s="3">
        <v>90.216300000000004</v>
      </c>
      <c r="D334" s="2">
        <v>44333</v>
      </c>
      <c r="E334" s="3">
        <v>6.4306999999999999</v>
      </c>
    </row>
    <row r="335" spans="1:5" ht="13.9" x14ac:dyDescent="0.35">
      <c r="A335" s="2">
        <v>44334</v>
      </c>
      <c r="B335" s="3">
        <v>89.795000000000002</v>
      </c>
      <c r="D335" s="2">
        <v>44334</v>
      </c>
      <c r="E335" s="3">
        <v>6.4356999999999998</v>
      </c>
    </row>
    <row r="336" spans="1:5" ht="13.9" x14ac:dyDescent="0.35">
      <c r="A336" s="2">
        <v>44335</v>
      </c>
      <c r="B336" s="3">
        <v>90.1828</v>
      </c>
      <c r="D336" s="2">
        <v>44335</v>
      </c>
      <c r="E336" s="3">
        <v>6.4255000000000004</v>
      </c>
    </row>
    <row r="337" spans="1:5" ht="13.9" x14ac:dyDescent="0.35">
      <c r="A337" s="2">
        <v>44336</v>
      </c>
      <c r="B337" s="3">
        <v>89.760199999999998</v>
      </c>
      <c r="D337" s="2">
        <v>44336</v>
      </c>
      <c r="E337" s="3">
        <v>6.4463999999999997</v>
      </c>
    </row>
    <row r="338" spans="1:5" ht="13.9" x14ac:dyDescent="0.35">
      <c r="A338" s="2">
        <v>44337</v>
      </c>
      <c r="B338" s="3">
        <v>90.043199999999999</v>
      </c>
      <c r="D338" s="2">
        <v>44337</v>
      </c>
      <c r="E338" s="3">
        <v>6.43</v>
      </c>
    </row>
    <row r="339" spans="1:5" ht="13.9" x14ac:dyDescent="0.35">
      <c r="A339" s="2">
        <v>44340</v>
      </c>
      <c r="B339" s="3">
        <v>89.836299999999994</v>
      </c>
      <c r="D339" s="2">
        <v>44340</v>
      </c>
      <c r="E339" s="3">
        <v>6.4408000000000003</v>
      </c>
    </row>
    <row r="340" spans="1:5" ht="13.9" x14ac:dyDescent="0.35">
      <c r="A340" s="2">
        <v>44341</v>
      </c>
      <c r="B340" s="3">
        <v>89.668499999999995</v>
      </c>
      <c r="D340" s="2">
        <v>44341</v>
      </c>
      <c r="E340" s="3">
        <v>6.4283000000000001</v>
      </c>
    </row>
    <row r="341" spans="1:5" ht="13.9" x14ac:dyDescent="0.35">
      <c r="A341" s="2">
        <v>44342</v>
      </c>
      <c r="B341" s="3">
        <v>90.057599999999994</v>
      </c>
      <c r="D341" s="2">
        <v>44342</v>
      </c>
      <c r="E341" s="3">
        <v>6.4099000000000004</v>
      </c>
    </row>
    <row r="342" spans="1:5" ht="13.9" x14ac:dyDescent="0.35">
      <c r="A342" s="2">
        <v>44343</v>
      </c>
      <c r="B342" s="3">
        <v>90.001499999999993</v>
      </c>
      <c r="D342" s="2">
        <v>44343</v>
      </c>
      <c r="E342" s="3">
        <v>6.4029999999999996</v>
      </c>
    </row>
    <row r="343" spans="1:5" ht="13.9" x14ac:dyDescent="0.35">
      <c r="A343" s="2">
        <v>44344</v>
      </c>
      <c r="B343" s="3">
        <v>90.054699999999997</v>
      </c>
      <c r="D343" s="2">
        <v>44344</v>
      </c>
      <c r="E343" s="3">
        <v>6.3857999999999997</v>
      </c>
    </row>
    <row r="344" spans="1:5" ht="13.9" x14ac:dyDescent="0.35">
      <c r="A344" s="2">
        <v>44347</v>
      </c>
      <c r="B344" s="3">
        <v>89.846699999999998</v>
      </c>
      <c r="D344" s="2">
        <v>44347</v>
      </c>
      <c r="E344" s="3">
        <v>6.3681999999999999</v>
      </c>
    </row>
    <row r="345" spans="1:5" ht="13.9" x14ac:dyDescent="0.35">
      <c r="A345" s="2">
        <v>44348</v>
      </c>
      <c r="B345" s="3">
        <v>89.931399999999996</v>
      </c>
      <c r="D345" s="2">
        <v>44348</v>
      </c>
      <c r="E345" s="3">
        <v>6.3571999999999997</v>
      </c>
    </row>
    <row r="346" spans="1:5" ht="13.9" x14ac:dyDescent="0.35">
      <c r="A346" s="2">
        <v>44349</v>
      </c>
      <c r="B346" s="3">
        <v>89.898499999999999</v>
      </c>
      <c r="D346" s="2">
        <v>44349</v>
      </c>
      <c r="E346" s="3">
        <v>6.3773</v>
      </c>
    </row>
    <row r="347" spans="1:5" ht="13.9" x14ac:dyDescent="0.35">
      <c r="A347" s="2">
        <v>44350</v>
      </c>
      <c r="B347" s="3">
        <v>90.495000000000005</v>
      </c>
      <c r="D347" s="2">
        <v>44350</v>
      </c>
      <c r="E347" s="3">
        <v>6.3811</v>
      </c>
    </row>
    <row r="348" spans="1:5" ht="13.9" x14ac:dyDescent="0.35">
      <c r="A348" s="2">
        <v>44351</v>
      </c>
      <c r="B348" s="3">
        <v>90.139300000000006</v>
      </c>
      <c r="D348" s="2">
        <v>44351</v>
      </c>
      <c r="E348" s="3">
        <v>6.4071999999999996</v>
      </c>
    </row>
    <row r="349" spans="1:5" x14ac:dyDescent="0.3">
      <c r="A349" s="4">
        <v>44354</v>
      </c>
      <c r="B349" s="5">
        <v>89.9816</v>
      </c>
      <c r="D349" s="4">
        <v>44354</v>
      </c>
      <c r="E349" s="5">
        <v>6.3963000000000001</v>
      </c>
    </row>
    <row r="350" spans="1:5" x14ac:dyDescent="0.3">
      <c r="A350" s="4">
        <v>44355</v>
      </c>
      <c r="B350" s="5">
        <v>90.114400000000003</v>
      </c>
      <c r="D350" s="4">
        <v>44355</v>
      </c>
      <c r="E350" s="5">
        <v>6.3909000000000002</v>
      </c>
    </row>
    <row r="351" spans="1:5" x14ac:dyDescent="0.3">
      <c r="A351" s="4">
        <v>44356</v>
      </c>
      <c r="B351" s="5">
        <v>90.132400000000004</v>
      </c>
      <c r="D351" s="4">
        <v>44356</v>
      </c>
      <c r="E351" s="5">
        <v>6.3956</v>
      </c>
    </row>
    <row r="352" spans="1:5" x14ac:dyDescent="0.3">
      <c r="A352" s="4">
        <v>44357</v>
      </c>
      <c r="B352" s="5">
        <v>90.046499999999995</v>
      </c>
      <c r="D352" s="4">
        <v>44357</v>
      </c>
      <c r="E352" s="5">
        <v>6.3971999999999998</v>
      </c>
    </row>
    <row r="353" spans="1:5" x14ac:dyDescent="0.3">
      <c r="A353" s="4">
        <v>44358</v>
      </c>
      <c r="B353" s="5">
        <v>90.509299999999996</v>
      </c>
      <c r="D353" s="4">
        <v>44358</v>
      </c>
      <c r="E353" s="5">
        <v>6.3856000000000002</v>
      </c>
    </row>
    <row r="354" spans="1:5" x14ac:dyDescent="0.3">
      <c r="A354" s="4">
        <v>44362</v>
      </c>
      <c r="B354" s="5">
        <v>90.522000000000006</v>
      </c>
      <c r="D354" s="4">
        <v>44362</v>
      </c>
      <c r="E354" s="5">
        <v>6.407</v>
      </c>
    </row>
    <row r="355" spans="1:5" x14ac:dyDescent="0.3">
      <c r="A355" s="4">
        <v>44363</v>
      </c>
      <c r="B355" s="5">
        <v>91.401899999999998</v>
      </c>
      <c r="D355" s="4">
        <v>44363</v>
      </c>
      <c r="E355" s="5">
        <v>6.4077999999999999</v>
      </c>
    </row>
    <row r="356" spans="1:5" x14ac:dyDescent="0.3">
      <c r="A356" s="4">
        <v>44364</v>
      </c>
      <c r="B356" s="5">
        <v>91.909599999999998</v>
      </c>
      <c r="D356" s="4">
        <v>44364</v>
      </c>
      <c r="E356" s="5">
        <v>6.4298000000000002</v>
      </c>
    </row>
    <row r="357" spans="1:5" x14ac:dyDescent="0.3">
      <c r="A357" s="4">
        <v>44365</v>
      </c>
      <c r="B357" s="5">
        <v>92.321700000000007</v>
      </c>
      <c r="D357" s="4">
        <v>44365</v>
      </c>
      <c r="E357" s="5">
        <v>6.4360999999999997</v>
      </c>
    </row>
    <row r="358" spans="1:5" x14ac:dyDescent="0.3">
      <c r="A358" s="4">
        <v>44368</v>
      </c>
      <c r="B358" s="5">
        <v>91.855400000000003</v>
      </c>
      <c r="D358" s="4">
        <v>44368</v>
      </c>
      <c r="E358" s="5">
        <v>6.4546000000000001</v>
      </c>
    </row>
    <row r="359" spans="1:5" x14ac:dyDescent="0.3">
      <c r="A359" s="4">
        <v>44369</v>
      </c>
      <c r="B359" s="5">
        <v>91.719300000000004</v>
      </c>
      <c r="D359" s="4">
        <v>44369</v>
      </c>
      <c r="E359" s="5">
        <v>6.4612999999999996</v>
      </c>
    </row>
    <row r="360" spans="1:5" x14ac:dyDescent="0.3">
      <c r="A360" s="4">
        <v>44370</v>
      </c>
      <c r="B360" s="5">
        <v>91.813800000000001</v>
      </c>
      <c r="D360" s="4">
        <v>44370</v>
      </c>
      <c r="E360" s="5">
        <v>6.4621000000000004</v>
      </c>
    </row>
    <row r="361" spans="1:5" x14ac:dyDescent="0.3">
      <c r="A361" s="4">
        <v>44371</v>
      </c>
      <c r="B361" s="5">
        <v>91.815299999999993</v>
      </c>
      <c r="D361" s="4">
        <v>44371</v>
      </c>
      <c r="E361" s="5">
        <v>6.4824000000000002</v>
      </c>
    </row>
    <row r="362" spans="1:5" x14ac:dyDescent="0.3">
      <c r="A362" s="4">
        <v>44372</v>
      </c>
      <c r="B362" s="5">
        <v>91.805700000000002</v>
      </c>
      <c r="D362" s="4">
        <v>44372</v>
      </c>
      <c r="E362" s="5">
        <v>6.4744000000000002</v>
      </c>
    </row>
    <row r="363" spans="1:5" x14ac:dyDescent="0.3">
      <c r="A363" s="4">
        <v>44375</v>
      </c>
      <c r="B363" s="5">
        <v>91.879499999999993</v>
      </c>
      <c r="D363" s="4">
        <v>44375</v>
      </c>
      <c r="E363" s="5">
        <v>6.4577999999999998</v>
      </c>
    </row>
    <row r="364" spans="1:5" x14ac:dyDescent="0.3">
      <c r="A364" s="4">
        <v>44376</v>
      </c>
      <c r="B364" s="5">
        <v>92.094099999999997</v>
      </c>
      <c r="D364" s="4">
        <v>44376</v>
      </c>
      <c r="E364" s="5">
        <v>6.4566999999999997</v>
      </c>
    </row>
    <row r="365" spans="1:5" x14ac:dyDescent="0.3">
      <c r="A365" s="4">
        <v>44377</v>
      </c>
      <c r="B365" s="5">
        <v>92.367099999999994</v>
      </c>
      <c r="D365" s="4">
        <v>44377</v>
      </c>
      <c r="E365" s="5">
        <v>6.4600999999999997</v>
      </c>
    </row>
    <row r="366" spans="1:5" x14ac:dyDescent="0.3">
      <c r="A366" s="4">
        <v>44378</v>
      </c>
      <c r="B366" s="5">
        <v>92.536100000000005</v>
      </c>
      <c r="D366" s="4">
        <v>44378</v>
      </c>
      <c r="E366" s="5">
        <v>6.4709000000000003</v>
      </c>
    </row>
    <row r="367" spans="1:5" x14ac:dyDescent="0.3">
      <c r="A367" s="4">
        <v>44379</v>
      </c>
      <c r="B367" s="5">
        <v>92.245199999999997</v>
      </c>
      <c r="D367" s="4">
        <v>44379</v>
      </c>
      <c r="E367" s="5">
        <v>6.4711999999999996</v>
      </c>
    </row>
    <row r="368" spans="1:5" x14ac:dyDescent="0.3">
      <c r="A368" s="4">
        <v>44382</v>
      </c>
      <c r="B368" s="5">
        <v>92.256600000000006</v>
      </c>
      <c r="D368" s="4">
        <v>44382</v>
      </c>
      <c r="E368" s="5">
        <v>6.4695</v>
      </c>
    </row>
    <row r="369" spans="1:5" x14ac:dyDescent="0.3">
      <c r="A369" s="4">
        <v>44383</v>
      </c>
      <c r="B369" s="5">
        <v>92.539500000000004</v>
      </c>
      <c r="D369" s="4">
        <v>44383</v>
      </c>
      <c r="E369" s="5">
        <v>6.4612999999999996</v>
      </c>
    </row>
    <row r="370" spans="1:5" x14ac:dyDescent="0.3">
      <c r="A370" s="4">
        <v>44384</v>
      </c>
      <c r="B370" s="5">
        <v>92.720600000000005</v>
      </c>
      <c r="D370" s="4">
        <v>44384</v>
      </c>
      <c r="E370" s="5">
        <v>6.4762000000000004</v>
      </c>
    </row>
    <row r="371" spans="1:5" x14ac:dyDescent="0.3">
      <c r="A371" s="4">
        <v>44385</v>
      </c>
      <c r="B371" s="5">
        <v>92.375699999999995</v>
      </c>
      <c r="D371" s="4">
        <v>44385</v>
      </c>
      <c r="E371" s="5">
        <v>6.4705000000000004</v>
      </c>
    </row>
    <row r="372" spans="1:5" x14ac:dyDescent="0.3">
      <c r="A372" s="4">
        <v>44386</v>
      </c>
      <c r="B372" s="5">
        <v>92.101200000000006</v>
      </c>
      <c r="D372" s="4">
        <v>44386</v>
      </c>
      <c r="E372" s="5">
        <v>6.4755000000000003</v>
      </c>
    </row>
    <row r="373" spans="1:5" x14ac:dyDescent="0.3">
      <c r="A373" s="4">
        <v>44389</v>
      </c>
      <c r="B373" s="5">
        <v>92.24</v>
      </c>
      <c r="D373" s="4">
        <v>44389</v>
      </c>
      <c r="E373" s="5">
        <v>6.4785000000000004</v>
      </c>
    </row>
    <row r="374" spans="1:5" x14ac:dyDescent="0.3">
      <c r="A374" s="4">
        <v>44390</v>
      </c>
      <c r="B374" s="5">
        <v>92.787300000000002</v>
      </c>
      <c r="D374" s="4">
        <v>44390</v>
      </c>
      <c r="E374" s="5">
        <v>6.4756999999999998</v>
      </c>
    </row>
    <row r="375" spans="1:5" x14ac:dyDescent="0.3">
      <c r="A375" s="4">
        <v>44391</v>
      </c>
      <c r="B375" s="5">
        <v>92.370099999999994</v>
      </c>
      <c r="D375" s="4">
        <v>44391</v>
      </c>
      <c r="E375" s="5">
        <v>6.4805999999999999</v>
      </c>
    </row>
    <row r="376" spans="1:5" x14ac:dyDescent="0.3">
      <c r="A376" s="4">
        <v>44392</v>
      </c>
      <c r="B376" s="5">
        <v>92.586100000000002</v>
      </c>
      <c r="D376" s="4">
        <v>44392</v>
      </c>
      <c r="E376" s="5">
        <v>6.4640000000000004</v>
      </c>
    </row>
    <row r="377" spans="1:5" x14ac:dyDescent="0.3">
      <c r="A377" s="4">
        <v>44393</v>
      </c>
      <c r="B377" s="5">
        <v>92.714299999999994</v>
      </c>
      <c r="D377" s="4">
        <v>44393</v>
      </c>
      <c r="E377" s="5">
        <v>6.4705000000000004</v>
      </c>
    </row>
    <row r="378" spans="1:5" x14ac:dyDescent="0.3">
      <c r="A378" s="4">
        <v>44396</v>
      </c>
      <c r="B378" s="5">
        <v>92.832700000000003</v>
      </c>
      <c r="D378" s="4">
        <v>44396</v>
      </c>
      <c r="E378" s="5">
        <v>6.47</v>
      </c>
    </row>
    <row r="379" spans="1:5" x14ac:dyDescent="0.3">
      <c r="A379" s="4">
        <v>44397</v>
      </c>
      <c r="B379" s="5">
        <v>92.969499999999996</v>
      </c>
      <c r="D379" s="4">
        <v>44397</v>
      </c>
      <c r="E379" s="5">
        <v>6.4855</v>
      </c>
    </row>
    <row r="380" spans="1:5" x14ac:dyDescent="0.3">
      <c r="A380" s="4">
        <v>44398</v>
      </c>
      <c r="B380" s="5">
        <v>92.790300000000002</v>
      </c>
      <c r="D380" s="4">
        <v>44398</v>
      </c>
      <c r="E380" s="5">
        <v>6.4835000000000003</v>
      </c>
    </row>
    <row r="381" spans="1:5" x14ac:dyDescent="0.3">
      <c r="A381" s="4">
        <v>44399</v>
      </c>
      <c r="B381" s="5">
        <v>92.837699999999998</v>
      </c>
      <c r="D381" s="4">
        <v>44399</v>
      </c>
      <c r="E381" s="5">
        <v>6.4650999999999996</v>
      </c>
    </row>
    <row r="382" spans="1:5" x14ac:dyDescent="0.3">
      <c r="A382" s="4">
        <v>44400</v>
      </c>
      <c r="B382" s="5">
        <v>92.9084</v>
      </c>
      <c r="D382" s="4">
        <v>44400</v>
      </c>
      <c r="E382" s="5">
        <v>6.4649999999999999</v>
      </c>
    </row>
    <row r="383" spans="1:5" x14ac:dyDescent="0.3">
      <c r="A383" s="4">
        <v>44403</v>
      </c>
      <c r="B383" s="5">
        <v>92.632499999999993</v>
      </c>
      <c r="D383" s="4">
        <v>44403</v>
      </c>
      <c r="E383" s="5">
        <v>6.4763000000000002</v>
      </c>
    </row>
    <row r="384" spans="1:5" x14ac:dyDescent="0.3">
      <c r="A384" s="4">
        <v>44404</v>
      </c>
      <c r="B384" s="5">
        <v>92.490099999999998</v>
      </c>
      <c r="D384" s="4">
        <v>44404</v>
      </c>
      <c r="E384" s="5">
        <v>6.4733999999999998</v>
      </c>
    </row>
    <row r="385" spans="1:5" x14ac:dyDescent="0.3">
      <c r="A385" s="4">
        <v>44405</v>
      </c>
      <c r="B385" s="5">
        <v>92.287099999999995</v>
      </c>
      <c r="D385" s="4">
        <v>44405</v>
      </c>
      <c r="E385" s="5">
        <v>6.4928999999999997</v>
      </c>
    </row>
    <row r="386" spans="1:5" x14ac:dyDescent="0.3">
      <c r="A386" s="4">
        <v>44406</v>
      </c>
      <c r="B386" s="5">
        <v>91.907700000000006</v>
      </c>
      <c r="D386" s="4">
        <v>44406</v>
      </c>
      <c r="E386" s="5">
        <v>6.4942000000000002</v>
      </c>
    </row>
    <row r="387" spans="1:5" x14ac:dyDescent="0.3">
      <c r="A387" s="4">
        <v>44407</v>
      </c>
      <c r="B387" s="5">
        <v>92.103200000000001</v>
      </c>
      <c r="D387" s="4">
        <v>44407</v>
      </c>
      <c r="E387" s="5">
        <v>6.4602000000000004</v>
      </c>
    </row>
    <row r="388" spans="1:5" x14ac:dyDescent="0.3">
      <c r="A388" s="4">
        <v>44410</v>
      </c>
      <c r="B388" s="5">
        <v>92.0886</v>
      </c>
      <c r="D388" s="4">
        <v>44410</v>
      </c>
      <c r="E388" s="5">
        <v>6.4660000000000002</v>
      </c>
    </row>
    <row r="389" spans="1:5" x14ac:dyDescent="0.3">
      <c r="A389" s="4">
        <v>44411</v>
      </c>
      <c r="B389" s="5">
        <v>92.066800000000001</v>
      </c>
      <c r="D389" s="4">
        <v>44411</v>
      </c>
      <c r="E389" s="5">
        <v>6.4610000000000003</v>
      </c>
    </row>
    <row r="390" spans="1:5" x14ac:dyDescent="0.3">
      <c r="A390" s="4">
        <v>44412</v>
      </c>
      <c r="B390" s="5">
        <v>92.275300000000001</v>
      </c>
      <c r="D390" s="4">
        <v>44412</v>
      </c>
      <c r="E390" s="5">
        <v>6.4654999999999996</v>
      </c>
    </row>
    <row r="391" spans="1:5" x14ac:dyDescent="0.3">
      <c r="A391" s="4">
        <v>44413</v>
      </c>
      <c r="B391" s="5">
        <v>92.272599999999997</v>
      </c>
      <c r="D391" s="4">
        <v>44413</v>
      </c>
      <c r="E391" s="5">
        <v>6.4691000000000001</v>
      </c>
    </row>
    <row r="392" spans="1:5" x14ac:dyDescent="0.3">
      <c r="A392" s="4">
        <v>44414</v>
      </c>
      <c r="B392" s="5">
        <v>92.782399999999996</v>
      </c>
      <c r="D392" s="4">
        <v>44414</v>
      </c>
      <c r="E392" s="5">
        <v>6.4625000000000004</v>
      </c>
    </row>
    <row r="393" spans="1:5" x14ac:dyDescent="0.3">
      <c r="A393" s="4">
        <v>44417</v>
      </c>
      <c r="B393" s="5">
        <v>92.976600000000005</v>
      </c>
      <c r="D393" s="4">
        <v>44417</v>
      </c>
      <c r="E393" s="5">
        <v>6.484</v>
      </c>
    </row>
    <row r="394" spans="1:5" x14ac:dyDescent="0.3">
      <c r="A394" s="4">
        <v>44418</v>
      </c>
      <c r="B394" s="5">
        <v>93.062899999999999</v>
      </c>
      <c r="D394" s="4">
        <v>44418</v>
      </c>
      <c r="E394" s="5">
        <v>6.4842000000000004</v>
      </c>
    </row>
    <row r="395" spans="1:5" x14ac:dyDescent="0.3">
      <c r="A395" s="4">
        <v>44419</v>
      </c>
      <c r="B395" s="5">
        <v>92.917500000000004</v>
      </c>
      <c r="D395" s="4">
        <v>44419</v>
      </c>
      <c r="E395" s="5">
        <v>6.4831000000000003</v>
      </c>
    </row>
    <row r="396" spans="1:5" x14ac:dyDescent="0.3">
      <c r="A396" s="4">
        <v>44420</v>
      </c>
      <c r="B396" s="5">
        <v>93.025000000000006</v>
      </c>
      <c r="D396" s="4">
        <v>44420</v>
      </c>
      <c r="E396" s="5">
        <v>6.4753999999999996</v>
      </c>
    </row>
    <row r="397" spans="1:5" x14ac:dyDescent="0.3">
      <c r="A397" s="4">
        <v>44421</v>
      </c>
      <c r="B397" s="5">
        <v>92.522599999999997</v>
      </c>
      <c r="D397" s="4">
        <v>44421</v>
      </c>
      <c r="E397" s="5">
        <v>6.4798999999999998</v>
      </c>
    </row>
    <row r="398" spans="1:5" x14ac:dyDescent="0.3">
      <c r="A398" s="4">
        <v>44424</v>
      </c>
      <c r="B398" s="5">
        <v>92.618399999999994</v>
      </c>
      <c r="D398" s="4">
        <v>44424</v>
      </c>
      <c r="E398" s="5">
        <v>6.4717000000000002</v>
      </c>
    </row>
    <row r="399" spans="1:5" x14ac:dyDescent="0.3">
      <c r="A399" s="4">
        <v>44425</v>
      </c>
      <c r="B399" s="5">
        <v>93.144300000000001</v>
      </c>
      <c r="D399" s="4">
        <v>44425</v>
      </c>
      <c r="E399" s="5">
        <v>6.4764999999999997</v>
      </c>
    </row>
    <row r="400" spans="1:5" x14ac:dyDescent="0.3">
      <c r="A400" s="4">
        <v>44426</v>
      </c>
      <c r="B400" s="5">
        <v>93.156999999999996</v>
      </c>
      <c r="D400" s="4">
        <v>44426</v>
      </c>
      <c r="E400" s="5">
        <v>6.4915000000000003</v>
      </c>
    </row>
    <row r="401" spans="1:5" x14ac:dyDescent="0.3">
      <c r="A401" s="4">
        <v>44427</v>
      </c>
      <c r="B401" s="5">
        <v>93.558599999999998</v>
      </c>
      <c r="D401" s="4">
        <v>44427</v>
      </c>
      <c r="E401" s="5">
        <v>6.4852999999999996</v>
      </c>
    </row>
    <row r="402" spans="1:5" x14ac:dyDescent="0.3">
      <c r="A402" s="4">
        <v>44428</v>
      </c>
      <c r="B402" s="5">
        <v>93.457099999999997</v>
      </c>
      <c r="D402" s="4">
        <v>44428</v>
      </c>
      <c r="E402" s="5">
        <v>6.4984000000000002</v>
      </c>
    </row>
    <row r="403" spans="1:5" x14ac:dyDescent="0.3">
      <c r="A403" s="4">
        <v>44431</v>
      </c>
      <c r="B403" s="5">
        <v>92.987499999999997</v>
      </c>
      <c r="D403" s="4">
        <v>44431</v>
      </c>
      <c r="E403" s="5">
        <v>6.4969000000000001</v>
      </c>
    </row>
    <row r="404" spans="1:5" x14ac:dyDescent="0.3">
      <c r="A404" s="4">
        <v>44432</v>
      </c>
      <c r="B404" s="5">
        <v>92.884</v>
      </c>
      <c r="D404" s="4">
        <v>44432</v>
      </c>
      <c r="E404" s="5">
        <v>6.4805000000000001</v>
      </c>
    </row>
    <row r="405" spans="1:5" x14ac:dyDescent="0.3">
      <c r="A405" s="4">
        <v>44433</v>
      </c>
      <c r="B405" s="5">
        <v>92.822000000000003</v>
      </c>
      <c r="D405" s="4">
        <v>44433</v>
      </c>
      <c r="E405" s="5">
        <v>6.4728000000000003</v>
      </c>
    </row>
    <row r="406" spans="1:5" x14ac:dyDescent="0.3">
      <c r="A406" s="4">
        <v>44434</v>
      </c>
      <c r="B406" s="5">
        <v>93.058499999999995</v>
      </c>
      <c r="D406" s="4">
        <v>44434</v>
      </c>
      <c r="E406" s="5">
        <v>6.4729999999999999</v>
      </c>
    </row>
    <row r="407" spans="1:5" x14ac:dyDescent="0.3">
      <c r="A407" s="4">
        <v>44435</v>
      </c>
      <c r="B407" s="5">
        <v>92.700699999999998</v>
      </c>
      <c r="D407" s="4">
        <v>44435</v>
      </c>
      <c r="E407" s="5">
        <v>6.4863</v>
      </c>
    </row>
    <row r="408" spans="1:5" x14ac:dyDescent="0.3">
      <c r="A408" s="4">
        <v>44438</v>
      </c>
      <c r="B408" s="5">
        <v>92.700699999999998</v>
      </c>
      <c r="D408" s="4">
        <v>44438</v>
      </c>
      <c r="E408" s="5">
        <v>6.4676999999999998</v>
      </c>
    </row>
    <row r="409" spans="1:5" x14ac:dyDescent="0.3">
      <c r="A409" s="4">
        <v>44439</v>
      </c>
      <c r="B409" s="5">
        <v>92.653999999999996</v>
      </c>
      <c r="D409" s="4">
        <v>44439</v>
      </c>
      <c r="E409" s="5">
        <v>6.4679000000000002</v>
      </c>
    </row>
    <row r="410" spans="1:5" x14ac:dyDescent="0.3">
      <c r="A410" s="4">
        <v>44440</v>
      </c>
      <c r="B410" s="5">
        <v>92.502700000000004</v>
      </c>
      <c r="D410" s="4">
        <v>44440</v>
      </c>
      <c r="E410" s="5">
        <v>6.468</v>
      </c>
    </row>
    <row r="411" spans="1:5" x14ac:dyDescent="0.3">
      <c r="A411" s="4">
        <v>44441</v>
      </c>
      <c r="B411" s="5">
        <v>92.216700000000003</v>
      </c>
      <c r="D411" s="4">
        <v>44441</v>
      </c>
      <c r="E411" s="5">
        <v>6.4593999999999996</v>
      </c>
    </row>
    <row r="412" spans="1:5" x14ac:dyDescent="0.3">
      <c r="A412" s="4">
        <v>44442</v>
      </c>
      <c r="B412" s="5">
        <v>92.133099999999999</v>
      </c>
      <c r="D412" s="4">
        <v>44442</v>
      </c>
      <c r="E412" s="5">
        <v>6.4577</v>
      </c>
    </row>
    <row r="413" spans="1:5" x14ac:dyDescent="0.3">
      <c r="A413" s="4">
        <v>44445</v>
      </c>
      <c r="B413" s="5">
        <v>92.223500000000001</v>
      </c>
      <c r="D413" s="4">
        <v>44445</v>
      </c>
      <c r="E413" s="5">
        <v>6.4528999999999996</v>
      </c>
    </row>
    <row r="414" spans="1:5" x14ac:dyDescent="0.3">
      <c r="A414" s="4">
        <v>44446</v>
      </c>
      <c r="B414" s="5">
        <v>92.539299999999997</v>
      </c>
      <c r="D414" s="4">
        <v>44446</v>
      </c>
      <c r="E414" s="5">
        <v>6.4532999999999996</v>
      </c>
    </row>
    <row r="415" spans="1:5" x14ac:dyDescent="0.3">
      <c r="A415" s="4">
        <v>44447</v>
      </c>
      <c r="B415" s="5">
        <v>92.715699999999998</v>
      </c>
      <c r="D415" s="4">
        <v>44447</v>
      </c>
      <c r="E415" s="5">
        <v>6.4673999999999996</v>
      </c>
    </row>
    <row r="416" spans="1:5" x14ac:dyDescent="0.3">
      <c r="A416" s="4">
        <v>44448</v>
      </c>
      <c r="B416" s="5">
        <v>92.509399999999999</v>
      </c>
      <c r="D416" s="4">
        <v>44448</v>
      </c>
      <c r="E416" s="5">
        <v>6.4615</v>
      </c>
    </row>
    <row r="417" spans="1:5" x14ac:dyDescent="0.3">
      <c r="A417" s="4">
        <v>44449</v>
      </c>
      <c r="B417" s="5">
        <v>92.639799999999994</v>
      </c>
      <c r="D417" s="4">
        <v>44449</v>
      </c>
      <c r="E417" s="5">
        <v>6.4565999999999999</v>
      </c>
    </row>
    <row r="418" spans="1:5" x14ac:dyDescent="0.3">
      <c r="A418" s="4">
        <v>44452</v>
      </c>
      <c r="B418" s="5">
        <v>92.615099999999998</v>
      </c>
      <c r="D418" s="4">
        <v>44452</v>
      </c>
      <c r="E418" s="5">
        <v>6.4497</v>
      </c>
    </row>
    <row r="419" spans="1:5" x14ac:dyDescent="0.3">
      <c r="A419" s="4">
        <v>44453</v>
      </c>
      <c r="B419" s="5">
        <v>92.663899999999998</v>
      </c>
      <c r="D419" s="4">
        <v>44453</v>
      </c>
      <c r="E419" s="5">
        <v>6.45</v>
      </c>
    </row>
    <row r="420" spans="1:5" x14ac:dyDescent="0.3">
      <c r="A420" s="4">
        <v>44454</v>
      </c>
      <c r="B420" s="5">
        <v>92.489500000000007</v>
      </c>
      <c r="D420" s="4">
        <v>44454</v>
      </c>
      <c r="E420" s="5">
        <v>6.4492000000000003</v>
      </c>
    </row>
    <row r="421" spans="1:5" x14ac:dyDescent="0.3">
      <c r="A421" s="4">
        <v>44455</v>
      </c>
      <c r="B421" s="5">
        <v>92.867699999999999</v>
      </c>
      <c r="D421" s="4">
        <v>44455</v>
      </c>
      <c r="E421" s="5">
        <v>6.4329999999999998</v>
      </c>
    </row>
    <row r="422" spans="1:5" x14ac:dyDescent="0.3">
      <c r="A422" s="4">
        <v>44456</v>
      </c>
      <c r="B422" s="5">
        <v>93.256299999999996</v>
      </c>
      <c r="D422" s="4">
        <v>44456</v>
      </c>
      <c r="E422" s="5">
        <v>6.4527000000000001</v>
      </c>
    </row>
    <row r="423" spans="1:5" x14ac:dyDescent="0.3">
      <c r="A423" s="4">
        <v>44461</v>
      </c>
      <c r="B423" s="5">
        <v>93.476299999999995</v>
      </c>
      <c r="D423" s="4">
        <v>44461</v>
      </c>
      <c r="E423" s="5">
        <v>6.4692999999999996</v>
      </c>
    </row>
    <row r="424" spans="1:5" x14ac:dyDescent="0.3">
      <c r="A424" s="4">
        <v>44462</v>
      </c>
      <c r="B424" s="5">
        <v>93.098699999999994</v>
      </c>
      <c r="D424" s="4">
        <v>44462</v>
      </c>
      <c r="E424" s="5">
        <v>6.4748999999999999</v>
      </c>
    </row>
    <row r="425" spans="1:5" x14ac:dyDescent="0.3">
      <c r="A425" s="4">
        <v>44463</v>
      </c>
      <c r="B425" s="5">
        <v>93.271000000000001</v>
      </c>
      <c r="D425" s="4">
        <v>44463</v>
      </c>
      <c r="E425" s="5">
        <v>6.4599000000000002</v>
      </c>
    </row>
    <row r="426" spans="1:5" x14ac:dyDescent="0.3">
      <c r="A426" s="4">
        <v>44466</v>
      </c>
      <c r="B426" s="5">
        <v>93.422700000000006</v>
      </c>
      <c r="D426" s="4">
        <v>44466</v>
      </c>
      <c r="E426" s="5">
        <v>6.4695</v>
      </c>
    </row>
    <row r="427" spans="1:5" x14ac:dyDescent="0.3">
      <c r="A427" s="4">
        <v>44467</v>
      </c>
      <c r="B427" s="5">
        <v>93.721500000000006</v>
      </c>
      <c r="D427" s="4">
        <v>44467</v>
      </c>
      <c r="E427" s="5">
        <v>6.4607999999999999</v>
      </c>
    </row>
    <row r="428" spans="1:5" x14ac:dyDescent="0.3">
      <c r="A428" s="4">
        <v>44468</v>
      </c>
      <c r="B428" s="5">
        <v>94.3703</v>
      </c>
      <c r="D428" s="4">
        <v>44468</v>
      </c>
      <c r="E428" s="5">
        <v>6.4661999999999997</v>
      </c>
    </row>
    <row r="429" spans="1:5" x14ac:dyDescent="0.3">
      <c r="A429" s="4">
        <v>44469</v>
      </c>
      <c r="B429" s="5">
        <v>94.263800000000003</v>
      </c>
      <c r="D429" s="4">
        <v>44469</v>
      </c>
      <c r="E429" s="5">
        <v>6.4854000000000003</v>
      </c>
    </row>
    <row r="430" spans="1:5" x14ac:dyDescent="0.3">
      <c r="A430" s="4">
        <v>44477</v>
      </c>
      <c r="B430" s="5">
        <v>94.102699999999999</v>
      </c>
      <c r="D430" s="4">
        <v>44477</v>
      </c>
      <c r="E430" s="5">
        <v>6.4603999999999999</v>
      </c>
    </row>
    <row r="431" spans="1:5" x14ac:dyDescent="0.3">
      <c r="A431" s="4">
        <v>44480</v>
      </c>
      <c r="B431" s="5">
        <v>94.366900000000001</v>
      </c>
      <c r="D431" s="4">
        <v>44480</v>
      </c>
      <c r="E431" s="5">
        <v>6.4478999999999997</v>
      </c>
    </row>
    <row r="432" spans="1:5" x14ac:dyDescent="0.3">
      <c r="A432" s="4">
        <v>44481</v>
      </c>
      <c r="B432" s="5">
        <v>94.519599999999997</v>
      </c>
      <c r="D432" s="4">
        <v>44481</v>
      </c>
      <c r="E432" s="5">
        <v>6.4447000000000001</v>
      </c>
    </row>
    <row r="433" spans="1:5" x14ac:dyDescent="0.3">
      <c r="A433" s="4">
        <v>44482</v>
      </c>
      <c r="B433" s="5">
        <v>94.0244</v>
      </c>
      <c r="D433" s="4">
        <v>44482</v>
      </c>
      <c r="E433" s="5">
        <v>6.4611999999999998</v>
      </c>
    </row>
    <row r="434" spans="1:5" x14ac:dyDescent="0.3">
      <c r="A434" s="4">
        <v>44483</v>
      </c>
      <c r="B434" s="5">
        <v>93.982299999999995</v>
      </c>
      <c r="D434" s="4">
        <v>44483</v>
      </c>
      <c r="E434" s="5">
        <v>6.4413999999999998</v>
      </c>
    </row>
    <row r="435" spans="1:5" x14ac:dyDescent="0.3">
      <c r="A435" s="4">
        <v>44484</v>
      </c>
      <c r="B435" s="5">
        <v>93.965699999999998</v>
      </c>
      <c r="D435" s="4">
        <v>44484</v>
      </c>
      <c r="E435" s="5">
        <v>6.4386000000000001</v>
      </c>
    </row>
    <row r="436" spans="1:5" x14ac:dyDescent="0.3">
      <c r="A436" s="4">
        <v>44487</v>
      </c>
      <c r="B436" s="5">
        <v>93.959100000000007</v>
      </c>
      <c r="D436" s="4">
        <v>44487</v>
      </c>
      <c r="E436" s="5">
        <v>6.43</v>
      </c>
    </row>
    <row r="437" spans="1:5" x14ac:dyDescent="0.3">
      <c r="A437" s="4">
        <v>44488</v>
      </c>
      <c r="B437" s="5">
        <v>93.779700000000005</v>
      </c>
      <c r="D437" s="4">
        <v>44488</v>
      </c>
      <c r="E437" s="5">
        <v>6.4306999999999999</v>
      </c>
    </row>
    <row r="438" spans="1:5" x14ac:dyDescent="0.3">
      <c r="A438" s="4">
        <v>44489</v>
      </c>
      <c r="B438" s="5">
        <v>93.611199999999997</v>
      </c>
      <c r="D438" s="4">
        <v>44489</v>
      </c>
      <c r="E438" s="5">
        <v>6.4069000000000003</v>
      </c>
    </row>
    <row r="439" spans="1:5" x14ac:dyDescent="0.3">
      <c r="A439" s="4">
        <v>44490</v>
      </c>
      <c r="B439" s="5">
        <v>93.756200000000007</v>
      </c>
      <c r="D439" s="4">
        <v>44490</v>
      </c>
      <c r="E439" s="5">
        <v>6.3890000000000002</v>
      </c>
    </row>
    <row r="440" spans="1:5" x14ac:dyDescent="0.3">
      <c r="A440" s="4">
        <v>44491</v>
      </c>
      <c r="B440" s="5">
        <v>93.611599999999996</v>
      </c>
      <c r="D440" s="4">
        <v>44491</v>
      </c>
      <c r="E440" s="5">
        <v>6.4032</v>
      </c>
    </row>
    <row r="441" spans="1:5" x14ac:dyDescent="0.3">
      <c r="A441" s="4">
        <v>44494</v>
      </c>
      <c r="B441" s="5">
        <v>93.839299999999994</v>
      </c>
      <c r="D441" s="4">
        <v>44494</v>
      </c>
      <c r="E441" s="5">
        <v>6.3924000000000003</v>
      </c>
    </row>
    <row r="442" spans="1:5" x14ac:dyDescent="0.3">
      <c r="A442" s="4">
        <v>44495</v>
      </c>
      <c r="B442" s="5">
        <v>93.959100000000007</v>
      </c>
      <c r="D442" s="4">
        <v>44495</v>
      </c>
      <c r="E442" s="5">
        <v>6.3890000000000002</v>
      </c>
    </row>
    <row r="443" spans="1:5" x14ac:dyDescent="0.3">
      <c r="A443" s="4">
        <v>44496</v>
      </c>
      <c r="B443" s="5">
        <v>93.864900000000006</v>
      </c>
      <c r="D443" s="4">
        <v>44496</v>
      </c>
      <c r="E443" s="5">
        <v>6.3856000000000002</v>
      </c>
    </row>
    <row r="444" spans="1:5" x14ac:dyDescent="0.3">
      <c r="A444" s="4">
        <v>44497</v>
      </c>
      <c r="B444" s="5">
        <v>93.360600000000005</v>
      </c>
      <c r="D444" s="4">
        <v>44497</v>
      </c>
      <c r="E444" s="5">
        <v>6.3956999999999997</v>
      </c>
    </row>
    <row r="445" spans="1:5" x14ac:dyDescent="0.3">
      <c r="A445" s="4">
        <v>44498</v>
      </c>
      <c r="B445" s="5">
        <v>94.140799999999999</v>
      </c>
      <c r="D445" s="4">
        <v>44498</v>
      </c>
      <c r="E445" s="5">
        <v>6.3906999999999998</v>
      </c>
    </row>
    <row r="446" spans="1:5" x14ac:dyDescent="0.3">
      <c r="A446" s="4">
        <v>44501</v>
      </c>
      <c r="B446" s="5">
        <v>93.871700000000004</v>
      </c>
      <c r="D446" s="4">
        <v>44501</v>
      </c>
      <c r="E446" s="5">
        <v>6.4192</v>
      </c>
    </row>
    <row r="447" spans="1:5" x14ac:dyDescent="0.3">
      <c r="A447" s="4">
        <v>44502</v>
      </c>
      <c r="B447" s="5">
        <v>94.106999999999999</v>
      </c>
      <c r="D447" s="4">
        <v>44502</v>
      </c>
      <c r="E447" s="5">
        <v>6.4009</v>
      </c>
    </row>
    <row r="448" spans="1:5" x14ac:dyDescent="0.3">
      <c r="A448" s="4">
        <v>44503</v>
      </c>
      <c r="B448" s="5">
        <v>93.867099999999994</v>
      </c>
      <c r="D448" s="4">
        <v>44503</v>
      </c>
      <c r="E448" s="5">
        <v>6.4078999999999997</v>
      </c>
    </row>
    <row r="449" spans="1:5" x14ac:dyDescent="0.3">
      <c r="A449" s="4">
        <v>44504</v>
      </c>
      <c r="B449" s="5">
        <v>94.328100000000006</v>
      </c>
      <c r="D449" s="4">
        <v>44504</v>
      </c>
      <c r="E449" s="5">
        <v>6.3943000000000003</v>
      </c>
    </row>
    <row r="450" spans="1:5" x14ac:dyDescent="0.3">
      <c r="A450" s="4">
        <v>44505</v>
      </c>
      <c r="B450" s="5">
        <v>94.224100000000007</v>
      </c>
      <c r="D450" s="4">
        <v>44505</v>
      </c>
      <c r="E450" s="5">
        <v>6.3979999999999997</v>
      </c>
    </row>
    <row r="451" spans="1:5" x14ac:dyDescent="0.3">
      <c r="A451" s="4">
        <v>44508</v>
      </c>
      <c r="B451" s="5">
        <v>94.049300000000002</v>
      </c>
      <c r="D451" s="4">
        <v>44508</v>
      </c>
      <c r="E451" s="5">
        <v>6.3959000000000001</v>
      </c>
    </row>
    <row r="452" spans="1:5" x14ac:dyDescent="0.3">
      <c r="A452" s="4">
        <v>44509</v>
      </c>
      <c r="B452" s="5">
        <v>93.971999999999994</v>
      </c>
      <c r="D452" s="4">
        <v>44509</v>
      </c>
      <c r="E452" s="5">
        <v>6.3902999999999999</v>
      </c>
    </row>
    <row r="453" spans="1:5" x14ac:dyDescent="0.3">
      <c r="A453" s="4">
        <v>44510</v>
      </c>
      <c r="B453" s="5">
        <v>94.899799999999999</v>
      </c>
      <c r="D453" s="4">
        <v>44510</v>
      </c>
      <c r="E453" s="5">
        <v>6.3948</v>
      </c>
    </row>
    <row r="454" spans="1:5" x14ac:dyDescent="0.3">
      <c r="A454" s="4">
        <v>44511</v>
      </c>
      <c r="B454" s="5">
        <v>95.150700000000001</v>
      </c>
      <c r="D454" s="4">
        <v>44511</v>
      </c>
      <c r="E454" s="5">
        <v>6.4145000000000003</v>
      </c>
    </row>
    <row r="455" spans="1:5" x14ac:dyDescent="0.3">
      <c r="A455" s="4">
        <v>44512</v>
      </c>
      <c r="B455" s="5">
        <v>95.116600000000005</v>
      </c>
      <c r="D455" s="4">
        <v>44512</v>
      </c>
      <c r="E455" s="5">
        <v>6.4065000000000003</v>
      </c>
    </row>
    <row r="456" spans="1:5" x14ac:dyDescent="0.3">
      <c r="A456" s="4">
        <v>44515</v>
      </c>
      <c r="B456" s="5">
        <v>95.524199999999993</v>
      </c>
      <c r="D456" s="4">
        <v>44515</v>
      </c>
      <c r="E456" s="5">
        <v>6.3895999999999997</v>
      </c>
    </row>
    <row r="457" spans="1:5" x14ac:dyDescent="0.3">
      <c r="A457" s="4">
        <v>44516</v>
      </c>
      <c r="B457" s="5">
        <v>95.911600000000007</v>
      </c>
      <c r="D457" s="4">
        <v>44516</v>
      </c>
      <c r="E457" s="5">
        <v>6.3924000000000003</v>
      </c>
    </row>
    <row r="458" spans="1:5" x14ac:dyDescent="0.3">
      <c r="A458" s="4">
        <v>44517</v>
      </c>
      <c r="B458" s="5">
        <v>95.799099999999996</v>
      </c>
      <c r="D458" s="4">
        <v>44517</v>
      </c>
      <c r="E458" s="5">
        <v>6.3935000000000004</v>
      </c>
    </row>
    <row r="459" spans="1:5" x14ac:dyDescent="0.3">
      <c r="A459" s="4">
        <v>44518</v>
      </c>
      <c r="B459" s="5">
        <v>95.541399999999996</v>
      </c>
      <c r="D459" s="4">
        <v>44518</v>
      </c>
      <c r="E459" s="5">
        <v>6.3803000000000001</v>
      </c>
    </row>
    <row r="460" spans="1:5" x14ac:dyDescent="0.3">
      <c r="A460" s="4">
        <v>44519</v>
      </c>
      <c r="B460" s="5">
        <v>96.0672</v>
      </c>
      <c r="D460" s="4">
        <v>44519</v>
      </c>
      <c r="E460" s="5">
        <v>6.3825000000000003</v>
      </c>
    </row>
    <row r="461" spans="1:5" x14ac:dyDescent="0.3">
      <c r="A461" s="4">
        <v>44522</v>
      </c>
      <c r="B461" s="5">
        <v>96.503600000000006</v>
      </c>
      <c r="D461" s="4">
        <v>44522</v>
      </c>
      <c r="E461" s="5">
        <v>6.3952</v>
      </c>
    </row>
    <row r="462" spans="1:5" x14ac:dyDescent="0.3">
      <c r="A462" s="4">
        <v>44523</v>
      </c>
      <c r="B462" s="5">
        <v>96.493399999999994</v>
      </c>
      <c r="D462" s="4">
        <v>44523</v>
      </c>
      <c r="E462" s="5">
        <v>6.3929</v>
      </c>
    </row>
    <row r="463" spans="1:5" x14ac:dyDescent="0.3">
      <c r="A463" s="4">
        <v>44524</v>
      </c>
      <c r="B463" s="5">
        <v>96.843000000000004</v>
      </c>
      <c r="D463" s="4">
        <v>44524</v>
      </c>
      <c r="E463" s="5">
        <v>6.3902999999999999</v>
      </c>
    </row>
    <row r="464" spans="1:5" x14ac:dyDescent="0.3">
      <c r="A464" s="4">
        <v>44525</v>
      </c>
      <c r="B464" s="5">
        <v>96.786000000000001</v>
      </c>
      <c r="D464" s="4">
        <v>44525</v>
      </c>
      <c r="E464" s="5">
        <v>6.3979999999999997</v>
      </c>
    </row>
    <row r="465" spans="1:5" x14ac:dyDescent="0.3">
      <c r="A465" s="4">
        <v>44526</v>
      </c>
      <c r="B465" s="5">
        <v>96.063999999999993</v>
      </c>
      <c r="D465" s="4">
        <v>44526</v>
      </c>
      <c r="E465" s="5">
        <v>6.3936000000000002</v>
      </c>
    </row>
    <row r="466" spans="1:5" x14ac:dyDescent="0.3">
      <c r="A466" s="4">
        <v>44529</v>
      </c>
      <c r="B466" s="5">
        <v>96.171999999999997</v>
      </c>
      <c r="D466" s="4">
        <v>44529</v>
      </c>
      <c r="E466" s="5">
        <v>6.3872</v>
      </c>
    </row>
    <row r="467" spans="1:5" x14ac:dyDescent="0.3">
      <c r="A467" s="4">
        <v>44530</v>
      </c>
      <c r="B467" s="5">
        <v>95.897000000000006</v>
      </c>
      <c r="D467" s="4">
        <v>44530</v>
      </c>
      <c r="E467" s="5">
        <v>6.3794000000000004</v>
      </c>
    </row>
    <row r="468" spans="1:5" x14ac:dyDescent="0.3">
      <c r="A468" s="4">
        <v>44531</v>
      </c>
      <c r="B468" s="5">
        <v>96.040700000000001</v>
      </c>
      <c r="D468" s="4">
        <v>44531</v>
      </c>
      <c r="E468" s="5">
        <v>6.3693</v>
      </c>
    </row>
    <row r="469" spans="1:5" x14ac:dyDescent="0.3">
      <c r="A469" s="4">
        <v>44532</v>
      </c>
      <c r="B469" s="5">
        <v>96.124600000000001</v>
      </c>
      <c r="D469" s="4">
        <v>44532</v>
      </c>
      <c r="E469" s="5">
        <v>6.3719000000000001</v>
      </c>
    </row>
    <row r="470" spans="1:5" x14ac:dyDescent="0.3">
      <c r="A470" s="4">
        <v>44533</v>
      </c>
      <c r="B470" s="5">
        <v>96.171499999999995</v>
      </c>
      <c r="D470" s="4">
        <v>44533</v>
      </c>
      <c r="E470" s="5">
        <v>6.3738000000000001</v>
      </c>
    </row>
    <row r="471" spans="1:5" x14ac:dyDescent="0.3">
      <c r="A471" s="4">
        <v>44536</v>
      </c>
      <c r="B471" s="5">
        <v>96.277699999999996</v>
      </c>
      <c r="D471" s="4">
        <v>44536</v>
      </c>
      <c r="E471" s="5">
        <v>6.3701999999999996</v>
      </c>
    </row>
    <row r="472" spans="1:5" x14ac:dyDescent="0.3">
      <c r="A472" s="4">
        <v>44537</v>
      </c>
      <c r="B472" s="5">
        <v>96.304599999999994</v>
      </c>
      <c r="D472" s="4">
        <v>44537</v>
      </c>
      <c r="E472" s="5">
        <v>6.3738000000000001</v>
      </c>
    </row>
    <row r="473" spans="1:5" x14ac:dyDescent="0.3">
      <c r="A473" s="4">
        <v>44538</v>
      </c>
      <c r="B473" s="5">
        <v>95.960400000000007</v>
      </c>
      <c r="D473" s="4">
        <v>44538</v>
      </c>
      <c r="E473" s="5">
        <v>6.3677000000000001</v>
      </c>
    </row>
    <row r="474" spans="1:5" x14ac:dyDescent="0.3">
      <c r="A474" s="4">
        <v>44539</v>
      </c>
      <c r="B474" s="5">
        <v>96.223299999999995</v>
      </c>
      <c r="D474" s="4">
        <v>44539</v>
      </c>
      <c r="E474" s="5">
        <v>6.3498000000000001</v>
      </c>
    </row>
    <row r="475" spans="1:5" x14ac:dyDescent="0.3">
      <c r="A475" s="4">
        <v>44540</v>
      </c>
      <c r="B475" s="5">
        <v>96.049599999999998</v>
      </c>
      <c r="D475" s="4">
        <v>44540</v>
      </c>
      <c r="E475" s="5">
        <v>6.3701999999999996</v>
      </c>
    </row>
    <row r="476" spans="1:5" x14ac:dyDescent="0.3">
      <c r="A476" s="4">
        <v>44543</v>
      </c>
      <c r="B476" s="5">
        <v>96.352900000000005</v>
      </c>
      <c r="D476" s="4">
        <v>44543</v>
      </c>
      <c r="E476" s="5">
        <v>6.3669000000000002</v>
      </c>
    </row>
    <row r="477" spans="1:5" x14ac:dyDescent="0.3">
      <c r="A477" s="4">
        <v>44544</v>
      </c>
      <c r="B477" s="5">
        <v>96.5608</v>
      </c>
      <c r="D477" s="4">
        <v>44544</v>
      </c>
      <c r="E477" s="5">
        <v>6.3674999999999997</v>
      </c>
    </row>
    <row r="478" spans="1:5" x14ac:dyDescent="0.3">
      <c r="A478" s="4">
        <v>44545</v>
      </c>
      <c r="B478" s="5">
        <v>96.342100000000002</v>
      </c>
      <c r="D478" s="4">
        <v>44545</v>
      </c>
      <c r="E478" s="5">
        <v>6.3715999999999999</v>
      </c>
    </row>
    <row r="479" spans="1:5" x14ac:dyDescent="0.3">
      <c r="A479" s="4">
        <v>44546</v>
      </c>
      <c r="B479" s="5">
        <v>95.99</v>
      </c>
      <c r="D479" s="4">
        <v>44546</v>
      </c>
      <c r="E479" s="5">
        <v>6.3636999999999997</v>
      </c>
    </row>
    <row r="480" spans="1:5" x14ac:dyDescent="0.3">
      <c r="A480" s="4">
        <v>44547</v>
      </c>
      <c r="B480" s="5">
        <v>96.675600000000003</v>
      </c>
      <c r="D480" s="4">
        <v>44547</v>
      </c>
      <c r="E480" s="5">
        <v>6.3651</v>
      </c>
    </row>
    <row r="481" spans="1:5" x14ac:dyDescent="0.3">
      <c r="A481" s="4">
        <v>44550</v>
      </c>
      <c r="B481" s="5">
        <v>96.516000000000005</v>
      </c>
      <c r="D481" s="4">
        <v>44550</v>
      </c>
      <c r="E481" s="5">
        <v>6.3933</v>
      </c>
    </row>
    <row r="482" spans="1:5" x14ac:dyDescent="0.3">
      <c r="A482" s="4">
        <v>44551</v>
      </c>
      <c r="B482" s="5">
        <v>96.455699999999993</v>
      </c>
      <c r="D482" s="4">
        <v>44551</v>
      </c>
      <c r="E482" s="5">
        <v>6.3728999999999996</v>
      </c>
    </row>
    <row r="483" spans="1:5" x14ac:dyDescent="0.3">
      <c r="A483" s="4">
        <v>44552</v>
      </c>
      <c r="B483" s="5">
        <v>96.455699999999993</v>
      </c>
      <c r="D483" s="4">
        <v>44552</v>
      </c>
      <c r="E483" s="5">
        <v>6.3703000000000003</v>
      </c>
    </row>
    <row r="484" spans="1:5" x14ac:dyDescent="0.3">
      <c r="A484" s="4">
        <v>44553</v>
      </c>
      <c r="B484" s="5">
        <v>96.060199999999995</v>
      </c>
      <c r="D484" s="4">
        <v>44553</v>
      </c>
      <c r="E484" s="5">
        <v>6.3651</v>
      </c>
    </row>
    <row r="485" spans="1:5" x14ac:dyDescent="0.3">
      <c r="A485" s="4">
        <v>44554</v>
      </c>
      <c r="B485" s="5">
        <v>96.1327</v>
      </c>
      <c r="D485" s="4">
        <v>44554</v>
      </c>
      <c r="E485" s="5">
        <v>6.3692000000000002</v>
      </c>
    </row>
    <row r="486" spans="1:5" x14ac:dyDescent="0.3">
      <c r="A486" s="4">
        <v>44557</v>
      </c>
      <c r="B486" s="5">
        <v>96.072400000000002</v>
      </c>
      <c r="D486" s="4">
        <v>44557</v>
      </c>
      <c r="E486" s="5">
        <v>6.3685999999999998</v>
      </c>
    </row>
    <row r="487" spans="1:5" x14ac:dyDescent="0.3">
      <c r="A487" s="4">
        <v>44558</v>
      </c>
      <c r="B487" s="5">
        <v>96.170299999999997</v>
      </c>
      <c r="D487" s="4">
        <v>44558</v>
      </c>
      <c r="E487" s="5">
        <v>6.3727999999999998</v>
      </c>
    </row>
    <row r="488" spans="1:5" x14ac:dyDescent="0.3">
      <c r="A488" s="4">
        <v>44559</v>
      </c>
      <c r="B488" s="5">
        <v>95.905900000000003</v>
      </c>
      <c r="D488" s="4">
        <v>44559</v>
      </c>
      <c r="E488" s="5">
        <v>6.3734999999999999</v>
      </c>
    </row>
    <row r="489" spans="1:5" x14ac:dyDescent="0.3">
      <c r="A489" s="4">
        <v>44560</v>
      </c>
      <c r="B489" s="5">
        <v>95.970100000000002</v>
      </c>
      <c r="D489" s="4">
        <v>44560</v>
      </c>
      <c r="E489" s="5">
        <v>6.3673999999999999</v>
      </c>
    </row>
    <row r="490" spans="1:5" x14ac:dyDescent="0.3">
      <c r="A490" s="4">
        <v>44561</v>
      </c>
      <c r="B490" s="5">
        <v>95.970100000000002</v>
      </c>
      <c r="D490" s="4">
        <v>44561</v>
      </c>
      <c r="E490" s="5">
        <v>6.3757000000000001</v>
      </c>
    </row>
    <row r="491" spans="1:5" x14ac:dyDescent="0.3">
      <c r="A491" s="4">
        <v>44565</v>
      </c>
      <c r="B491" s="5">
        <v>96.268500000000003</v>
      </c>
      <c r="D491" s="4">
        <v>44565</v>
      </c>
      <c r="E491" s="5">
        <v>6.3794000000000004</v>
      </c>
    </row>
    <row r="492" spans="1:5" x14ac:dyDescent="0.3">
      <c r="A492" s="4">
        <v>44566</v>
      </c>
      <c r="B492" s="5">
        <v>96.173400000000001</v>
      </c>
      <c r="D492" s="4">
        <v>44566</v>
      </c>
      <c r="E492" s="5">
        <v>6.3779000000000003</v>
      </c>
    </row>
    <row r="493" spans="1:5" x14ac:dyDescent="0.3">
      <c r="A493" s="4">
        <v>44567</v>
      </c>
      <c r="B493" s="5">
        <v>96.2316</v>
      </c>
      <c r="D493" s="4">
        <v>44567</v>
      </c>
      <c r="E493" s="5">
        <v>6.3727999999999998</v>
      </c>
    </row>
    <row r="494" spans="1:5" x14ac:dyDescent="0.3">
      <c r="A494" s="4">
        <v>44568</v>
      </c>
      <c r="B494" s="5">
        <v>95.738799999999998</v>
      </c>
      <c r="D494" s="4">
        <v>44568</v>
      </c>
      <c r="E494" s="5">
        <v>6.3742000000000001</v>
      </c>
    </row>
    <row r="495" spans="1:5" x14ac:dyDescent="0.3">
      <c r="A495" s="4">
        <v>44571</v>
      </c>
      <c r="B495" s="5">
        <v>95.953000000000003</v>
      </c>
      <c r="D495" s="4">
        <v>44571</v>
      </c>
      <c r="E495" s="5">
        <v>6.3653000000000004</v>
      </c>
    </row>
    <row r="496" spans="1:5" x14ac:dyDescent="0.3">
      <c r="A496" s="4">
        <v>44572</v>
      </c>
      <c r="B496" s="5">
        <v>95.595699999999994</v>
      </c>
      <c r="D496" s="4">
        <v>44572</v>
      </c>
      <c r="E496" s="5">
        <v>6.3684000000000003</v>
      </c>
    </row>
    <row r="497" spans="1:5" x14ac:dyDescent="0.3">
      <c r="A497" s="4">
        <v>44573</v>
      </c>
      <c r="B497" s="5">
        <v>94.998400000000004</v>
      </c>
      <c r="D497" s="4">
        <v>44573</v>
      </c>
      <c r="E497" s="5">
        <v>6.3658000000000001</v>
      </c>
    </row>
    <row r="498" spans="1:5" x14ac:dyDescent="0.3">
      <c r="A498" s="4">
        <v>44574</v>
      </c>
      <c r="B498" s="5">
        <v>94.882199999999997</v>
      </c>
      <c r="D498" s="4">
        <v>44574</v>
      </c>
      <c r="E498" s="5">
        <v>6.3541999999999996</v>
      </c>
    </row>
    <row r="499" spans="1:5" x14ac:dyDescent="0.3">
      <c r="A499" s="4">
        <v>44575</v>
      </c>
      <c r="B499" s="5">
        <v>95.160600000000002</v>
      </c>
      <c r="D499" s="4">
        <v>44575</v>
      </c>
      <c r="E499" s="5">
        <v>6.3677000000000001</v>
      </c>
    </row>
    <row r="500" spans="1:5" x14ac:dyDescent="0.3">
      <c r="A500" s="4">
        <v>44578</v>
      </c>
      <c r="B500" s="5">
        <v>95.259</v>
      </c>
      <c r="D500" s="4">
        <v>44578</v>
      </c>
      <c r="E500" s="5">
        <v>6.3598999999999997</v>
      </c>
    </row>
    <row r="501" spans="1:5" x14ac:dyDescent="0.3">
      <c r="A501" s="4">
        <v>44579</v>
      </c>
      <c r="B501" s="5">
        <v>95.729799999999997</v>
      </c>
      <c r="D501" s="4">
        <v>44579</v>
      </c>
      <c r="E501" s="5">
        <v>6.3521000000000001</v>
      </c>
    </row>
    <row r="502" spans="1:5" x14ac:dyDescent="0.3">
      <c r="A502" s="4">
        <v>44580</v>
      </c>
      <c r="B502" s="5">
        <v>95.606899999999996</v>
      </c>
      <c r="D502" s="4">
        <v>44580</v>
      </c>
      <c r="E502" s="5">
        <v>6.3624000000000001</v>
      </c>
    </row>
    <row r="503" spans="1:5" x14ac:dyDescent="0.3">
      <c r="A503" s="4">
        <v>44581</v>
      </c>
      <c r="B503" s="5">
        <v>95.794799999999995</v>
      </c>
      <c r="D503" s="4">
        <v>44581</v>
      </c>
      <c r="E503" s="5">
        <v>6.3484999999999996</v>
      </c>
    </row>
    <row r="504" spans="1:5" x14ac:dyDescent="0.3">
      <c r="A504" s="4">
        <v>44582</v>
      </c>
      <c r="B504" s="5">
        <v>95.631699999999995</v>
      </c>
      <c r="D504" s="4">
        <v>44582</v>
      </c>
      <c r="E504" s="5">
        <v>6.3491999999999997</v>
      </c>
    </row>
    <row r="505" spans="1:5" x14ac:dyDescent="0.3">
      <c r="A505" s="4">
        <v>44585</v>
      </c>
      <c r="B505" s="5">
        <v>95.895799999999994</v>
      </c>
      <c r="D505" s="4">
        <v>44585</v>
      </c>
      <c r="E505" s="5">
        <v>6.3411</v>
      </c>
    </row>
    <row r="506" spans="1:5" x14ac:dyDescent="0.3">
      <c r="A506" s="4">
        <v>44586</v>
      </c>
      <c r="B506" s="5">
        <v>95.997500000000002</v>
      </c>
      <c r="D506" s="4">
        <v>44586</v>
      </c>
      <c r="E506" s="5">
        <v>6.3418000000000001</v>
      </c>
    </row>
    <row r="507" spans="1:5" x14ac:dyDescent="0.3">
      <c r="A507" s="4">
        <v>44587</v>
      </c>
      <c r="B507" s="5">
        <v>96.488600000000005</v>
      </c>
      <c r="D507" s="4">
        <v>44587</v>
      </c>
      <c r="E507" s="5">
        <v>6.3246000000000002</v>
      </c>
    </row>
    <row r="508" spans="1:5" x14ac:dyDescent="0.3">
      <c r="A508" s="4">
        <v>44588</v>
      </c>
      <c r="B508" s="5">
        <v>97.228800000000007</v>
      </c>
      <c r="D508" s="4">
        <v>44588</v>
      </c>
      <c r="E508" s="5">
        <v>6.3381999999999996</v>
      </c>
    </row>
    <row r="509" spans="1:5" x14ac:dyDescent="0.3">
      <c r="A509" s="4">
        <v>44589</v>
      </c>
      <c r="B509" s="5">
        <v>97.213499999999996</v>
      </c>
      <c r="D509" s="4">
        <v>44589</v>
      </c>
      <c r="E509" s="5">
        <v>6.3746</v>
      </c>
    </row>
    <row r="510" spans="1:5" x14ac:dyDescent="0.3">
      <c r="A510" s="4">
        <v>44599</v>
      </c>
      <c r="B510" s="5">
        <v>95.412000000000006</v>
      </c>
      <c r="D510" s="4">
        <v>44599</v>
      </c>
      <c r="E510" s="5">
        <v>6.3579999999999997</v>
      </c>
    </row>
    <row r="511" spans="1:5" x14ac:dyDescent="0.3">
      <c r="A511" s="4">
        <v>44600</v>
      </c>
      <c r="B511" s="5">
        <v>95.609499999999997</v>
      </c>
      <c r="D511" s="4">
        <v>44600</v>
      </c>
      <c r="E511" s="5">
        <v>6.3569000000000004</v>
      </c>
    </row>
    <row r="512" spans="1:5" x14ac:dyDescent="0.3">
      <c r="A512" s="4">
        <v>44601</v>
      </c>
      <c r="B512" s="5">
        <v>95.558800000000005</v>
      </c>
      <c r="D512" s="4">
        <v>44601</v>
      </c>
      <c r="E512" s="5">
        <v>6.3653000000000004</v>
      </c>
    </row>
    <row r="513" spans="1:5" x14ac:dyDescent="0.3">
      <c r="A513" s="4">
        <v>44602</v>
      </c>
      <c r="B513" s="5">
        <v>95.679900000000004</v>
      </c>
      <c r="D513" s="4">
        <v>44602</v>
      </c>
      <c r="E513" s="5">
        <v>6.3598999999999997</v>
      </c>
    </row>
    <row r="514" spans="1:5" x14ac:dyDescent="0.3">
      <c r="A514" s="4">
        <v>44603</v>
      </c>
      <c r="B514" s="5">
        <v>96.030900000000003</v>
      </c>
      <c r="D514" s="4">
        <v>44603</v>
      </c>
      <c r="E514" s="5">
        <v>6.3681000000000001</v>
      </c>
    </row>
    <row r="515" spans="1:5" x14ac:dyDescent="0.3">
      <c r="A515" s="4">
        <v>44606</v>
      </c>
      <c r="B515" s="5">
        <v>96.278899999999993</v>
      </c>
      <c r="D515" s="4">
        <v>44606</v>
      </c>
      <c r="E515" s="5">
        <v>6.3663999999999996</v>
      </c>
    </row>
    <row r="516" spans="1:5" x14ac:dyDescent="0.3">
      <c r="A516" s="4">
        <v>44607</v>
      </c>
      <c r="B516" s="5">
        <v>95.9863</v>
      </c>
      <c r="D516" s="4">
        <v>44607</v>
      </c>
      <c r="E516" s="5">
        <v>6.3605</v>
      </c>
    </row>
    <row r="517" spans="1:5" x14ac:dyDescent="0.3">
      <c r="A517" s="4">
        <v>44608</v>
      </c>
      <c r="B517" s="5">
        <v>95.826599999999999</v>
      </c>
      <c r="D517" s="4">
        <v>44608</v>
      </c>
      <c r="E517" s="5">
        <v>6.3463000000000003</v>
      </c>
    </row>
    <row r="518" spans="1:5" x14ac:dyDescent="0.3">
      <c r="A518" s="4">
        <v>44609</v>
      </c>
      <c r="B518" s="5">
        <v>95.821600000000004</v>
      </c>
      <c r="D518" s="4">
        <v>44609</v>
      </c>
      <c r="E518" s="5">
        <v>6.3320999999999996</v>
      </c>
    </row>
    <row r="519" spans="1:5" x14ac:dyDescent="0.3">
      <c r="A519" s="4">
        <v>44610</v>
      </c>
      <c r="B519" s="5">
        <v>96.102400000000003</v>
      </c>
      <c r="D519" s="4">
        <v>44610</v>
      </c>
      <c r="E519" s="5">
        <v>6.3342999999999998</v>
      </c>
    </row>
    <row r="520" spans="1:5" x14ac:dyDescent="0.3">
      <c r="A520" s="4">
        <v>44613</v>
      </c>
      <c r="B520" s="5">
        <v>96.132099999999994</v>
      </c>
      <c r="D520" s="4">
        <v>44613</v>
      </c>
      <c r="E520" s="5">
        <v>6.3400999999999996</v>
      </c>
    </row>
    <row r="521" spans="1:5" x14ac:dyDescent="0.3">
      <c r="A521" s="4">
        <v>44614</v>
      </c>
      <c r="B521" s="5">
        <v>96.084400000000002</v>
      </c>
      <c r="D521" s="4">
        <v>44614</v>
      </c>
      <c r="E521" s="5">
        <v>6.3487</v>
      </c>
    </row>
    <row r="522" spans="1:5" x14ac:dyDescent="0.3">
      <c r="A522" s="4">
        <v>44615</v>
      </c>
      <c r="B522" s="5">
        <v>96.2042</v>
      </c>
      <c r="D522" s="4">
        <v>44615</v>
      </c>
      <c r="E522" s="5">
        <v>6.3312999999999997</v>
      </c>
    </row>
    <row r="523" spans="1:5" x14ac:dyDescent="0.3">
      <c r="A523" s="4">
        <v>44616</v>
      </c>
      <c r="B523" s="5">
        <v>97.090800000000002</v>
      </c>
      <c r="D523" s="4">
        <v>44616</v>
      </c>
      <c r="E523" s="5">
        <v>6.3280000000000003</v>
      </c>
    </row>
    <row r="524" spans="1:5" x14ac:dyDescent="0.3">
      <c r="A524" s="4">
        <v>44617</v>
      </c>
      <c r="B524" s="5">
        <v>96.543300000000002</v>
      </c>
      <c r="D524" s="4">
        <v>44617</v>
      </c>
      <c r="E524" s="5">
        <v>6.3346</v>
      </c>
    </row>
    <row r="525" spans="1:5" x14ac:dyDescent="0.3">
      <c r="A525" s="4">
        <v>44620</v>
      </c>
      <c r="B525" s="5">
        <v>96.706299999999999</v>
      </c>
      <c r="D525" s="4">
        <v>44620</v>
      </c>
      <c r="E525" s="5">
        <v>6.3221999999999996</v>
      </c>
    </row>
    <row r="526" spans="1:5" x14ac:dyDescent="0.3">
      <c r="A526" s="4">
        <v>44621</v>
      </c>
      <c r="B526" s="5">
        <v>97.404399999999995</v>
      </c>
      <c r="D526" s="4">
        <v>44621</v>
      </c>
      <c r="E526" s="5">
        <v>6.3014000000000001</v>
      </c>
    </row>
    <row r="527" spans="1:5" x14ac:dyDescent="0.3">
      <c r="A527" s="4">
        <v>44622</v>
      </c>
      <c r="B527" s="5">
        <v>97.353899999999996</v>
      </c>
      <c r="D527" s="4">
        <v>44622</v>
      </c>
      <c r="E527" s="5">
        <v>6.3350999999999997</v>
      </c>
    </row>
    <row r="528" spans="1:5" x14ac:dyDescent="0.3">
      <c r="A528" s="4">
        <v>44623</v>
      </c>
      <c r="B528" s="5">
        <v>97.726699999999994</v>
      </c>
      <c r="D528" s="4">
        <v>44623</v>
      </c>
      <c r="E528" s="5">
        <v>6.3015999999999996</v>
      </c>
    </row>
    <row r="529" spans="1:5" x14ac:dyDescent="0.3">
      <c r="A529" s="4">
        <v>44624</v>
      </c>
      <c r="B529" s="5">
        <v>98.511300000000006</v>
      </c>
      <c r="D529" s="4">
        <v>44624</v>
      </c>
      <c r="E529" s="5">
        <v>6.3288000000000002</v>
      </c>
    </row>
    <row r="530" spans="1:5" x14ac:dyDescent="0.3">
      <c r="A530" s="4">
        <v>44627</v>
      </c>
      <c r="B530" s="5">
        <v>99.259900000000002</v>
      </c>
      <c r="D530" s="4">
        <v>44627</v>
      </c>
      <c r="E530" s="5">
        <v>6.3478000000000003</v>
      </c>
    </row>
    <row r="531" spans="1:5" x14ac:dyDescent="0.3">
      <c r="A531" s="4">
        <v>44628</v>
      </c>
      <c r="B531" s="5">
        <v>99.128900000000002</v>
      </c>
      <c r="D531" s="4">
        <v>44628</v>
      </c>
      <c r="E531" s="5">
        <v>6.3185000000000002</v>
      </c>
    </row>
    <row r="532" spans="1:5" x14ac:dyDescent="0.3">
      <c r="A532" s="4">
        <v>44629</v>
      </c>
      <c r="B532" s="5">
        <v>97.960099999999997</v>
      </c>
      <c r="D532" s="4">
        <v>44629</v>
      </c>
      <c r="E532" s="5">
        <v>6.3178000000000001</v>
      </c>
    </row>
    <row r="533" spans="1:5" x14ac:dyDescent="0.3">
      <c r="A533" s="4">
        <v>44630</v>
      </c>
      <c r="B533" s="5">
        <v>98.516000000000005</v>
      </c>
      <c r="D533" s="4">
        <v>44630</v>
      </c>
      <c r="E533" s="5">
        <v>6.3105000000000002</v>
      </c>
    </row>
    <row r="534" spans="1:5" x14ac:dyDescent="0.3">
      <c r="A534" s="4">
        <v>44631</v>
      </c>
      <c r="B534" s="5">
        <v>99.126300000000001</v>
      </c>
      <c r="D534" s="4">
        <v>44631</v>
      </c>
      <c r="E534" s="5">
        <v>6.3305999999999996</v>
      </c>
    </row>
    <row r="535" spans="1:5" x14ac:dyDescent="0.3">
      <c r="A535" s="4">
        <v>44634</v>
      </c>
      <c r="B535" s="5">
        <v>99.119299999999996</v>
      </c>
      <c r="D535" s="4">
        <v>44634</v>
      </c>
      <c r="E535" s="5">
        <v>6.3506</v>
      </c>
    </row>
    <row r="536" spans="1:5" x14ac:dyDescent="0.3">
      <c r="A536" s="4">
        <v>44635</v>
      </c>
      <c r="B536" s="5">
        <v>98.991600000000005</v>
      </c>
      <c r="D536" s="4">
        <v>44635</v>
      </c>
      <c r="E536" s="5">
        <v>6.3760000000000003</v>
      </c>
    </row>
    <row r="537" spans="1:5" x14ac:dyDescent="0.3">
      <c r="A537" s="4">
        <v>44636</v>
      </c>
      <c r="B537" s="5">
        <v>98.375500000000002</v>
      </c>
      <c r="D537" s="4">
        <v>44636</v>
      </c>
      <c r="E537" s="5">
        <v>6.38</v>
      </c>
    </row>
    <row r="538" spans="1:5" x14ac:dyDescent="0.3">
      <c r="A538" s="4">
        <v>44637</v>
      </c>
      <c r="B538" s="5">
        <v>98.017499999999998</v>
      </c>
      <c r="D538" s="4">
        <v>44637</v>
      </c>
      <c r="E538" s="5">
        <v>6.3406000000000002</v>
      </c>
    </row>
    <row r="539" spans="1:5" x14ac:dyDescent="0.3">
      <c r="A539" s="4">
        <v>44638</v>
      </c>
      <c r="B539" s="5">
        <v>98.228200000000001</v>
      </c>
      <c r="D539" s="4">
        <v>44638</v>
      </c>
      <c r="E539" s="5">
        <v>6.3425000000000002</v>
      </c>
    </row>
    <row r="540" spans="1:5" x14ac:dyDescent="0.3">
      <c r="A540" s="4">
        <v>44641</v>
      </c>
      <c r="B540" s="5">
        <v>98.4923</v>
      </c>
      <c r="D540" s="4">
        <v>44641</v>
      </c>
      <c r="E540" s="5">
        <v>6.3677000000000001</v>
      </c>
    </row>
    <row r="541" spans="1:5" x14ac:dyDescent="0.3">
      <c r="A541" s="4">
        <v>44642</v>
      </c>
      <c r="B541" s="5">
        <v>98.438599999999994</v>
      </c>
      <c r="D541" s="4">
        <v>44642</v>
      </c>
      <c r="E541" s="5">
        <v>6.3663999999999996</v>
      </c>
    </row>
    <row r="542" spans="1:5" x14ac:dyDescent="0.3">
      <c r="A542" s="4">
        <v>44643</v>
      </c>
      <c r="B542" s="5">
        <v>98.647000000000006</v>
      </c>
      <c r="D542" s="4">
        <v>44643</v>
      </c>
      <c r="E542" s="5">
        <v>6.3558000000000003</v>
      </c>
    </row>
    <row r="543" spans="1:5" x14ac:dyDescent="0.3">
      <c r="A543" s="4">
        <v>44644</v>
      </c>
      <c r="B543" s="5">
        <v>98.789400000000001</v>
      </c>
      <c r="D543" s="4">
        <v>44644</v>
      </c>
      <c r="E543" s="5">
        <v>6.3639999999999999</v>
      </c>
    </row>
    <row r="544" spans="1:5" x14ac:dyDescent="0.3">
      <c r="A544" s="4">
        <v>44645</v>
      </c>
      <c r="B544" s="5">
        <v>98.810299999999998</v>
      </c>
      <c r="D544" s="4">
        <v>44645</v>
      </c>
      <c r="E544" s="5">
        <v>6.3738999999999999</v>
      </c>
    </row>
    <row r="545" spans="1:5" x14ac:dyDescent="0.3">
      <c r="A545" s="4">
        <v>44648</v>
      </c>
      <c r="B545" s="5">
        <v>99.152000000000001</v>
      </c>
      <c r="D545" s="4">
        <v>44648</v>
      </c>
      <c r="E545" s="5">
        <v>6.3731999999999998</v>
      </c>
    </row>
    <row r="546" spans="1:5" x14ac:dyDescent="0.3">
      <c r="A546" s="4">
        <v>44649</v>
      </c>
      <c r="B546" s="5">
        <v>98.425700000000006</v>
      </c>
      <c r="D546" s="4">
        <v>44649</v>
      </c>
      <c r="E546" s="5">
        <v>6.3639999999999999</v>
      </c>
    </row>
    <row r="547" spans="1:5" x14ac:dyDescent="0.3">
      <c r="A547" s="4">
        <v>44650</v>
      </c>
      <c r="B547" s="5">
        <v>97.829700000000003</v>
      </c>
      <c r="D547" s="4">
        <v>44650</v>
      </c>
      <c r="E547" s="5">
        <v>6.3566000000000003</v>
      </c>
    </row>
    <row r="548" spans="1:5" x14ac:dyDescent="0.3">
      <c r="A548" s="4">
        <v>44651</v>
      </c>
      <c r="B548" s="5">
        <v>98.361800000000002</v>
      </c>
      <c r="D548" s="4">
        <v>44651</v>
      </c>
      <c r="E548" s="5">
        <v>6.3482000000000003</v>
      </c>
    </row>
    <row r="549" spans="1:5" x14ac:dyDescent="0.3">
      <c r="A549" s="4">
        <v>44652</v>
      </c>
      <c r="B549" s="5">
        <v>98.570899999999995</v>
      </c>
      <c r="D549" s="4">
        <v>44652</v>
      </c>
      <c r="E549" s="5">
        <v>6.3509000000000002</v>
      </c>
    </row>
    <row r="550" spans="1:5" x14ac:dyDescent="0.3">
      <c r="A550" s="4">
        <v>44657</v>
      </c>
      <c r="B550" s="5">
        <v>99.645700000000005</v>
      </c>
      <c r="D550" s="4">
        <v>44657</v>
      </c>
      <c r="E550" s="5">
        <v>6.3799000000000001</v>
      </c>
    </row>
    <row r="551" spans="1:5" x14ac:dyDescent="0.3">
      <c r="A551" s="4">
        <v>44658</v>
      </c>
      <c r="B551" s="5">
        <v>99.771199999999993</v>
      </c>
      <c r="D551" s="4">
        <v>44658</v>
      </c>
      <c r="E551" s="5">
        <v>6.3658999999999999</v>
      </c>
    </row>
    <row r="552" spans="1:5" x14ac:dyDescent="0.3">
      <c r="A552" s="4">
        <v>44659</v>
      </c>
      <c r="B552" s="5">
        <v>99.843000000000004</v>
      </c>
      <c r="D552" s="4">
        <v>44659</v>
      </c>
      <c r="E552" s="5">
        <v>6.3653000000000004</v>
      </c>
    </row>
    <row r="553" spans="1:5" x14ac:dyDescent="0.3">
      <c r="A553" s="4">
        <v>44662</v>
      </c>
      <c r="B553" s="5">
        <v>99.977500000000006</v>
      </c>
      <c r="D553" s="4">
        <v>44662</v>
      </c>
      <c r="E553" s="5">
        <v>6.3644999999999996</v>
      </c>
    </row>
    <row r="554" spans="1:5" x14ac:dyDescent="0.3">
      <c r="A554" s="4">
        <v>44663</v>
      </c>
      <c r="B554" s="5">
        <v>100.33669999999999</v>
      </c>
      <c r="D554" s="4">
        <v>44663</v>
      </c>
      <c r="E554" s="5">
        <v>6.3795000000000002</v>
      </c>
    </row>
    <row r="555" spans="1:5" x14ac:dyDescent="0.3">
      <c r="A555" s="4">
        <v>44664</v>
      </c>
      <c r="B555" s="5">
        <v>99.838700000000003</v>
      </c>
      <c r="D555" s="4">
        <v>44664</v>
      </c>
      <c r="E555" s="5">
        <v>6.3752000000000004</v>
      </c>
    </row>
    <row r="556" spans="1:5" x14ac:dyDescent="0.3">
      <c r="A556" s="4">
        <v>44665</v>
      </c>
      <c r="B556" s="5">
        <v>100.3048</v>
      </c>
      <c r="D556" s="4">
        <v>44665</v>
      </c>
      <c r="E556" s="5">
        <v>6.3540000000000001</v>
      </c>
    </row>
    <row r="557" spans="1:5" x14ac:dyDescent="0.3">
      <c r="A557" s="4">
        <v>44666</v>
      </c>
      <c r="B557" s="5">
        <v>100.5201</v>
      </c>
      <c r="D557" s="4">
        <v>44666</v>
      </c>
      <c r="E557" s="5">
        <v>6.3895999999999997</v>
      </c>
    </row>
    <row r="558" spans="1:5" x14ac:dyDescent="0.3">
      <c r="A558" s="4">
        <v>44669</v>
      </c>
      <c r="B558" s="5">
        <v>100.7877</v>
      </c>
      <c r="D558" s="4">
        <v>44669</v>
      </c>
      <c r="E558" s="5">
        <v>6.3762999999999996</v>
      </c>
    </row>
    <row r="559" spans="1:5" x14ac:dyDescent="0.3">
      <c r="A559" s="4">
        <v>44670</v>
      </c>
      <c r="B559" s="5">
        <v>100.9863</v>
      </c>
      <c r="D559" s="4">
        <v>44670</v>
      </c>
      <c r="E559" s="5">
        <v>6.3719999999999999</v>
      </c>
    </row>
    <row r="560" spans="1:5" x14ac:dyDescent="0.3">
      <c r="A560" s="4">
        <v>44671</v>
      </c>
      <c r="B560" s="5">
        <v>100.30370000000001</v>
      </c>
      <c r="D560" s="4">
        <v>44671</v>
      </c>
      <c r="E560" s="5">
        <v>6.3996000000000004</v>
      </c>
    </row>
    <row r="561" spans="1:5" x14ac:dyDescent="0.3">
      <c r="A561" s="4">
        <v>44672</v>
      </c>
      <c r="B561" s="5">
        <v>100.62730000000001</v>
      </c>
      <c r="D561" s="4">
        <v>44672</v>
      </c>
      <c r="E561" s="5">
        <v>6.4097999999999997</v>
      </c>
    </row>
    <row r="562" spans="1:5" x14ac:dyDescent="0.3">
      <c r="A562" s="4">
        <v>44673</v>
      </c>
      <c r="B562" s="5">
        <v>101.1233</v>
      </c>
      <c r="D562" s="4">
        <v>44673</v>
      </c>
      <c r="E562" s="5">
        <v>6.4596</v>
      </c>
    </row>
    <row r="563" spans="1:5" x14ac:dyDescent="0.3">
      <c r="A563" s="4">
        <v>44676</v>
      </c>
      <c r="B563" s="5">
        <v>101.7435</v>
      </c>
      <c r="D563" s="4">
        <v>44676</v>
      </c>
      <c r="E563" s="5">
        <v>6.4908999999999999</v>
      </c>
    </row>
    <row r="564" spans="1:5" x14ac:dyDescent="0.3">
      <c r="A564" s="4">
        <v>44677</v>
      </c>
      <c r="B564" s="5">
        <v>101.7393</v>
      </c>
      <c r="D564" s="4">
        <v>44677</v>
      </c>
      <c r="E564" s="5">
        <v>6.5590000000000002</v>
      </c>
    </row>
    <row r="565" spans="1:5" x14ac:dyDescent="0.3">
      <c r="A565" s="4">
        <v>44678</v>
      </c>
      <c r="B565" s="5">
        <v>102.9669</v>
      </c>
      <c r="D565" s="4">
        <v>44678</v>
      </c>
      <c r="E565" s="5">
        <v>6.5598000000000001</v>
      </c>
    </row>
    <row r="566" spans="1:5" x14ac:dyDescent="0.3">
      <c r="A566" s="4">
        <v>44679</v>
      </c>
      <c r="B566" s="5">
        <v>103.6704</v>
      </c>
      <c r="D566" s="4">
        <v>44679</v>
      </c>
      <c r="E566" s="5">
        <v>6.5628000000000002</v>
      </c>
    </row>
    <row r="567" spans="1:5" x14ac:dyDescent="0.3">
      <c r="A567" s="4">
        <v>44680</v>
      </c>
      <c r="B567" s="5">
        <v>103.21729999999999</v>
      </c>
      <c r="D567" s="4">
        <v>44680</v>
      </c>
      <c r="E567" s="5">
        <v>6.6177000000000001</v>
      </c>
    </row>
    <row r="568" spans="1:5" x14ac:dyDescent="0.3">
      <c r="A568" s="4">
        <v>44686</v>
      </c>
      <c r="B568" s="5">
        <v>103.5715</v>
      </c>
      <c r="D568" s="4">
        <v>44686</v>
      </c>
      <c r="E568" s="5">
        <v>6.5671999999999997</v>
      </c>
    </row>
    <row r="569" spans="1:5" x14ac:dyDescent="0.3">
      <c r="A569" s="4">
        <v>44687</v>
      </c>
      <c r="B569" s="5">
        <v>103.6617</v>
      </c>
      <c r="D569" s="4">
        <v>44687</v>
      </c>
      <c r="E569" s="5">
        <v>6.6332000000000004</v>
      </c>
    </row>
    <row r="570" spans="1:5" x14ac:dyDescent="0.3">
      <c r="A570" s="4">
        <v>44690</v>
      </c>
      <c r="B570" s="5">
        <v>103.7264</v>
      </c>
      <c r="D570" s="4">
        <v>44690</v>
      </c>
      <c r="E570" s="5">
        <v>6.6898999999999997</v>
      </c>
    </row>
    <row r="571" spans="1:5" x14ac:dyDescent="0.3">
      <c r="A571" s="4">
        <v>44691</v>
      </c>
      <c r="B571" s="5">
        <v>103.9278</v>
      </c>
      <c r="D571" s="4">
        <v>44691</v>
      </c>
      <c r="E571" s="5">
        <v>6.7134</v>
      </c>
    </row>
    <row r="572" spans="1:5" x14ac:dyDescent="0.3">
      <c r="A572" s="4">
        <v>44692</v>
      </c>
      <c r="B572" s="5">
        <v>104.02</v>
      </c>
      <c r="D572" s="4">
        <v>44692</v>
      </c>
      <c r="E572" s="5">
        <v>6.7290000000000001</v>
      </c>
    </row>
    <row r="573" spans="1:5" x14ac:dyDescent="0.3">
      <c r="A573" s="4">
        <v>44693</v>
      </c>
      <c r="B573" s="5">
        <v>104.75360000000001</v>
      </c>
      <c r="D573" s="4">
        <v>44693</v>
      </c>
      <c r="E573" s="5">
        <v>6.7291999999999996</v>
      </c>
    </row>
    <row r="574" spans="1:5" x14ac:dyDescent="0.3">
      <c r="A574" s="4">
        <v>44694</v>
      </c>
      <c r="B574" s="5">
        <v>104.4509</v>
      </c>
      <c r="D574" s="4">
        <v>44694</v>
      </c>
      <c r="E574" s="5">
        <v>6.7897999999999996</v>
      </c>
    </row>
    <row r="575" spans="1:5" x14ac:dyDescent="0.3">
      <c r="A575" s="4">
        <v>44697</v>
      </c>
      <c r="B575" s="5">
        <v>104.223</v>
      </c>
      <c r="D575" s="4">
        <v>44697</v>
      </c>
      <c r="E575" s="5">
        <v>6.7870999999999997</v>
      </c>
    </row>
    <row r="576" spans="1:5" x14ac:dyDescent="0.3">
      <c r="A576" s="4">
        <v>44698</v>
      </c>
      <c r="B576" s="5">
        <v>103.2971</v>
      </c>
      <c r="D576" s="4">
        <v>44698</v>
      </c>
      <c r="E576" s="5">
        <v>6.7854000000000001</v>
      </c>
    </row>
    <row r="577" spans="1:5" x14ac:dyDescent="0.3">
      <c r="A577" s="4">
        <v>44699</v>
      </c>
      <c r="B577" s="5">
        <v>103.92449999999999</v>
      </c>
      <c r="D577" s="4">
        <v>44699</v>
      </c>
      <c r="E577" s="5">
        <v>6.7420999999999998</v>
      </c>
    </row>
    <row r="578" spans="1:5" x14ac:dyDescent="0.3">
      <c r="A578" s="4">
        <v>44700</v>
      </c>
      <c r="B578" s="5">
        <v>102.8934</v>
      </c>
      <c r="D578" s="4">
        <v>44700</v>
      </c>
      <c r="E578" s="5">
        <v>6.7523999999999997</v>
      </c>
    </row>
    <row r="579" spans="1:5" x14ac:dyDescent="0.3">
      <c r="A579" s="4">
        <v>44701</v>
      </c>
      <c r="B579" s="5">
        <v>103.0334</v>
      </c>
      <c r="D579" s="4">
        <v>44701</v>
      </c>
      <c r="E579" s="5">
        <v>6.7487000000000004</v>
      </c>
    </row>
    <row r="580" spans="1:5" x14ac:dyDescent="0.3">
      <c r="A580" s="4">
        <v>44704</v>
      </c>
      <c r="B580" s="5">
        <v>102.0767</v>
      </c>
      <c r="D580" s="4">
        <v>44704</v>
      </c>
      <c r="E580" s="5">
        <v>6.6756000000000002</v>
      </c>
    </row>
    <row r="581" spans="1:5" x14ac:dyDescent="0.3">
      <c r="A581" s="4">
        <v>44705</v>
      </c>
      <c r="B581" s="5">
        <v>101.7692</v>
      </c>
      <c r="D581" s="4">
        <v>44705</v>
      </c>
      <c r="E581" s="5">
        <v>6.6566000000000001</v>
      </c>
    </row>
    <row r="582" spans="1:5" x14ac:dyDescent="0.3">
      <c r="A582" s="4">
        <v>44706</v>
      </c>
      <c r="B582" s="5">
        <v>102.1262</v>
      </c>
      <c r="D582" s="4">
        <v>44706</v>
      </c>
      <c r="E582" s="5">
        <v>6.6550000000000002</v>
      </c>
    </row>
    <row r="583" spans="1:5" x14ac:dyDescent="0.3">
      <c r="A583" s="4">
        <v>44707</v>
      </c>
      <c r="B583" s="5">
        <v>101.7557</v>
      </c>
      <c r="D583" s="4">
        <v>44707</v>
      </c>
      <c r="E583" s="5">
        <v>6.6765999999999996</v>
      </c>
    </row>
    <row r="584" spans="1:5" x14ac:dyDescent="0.3">
      <c r="A584" s="4">
        <v>44708</v>
      </c>
      <c r="B584" s="5">
        <v>101.6429</v>
      </c>
      <c r="D584" s="4">
        <v>44708</v>
      </c>
      <c r="E584" s="5">
        <v>6.7386999999999997</v>
      </c>
    </row>
    <row r="585" spans="1:5" x14ac:dyDescent="0.3">
      <c r="A585" s="4">
        <v>44711</v>
      </c>
      <c r="B585" s="5">
        <v>101.6454</v>
      </c>
      <c r="D585" s="4">
        <v>44711</v>
      </c>
      <c r="E585" s="5">
        <v>6.7047999999999996</v>
      </c>
    </row>
    <row r="586" spans="1:5" x14ac:dyDescent="0.3">
      <c r="A586" s="4">
        <v>44712</v>
      </c>
      <c r="B586" s="5">
        <v>101.7679</v>
      </c>
      <c r="D586" s="4">
        <v>44712</v>
      </c>
      <c r="E586" s="5">
        <v>6.6607000000000003</v>
      </c>
    </row>
    <row r="587" spans="1:5" x14ac:dyDescent="0.3">
      <c r="A587" s="4">
        <v>44713</v>
      </c>
      <c r="B587" s="5">
        <v>102.56789999999999</v>
      </c>
      <c r="D587" s="4">
        <v>44713</v>
      </c>
      <c r="E587" s="5">
        <v>6.6650999999999998</v>
      </c>
    </row>
    <row r="588" spans="1:5" x14ac:dyDescent="0.3">
      <c r="A588" s="4">
        <v>44714</v>
      </c>
      <c r="B588" s="5">
        <v>101.77970000000001</v>
      </c>
      <c r="D588" s="4">
        <v>44714</v>
      </c>
      <c r="E588" s="5">
        <v>6.7095000000000002</v>
      </c>
    </row>
    <row r="589" spans="1:5" x14ac:dyDescent="0.3">
      <c r="A589" s="4">
        <v>44718</v>
      </c>
      <c r="B589" s="5">
        <v>102.3982</v>
      </c>
      <c r="D589" s="4">
        <v>44718</v>
      </c>
      <c r="E589" s="5">
        <v>6.6691000000000003</v>
      </c>
    </row>
    <row r="590" spans="1:5" x14ac:dyDescent="0.3">
      <c r="A590" s="4">
        <v>44719</v>
      </c>
      <c r="B590" s="5">
        <v>102.3352</v>
      </c>
      <c r="D590" s="4">
        <v>44719</v>
      </c>
      <c r="E590" s="5">
        <v>6.6649000000000003</v>
      </c>
    </row>
    <row r="591" spans="1:5" x14ac:dyDescent="0.3">
      <c r="A591" s="4">
        <v>44720</v>
      </c>
      <c r="B591" s="5">
        <v>102.5613</v>
      </c>
      <c r="D591" s="4">
        <v>44720</v>
      </c>
      <c r="E591" s="5">
        <v>6.6634000000000002</v>
      </c>
    </row>
    <row r="592" spans="1:5" x14ac:dyDescent="0.3">
      <c r="A592" s="4">
        <v>44721</v>
      </c>
      <c r="B592" s="5">
        <v>103.3279</v>
      </c>
      <c r="D592" s="4">
        <v>44721</v>
      </c>
      <c r="E592" s="5">
        <v>6.6810999999999998</v>
      </c>
    </row>
    <row r="593" spans="1:5" x14ac:dyDescent="0.3">
      <c r="A593" s="4">
        <v>44722</v>
      </c>
      <c r="B593" s="5">
        <v>104.1926</v>
      </c>
      <c r="D593" s="4">
        <v>44722</v>
      </c>
      <c r="E593" s="5">
        <v>6.6993999999999998</v>
      </c>
    </row>
    <row r="594" spans="1:5" x14ac:dyDescent="0.3">
      <c r="A594" s="4">
        <v>44725</v>
      </c>
      <c r="B594" s="5">
        <v>105.2277</v>
      </c>
      <c r="D594" s="4">
        <v>44725</v>
      </c>
      <c r="E594" s="5">
        <v>6.7182000000000004</v>
      </c>
    </row>
    <row r="595" spans="1:5" x14ac:dyDescent="0.3">
      <c r="A595" s="4">
        <v>44726</v>
      </c>
      <c r="B595" s="5">
        <v>105.4807</v>
      </c>
      <c r="D595" s="4">
        <v>44726</v>
      </c>
      <c r="E595" s="5">
        <v>6.7481999999999998</v>
      </c>
    </row>
    <row r="596" spans="1:5" x14ac:dyDescent="0.3">
      <c r="A596" s="4">
        <v>44727</v>
      </c>
      <c r="B596" s="5">
        <v>104.8694</v>
      </c>
      <c r="D596" s="4">
        <v>44727</v>
      </c>
      <c r="E596" s="5">
        <v>6.7518000000000002</v>
      </c>
    </row>
    <row r="597" spans="1:5" x14ac:dyDescent="0.3">
      <c r="A597" s="4">
        <v>44728</v>
      </c>
      <c r="B597" s="5">
        <v>103.8326</v>
      </c>
      <c r="D597" s="4">
        <v>44728</v>
      </c>
      <c r="E597" s="5">
        <v>6.7099000000000002</v>
      </c>
    </row>
    <row r="598" spans="1:5" x14ac:dyDescent="0.3">
      <c r="A598" s="4">
        <v>44729</v>
      </c>
      <c r="B598" s="5">
        <v>104.6682</v>
      </c>
      <c r="D598" s="4">
        <v>44729</v>
      </c>
      <c r="E598" s="5">
        <v>6.6923000000000004</v>
      </c>
    </row>
    <row r="599" spans="1:5" x14ac:dyDescent="0.3">
      <c r="A599" s="4">
        <v>44732</v>
      </c>
      <c r="B599" s="5">
        <v>104.50449999999999</v>
      </c>
      <c r="D599" s="4">
        <v>44732</v>
      </c>
      <c r="E599" s="5">
        <v>6.7119999999999997</v>
      </c>
    </row>
    <row r="600" spans="1:5" x14ac:dyDescent="0.3">
      <c r="A600" s="4">
        <v>44733</v>
      </c>
      <c r="B600" s="5">
        <v>104.42440000000001</v>
      </c>
      <c r="D600" s="4">
        <v>44733</v>
      </c>
      <c r="E600" s="5">
        <v>6.6851000000000003</v>
      </c>
    </row>
    <row r="601" spans="1:5" x14ac:dyDescent="0.3">
      <c r="A601" s="4">
        <v>44734</v>
      </c>
      <c r="B601" s="5">
        <v>104.2163</v>
      </c>
      <c r="D601" s="4">
        <v>44734</v>
      </c>
      <c r="E601" s="5">
        <v>6.7108999999999996</v>
      </c>
    </row>
    <row r="602" spans="1:5" x14ac:dyDescent="0.3">
      <c r="A602" s="4">
        <v>44735</v>
      </c>
      <c r="B602" s="5">
        <v>104.4105</v>
      </c>
      <c r="D602" s="4">
        <v>44735</v>
      </c>
      <c r="E602" s="5">
        <v>6.7079000000000004</v>
      </c>
    </row>
    <row r="603" spans="1:5" x14ac:dyDescent="0.3">
      <c r="A603" s="4">
        <v>44736</v>
      </c>
      <c r="B603" s="5">
        <v>104.13030000000001</v>
      </c>
      <c r="D603" s="4">
        <v>44736</v>
      </c>
      <c r="E603" s="5">
        <v>6.7</v>
      </c>
    </row>
    <row r="604" spans="1:5" x14ac:dyDescent="0.3">
      <c r="A604" s="4">
        <v>44739</v>
      </c>
      <c r="B604" s="5">
        <v>103.9569</v>
      </c>
      <c r="D604" s="4">
        <v>44739</v>
      </c>
      <c r="E604" s="5">
        <v>6.6849999999999996</v>
      </c>
    </row>
    <row r="605" spans="1:5" x14ac:dyDescent="0.3">
      <c r="A605" s="4">
        <v>44740</v>
      </c>
      <c r="B605" s="5">
        <v>104.5001</v>
      </c>
      <c r="D605" s="4">
        <v>44740</v>
      </c>
      <c r="E605" s="5">
        <v>6.6929999999999996</v>
      </c>
    </row>
    <row r="606" spans="1:5" x14ac:dyDescent="0.3">
      <c r="A606" s="4">
        <v>44741</v>
      </c>
      <c r="B606" s="5">
        <v>105.1129</v>
      </c>
      <c r="D606" s="4">
        <v>44741</v>
      </c>
      <c r="E606" s="5">
        <v>6.7035</v>
      </c>
    </row>
    <row r="607" spans="1:5" x14ac:dyDescent="0.3">
      <c r="A607" s="4">
        <v>44742</v>
      </c>
      <c r="B607" s="5">
        <v>104.70569999999999</v>
      </c>
      <c r="D607" s="4">
        <v>44742</v>
      </c>
      <c r="E607" s="5">
        <v>6.7114000000000003</v>
      </c>
    </row>
    <row r="608" spans="1:5" x14ac:dyDescent="0.3">
      <c r="A608" s="4">
        <v>44743</v>
      </c>
      <c r="B608" s="5">
        <v>105.116</v>
      </c>
      <c r="D608" s="4">
        <v>44743</v>
      </c>
      <c r="E608" s="5">
        <v>6.6863000000000001</v>
      </c>
    </row>
    <row r="609" spans="1:5" x14ac:dyDescent="0.3">
      <c r="A609" s="4">
        <v>44746</v>
      </c>
      <c r="B609" s="5">
        <v>105.1764</v>
      </c>
      <c r="D609" s="4">
        <v>44746</v>
      </c>
      <c r="E609" s="5">
        <v>6.7070999999999996</v>
      </c>
    </row>
    <row r="610" spans="1:5" x14ac:dyDescent="0.3">
      <c r="A610" s="4">
        <v>44747</v>
      </c>
      <c r="B610" s="5">
        <v>106.521</v>
      </c>
      <c r="D610" s="4">
        <v>44747</v>
      </c>
      <c r="E610" s="5">
        <v>6.6985999999999999</v>
      </c>
    </row>
    <row r="611" spans="1:5" x14ac:dyDescent="0.3">
      <c r="A611" s="4">
        <v>44748</v>
      </c>
      <c r="B611" s="5">
        <v>107.0829</v>
      </c>
      <c r="D611" s="4">
        <v>44748</v>
      </c>
      <c r="E611" s="5">
        <v>6.7245999999999997</v>
      </c>
    </row>
    <row r="612" spans="1:5" x14ac:dyDescent="0.3">
      <c r="A612" s="4">
        <v>44749</v>
      </c>
      <c r="B612" s="5">
        <v>107.0716</v>
      </c>
      <c r="D612" s="4">
        <v>44749</v>
      </c>
      <c r="E612" s="5">
        <v>6.7142999999999997</v>
      </c>
    </row>
    <row r="613" spans="1:5" x14ac:dyDescent="0.3">
      <c r="A613" s="4">
        <v>44750</v>
      </c>
      <c r="B613" s="5">
        <v>106.8951</v>
      </c>
      <c r="D613" s="4">
        <v>44750</v>
      </c>
      <c r="E613" s="5">
        <v>6.7098000000000004</v>
      </c>
    </row>
    <row r="614" spans="1:5" x14ac:dyDescent="0.3">
      <c r="A614" s="4">
        <v>44753</v>
      </c>
      <c r="B614" s="5">
        <v>108.2193</v>
      </c>
      <c r="D614" s="4">
        <v>44753</v>
      </c>
      <c r="E614" s="5">
        <v>6.6959999999999997</v>
      </c>
    </row>
    <row r="615" spans="1:5" x14ac:dyDescent="0.3">
      <c r="A615" s="4">
        <v>44754</v>
      </c>
      <c r="B615" s="5">
        <v>108.1571</v>
      </c>
      <c r="D615" s="4">
        <v>44754</v>
      </c>
      <c r="E615" s="5">
        <v>6.7286999999999999</v>
      </c>
    </row>
    <row r="616" spans="1:5" x14ac:dyDescent="0.3">
      <c r="A616" s="4">
        <v>44755</v>
      </c>
      <c r="B616" s="5">
        <v>108.04519999999999</v>
      </c>
      <c r="D616" s="4">
        <v>44755</v>
      </c>
      <c r="E616" s="5">
        <v>6.7282000000000002</v>
      </c>
    </row>
    <row r="617" spans="1:5" x14ac:dyDescent="0.3">
      <c r="A617" s="4">
        <v>44756</v>
      </c>
      <c r="B617" s="5">
        <v>108.6379</v>
      </c>
      <c r="D617" s="4">
        <v>44756</v>
      </c>
      <c r="E617" s="5">
        <v>6.7264999999999997</v>
      </c>
    </row>
    <row r="618" spans="1:5" x14ac:dyDescent="0.3">
      <c r="A618" s="4">
        <v>44757</v>
      </c>
      <c r="B618" s="5">
        <v>107.9817</v>
      </c>
      <c r="D618" s="4">
        <v>44757</v>
      </c>
      <c r="E618" s="5">
        <v>6.7503000000000002</v>
      </c>
    </row>
    <row r="619" spans="1:5" x14ac:dyDescent="0.3">
      <c r="A619" s="4">
        <v>44760</v>
      </c>
      <c r="B619" s="5">
        <v>107.46</v>
      </c>
      <c r="D619" s="4">
        <v>44760</v>
      </c>
      <c r="E619" s="5">
        <v>6.7446999999999999</v>
      </c>
    </row>
    <row r="620" spans="1:5" x14ac:dyDescent="0.3">
      <c r="A620" s="4">
        <v>44761</v>
      </c>
      <c r="B620" s="5">
        <v>106.7089</v>
      </c>
      <c r="D620" s="4">
        <v>44761</v>
      </c>
      <c r="E620" s="5">
        <v>6.7450999999999999</v>
      </c>
    </row>
    <row r="621" spans="1:5" x14ac:dyDescent="0.3">
      <c r="A621" s="4">
        <v>44762</v>
      </c>
      <c r="B621" s="5">
        <v>107.03449999999999</v>
      </c>
      <c r="D621" s="4">
        <v>44762</v>
      </c>
      <c r="E621" s="5">
        <v>6.7465000000000002</v>
      </c>
    </row>
    <row r="622" spans="1:5" x14ac:dyDescent="0.3">
      <c r="A622" s="4">
        <v>44763</v>
      </c>
      <c r="B622" s="5">
        <v>106.5673</v>
      </c>
      <c r="D622" s="4">
        <v>44763</v>
      </c>
      <c r="E622" s="5">
        <v>6.7619999999999996</v>
      </c>
    </row>
    <row r="623" spans="1:5" x14ac:dyDescent="0.3">
      <c r="A623" s="4">
        <v>44764</v>
      </c>
      <c r="B623" s="5">
        <v>106.5518</v>
      </c>
      <c r="D623" s="4">
        <v>44764</v>
      </c>
      <c r="E623" s="5">
        <v>6.7522000000000002</v>
      </c>
    </row>
    <row r="624" spans="1:5" x14ac:dyDescent="0.3">
      <c r="A624" s="4">
        <v>44767</v>
      </c>
      <c r="B624" s="5">
        <v>106.5518</v>
      </c>
      <c r="D624" s="4">
        <v>44767</v>
      </c>
      <c r="E624" s="5">
        <v>6.7542999999999997</v>
      </c>
    </row>
    <row r="625" spans="1:5" x14ac:dyDescent="0.3">
      <c r="A625" s="4">
        <v>44768</v>
      </c>
      <c r="B625" s="5">
        <v>107.23520000000001</v>
      </c>
      <c r="D625" s="4">
        <v>44768</v>
      </c>
      <c r="E625" s="5">
        <v>6.7483000000000004</v>
      </c>
    </row>
    <row r="626" spans="1:5" x14ac:dyDescent="0.3">
      <c r="A626" s="4">
        <v>44769</v>
      </c>
      <c r="B626" s="5">
        <v>106.48609999999999</v>
      </c>
      <c r="D626" s="4">
        <v>44769</v>
      </c>
      <c r="E626" s="5">
        <v>6.7731000000000003</v>
      </c>
    </row>
    <row r="627" spans="1:5" x14ac:dyDescent="0.3">
      <c r="A627" s="4">
        <v>44770</v>
      </c>
      <c r="B627" s="5">
        <v>106.1656</v>
      </c>
      <c r="D627" s="4">
        <v>44770</v>
      </c>
      <c r="E627" s="5">
        <v>6.7411000000000003</v>
      </c>
    </row>
    <row r="628" spans="1:5" x14ac:dyDescent="0.3">
      <c r="A628" s="4">
        <v>44771</v>
      </c>
      <c r="B628" s="5">
        <v>105.8361</v>
      </c>
      <c r="D628" s="4">
        <v>44771</v>
      </c>
      <c r="E628" s="5">
        <v>6.7436999999999996</v>
      </c>
    </row>
    <row r="629" spans="1:5" x14ac:dyDescent="0.3">
      <c r="A629" s="4">
        <v>44774</v>
      </c>
      <c r="B629" s="5">
        <v>105.3887</v>
      </c>
      <c r="D629" s="4">
        <v>44774</v>
      </c>
      <c r="E629" s="5">
        <v>6.7466999999999997</v>
      </c>
    </row>
    <row r="630" spans="1:5" x14ac:dyDescent="0.3">
      <c r="A630" s="4">
        <v>44775</v>
      </c>
      <c r="B630" s="5">
        <v>106.3267</v>
      </c>
      <c r="D630" s="4">
        <v>44775</v>
      </c>
      <c r="E630" s="5">
        <v>6.7462</v>
      </c>
    </row>
    <row r="631" spans="1:5" x14ac:dyDescent="0.3">
      <c r="A631" s="4">
        <v>44776</v>
      </c>
      <c r="B631" s="5">
        <v>106.4004</v>
      </c>
      <c r="D631" s="4">
        <v>44776</v>
      </c>
      <c r="E631" s="5">
        <v>6.7812999999999999</v>
      </c>
    </row>
    <row r="632" spans="1:5" x14ac:dyDescent="0.3">
      <c r="A632" s="4">
        <v>44777</v>
      </c>
      <c r="B632" s="5">
        <v>105.7453</v>
      </c>
      <c r="D632" s="4">
        <v>44777</v>
      </c>
      <c r="E632" s="5">
        <v>6.7636000000000003</v>
      </c>
    </row>
    <row r="633" spans="1:5" x14ac:dyDescent="0.3">
      <c r="A633" s="4">
        <v>44778</v>
      </c>
      <c r="B633" s="5">
        <v>106.5714</v>
      </c>
      <c r="D633" s="4">
        <v>44778</v>
      </c>
      <c r="E633" s="5">
        <v>6.7404999999999999</v>
      </c>
    </row>
    <row r="634" spans="1:5" x14ac:dyDescent="0.3">
      <c r="A634" s="4">
        <v>44781</v>
      </c>
      <c r="B634" s="5">
        <v>106.3827</v>
      </c>
      <c r="D634" s="4">
        <v>44781</v>
      </c>
      <c r="E634" s="5">
        <v>6.7694999999999999</v>
      </c>
    </row>
    <row r="635" spans="1:5" x14ac:dyDescent="0.3">
      <c r="A635" s="4">
        <v>44782</v>
      </c>
      <c r="B635" s="5">
        <v>106.3112</v>
      </c>
      <c r="D635" s="4">
        <v>44782</v>
      </c>
      <c r="E635" s="5">
        <v>6.7584</v>
      </c>
    </row>
    <row r="636" spans="1:5" x14ac:dyDescent="0.3">
      <c r="A636" s="4">
        <v>44783</v>
      </c>
      <c r="B636" s="5">
        <v>105.223</v>
      </c>
      <c r="D636" s="4">
        <v>44783</v>
      </c>
      <c r="E636" s="5">
        <v>6.7611999999999997</v>
      </c>
    </row>
    <row r="637" spans="1:5" x14ac:dyDescent="0.3">
      <c r="A637" s="4">
        <v>44784</v>
      </c>
      <c r="B637" s="5">
        <v>105.1061</v>
      </c>
      <c r="D637" s="4">
        <v>44784</v>
      </c>
      <c r="E637" s="5">
        <v>6.7324000000000002</v>
      </c>
    </row>
    <row r="638" spans="1:5" x14ac:dyDescent="0.3">
      <c r="A638" s="4">
        <v>44785</v>
      </c>
      <c r="B638" s="5">
        <v>105.6788</v>
      </c>
      <c r="D638" s="4">
        <v>44785</v>
      </c>
      <c r="E638" s="5">
        <v>6.7412999999999998</v>
      </c>
    </row>
    <row r="639" spans="1:5" x14ac:dyDescent="0.3">
      <c r="A639" s="4">
        <v>44788</v>
      </c>
      <c r="B639" s="5">
        <v>106.5155</v>
      </c>
      <c r="D639" s="4">
        <v>44788</v>
      </c>
      <c r="E639" s="5">
        <v>6.7409999999999997</v>
      </c>
    </row>
    <row r="640" spans="1:5" x14ac:dyDescent="0.3">
      <c r="A640" s="4">
        <v>44789</v>
      </c>
      <c r="B640" s="5">
        <v>106.4602</v>
      </c>
      <c r="D640" s="4">
        <v>44789</v>
      </c>
      <c r="E640" s="5">
        <v>6.7729999999999997</v>
      </c>
    </row>
    <row r="641" spans="1:5" x14ac:dyDescent="0.3">
      <c r="A641" s="4">
        <v>44790</v>
      </c>
      <c r="B641" s="5">
        <v>106.64830000000001</v>
      </c>
      <c r="D641" s="4">
        <v>44790</v>
      </c>
      <c r="E641" s="5">
        <v>6.7862999999999998</v>
      </c>
    </row>
    <row r="642" spans="1:5" x14ac:dyDescent="0.3">
      <c r="A642" s="4">
        <v>44791</v>
      </c>
      <c r="B642" s="5">
        <v>107.517</v>
      </c>
      <c r="D642" s="4">
        <v>44791</v>
      </c>
      <c r="E642" s="5">
        <v>6.7801999999999998</v>
      </c>
    </row>
    <row r="643" spans="1:5" x14ac:dyDescent="0.3">
      <c r="A643" s="4">
        <v>44792</v>
      </c>
      <c r="B643" s="5">
        <v>108.11020000000001</v>
      </c>
      <c r="D643" s="4">
        <v>44792</v>
      </c>
      <c r="E643" s="5">
        <v>6.8064999999999998</v>
      </c>
    </row>
    <row r="644" spans="1:5" x14ac:dyDescent="0.3">
      <c r="A644" s="4">
        <v>44795</v>
      </c>
      <c r="B644" s="5">
        <v>108.97280000000001</v>
      </c>
      <c r="D644" s="4">
        <v>44795</v>
      </c>
      <c r="E644" s="5">
        <v>6.8197999999999999</v>
      </c>
    </row>
    <row r="645" spans="1:5" x14ac:dyDescent="0.3">
      <c r="A645" s="4">
        <v>44796</v>
      </c>
      <c r="B645" s="5">
        <v>108.5394</v>
      </c>
      <c r="D645" s="4">
        <v>44796</v>
      </c>
      <c r="E645" s="5">
        <v>6.8522999999999996</v>
      </c>
    </row>
    <row r="646" spans="1:5" x14ac:dyDescent="0.3">
      <c r="A646" s="4">
        <v>44797</v>
      </c>
      <c r="B646" s="5">
        <v>108.6456</v>
      </c>
      <c r="D646" s="4">
        <v>44797</v>
      </c>
      <c r="E646" s="5">
        <v>6.8388</v>
      </c>
    </row>
    <row r="647" spans="1:5" x14ac:dyDescent="0.3">
      <c r="A647" s="4">
        <v>44798</v>
      </c>
      <c r="B647" s="5">
        <v>108.42529999999999</v>
      </c>
      <c r="D647" s="4">
        <v>44798</v>
      </c>
      <c r="E647" s="5">
        <v>6.8536000000000001</v>
      </c>
    </row>
    <row r="648" spans="1:5" x14ac:dyDescent="0.3">
      <c r="A648" s="4">
        <v>44799</v>
      </c>
      <c r="B648" s="5">
        <v>108.85639999999999</v>
      </c>
      <c r="D648" s="4">
        <v>44799</v>
      </c>
      <c r="E648" s="5">
        <v>6.8486000000000002</v>
      </c>
    </row>
    <row r="649" spans="1:5" x14ac:dyDescent="0.3">
      <c r="A649" s="4">
        <v>44802</v>
      </c>
      <c r="B649" s="5">
        <v>108.7816</v>
      </c>
      <c r="D649" s="4">
        <v>44802</v>
      </c>
      <c r="E649" s="5">
        <v>6.8697999999999997</v>
      </c>
    </row>
    <row r="650" spans="1:5" x14ac:dyDescent="0.3">
      <c r="A650" s="4">
        <v>44803</v>
      </c>
      <c r="B650" s="5">
        <v>108.8249</v>
      </c>
      <c r="D650" s="4">
        <v>44803</v>
      </c>
      <c r="E650" s="5">
        <v>6.8802000000000003</v>
      </c>
    </row>
    <row r="651" spans="1:5" x14ac:dyDescent="0.3">
      <c r="A651" s="4">
        <v>44804</v>
      </c>
      <c r="B651" s="5">
        <v>108.67959999999999</v>
      </c>
      <c r="D651" s="4">
        <v>44804</v>
      </c>
      <c r="E651" s="5">
        <v>6.8906000000000001</v>
      </c>
    </row>
    <row r="652" spans="1:5" x14ac:dyDescent="0.3">
      <c r="A652" s="4">
        <v>44805</v>
      </c>
      <c r="B652" s="5">
        <v>109.6649</v>
      </c>
      <c r="D652" s="4">
        <v>44805</v>
      </c>
      <c r="E652" s="5">
        <v>6.8821000000000003</v>
      </c>
    </row>
    <row r="653" spans="1:5" x14ac:dyDescent="0.3">
      <c r="A653" s="4">
        <v>44806</v>
      </c>
      <c r="B653" s="5">
        <v>109.6121</v>
      </c>
      <c r="D653" s="4">
        <v>44806</v>
      </c>
      <c r="E653" s="5">
        <v>6.8917000000000002</v>
      </c>
    </row>
    <row r="654" spans="1:5" x14ac:dyDescent="0.3">
      <c r="A654" s="4">
        <v>44809</v>
      </c>
      <c r="B654" s="5">
        <v>109.819</v>
      </c>
      <c r="D654" s="4">
        <v>44809</v>
      </c>
      <c r="E654" s="5">
        <v>6.8997999999999999</v>
      </c>
    </row>
    <row r="655" spans="1:5" x14ac:dyDescent="0.3">
      <c r="A655" s="4">
        <v>44810</v>
      </c>
      <c r="B655" s="5">
        <v>110.2383</v>
      </c>
      <c r="D655" s="4">
        <v>44810</v>
      </c>
      <c r="E655" s="5">
        <v>6.9096000000000002</v>
      </c>
    </row>
    <row r="656" spans="1:5" x14ac:dyDescent="0.3">
      <c r="A656" s="4">
        <v>44811</v>
      </c>
      <c r="B656" s="5">
        <v>109.5831</v>
      </c>
      <c r="D656" s="4">
        <v>44811</v>
      </c>
      <c r="E656" s="5">
        <v>6.9160000000000004</v>
      </c>
    </row>
    <row r="657" spans="1:5" x14ac:dyDescent="0.3">
      <c r="A657" s="4">
        <v>44812</v>
      </c>
      <c r="B657" s="5">
        <v>109.6528</v>
      </c>
      <c r="D657" s="4">
        <v>44812</v>
      </c>
      <c r="E657" s="5">
        <v>6.9147999999999996</v>
      </c>
    </row>
    <row r="658" spans="1:5" x14ac:dyDescent="0.3">
      <c r="A658" s="4">
        <v>44813</v>
      </c>
      <c r="B658" s="5">
        <v>108.96550000000001</v>
      </c>
      <c r="D658" s="4">
        <v>44813</v>
      </c>
      <c r="E658" s="5">
        <v>6.9097999999999997</v>
      </c>
    </row>
    <row r="659" spans="1:5" x14ac:dyDescent="0.3">
      <c r="A659" s="4">
        <v>44817</v>
      </c>
      <c r="B659" s="5">
        <v>109.9188</v>
      </c>
      <c r="D659" s="4">
        <v>44817</v>
      </c>
      <c r="E659" s="5">
        <v>6.8928000000000003</v>
      </c>
    </row>
    <row r="660" spans="1:5" x14ac:dyDescent="0.3">
      <c r="A660" s="4">
        <v>44818</v>
      </c>
      <c r="B660" s="5">
        <v>109.6461</v>
      </c>
      <c r="D660" s="4">
        <v>44818</v>
      </c>
      <c r="E660" s="5">
        <v>6.9116</v>
      </c>
    </row>
    <row r="661" spans="1:5" x14ac:dyDescent="0.3">
      <c r="A661" s="4">
        <v>44819</v>
      </c>
      <c r="B661" s="5">
        <v>109.68559999999999</v>
      </c>
      <c r="D661" s="4">
        <v>44819</v>
      </c>
      <c r="E661" s="5">
        <v>6.9100999999999999</v>
      </c>
    </row>
    <row r="662" spans="1:5" x14ac:dyDescent="0.3">
      <c r="A662" s="4">
        <v>44820</v>
      </c>
      <c r="B662" s="5">
        <v>109.6597</v>
      </c>
      <c r="D662" s="4">
        <v>44820</v>
      </c>
      <c r="E662" s="5">
        <v>6.9305000000000003</v>
      </c>
    </row>
    <row r="663" spans="1:5" x14ac:dyDescent="0.3">
      <c r="A663" s="4">
        <v>44823</v>
      </c>
      <c r="B663" s="5">
        <v>109.5949</v>
      </c>
      <c r="D663" s="4">
        <v>44823</v>
      </c>
      <c r="E663" s="5">
        <v>6.9396000000000004</v>
      </c>
    </row>
    <row r="664" spans="1:5" x14ac:dyDescent="0.3">
      <c r="A664" s="4">
        <v>44824</v>
      </c>
      <c r="B664" s="5">
        <v>110.1986</v>
      </c>
      <c r="D664" s="4">
        <v>44824</v>
      </c>
      <c r="E664" s="5">
        <v>6.9467999999999996</v>
      </c>
    </row>
    <row r="665" spans="1:5" x14ac:dyDescent="0.3">
      <c r="A665" s="4">
        <v>44825</v>
      </c>
      <c r="B665" s="5">
        <v>111.37309999999999</v>
      </c>
      <c r="D665" s="4">
        <v>44825</v>
      </c>
      <c r="E665" s="5">
        <v>6.9535999999999998</v>
      </c>
    </row>
    <row r="666" spans="1:5" x14ac:dyDescent="0.3">
      <c r="A666" s="4">
        <v>44826</v>
      </c>
      <c r="B666" s="5">
        <v>111.2889</v>
      </c>
      <c r="D666" s="4">
        <v>44826</v>
      </c>
      <c r="E666" s="5">
        <v>6.9798</v>
      </c>
    </row>
    <row r="667" spans="1:5" x14ac:dyDescent="0.3">
      <c r="A667" s="4">
        <v>44827</v>
      </c>
      <c r="B667" s="5">
        <v>113.0324</v>
      </c>
      <c r="D667" s="4">
        <v>44827</v>
      </c>
      <c r="E667" s="5">
        <v>6.992</v>
      </c>
    </row>
    <row r="668" spans="1:5" x14ac:dyDescent="0.3">
      <c r="A668" s="4">
        <v>44830</v>
      </c>
      <c r="B668" s="5">
        <v>114.1146</v>
      </c>
      <c r="D668" s="4">
        <v>44830</v>
      </c>
      <c r="E668" s="5">
        <v>7.0297999999999998</v>
      </c>
    </row>
    <row r="669" spans="1:5" x14ac:dyDescent="0.3">
      <c r="A669" s="4">
        <v>44831</v>
      </c>
      <c r="B669" s="5">
        <v>114.1596</v>
      </c>
      <c r="D669" s="4">
        <v>44831</v>
      </c>
      <c r="E669" s="5">
        <v>7.0721999999999996</v>
      </c>
    </row>
    <row r="670" spans="1:5" x14ac:dyDescent="0.3">
      <c r="A670" s="4">
        <v>44832</v>
      </c>
      <c r="B670" s="5">
        <v>112.71769999999999</v>
      </c>
      <c r="D670" s="4">
        <v>44832</v>
      </c>
      <c r="E670" s="5">
        <v>7.1106999999999996</v>
      </c>
    </row>
    <row r="671" spans="1:5" x14ac:dyDescent="0.3">
      <c r="A671" s="4">
        <v>44833</v>
      </c>
      <c r="B671" s="5">
        <v>111.9699</v>
      </c>
      <c r="D671" s="4">
        <v>44833</v>
      </c>
      <c r="E671" s="5">
        <v>7.1101999999999999</v>
      </c>
    </row>
    <row r="672" spans="1:5" x14ac:dyDescent="0.3">
      <c r="A672" s="4">
        <v>44834</v>
      </c>
      <c r="B672" s="5">
        <v>112.1511</v>
      </c>
      <c r="D672" s="4">
        <v>44834</v>
      </c>
      <c r="E672" s="5">
        <v>7.0998000000000001</v>
      </c>
    </row>
    <row r="673" spans="1:5" x14ac:dyDescent="0.3">
      <c r="A673" s="4">
        <v>44844</v>
      </c>
      <c r="B673" s="5">
        <v>113.1571</v>
      </c>
      <c r="D673" s="4">
        <v>44844</v>
      </c>
      <c r="E673" s="5">
        <v>7.0991999999999997</v>
      </c>
    </row>
    <row r="674" spans="1:5" x14ac:dyDescent="0.3">
      <c r="A674" s="4">
        <v>44845</v>
      </c>
      <c r="B674" s="5">
        <v>113.2941</v>
      </c>
      <c r="D674" s="4">
        <v>44845</v>
      </c>
      <c r="E674" s="5">
        <v>7.1074999999999999</v>
      </c>
    </row>
    <row r="675" spans="1:5" x14ac:dyDescent="0.3">
      <c r="A675" s="4">
        <v>44846</v>
      </c>
      <c r="B675" s="5">
        <v>113.2668</v>
      </c>
      <c r="D675" s="4">
        <v>44846</v>
      </c>
      <c r="E675" s="5">
        <v>7.1102999999999996</v>
      </c>
    </row>
    <row r="676" spans="1:5" x14ac:dyDescent="0.3">
      <c r="A676" s="4">
        <v>44847</v>
      </c>
      <c r="B676" s="5">
        <v>112.4601</v>
      </c>
      <c r="D676" s="4">
        <v>44847</v>
      </c>
      <c r="E676" s="5">
        <v>7.1101000000000001</v>
      </c>
    </row>
    <row r="677" spans="1:5" x14ac:dyDescent="0.3">
      <c r="A677" s="4">
        <v>44848</v>
      </c>
      <c r="B677" s="5">
        <v>113.3095</v>
      </c>
      <c r="D677" s="4">
        <v>44848</v>
      </c>
      <c r="E677" s="5">
        <v>7.1087999999999996</v>
      </c>
    </row>
    <row r="678" spans="1:5" x14ac:dyDescent="0.3">
      <c r="A678" s="4">
        <v>44851</v>
      </c>
      <c r="B678" s="5">
        <v>112.09310000000001</v>
      </c>
      <c r="D678" s="4">
        <v>44851</v>
      </c>
      <c r="E678" s="5">
        <v>7.1094999999999997</v>
      </c>
    </row>
    <row r="679" spans="1:5" x14ac:dyDescent="0.3">
      <c r="A679" s="4">
        <v>44852</v>
      </c>
      <c r="B679" s="5">
        <v>112.0303</v>
      </c>
      <c r="D679" s="4">
        <v>44852</v>
      </c>
      <c r="E679" s="5">
        <v>7.1086</v>
      </c>
    </row>
    <row r="680" spans="1:5" x14ac:dyDescent="0.3">
      <c r="A680" s="4">
        <v>44853</v>
      </c>
      <c r="B680" s="5">
        <v>112.9089</v>
      </c>
      <c r="D680" s="4">
        <v>44853</v>
      </c>
      <c r="E680" s="5">
        <v>7.1105</v>
      </c>
    </row>
    <row r="681" spans="1:5" x14ac:dyDescent="0.3">
      <c r="A681" s="4">
        <v>44854</v>
      </c>
      <c r="B681" s="5">
        <v>112.82729999999999</v>
      </c>
      <c r="D681" s="4">
        <v>44854</v>
      </c>
      <c r="E681" s="5">
        <v>7.1188000000000002</v>
      </c>
    </row>
    <row r="682" spans="1:5" x14ac:dyDescent="0.3">
      <c r="A682" s="4">
        <v>44855</v>
      </c>
      <c r="B682" s="5">
        <v>111.8505</v>
      </c>
      <c r="D682" s="4">
        <v>44855</v>
      </c>
      <c r="E682" s="5">
        <v>7.1185999999999998</v>
      </c>
    </row>
    <row r="683" spans="1:5" x14ac:dyDescent="0.3">
      <c r="A683" s="4">
        <v>44858</v>
      </c>
      <c r="B683" s="5">
        <v>112.0087</v>
      </c>
      <c r="D683" s="4">
        <v>44858</v>
      </c>
      <c r="E683" s="5">
        <v>7.1230000000000002</v>
      </c>
    </row>
    <row r="684" spans="1:5" x14ac:dyDescent="0.3">
      <c r="A684" s="4">
        <v>44859</v>
      </c>
      <c r="B684" s="5">
        <v>110.8775</v>
      </c>
      <c r="D684" s="4">
        <v>44859</v>
      </c>
      <c r="E684" s="5">
        <v>7.1668000000000003</v>
      </c>
    </row>
    <row r="685" spans="1:5" x14ac:dyDescent="0.3">
      <c r="A685" s="4">
        <v>44860</v>
      </c>
      <c r="B685" s="5">
        <v>109.6982</v>
      </c>
      <c r="D685" s="4">
        <v>44860</v>
      </c>
      <c r="E685" s="5">
        <v>7.1638000000000002</v>
      </c>
    </row>
    <row r="686" spans="1:5" x14ac:dyDescent="0.3">
      <c r="A686" s="4">
        <v>44861</v>
      </c>
      <c r="B686" s="5">
        <v>110.5894</v>
      </c>
      <c r="D686" s="4">
        <v>44861</v>
      </c>
      <c r="E686" s="5">
        <v>7.157</v>
      </c>
    </row>
    <row r="687" spans="1:5" x14ac:dyDescent="0.3">
      <c r="A687" s="4">
        <v>44862</v>
      </c>
      <c r="B687" s="5">
        <v>110.6763</v>
      </c>
      <c r="D687" s="4">
        <v>44862</v>
      </c>
      <c r="E687" s="5">
        <v>7.1698000000000004</v>
      </c>
    </row>
    <row r="688" spans="1:5" x14ac:dyDescent="0.3">
      <c r="A688" s="4">
        <v>44865</v>
      </c>
      <c r="B688" s="5">
        <v>111.6036</v>
      </c>
      <c r="D688" s="4">
        <v>44865</v>
      </c>
      <c r="E688" s="5">
        <v>7.1768000000000001</v>
      </c>
    </row>
    <row r="689" spans="1:5" x14ac:dyDescent="0.3">
      <c r="A689" s="4">
        <v>44866</v>
      </c>
      <c r="B689" s="5">
        <v>111.5609</v>
      </c>
      <c r="D689" s="4">
        <v>44866</v>
      </c>
      <c r="E689" s="5">
        <v>7.2081</v>
      </c>
    </row>
    <row r="690" spans="1:5" x14ac:dyDescent="0.3">
      <c r="A690" s="4">
        <v>44867</v>
      </c>
      <c r="B690" s="5">
        <v>112.1193</v>
      </c>
      <c r="D690" s="4">
        <v>44867</v>
      </c>
      <c r="E690" s="5">
        <v>7.2196999999999996</v>
      </c>
    </row>
    <row r="691" spans="1:5" x14ac:dyDescent="0.3">
      <c r="A691" s="4">
        <v>44868</v>
      </c>
      <c r="B691" s="5">
        <v>112.9842</v>
      </c>
      <c r="D691" s="4">
        <v>44868</v>
      </c>
      <c r="E691" s="5">
        <v>7.2472000000000003</v>
      </c>
    </row>
    <row r="692" spans="1:5" x14ac:dyDescent="0.3">
      <c r="A692" s="4">
        <v>44869</v>
      </c>
      <c r="B692" s="5">
        <v>110.7839</v>
      </c>
      <c r="D692" s="4">
        <v>44869</v>
      </c>
      <c r="E692" s="5">
        <v>7.2554999999999996</v>
      </c>
    </row>
    <row r="693" spans="1:5" x14ac:dyDescent="0.3">
      <c r="A693" s="4">
        <v>44872</v>
      </c>
      <c r="B693" s="5">
        <v>110.1872</v>
      </c>
      <c r="D693" s="4">
        <v>44872</v>
      </c>
      <c r="E693" s="5">
        <v>7.2291999999999996</v>
      </c>
    </row>
    <row r="694" spans="1:5" x14ac:dyDescent="0.3">
      <c r="A694" s="4">
        <v>44873</v>
      </c>
      <c r="B694" s="5">
        <v>109.63420000000001</v>
      </c>
      <c r="D694" s="4">
        <v>44873</v>
      </c>
      <c r="E694" s="5">
        <v>7.2149999999999999</v>
      </c>
    </row>
    <row r="695" spans="1:5" x14ac:dyDescent="0.3">
      <c r="A695" s="4">
        <v>44874</v>
      </c>
      <c r="B695" s="5">
        <v>110.4278</v>
      </c>
      <c r="D695" s="4">
        <v>44874</v>
      </c>
      <c r="E695" s="5">
        <v>7.2188999999999997</v>
      </c>
    </row>
    <row r="696" spans="1:5" x14ac:dyDescent="0.3">
      <c r="A696" s="4">
        <v>44875</v>
      </c>
      <c r="B696" s="5">
        <v>107.8847</v>
      </c>
      <c r="D696" s="4">
        <v>44875</v>
      </c>
      <c r="E696" s="5">
        <v>7.2422000000000004</v>
      </c>
    </row>
    <row r="697" spans="1:5" x14ac:dyDescent="0.3">
      <c r="A697" s="4">
        <v>44876</v>
      </c>
      <c r="B697" s="5">
        <v>106.4083</v>
      </c>
      <c r="D697" s="4">
        <v>44876</v>
      </c>
      <c r="E697" s="5">
        <v>7.1906999999999996</v>
      </c>
    </row>
    <row r="698" spans="1:5" x14ac:dyDescent="0.3">
      <c r="A698" s="4">
        <v>44879</v>
      </c>
      <c r="B698" s="5">
        <v>106.8986</v>
      </c>
      <c r="D698" s="4">
        <v>44879</v>
      </c>
      <c r="E698" s="5">
        <v>7.0899000000000001</v>
      </c>
    </row>
    <row r="699" spans="1:5" x14ac:dyDescent="0.3">
      <c r="A699" s="4">
        <v>44880</v>
      </c>
      <c r="B699" s="5">
        <v>106.5629</v>
      </c>
      <c r="D699" s="4">
        <v>44880</v>
      </c>
      <c r="E699" s="5">
        <v>7.0420999999999996</v>
      </c>
    </row>
    <row r="700" spans="1:5" x14ac:dyDescent="0.3">
      <c r="A700" s="4">
        <v>44881</v>
      </c>
      <c r="B700" s="5">
        <v>106.29340000000001</v>
      </c>
      <c r="D700" s="4">
        <v>44881</v>
      </c>
      <c r="E700" s="5">
        <v>7.0362999999999998</v>
      </c>
    </row>
    <row r="701" spans="1:5" x14ac:dyDescent="0.3">
      <c r="A701" s="4">
        <v>44882</v>
      </c>
      <c r="B701" s="5">
        <v>106.6784</v>
      </c>
      <c r="D701" s="4">
        <v>44882</v>
      </c>
      <c r="E701" s="5">
        <v>7.0655000000000001</v>
      </c>
    </row>
    <row r="702" spans="1:5" x14ac:dyDescent="0.3">
      <c r="A702" s="4">
        <v>44883</v>
      </c>
      <c r="B702" s="5">
        <v>106.9678</v>
      </c>
      <c r="D702" s="4">
        <v>44883</v>
      </c>
      <c r="E702" s="5">
        <v>7.1090999999999998</v>
      </c>
    </row>
    <row r="703" spans="1:5" x14ac:dyDescent="0.3">
      <c r="A703" s="4">
        <v>44886</v>
      </c>
      <c r="B703" s="5">
        <v>107.82259999999999</v>
      </c>
      <c r="D703" s="4">
        <v>44886</v>
      </c>
      <c r="E703" s="5">
        <v>7.1256000000000004</v>
      </c>
    </row>
    <row r="704" spans="1:5" x14ac:dyDescent="0.3">
      <c r="A704" s="4">
        <v>44887</v>
      </c>
      <c r="B704" s="5">
        <v>107.1687</v>
      </c>
      <c r="D704" s="4">
        <v>44887</v>
      </c>
      <c r="E704" s="5">
        <v>7.1666999999999996</v>
      </c>
    </row>
    <row r="705" spans="1:5" x14ac:dyDescent="0.3">
      <c r="A705" s="4">
        <v>44888</v>
      </c>
      <c r="B705" s="5">
        <v>106.1437</v>
      </c>
      <c r="D705" s="4">
        <v>44888</v>
      </c>
      <c r="E705" s="5">
        <v>7.1280999999999999</v>
      </c>
    </row>
    <row r="706" spans="1:5" x14ac:dyDescent="0.3">
      <c r="A706" s="4">
        <v>44889</v>
      </c>
      <c r="B706" s="5">
        <v>105.8617</v>
      </c>
      <c r="D706" s="4">
        <v>44889</v>
      </c>
      <c r="E706" s="5">
        <v>7.1200999999999999</v>
      </c>
    </row>
    <row r="707" spans="1:5" x14ac:dyDescent="0.3">
      <c r="A707" s="4">
        <v>44890</v>
      </c>
      <c r="B707" s="5">
        <v>106.0724</v>
      </c>
      <c r="D707" s="4">
        <v>44890</v>
      </c>
      <c r="E707" s="5">
        <v>7.1338999999999997</v>
      </c>
    </row>
    <row r="708" spans="1:5" x14ac:dyDescent="0.3">
      <c r="A708" s="4">
        <v>44893</v>
      </c>
      <c r="B708" s="5">
        <v>106.6752</v>
      </c>
      <c r="D708" s="4">
        <v>44893</v>
      </c>
      <c r="E708" s="5">
        <v>7.1616999999999997</v>
      </c>
    </row>
    <row r="709" spans="1:5" x14ac:dyDescent="0.3">
      <c r="A709" s="4">
        <v>44894</v>
      </c>
      <c r="B709" s="5">
        <v>106.8126</v>
      </c>
      <c r="D709" s="4">
        <v>44894</v>
      </c>
      <c r="E709" s="5">
        <v>7.1989000000000001</v>
      </c>
    </row>
    <row r="710" spans="1:5" x14ac:dyDescent="0.3">
      <c r="A710" s="4">
        <v>44895</v>
      </c>
      <c r="B710" s="5">
        <v>105.9765</v>
      </c>
      <c r="D710" s="4">
        <v>44895</v>
      </c>
      <c r="E710" s="5">
        <v>7.1768999999999998</v>
      </c>
    </row>
    <row r="711" spans="1:5" x14ac:dyDescent="0.3">
      <c r="A711" s="4">
        <v>44896</v>
      </c>
      <c r="B711" s="5">
        <v>104.70359999999999</v>
      </c>
      <c r="D711" s="4">
        <v>44896</v>
      </c>
      <c r="E711" s="5">
        <v>7.1224999999999996</v>
      </c>
    </row>
    <row r="712" spans="1:5" x14ac:dyDescent="0.3">
      <c r="A712" s="4">
        <v>44897</v>
      </c>
      <c r="B712" s="5">
        <v>104.5098</v>
      </c>
      <c r="D712" s="4">
        <v>44897</v>
      </c>
      <c r="E712" s="5">
        <v>7.0541999999999998</v>
      </c>
    </row>
    <row r="713" spans="1:5" x14ac:dyDescent="0.3">
      <c r="A713" s="4">
        <v>44900</v>
      </c>
      <c r="B713" s="5">
        <v>105.27200000000001</v>
      </c>
      <c r="D713" s="4">
        <v>44900</v>
      </c>
      <c r="E713" s="5">
        <v>7.0384000000000002</v>
      </c>
    </row>
    <row r="714" spans="1:5" x14ac:dyDescent="0.3">
      <c r="A714" s="4">
        <v>44901</v>
      </c>
      <c r="B714" s="5">
        <v>105.5641</v>
      </c>
      <c r="D714" s="4">
        <v>44901</v>
      </c>
      <c r="E714" s="5">
        <v>6.9745999999999997</v>
      </c>
    </row>
    <row r="715" spans="1:5" x14ac:dyDescent="0.3">
      <c r="A715" s="4">
        <v>44902</v>
      </c>
      <c r="B715" s="5">
        <v>105.1983</v>
      </c>
      <c r="D715" s="4">
        <v>44902</v>
      </c>
      <c r="E715" s="5">
        <v>6.9974999999999996</v>
      </c>
    </row>
    <row r="716" spans="1:5" x14ac:dyDescent="0.3">
      <c r="A716" s="4">
        <v>44903</v>
      </c>
      <c r="B716" s="5">
        <v>104.8156</v>
      </c>
      <c r="D716" s="4">
        <v>44903</v>
      </c>
      <c r="E716" s="5">
        <v>6.9606000000000003</v>
      </c>
    </row>
    <row r="717" spans="1:5" x14ac:dyDescent="0.3">
      <c r="A717" s="4">
        <v>44904</v>
      </c>
      <c r="B717" s="5">
        <v>104.92570000000001</v>
      </c>
      <c r="D717" s="4">
        <v>44904</v>
      </c>
      <c r="E717" s="5">
        <v>6.9588000000000001</v>
      </c>
    </row>
    <row r="718" spans="1:5" x14ac:dyDescent="0.3">
      <c r="A718" s="4">
        <v>44907</v>
      </c>
      <c r="B718" s="5">
        <v>105.0116</v>
      </c>
      <c r="D718" s="4">
        <v>44907</v>
      </c>
      <c r="E718" s="5">
        <v>6.9565000000000001</v>
      </c>
    </row>
    <row r="719" spans="1:5" x14ac:dyDescent="0.3">
      <c r="A719" s="4">
        <v>44908</v>
      </c>
      <c r="B719" s="5">
        <v>104.0158</v>
      </c>
      <c r="D719" s="4">
        <v>44908</v>
      </c>
      <c r="E719" s="5">
        <v>6.9745999999999997</v>
      </c>
    </row>
    <row r="720" spans="1:5" x14ac:dyDescent="0.3">
      <c r="A720" s="4">
        <v>44909</v>
      </c>
      <c r="B720" s="5">
        <v>103.62860000000001</v>
      </c>
      <c r="D720" s="4">
        <v>44909</v>
      </c>
      <c r="E720" s="5">
        <v>6.9535</v>
      </c>
    </row>
    <row r="721" spans="1:5" x14ac:dyDescent="0.3">
      <c r="A721" s="4">
        <v>44910</v>
      </c>
      <c r="B721" s="5">
        <v>104.6057</v>
      </c>
      <c r="D721" s="4">
        <v>44910</v>
      </c>
      <c r="E721" s="5">
        <v>6.9343000000000004</v>
      </c>
    </row>
    <row r="722" spans="1:5" x14ac:dyDescent="0.3">
      <c r="A722" s="4">
        <v>44911</v>
      </c>
      <c r="B722" s="5">
        <v>104.8466</v>
      </c>
      <c r="D722" s="4">
        <v>44911</v>
      </c>
      <c r="E722" s="5">
        <v>6.9790999999999999</v>
      </c>
    </row>
    <row r="723" spans="1:5" x14ac:dyDescent="0.3">
      <c r="A723" s="4">
        <v>44914</v>
      </c>
      <c r="B723" s="5">
        <v>104.67910000000001</v>
      </c>
      <c r="D723" s="4">
        <v>44914</v>
      </c>
      <c r="E723" s="5">
        <v>6.9745999999999997</v>
      </c>
    </row>
    <row r="724" spans="1:5" x14ac:dyDescent="0.3">
      <c r="A724" s="4">
        <v>44915</v>
      </c>
      <c r="B724" s="5">
        <v>103.9665</v>
      </c>
      <c r="D724" s="4">
        <v>44915</v>
      </c>
      <c r="E724" s="5">
        <v>6.9861000000000004</v>
      </c>
    </row>
    <row r="725" spans="1:5" x14ac:dyDescent="0.3">
      <c r="A725" s="4">
        <v>44916</v>
      </c>
      <c r="B725" s="5">
        <v>104.2598</v>
      </c>
      <c r="D725" s="4">
        <v>44916</v>
      </c>
      <c r="E725" s="5">
        <v>6.9649999999999999</v>
      </c>
    </row>
    <row r="726" spans="1:5" x14ac:dyDescent="0.3">
      <c r="A726" s="4">
        <v>44917</v>
      </c>
      <c r="B726" s="5">
        <v>104.381</v>
      </c>
      <c r="D726" s="4">
        <v>44917</v>
      </c>
      <c r="E726" s="5">
        <v>6.9713000000000003</v>
      </c>
    </row>
    <row r="727" spans="1:5" x14ac:dyDescent="0.3">
      <c r="A727" s="4">
        <v>44918</v>
      </c>
      <c r="B727" s="5">
        <v>104.3235</v>
      </c>
      <c r="D727" s="4">
        <v>44918</v>
      </c>
      <c r="E727" s="5">
        <v>6.9809999999999999</v>
      </c>
    </row>
    <row r="728" spans="1:5" x14ac:dyDescent="0.3">
      <c r="A728" s="4">
        <v>44921</v>
      </c>
      <c r="B728" s="5">
        <v>104.1681</v>
      </c>
      <c r="D728" s="4">
        <v>44921</v>
      </c>
      <c r="E728" s="5">
        <v>6.9824999999999999</v>
      </c>
    </row>
    <row r="729" spans="1:5" x14ac:dyDescent="0.3">
      <c r="A729" s="4">
        <v>44922</v>
      </c>
      <c r="B729" s="5">
        <v>104.2013</v>
      </c>
      <c r="D729" s="4">
        <v>44922</v>
      </c>
      <c r="E729" s="5">
        <v>6.9546000000000001</v>
      </c>
    </row>
    <row r="730" spans="1:5" x14ac:dyDescent="0.3">
      <c r="A730" s="4">
        <v>44923</v>
      </c>
      <c r="B730" s="5">
        <v>104.5291</v>
      </c>
      <c r="D730" s="4">
        <v>44923</v>
      </c>
      <c r="E730" s="5">
        <v>6.9680999999999997</v>
      </c>
    </row>
    <row r="731" spans="1:5" x14ac:dyDescent="0.3">
      <c r="A731" s="4">
        <v>44924</v>
      </c>
      <c r="B731" s="5">
        <v>103.9747</v>
      </c>
      <c r="D731" s="4">
        <v>44924</v>
      </c>
      <c r="E731" s="5">
        <v>6.9793000000000003</v>
      </c>
    </row>
    <row r="732" spans="1:5" x14ac:dyDescent="0.3">
      <c r="A732" s="4">
        <v>44925</v>
      </c>
      <c r="B732" s="5">
        <v>103.48950000000001</v>
      </c>
      <c r="D732" s="4">
        <v>44925</v>
      </c>
      <c r="E732" s="5">
        <v>6.9645999999999999</v>
      </c>
    </row>
    <row r="733" spans="1:5" x14ac:dyDescent="0.3">
      <c r="A733" s="4">
        <v>44929</v>
      </c>
      <c r="B733" s="5">
        <v>104.67440000000001</v>
      </c>
      <c r="D733" s="4">
        <v>44929</v>
      </c>
      <c r="E733" s="5">
        <v>6.9474999999999998</v>
      </c>
    </row>
    <row r="734" spans="1:5" x14ac:dyDescent="0.3">
      <c r="A734" s="4">
        <v>44930</v>
      </c>
      <c r="B734" s="5">
        <v>104.26690000000001</v>
      </c>
      <c r="D734" s="4">
        <v>44930</v>
      </c>
      <c r="E734" s="5">
        <v>6.9131</v>
      </c>
    </row>
    <row r="735" spans="1:5" x14ac:dyDescent="0.3">
      <c r="A735" s="4">
        <v>44931</v>
      </c>
      <c r="B735" s="5">
        <v>105.1228</v>
      </c>
      <c r="D735" s="4">
        <v>44931</v>
      </c>
      <c r="E735" s="5">
        <v>6.8925999999999998</v>
      </c>
    </row>
    <row r="736" spans="1:5" x14ac:dyDescent="0.3">
      <c r="A736" s="4">
        <v>44932</v>
      </c>
      <c r="B736" s="5">
        <v>103.9091</v>
      </c>
      <c r="D736" s="4">
        <v>44932</v>
      </c>
      <c r="E736" s="5">
        <v>6.8912000000000004</v>
      </c>
    </row>
    <row r="737" spans="1:5" x14ac:dyDescent="0.3">
      <c r="A737" s="4">
        <v>44935</v>
      </c>
      <c r="B737" s="5">
        <v>103.1892</v>
      </c>
      <c r="D737" s="4">
        <v>44935</v>
      </c>
      <c r="E737" s="5">
        <v>6.8265000000000002</v>
      </c>
    </row>
    <row r="738" spans="1:5" x14ac:dyDescent="0.3">
      <c r="A738" s="4">
        <v>44936</v>
      </c>
      <c r="B738" s="5">
        <v>103.2895</v>
      </c>
      <c r="D738" s="4">
        <v>44936</v>
      </c>
      <c r="E738" s="5">
        <v>6.7610999999999999</v>
      </c>
    </row>
    <row r="739" spans="1:5" x14ac:dyDescent="0.3">
      <c r="A739" s="4">
        <v>44937</v>
      </c>
      <c r="B739" s="5">
        <v>103.24720000000001</v>
      </c>
      <c r="D739" s="4">
        <v>44937</v>
      </c>
      <c r="E739" s="5">
        <v>6.7755999999999998</v>
      </c>
    </row>
    <row r="740" spans="1:5" x14ac:dyDescent="0.3">
      <c r="A740" s="4">
        <v>44938</v>
      </c>
      <c r="B740" s="5">
        <v>102.2542</v>
      </c>
      <c r="D740" s="4">
        <v>44938</v>
      </c>
      <c r="E740" s="5">
        <v>6.7679999999999998</v>
      </c>
    </row>
    <row r="741" spans="1:5" x14ac:dyDescent="0.3">
      <c r="A741" s="4">
        <v>44939</v>
      </c>
      <c r="B741" s="5">
        <v>102.1682</v>
      </c>
      <c r="D741" s="4">
        <v>44939</v>
      </c>
      <c r="E741" s="5">
        <v>6.7291999999999996</v>
      </c>
    </row>
    <row r="742" spans="1:5" x14ac:dyDescent="0.3">
      <c r="A742" s="4">
        <v>44942</v>
      </c>
      <c r="B742" s="5">
        <v>102.364</v>
      </c>
      <c r="D742" s="4">
        <v>44942</v>
      </c>
      <c r="E742" s="5">
        <v>6.7134999999999998</v>
      </c>
    </row>
    <row r="743" spans="1:5" x14ac:dyDescent="0.3">
      <c r="A743" s="4">
        <v>44943</v>
      </c>
      <c r="B743" s="5">
        <v>102.38939999999999</v>
      </c>
      <c r="D743" s="4">
        <v>44943</v>
      </c>
      <c r="E743" s="5">
        <v>6.7222</v>
      </c>
    </row>
    <row r="744" spans="1:5" x14ac:dyDescent="0.3">
      <c r="A744" s="4">
        <v>44944</v>
      </c>
      <c r="B744" s="5">
        <v>102.40519999999999</v>
      </c>
      <c r="D744" s="4">
        <v>44944</v>
      </c>
      <c r="E744" s="5">
        <v>6.7602000000000002</v>
      </c>
    </row>
    <row r="745" spans="1:5" x14ac:dyDescent="0.3">
      <c r="A745" s="4">
        <v>44945</v>
      </c>
      <c r="B745" s="5">
        <v>102.0712</v>
      </c>
      <c r="D745" s="4">
        <v>44945</v>
      </c>
      <c r="E745" s="5">
        <v>6.7674000000000003</v>
      </c>
    </row>
    <row r="746" spans="1:5" x14ac:dyDescent="0.3">
      <c r="A746" s="4">
        <v>44946</v>
      </c>
      <c r="B746" s="5">
        <v>101.9966</v>
      </c>
      <c r="D746" s="4">
        <v>44946</v>
      </c>
      <c r="E746" s="5">
        <v>6.7702</v>
      </c>
    </row>
    <row r="747" spans="1:5" x14ac:dyDescent="0.3">
      <c r="A747" s="4">
        <v>44956</v>
      </c>
      <c r="B747" s="5">
        <v>102.2304</v>
      </c>
      <c r="D747" s="4">
        <v>44956</v>
      </c>
      <c r="E747" s="5">
        <v>6.7625999999999999</v>
      </c>
    </row>
    <row r="748" spans="1:5" x14ac:dyDescent="0.3">
      <c r="A748" s="4">
        <v>44957</v>
      </c>
      <c r="B748" s="5">
        <v>102.1037</v>
      </c>
      <c r="D748" s="4">
        <v>44957</v>
      </c>
      <c r="E748" s="5">
        <v>6.7603999999999997</v>
      </c>
    </row>
    <row r="749" spans="1:5" x14ac:dyDescent="0.3">
      <c r="A749" s="4">
        <v>44958</v>
      </c>
      <c r="B749" s="5">
        <v>101.15470000000001</v>
      </c>
      <c r="D749" s="4">
        <v>44958</v>
      </c>
      <c r="E749" s="5">
        <v>6.7492000000000001</v>
      </c>
    </row>
    <row r="750" spans="1:5" x14ac:dyDescent="0.3">
      <c r="A750" s="4">
        <v>44959</v>
      </c>
      <c r="B750" s="5">
        <v>101.7478</v>
      </c>
      <c r="D750" s="4">
        <v>44959</v>
      </c>
      <c r="E750" s="5">
        <v>6.7130000000000001</v>
      </c>
    </row>
    <row r="751" spans="1:5" x14ac:dyDescent="0.3">
      <c r="A751" s="4">
        <v>44960</v>
      </c>
      <c r="B751" s="5">
        <v>102.99590000000001</v>
      </c>
      <c r="D751" s="4">
        <v>44960</v>
      </c>
      <c r="E751" s="5">
        <v>6.7382</v>
      </c>
    </row>
    <row r="752" spans="1:5" x14ac:dyDescent="0.3">
      <c r="A752" s="4">
        <v>44963</v>
      </c>
      <c r="B752" s="5">
        <v>103.63330000000001</v>
      </c>
      <c r="D752" s="4">
        <v>44963</v>
      </c>
      <c r="E752" s="5">
        <v>6.7736999999999998</v>
      </c>
    </row>
    <row r="753" spans="1:5" x14ac:dyDescent="0.3">
      <c r="A753" s="4">
        <v>44964</v>
      </c>
      <c r="B753" s="5">
        <v>103.34610000000001</v>
      </c>
      <c r="D753" s="4">
        <v>44964</v>
      </c>
      <c r="E753" s="5">
        <v>6.7967000000000004</v>
      </c>
    </row>
    <row r="754" spans="1:5" x14ac:dyDescent="0.3">
      <c r="A754" s="4">
        <v>44965</v>
      </c>
      <c r="B754" s="5">
        <v>103.4794</v>
      </c>
      <c r="D754" s="4">
        <v>44965</v>
      </c>
      <c r="E754" s="5">
        <v>6.7751999999999999</v>
      </c>
    </row>
    <row r="755" spans="1:5" x14ac:dyDescent="0.3">
      <c r="A755" s="4">
        <v>44966</v>
      </c>
      <c r="B755" s="5">
        <v>103.221</v>
      </c>
      <c r="D755" s="4">
        <v>44966</v>
      </c>
      <c r="E755" s="5">
        <v>6.7904999999999998</v>
      </c>
    </row>
    <row r="756" spans="1:5" x14ac:dyDescent="0.3">
      <c r="A756" s="4">
        <v>44967</v>
      </c>
      <c r="B756" s="5">
        <v>103.5757</v>
      </c>
      <c r="D756" s="4">
        <v>44967</v>
      </c>
      <c r="E756" s="5">
        <v>6.7884000000000002</v>
      </c>
    </row>
    <row r="757" spans="1:5" x14ac:dyDescent="0.3">
      <c r="A757" s="4">
        <v>44970</v>
      </c>
      <c r="B757" s="5">
        <v>103.2717</v>
      </c>
      <c r="D757" s="4">
        <v>44970</v>
      </c>
      <c r="E757" s="5">
        <v>6.8151000000000002</v>
      </c>
    </row>
    <row r="758" spans="1:5" x14ac:dyDescent="0.3">
      <c r="A758" s="4">
        <v>44971</v>
      </c>
      <c r="B758" s="5">
        <v>103.2603</v>
      </c>
      <c r="D758" s="4">
        <v>44971</v>
      </c>
      <c r="E758" s="5">
        <v>6.8136000000000001</v>
      </c>
    </row>
    <row r="759" spans="1:5" x14ac:dyDescent="0.3">
      <c r="A759" s="4">
        <v>44972</v>
      </c>
      <c r="B759" s="5">
        <v>103.86199999999999</v>
      </c>
      <c r="D759" s="4">
        <v>44972</v>
      </c>
      <c r="E759" s="5">
        <v>6.8182999999999998</v>
      </c>
    </row>
    <row r="760" spans="1:5" x14ac:dyDescent="0.3">
      <c r="A760" s="4">
        <v>44973</v>
      </c>
      <c r="B760" s="5">
        <v>104.02460000000001</v>
      </c>
      <c r="D760" s="4">
        <v>44973</v>
      </c>
      <c r="E760" s="5">
        <v>6.8518999999999997</v>
      </c>
    </row>
    <row r="761" spans="1:5" x14ac:dyDescent="0.3">
      <c r="A761" s="4">
        <v>44974</v>
      </c>
      <c r="B761" s="5">
        <v>103.88120000000001</v>
      </c>
      <c r="D761" s="4">
        <v>44974</v>
      </c>
      <c r="E761" s="5">
        <v>6.8658999999999999</v>
      </c>
    </row>
    <row r="762" spans="1:5" x14ac:dyDescent="0.3">
      <c r="A762" s="4">
        <v>44977</v>
      </c>
      <c r="B762" s="5">
        <v>103.8903</v>
      </c>
      <c r="D762" s="4">
        <v>44977</v>
      </c>
      <c r="E762" s="5">
        <v>6.8643000000000001</v>
      </c>
    </row>
    <row r="763" spans="1:5" x14ac:dyDescent="0.3">
      <c r="A763" s="4">
        <v>44978</v>
      </c>
      <c r="B763" s="5">
        <v>104.2043</v>
      </c>
      <c r="D763" s="4">
        <v>44978</v>
      </c>
      <c r="E763" s="5">
        <v>6.8556999999999997</v>
      </c>
    </row>
    <row r="764" spans="1:5" x14ac:dyDescent="0.3">
      <c r="A764" s="4">
        <v>44979</v>
      </c>
      <c r="B764" s="5">
        <v>104.52809999999999</v>
      </c>
      <c r="D764" s="4">
        <v>44979</v>
      </c>
      <c r="E764" s="5">
        <v>6.8758999999999997</v>
      </c>
    </row>
    <row r="765" spans="1:5" x14ac:dyDescent="0.3">
      <c r="A765" s="4">
        <v>44980</v>
      </c>
      <c r="B765" s="5">
        <v>104.6105</v>
      </c>
      <c r="D765" s="4">
        <v>44980</v>
      </c>
      <c r="E765" s="5">
        <v>6.9028</v>
      </c>
    </row>
    <row r="766" spans="1:5" x14ac:dyDescent="0.3">
      <c r="A766" s="4">
        <v>44981</v>
      </c>
      <c r="B766" s="5">
        <v>105.26179999999999</v>
      </c>
      <c r="D766" s="4">
        <v>44981</v>
      </c>
      <c r="E766" s="5">
        <v>6.8941999999999997</v>
      </c>
    </row>
    <row r="767" spans="1:5" x14ac:dyDescent="0.3">
      <c r="A767" s="4">
        <v>44984</v>
      </c>
      <c r="B767" s="5">
        <v>104.65219999999999</v>
      </c>
      <c r="D767" s="4">
        <v>44984</v>
      </c>
      <c r="E767" s="5">
        <v>6.9572000000000003</v>
      </c>
    </row>
    <row r="768" spans="1:5" x14ac:dyDescent="0.3">
      <c r="A768" s="4">
        <v>44985</v>
      </c>
      <c r="B768" s="5">
        <v>104.9868</v>
      </c>
      <c r="D768" s="4">
        <v>44985</v>
      </c>
      <c r="E768" s="5">
        <v>6.9519000000000002</v>
      </c>
    </row>
    <row r="769" spans="1:5" x14ac:dyDescent="0.3">
      <c r="A769" s="4">
        <v>44986</v>
      </c>
      <c r="B769" s="5">
        <v>104.3862</v>
      </c>
      <c r="D769" s="4">
        <v>44986</v>
      </c>
      <c r="E769" s="5">
        <v>6.94</v>
      </c>
    </row>
    <row r="770" spans="1:5" x14ac:dyDescent="0.3">
      <c r="A770" s="4">
        <v>44987</v>
      </c>
      <c r="B770" s="5">
        <v>104.9795</v>
      </c>
      <c r="D770" s="4">
        <v>44987</v>
      </c>
      <c r="E770" s="5">
        <v>6.8807999999999998</v>
      </c>
    </row>
    <row r="771" spans="1:5" x14ac:dyDescent="0.3">
      <c r="A771" s="4">
        <v>44988</v>
      </c>
      <c r="B771" s="5">
        <v>104.5288</v>
      </c>
      <c r="D771" s="4">
        <v>44988</v>
      </c>
      <c r="E771" s="5">
        <v>6.9116999999999997</v>
      </c>
    </row>
    <row r="772" spans="1:5" x14ac:dyDescent="0.3">
      <c r="A772" s="4">
        <v>44991</v>
      </c>
      <c r="B772" s="5">
        <v>104.2694</v>
      </c>
      <c r="D772" s="4">
        <v>44991</v>
      </c>
      <c r="E772" s="5">
        <v>6.8951000000000002</v>
      </c>
    </row>
    <row r="773" spans="1:5" x14ac:dyDescent="0.3">
      <c r="A773" s="4">
        <v>44992</v>
      </c>
      <c r="B773" s="5">
        <v>105.62860000000001</v>
      </c>
      <c r="D773" s="4">
        <v>44992</v>
      </c>
      <c r="E773" s="5">
        <v>6.9156000000000004</v>
      </c>
    </row>
    <row r="774" spans="1:5" x14ac:dyDescent="0.3">
      <c r="A774" s="4">
        <v>44993</v>
      </c>
      <c r="B774" s="5">
        <v>105.69280000000001</v>
      </c>
      <c r="D774" s="4">
        <v>44993</v>
      </c>
      <c r="E774" s="5">
        <v>6.9524999999999997</v>
      </c>
    </row>
    <row r="775" spans="1:5" x14ac:dyDescent="0.3">
      <c r="A775" s="4">
        <v>44994</v>
      </c>
      <c r="B775" s="5">
        <v>105.2432</v>
      </c>
      <c r="D775" s="4">
        <v>44994</v>
      </c>
      <c r="E775" s="5">
        <v>6.9665999999999997</v>
      </c>
    </row>
    <row r="776" spans="1:5" x14ac:dyDescent="0.3">
      <c r="A776" s="4">
        <v>44995</v>
      </c>
      <c r="B776" s="5">
        <v>104.6502</v>
      </c>
      <c r="D776" s="4">
        <v>44995</v>
      </c>
      <c r="E776" s="5">
        <v>6.9654999999999996</v>
      </c>
    </row>
    <row r="777" spans="1:5" x14ac:dyDescent="0.3">
      <c r="A777" s="4">
        <v>44998</v>
      </c>
      <c r="B777" s="5">
        <v>103.6186</v>
      </c>
      <c r="D777" s="4">
        <v>44998</v>
      </c>
      <c r="E777" s="5">
        <v>6.9375</v>
      </c>
    </row>
    <row r="778" spans="1:5" x14ac:dyDescent="0.3">
      <c r="A778" s="4">
        <v>44999</v>
      </c>
      <c r="B778" s="5">
        <v>103.6712</v>
      </c>
      <c r="D778" s="4">
        <v>44999</v>
      </c>
      <c r="E778" s="5">
        <v>6.8948999999999998</v>
      </c>
    </row>
    <row r="779" spans="1:5" x14ac:dyDescent="0.3">
      <c r="A779" s="4">
        <v>45000</v>
      </c>
      <c r="B779" s="5">
        <v>104.75490000000001</v>
      </c>
      <c r="D779" s="4">
        <v>45000</v>
      </c>
      <c r="E779" s="5">
        <v>6.8680000000000003</v>
      </c>
    </row>
    <row r="780" spans="1:5" x14ac:dyDescent="0.3">
      <c r="A780" s="4">
        <v>45001</v>
      </c>
      <c r="B780" s="5">
        <v>104.4472</v>
      </c>
      <c r="D780" s="4">
        <v>45001</v>
      </c>
      <c r="E780" s="5">
        <v>6.9149000000000003</v>
      </c>
    </row>
    <row r="781" spans="1:5" x14ac:dyDescent="0.3">
      <c r="A781" s="4">
        <v>45002</v>
      </c>
      <c r="B781" s="5">
        <v>103.86369999999999</v>
      </c>
      <c r="D781" s="4">
        <v>45002</v>
      </c>
      <c r="E781" s="5">
        <v>6.9051999999999998</v>
      </c>
    </row>
    <row r="782" spans="1:5" x14ac:dyDescent="0.3">
      <c r="A782" s="4">
        <v>45005</v>
      </c>
      <c r="B782" s="5">
        <v>103.2992</v>
      </c>
      <c r="D782" s="4">
        <v>45005</v>
      </c>
      <c r="E782" s="5">
        <v>6.8693999999999997</v>
      </c>
    </row>
    <row r="783" spans="1:5" x14ac:dyDescent="0.3">
      <c r="A783" s="4">
        <v>45006</v>
      </c>
      <c r="B783" s="5">
        <v>103.2197</v>
      </c>
      <c r="D783" s="4">
        <v>45006</v>
      </c>
      <c r="E783" s="5">
        <v>6.8762999999999996</v>
      </c>
    </row>
    <row r="784" spans="1:5" x14ac:dyDescent="0.3">
      <c r="A784" s="4">
        <v>45007</v>
      </c>
      <c r="B784" s="5">
        <v>102.5608</v>
      </c>
      <c r="D784" s="4">
        <v>45007</v>
      </c>
      <c r="E784" s="5">
        <v>6.8715000000000002</v>
      </c>
    </row>
    <row r="785" spans="1:5" x14ac:dyDescent="0.3">
      <c r="A785" s="4">
        <v>45008</v>
      </c>
      <c r="B785" s="5">
        <v>102.60680000000001</v>
      </c>
      <c r="D785" s="4">
        <v>45008</v>
      </c>
      <c r="E785" s="5">
        <v>6.8708999999999998</v>
      </c>
    </row>
    <row r="786" spans="1:5" x14ac:dyDescent="0.3">
      <c r="A786" s="4">
        <v>45009</v>
      </c>
      <c r="B786" s="5">
        <v>103.10599999999999</v>
      </c>
      <c r="D786" s="4">
        <v>45009</v>
      </c>
      <c r="E786" s="5">
        <v>6.8373999999999997</v>
      </c>
    </row>
    <row r="787" spans="1:5" x14ac:dyDescent="0.3">
      <c r="A787" s="4">
        <v>45012</v>
      </c>
      <c r="B787" s="5">
        <v>102.84439999999999</v>
      </c>
      <c r="D787" s="4">
        <v>45012</v>
      </c>
      <c r="E787" s="5">
        <v>6.8714000000000004</v>
      </c>
    </row>
    <row r="788" spans="1:5" x14ac:dyDescent="0.3">
      <c r="A788" s="4">
        <v>45013</v>
      </c>
      <c r="B788" s="5">
        <v>102.422</v>
      </c>
      <c r="D788" s="4">
        <v>45013</v>
      </c>
      <c r="E788" s="5">
        <v>6.8749000000000002</v>
      </c>
    </row>
    <row r="789" spans="1:5" x14ac:dyDescent="0.3">
      <c r="A789" s="4">
        <v>45014</v>
      </c>
      <c r="B789" s="5">
        <v>102.65260000000001</v>
      </c>
      <c r="D789" s="4">
        <v>45014</v>
      </c>
      <c r="E789" s="5">
        <v>6.8771000000000004</v>
      </c>
    </row>
    <row r="790" spans="1:5" x14ac:dyDescent="0.3">
      <c r="A790" s="4">
        <v>45015</v>
      </c>
      <c r="B790" s="5">
        <v>102.1786</v>
      </c>
      <c r="D790" s="4">
        <v>45015</v>
      </c>
      <c r="E790" s="5">
        <v>6.8886000000000003</v>
      </c>
    </row>
    <row r="791" spans="1:5" x14ac:dyDescent="0.3">
      <c r="A791" s="4">
        <v>45016</v>
      </c>
      <c r="B791" s="5">
        <v>102.59699999999999</v>
      </c>
      <c r="D791" s="4">
        <v>45016</v>
      </c>
      <c r="E791" s="5">
        <v>6.8716999999999997</v>
      </c>
    </row>
    <row r="792" spans="1:5" x14ac:dyDescent="0.3">
      <c r="A792" s="4">
        <v>45019</v>
      </c>
      <c r="B792" s="5">
        <v>102.0654</v>
      </c>
      <c r="D792" s="4">
        <v>45019</v>
      </c>
      <c r="E792" s="5">
        <v>6.8804999999999996</v>
      </c>
    </row>
    <row r="793" spans="1:5" x14ac:dyDescent="0.3">
      <c r="A793" s="4">
        <v>45020</v>
      </c>
      <c r="B793" s="5">
        <v>101.5788</v>
      </c>
      <c r="D793" s="4">
        <v>45020</v>
      </c>
      <c r="E793" s="5">
        <v>6.8699000000000003</v>
      </c>
    </row>
    <row r="794" spans="1:5" x14ac:dyDescent="0.3">
      <c r="A794" s="4">
        <v>45022</v>
      </c>
      <c r="B794" s="5">
        <v>101.91719999999999</v>
      </c>
      <c r="D794" s="4">
        <v>45022</v>
      </c>
      <c r="E794" s="5">
        <v>6.8746999999999998</v>
      </c>
    </row>
    <row r="795" spans="1:5" x14ac:dyDescent="0.3">
      <c r="A795" s="4">
        <v>45023</v>
      </c>
      <c r="B795" s="5">
        <v>102.1053</v>
      </c>
      <c r="D795" s="4">
        <v>45023</v>
      </c>
      <c r="E795" s="5">
        <v>6.8837999999999999</v>
      </c>
    </row>
    <row r="796" spans="1:5" x14ac:dyDescent="0.3">
      <c r="A796" s="4">
        <v>45026</v>
      </c>
      <c r="B796" s="5">
        <v>102.55289999999999</v>
      </c>
      <c r="D796" s="4">
        <v>45026</v>
      </c>
      <c r="E796" s="5">
        <v>6.8764000000000003</v>
      </c>
    </row>
    <row r="797" spans="1:5" x14ac:dyDescent="0.3">
      <c r="A797" s="4">
        <v>45027</v>
      </c>
      <c r="B797" s="5">
        <v>102.15130000000001</v>
      </c>
      <c r="D797" s="4">
        <v>45027</v>
      </c>
      <c r="E797" s="5">
        <v>6.8882000000000003</v>
      </c>
    </row>
    <row r="798" spans="1:5" x14ac:dyDescent="0.3">
      <c r="A798" s="4">
        <v>45028</v>
      </c>
      <c r="B798" s="5">
        <v>101.52970000000001</v>
      </c>
      <c r="D798" s="4">
        <v>45028</v>
      </c>
      <c r="E798" s="5">
        <v>6.8853999999999997</v>
      </c>
    </row>
    <row r="799" spans="1:5" x14ac:dyDescent="0.3">
      <c r="A799" s="4">
        <v>45029</v>
      </c>
      <c r="B799" s="5">
        <v>101.01479999999999</v>
      </c>
      <c r="D799" s="4">
        <v>45029</v>
      </c>
      <c r="E799" s="5">
        <v>6.8658000000000001</v>
      </c>
    </row>
    <row r="800" spans="1:5" x14ac:dyDescent="0.3">
      <c r="A800" s="4">
        <v>45030</v>
      </c>
      <c r="B800" s="5">
        <v>101.5775</v>
      </c>
      <c r="D800" s="4">
        <v>45030</v>
      </c>
      <c r="E800" s="5">
        <v>6.8605999999999998</v>
      </c>
    </row>
    <row r="801" spans="1:5" x14ac:dyDescent="0.3">
      <c r="A801" s="4">
        <v>45033</v>
      </c>
      <c r="B801" s="5">
        <v>102.1041</v>
      </c>
      <c r="D801" s="4">
        <v>45033</v>
      </c>
      <c r="E801" s="5">
        <v>6.8678999999999997</v>
      </c>
    </row>
    <row r="802" spans="1:5" x14ac:dyDescent="0.3">
      <c r="A802" s="4">
        <v>45034</v>
      </c>
      <c r="B802" s="5">
        <v>101.7368</v>
      </c>
      <c r="D802" s="4">
        <v>45034</v>
      </c>
      <c r="E802" s="5">
        <v>6.8814000000000002</v>
      </c>
    </row>
    <row r="803" spans="1:5" x14ac:dyDescent="0.3">
      <c r="A803" s="4">
        <v>45035</v>
      </c>
      <c r="B803" s="5">
        <v>101.95</v>
      </c>
      <c r="D803" s="4">
        <v>45035</v>
      </c>
      <c r="E803" s="5">
        <v>6.8731</v>
      </c>
    </row>
    <row r="804" spans="1:5" x14ac:dyDescent="0.3">
      <c r="A804" s="4">
        <v>45036</v>
      </c>
      <c r="B804" s="5">
        <v>101.78789999999999</v>
      </c>
      <c r="D804" s="4">
        <v>45036</v>
      </c>
      <c r="E804" s="5">
        <v>6.8986999999999998</v>
      </c>
    </row>
    <row r="805" spans="1:5" x14ac:dyDescent="0.3">
      <c r="A805" s="4">
        <v>45037</v>
      </c>
      <c r="B805" s="5">
        <v>101.7201</v>
      </c>
      <c r="D805" s="4">
        <v>45037</v>
      </c>
      <c r="E805" s="5">
        <v>6.8752000000000004</v>
      </c>
    </row>
    <row r="806" spans="1:5" x14ac:dyDescent="0.3">
      <c r="A806" s="4">
        <v>45040</v>
      </c>
      <c r="B806" s="5">
        <v>101.3411</v>
      </c>
      <c r="D806" s="4">
        <v>45040</v>
      </c>
      <c r="E806" s="5">
        <v>6.8834999999999997</v>
      </c>
    </row>
    <row r="807" spans="1:5" x14ac:dyDescent="0.3">
      <c r="A807" s="4">
        <v>45041</v>
      </c>
      <c r="B807" s="5">
        <v>101.8476</v>
      </c>
      <c r="D807" s="4">
        <v>45041</v>
      </c>
      <c r="E807" s="5">
        <v>6.8846999999999996</v>
      </c>
    </row>
    <row r="808" spans="1:5" x14ac:dyDescent="0.3">
      <c r="A808" s="4">
        <v>45042</v>
      </c>
      <c r="B808" s="5">
        <v>101.4453</v>
      </c>
      <c r="D808" s="4">
        <v>45042</v>
      </c>
      <c r="E808" s="5">
        <v>6.9237000000000002</v>
      </c>
    </row>
    <row r="809" spans="1:5" x14ac:dyDescent="0.3">
      <c r="A809" s="4">
        <v>45043</v>
      </c>
      <c r="B809" s="5">
        <v>101.4812</v>
      </c>
      <c r="D809" s="4">
        <v>45043</v>
      </c>
      <c r="E809" s="5">
        <v>6.9207000000000001</v>
      </c>
    </row>
    <row r="810" spans="1:5" x14ac:dyDescent="0.3">
      <c r="A810" s="4">
        <v>45044</v>
      </c>
      <c r="B810" s="5">
        <v>101.6645</v>
      </c>
      <c r="D810" s="4">
        <v>45044</v>
      </c>
      <c r="E810" s="5">
        <v>6.9240000000000004</v>
      </c>
    </row>
    <row r="811" spans="1:5" x14ac:dyDescent="0.3">
      <c r="A811" s="4">
        <v>45050</v>
      </c>
      <c r="B811" s="5">
        <v>101.4337</v>
      </c>
      <c r="D811" s="4">
        <v>45050</v>
      </c>
      <c r="E811" s="5">
        <v>6.9054000000000002</v>
      </c>
    </row>
    <row r="812" spans="1:5" x14ac:dyDescent="0.3">
      <c r="A812" s="4">
        <v>45051</v>
      </c>
      <c r="B812" s="5">
        <v>101.29040000000001</v>
      </c>
      <c r="D812" s="4">
        <v>45051</v>
      </c>
      <c r="E812" s="5">
        <v>6.9114000000000004</v>
      </c>
    </row>
    <row r="813" spans="1:5" x14ac:dyDescent="0.3">
      <c r="A813" s="4">
        <v>45054</v>
      </c>
      <c r="B813" s="5">
        <v>101.3908</v>
      </c>
      <c r="D813" s="4">
        <v>45054</v>
      </c>
      <c r="E813" s="5">
        <v>6.9157999999999999</v>
      </c>
    </row>
    <row r="814" spans="1:5" x14ac:dyDescent="0.3">
      <c r="A814" s="4">
        <v>45055</v>
      </c>
      <c r="B814" s="5">
        <v>101.6549</v>
      </c>
      <c r="D814" s="4">
        <v>45055</v>
      </c>
      <c r="E814" s="5">
        <v>6.9255000000000004</v>
      </c>
    </row>
    <row r="815" spans="1:5" x14ac:dyDescent="0.3">
      <c r="A815" s="4">
        <v>45056</v>
      </c>
      <c r="B815" s="5">
        <v>101.4375</v>
      </c>
      <c r="D815" s="4">
        <v>45056</v>
      </c>
      <c r="E815" s="5">
        <v>6.9298999999999999</v>
      </c>
    </row>
    <row r="816" spans="1:5" x14ac:dyDescent="0.3">
      <c r="A816" s="4">
        <v>45057</v>
      </c>
      <c r="B816" s="5">
        <v>102.0789</v>
      </c>
      <c r="D816" s="4">
        <v>45057</v>
      </c>
      <c r="E816" s="5">
        <v>6.9100999999999999</v>
      </c>
    </row>
    <row r="817" spans="1:5" x14ac:dyDescent="0.3">
      <c r="A817" s="4">
        <v>45058</v>
      </c>
      <c r="B817" s="5">
        <v>102.70399999999999</v>
      </c>
      <c r="D817" s="4">
        <v>45058</v>
      </c>
      <c r="E817" s="5">
        <v>6.9481000000000002</v>
      </c>
    </row>
    <row r="818" spans="1:5" x14ac:dyDescent="0.3">
      <c r="A818" s="4">
        <v>45061</v>
      </c>
      <c r="B818" s="5">
        <v>102.43770000000001</v>
      </c>
      <c r="D818" s="4">
        <v>45061</v>
      </c>
      <c r="E818" s="5">
        <v>6.9653999999999998</v>
      </c>
    </row>
    <row r="819" spans="1:5" x14ac:dyDescent="0.3">
      <c r="A819" s="4">
        <v>45062</v>
      </c>
      <c r="B819" s="5">
        <v>102.6049</v>
      </c>
      <c r="D819" s="4">
        <v>45062</v>
      </c>
      <c r="E819" s="5">
        <v>6.9505999999999997</v>
      </c>
    </row>
    <row r="820" spans="1:5" x14ac:dyDescent="0.3">
      <c r="A820" s="4">
        <v>45063</v>
      </c>
      <c r="B820" s="5">
        <v>102.8832</v>
      </c>
      <c r="D820" s="4">
        <v>45063</v>
      </c>
      <c r="E820" s="5">
        <v>6.9748000000000001</v>
      </c>
    </row>
    <row r="821" spans="1:5" x14ac:dyDescent="0.3">
      <c r="A821" s="4">
        <v>45064</v>
      </c>
      <c r="B821" s="5">
        <v>103.55289999999999</v>
      </c>
      <c r="D821" s="4">
        <v>45064</v>
      </c>
      <c r="E821" s="5">
        <v>6.9966999999999997</v>
      </c>
    </row>
    <row r="822" spans="1:5" x14ac:dyDescent="0.3">
      <c r="A822" s="4">
        <v>45065</v>
      </c>
      <c r="B822" s="5">
        <v>103.1921</v>
      </c>
      <c r="D822" s="4">
        <v>45065</v>
      </c>
      <c r="E822" s="5">
        <v>7.0355999999999996</v>
      </c>
    </row>
    <row r="823" spans="1:5" x14ac:dyDescent="0.3">
      <c r="A823" s="4">
        <v>45068</v>
      </c>
      <c r="B823" s="5">
        <v>103.2461</v>
      </c>
      <c r="D823" s="4">
        <v>45068</v>
      </c>
      <c r="E823" s="5">
        <v>7.0156999999999998</v>
      </c>
    </row>
    <row r="824" spans="1:5" x14ac:dyDescent="0.3">
      <c r="A824" s="4">
        <v>45069</v>
      </c>
      <c r="B824" s="5">
        <v>103.5299</v>
      </c>
      <c r="D824" s="4">
        <v>45069</v>
      </c>
      <c r="E824" s="5">
        <v>7.0326000000000004</v>
      </c>
    </row>
    <row r="825" spans="1:5" x14ac:dyDescent="0.3">
      <c r="A825" s="4">
        <v>45070</v>
      </c>
      <c r="B825" s="5">
        <v>103.9102</v>
      </c>
      <c r="D825" s="4">
        <v>45070</v>
      </c>
      <c r="E825" s="5">
        <v>7.056</v>
      </c>
    </row>
    <row r="826" spans="1:5" x14ac:dyDescent="0.3">
      <c r="A826" s="4">
        <v>45071</v>
      </c>
      <c r="B826" s="5">
        <v>104.2269</v>
      </c>
      <c r="D826" s="4">
        <v>45071</v>
      </c>
      <c r="E826" s="5">
        <v>7.0529000000000002</v>
      </c>
    </row>
    <row r="827" spans="1:5" x14ac:dyDescent="0.3">
      <c r="A827" s="4">
        <v>45072</v>
      </c>
      <c r="B827" s="5">
        <v>104.21339999999999</v>
      </c>
      <c r="D827" s="4">
        <v>45072</v>
      </c>
      <c r="E827" s="5">
        <v>7.0759999999999996</v>
      </c>
    </row>
    <row r="828" spans="1:5" x14ac:dyDescent="0.3">
      <c r="A828" s="4">
        <v>45075</v>
      </c>
      <c r="B828" s="5">
        <v>104.2907</v>
      </c>
      <c r="D828" s="4">
        <v>45075</v>
      </c>
      <c r="E828" s="5">
        <v>7.0575000000000001</v>
      </c>
    </row>
    <row r="829" spans="1:5" x14ac:dyDescent="0.3">
      <c r="A829" s="4">
        <v>45076</v>
      </c>
      <c r="B829" s="5">
        <v>104.04940000000001</v>
      </c>
      <c r="D829" s="4">
        <v>45076</v>
      </c>
      <c r="E829" s="5">
        <v>7.0818000000000003</v>
      </c>
    </row>
    <row r="830" spans="1:5" x14ac:dyDescent="0.3">
      <c r="A830" s="4">
        <v>45077</v>
      </c>
      <c r="B830" s="5">
        <v>104.2208</v>
      </c>
      <c r="D830" s="4">
        <v>45077</v>
      </c>
      <c r="E830" s="5">
        <v>7.0820999999999996</v>
      </c>
    </row>
    <row r="831" spans="1:5" x14ac:dyDescent="0.3">
      <c r="A831" s="4">
        <v>45078</v>
      </c>
      <c r="B831" s="5">
        <v>103.5515</v>
      </c>
      <c r="D831" s="4">
        <v>45078</v>
      </c>
      <c r="E831" s="5">
        <v>7.0964999999999998</v>
      </c>
    </row>
    <row r="832" spans="1:5" x14ac:dyDescent="0.3">
      <c r="A832" s="4">
        <v>45079</v>
      </c>
      <c r="B832" s="5">
        <v>104.04600000000001</v>
      </c>
      <c r="D832" s="4">
        <v>45079</v>
      </c>
      <c r="E832" s="5">
        <v>7.0938999999999997</v>
      </c>
    </row>
    <row r="833" spans="1:5" x14ac:dyDescent="0.3">
      <c r="A833" s="4">
        <v>45082</v>
      </c>
      <c r="B833" s="5">
        <v>104.0115</v>
      </c>
      <c r="D833" s="4">
        <v>45082</v>
      </c>
      <c r="E833" s="5">
        <v>7.0903999999999998</v>
      </c>
    </row>
    <row r="834" spans="1:5" x14ac:dyDescent="0.3">
      <c r="A834" s="4">
        <v>45083</v>
      </c>
      <c r="B834" s="5">
        <v>104.1508</v>
      </c>
      <c r="D834" s="4">
        <v>45083</v>
      </c>
      <c r="E834" s="5">
        <v>7.1074999999999999</v>
      </c>
    </row>
    <row r="835" spans="1:5" x14ac:dyDescent="0.3">
      <c r="A835" s="4">
        <v>45084</v>
      </c>
      <c r="B835" s="5">
        <v>104.1241</v>
      </c>
      <c r="D835" s="4">
        <v>45084</v>
      </c>
      <c r="E835" s="5">
        <v>7.1196000000000002</v>
      </c>
    </row>
    <row r="836" spans="1:5" x14ac:dyDescent="0.3">
      <c r="A836" s="4">
        <v>45085</v>
      </c>
      <c r="B836" s="5">
        <v>103.32040000000001</v>
      </c>
      <c r="D836" s="4">
        <v>45085</v>
      </c>
      <c r="E836" s="5">
        <v>7.1280000000000001</v>
      </c>
    </row>
    <row r="837" spans="1:5" x14ac:dyDescent="0.3">
      <c r="A837" s="4">
        <v>45086</v>
      </c>
      <c r="B837" s="5">
        <v>103.5562</v>
      </c>
      <c r="D837" s="4">
        <v>45086</v>
      </c>
      <c r="E837" s="5">
        <v>7.1115000000000004</v>
      </c>
    </row>
    <row r="838" spans="1:5" x14ac:dyDescent="0.3">
      <c r="A838" s="4">
        <v>45089</v>
      </c>
      <c r="B838" s="5">
        <v>103.6275</v>
      </c>
      <c r="D838" s="4">
        <v>45089</v>
      </c>
      <c r="E838" s="5">
        <v>7.1212</v>
      </c>
    </row>
    <row r="839" spans="1:5" x14ac:dyDescent="0.3">
      <c r="A839" s="4">
        <v>45090</v>
      </c>
      <c r="B839" s="5">
        <v>103.2885</v>
      </c>
      <c r="D839" s="4">
        <v>45090</v>
      </c>
      <c r="E839" s="5">
        <v>7.1497999999999999</v>
      </c>
    </row>
    <row r="840" spans="1:5" x14ac:dyDescent="0.3">
      <c r="A840" s="4">
        <v>45091</v>
      </c>
      <c r="B840" s="5">
        <v>103.01390000000001</v>
      </c>
      <c r="D840" s="4">
        <v>45091</v>
      </c>
      <c r="E840" s="5">
        <v>7.1566000000000001</v>
      </c>
    </row>
    <row r="841" spans="1:5" x14ac:dyDescent="0.3">
      <c r="A841" s="4">
        <v>45092</v>
      </c>
      <c r="B841" s="5">
        <v>102.14149999999999</v>
      </c>
      <c r="D841" s="4">
        <v>45092</v>
      </c>
      <c r="E841" s="5">
        <v>7.1489000000000003</v>
      </c>
    </row>
    <row r="842" spans="1:5" x14ac:dyDescent="0.3">
      <c r="A842" s="4">
        <v>45093</v>
      </c>
      <c r="B842" s="5">
        <v>102.31529999999999</v>
      </c>
      <c r="D842" s="4">
        <v>45093</v>
      </c>
      <c r="E842" s="5">
        <v>7.1288999999999998</v>
      </c>
    </row>
    <row r="843" spans="1:5" x14ac:dyDescent="0.3">
      <c r="A843" s="4">
        <v>45096</v>
      </c>
      <c r="B843" s="5">
        <v>102.4969</v>
      </c>
      <c r="D843" s="4">
        <v>45096</v>
      </c>
      <c r="E843" s="5">
        <v>7.1200999999999999</v>
      </c>
    </row>
    <row r="844" spans="1:5" x14ac:dyDescent="0.3">
      <c r="A844" s="4">
        <v>45097</v>
      </c>
      <c r="B844" s="5">
        <v>102.5394</v>
      </c>
      <c r="D844" s="4">
        <v>45097</v>
      </c>
      <c r="E844" s="5">
        <v>7.1596000000000002</v>
      </c>
    </row>
    <row r="845" spans="1:5" x14ac:dyDescent="0.3">
      <c r="A845" s="4">
        <v>45098</v>
      </c>
      <c r="B845" s="5">
        <v>102.0859</v>
      </c>
      <c r="D845" s="4">
        <v>45098</v>
      </c>
      <c r="E845" s="5">
        <v>7.1795</v>
      </c>
    </row>
    <row r="846" spans="1:5" x14ac:dyDescent="0.3">
      <c r="A846" s="4">
        <v>45103</v>
      </c>
      <c r="B846" s="5">
        <v>102.70059999999999</v>
      </c>
      <c r="D846" s="4">
        <v>45103</v>
      </c>
      <c r="E846" s="5">
        <v>7.2055999999999996</v>
      </c>
    </row>
    <row r="847" spans="1:5" x14ac:dyDescent="0.3">
      <c r="A847" s="4">
        <v>45104</v>
      </c>
      <c r="B847" s="5">
        <v>102.508</v>
      </c>
      <c r="D847" s="4">
        <v>45104</v>
      </c>
      <c r="E847" s="5">
        <v>7.2098000000000004</v>
      </c>
    </row>
    <row r="848" spans="1:5" x14ac:dyDescent="0.3">
      <c r="A848" s="4">
        <v>45105</v>
      </c>
      <c r="B848" s="5">
        <v>102.9984</v>
      </c>
      <c r="D848" s="4">
        <v>45105</v>
      </c>
      <c r="E848" s="5">
        <v>7.2100999999999997</v>
      </c>
    </row>
    <row r="849" spans="1:5" x14ac:dyDescent="0.3">
      <c r="A849" s="4">
        <v>45106</v>
      </c>
      <c r="B849" s="5">
        <v>103.3788</v>
      </c>
      <c r="D849" s="4">
        <v>45106</v>
      </c>
      <c r="E849" s="5">
        <v>7.2207999999999997</v>
      </c>
    </row>
    <row r="850" spans="1:5" x14ac:dyDescent="0.3">
      <c r="A850" s="4">
        <v>45107</v>
      </c>
      <c r="B850" s="5">
        <v>103.3788</v>
      </c>
      <c r="D850" s="4">
        <v>45107</v>
      </c>
      <c r="E850" s="5">
        <v>7.2257999999999996</v>
      </c>
    </row>
    <row r="851" spans="1:5" x14ac:dyDescent="0.3">
      <c r="A851" s="4">
        <v>45110</v>
      </c>
      <c r="B851" s="5">
        <v>102.973</v>
      </c>
      <c r="D851" s="4">
        <v>45110</v>
      </c>
      <c r="E851" s="5">
        <v>7.2157</v>
      </c>
    </row>
    <row r="852" spans="1:5" x14ac:dyDescent="0.3">
      <c r="A852" s="4">
        <v>45111</v>
      </c>
      <c r="B852" s="5">
        <v>103.10420000000001</v>
      </c>
      <c r="D852" s="4">
        <v>45111</v>
      </c>
      <c r="E852" s="5">
        <v>7.2046000000000001</v>
      </c>
    </row>
    <row r="853" spans="1:5" x14ac:dyDescent="0.3">
      <c r="A853" s="4">
        <v>45112</v>
      </c>
      <c r="B853" s="5">
        <v>103.361</v>
      </c>
      <c r="D853" s="4">
        <v>45112</v>
      </c>
      <c r="E853" s="5">
        <v>7.1967999999999996</v>
      </c>
    </row>
    <row r="854" spans="1:5" x14ac:dyDescent="0.3">
      <c r="A854" s="4">
        <v>45113</v>
      </c>
      <c r="B854" s="5">
        <v>103.1126</v>
      </c>
      <c r="D854" s="4">
        <v>45113</v>
      </c>
      <c r="E854" s="5">
        <v>7.2098000000000004</v>
      </c>
    </row>
    <row r="855" spans="1:5" x14ac:dyDescent="0.3">
      <c r="A855" s="4">
        <v>45114</v>
      </c>
      <c r="B855" s="5">
        <v>102.22539999999999</v>
      </c>
      <c r="D855" s="4">
        <v>45114</v>
      </c>
      <c r="E855" s="5">
        <v>7.2054</v>
      </c>
    </row>
    <row r="856" spans="1:5" x14ac:dyDescent="0.3">
      <c r="A856" s="4">
        <v>45117</v>
      </c>
      <c r="B856" s="5">
        <v>101.95269999999999</v>
      </c>
      <c r="D856" s="4">
        <v>45117</v>
      </c>
      <c r="E856" s="5">
        <v>7.1925999999999997</v>
      </c>
    </row>
    <row r="857" spans="1:5" x14ac:dyDescent="0.3">
      <c r="A857" s="4">
        <v>45118</v>
      </c>
      <c r="B857" s="5">
        <v>101.65089999999999</v>
      </c>
      <c r="D857" s="4">
        <v>45118</v>
      </c>
      <c r="E857" s="5">
        <v>7.1886000000000001</v>
      </c>
    </row>
    <row r="858" spans="1:5" x14ac:dyDescent="0.3">
      <c r="A858" s="4">
        <v>45119</v>
      </c>
      <c r="B858" s="5">
        <v>100.59480000000001</v>
      </c>
      <c r="D858" s="4">
        <v>45119</v>
      </c>
      <c r="E858" s="5">
        <v>7.1764999999999999</v>
      </c>
    </row>
    <row r="859" spans="1:5" x14ac:dyDescent="0.3">
      <c r="A859" s="4">
        <v>45120</v>
      </c>
      <c r="B859" s="5">
        <v>99.756900000000002</v>
      </c>
      <c r="D859" s="4">
        <v>45120</v>
      </c>
      <c r="E859" s="5">
        <v>7.1527000000000003</v>
      </c>
    </row>
    <row r="860" spans="1:5" x14ac:dyDescent="0.3">
      <c r="A860" s="4">
        <v>45121</v>
      </c>
      <c r="B860" s="5">
        <v>99.963300000000004</v>
      </c>
      <c r="D860" s="4">
        <v>45121</v>
      </c>
      <c r="E860" s="5">
        <v>7.1318000000000001</v>
      </c>
    </row>
    <row r="861" spans="1:5" x14ac:dyDescent="0.3">
      <c r="A861" s="4">
        <v>45124</v>
      </c>
      <c r="B861" s="5">
        <v>99.898200000000003</v>
      </c>
      <c r="D861" s="4">
        <v>45124</v>
      </c>
      <c r="E861" s="5">
        <v>7.1326000000000001</v>
      </c>
    </row>
    <row r="862" spans="1:5" x14ac:dyDescent="0.3">
      <c r="A862" s="4">
        <v>45125</v>
      </c>
      <c r="B862" s="5">
        <v>99.944699999999997</v>
      </c>
      <c r="D862" s="4">
        <v>45125</v>
      </c>
      <c r="E862" s="5">
        <v>7.1452999999999998</v>
      </c>
    </row>
    <row r="863" spans="1:5" x14ac:dyDescent="0.3">
      <c r="A863" s="4">
        <v>45126</v>
      </c>
      <c r="B863" s="5">
        <v>100.2891</v>
      </c>
      <c r="D863" s="4">
        <v>45126</v>
      </c>
      <c r="E863" s="5">
        <v>7.1486000000000001</v>
      </c>
    </row>
    <row r="864" spans="1:5" x14ac:dyDescent="0.3">
      <c r="A864" s="4">
        <v>45127</v>
      </c>
      <c r="B864" s="5">
        <v>100.8274</v>
      </c>
      <c r="D864" s="4">
        <v>45127</v>
      </c>
      <c r="E864" s="5">
        <v>7.1466000000000003</v>
      </c>
    </row>
    <row r="865" spans="1:5" x14ac:dyDescent="0.3">
      <c r="A865" s="4">
        <v>45128</v>
      </c>
      <c r="B865" s="5">
        <v>101.0857</v>
      </c>
      <c r="D865" s="4">
        <v>45128</v>
      </c>
      <c r="E865" s="5">
        <v>7.1456</v>
      </c>
    </row>
    <row r="866" spans="1:5" x14ac:dyDescent="0.3">
      <c r="A866" s="4">
        <v>45131</v>
      </c>
      <c r="B866" s="5">
        <v>101.3905</v>
      </c>
      <c r="D866" s="4">
        <v>45131</v>
      </c>
      <c r="E866" s="5">
        <v>7.1451000000000002</v>
      </c>
    </row>
    <row r="867" spans="1:5" x14ac:dyDescent="0.3">
      <c r="A867" s="4">
        <v>45132</v>
      </c>
      <c r="B867" s="5">
        <v>101.2675</v>
      </c>
      <c r="D867" s="4">
        <v>45132</v>
      </c>
      <c r="E867" s="5">
        <v>7.1406000000000001</v>
      </c>
    </row>
    <row r="868" spans="1:5" x14ac:dyDescent="0.3">
      <c r="A868" s="4">
        <v>45133</v>
      </c>
      <c r="B868" s="5">
        <v>101.02760000000001</v>
      </c>
      <c r="D868" s="4">
        <v>45133</v>
      </c>
      <c r="E868" s="5">
        <v>7.1295000000000002</v>
      </c>
    </row>
    <row r="869" spans="1:5" x14ac:dyDescent="0.3">
      <c r="A869" s="4">
        <v>45134</v>
      </c>
      <c r="B869" s="5">
        <v>101.76</v>
      </c>
      <c r="D869" s="4">
        <v>45134</v>
      </c>
      <c r="E869" s="5">
        <v>7.1265000000000001</v>
      </c>
    </row>
    <row r="870" spans="1:5" x14ac:dyDescent="0.3">
      <c r="A870" s="4">
        <v>45135</v>
      </c>
      <c r="B870" s="5">
        <v>101.71299999999999</v>
      </c>
      <c r="D870" s="4">
        <v>45135</v>
      </c>
      <c r="E870" s="5">
        <v>7.1337999999999999</v>
      </c>
    </row>
    <row r="871" spans="1:5" x14ac:dyDescent="0.3">
      <c r="A871" s="4">
        <v>45138</v>
      </c>
      <c r="B871" s="5">
        <v>101.8784</v>
      </c>
      <c r="D871" s="4">
        <v>45138</v>
      </c>
      <c r="E871" s="5">
        <v>7.1304999999999996</v>
      </c>
    </row>
    <row r="872" spans="1:5" x14ac:dyDescent="0.3">
      <c r="A872" s="4">
        <v>45139</v>
      </c>
      <c r="B872" s="5">
        <v>102.21250000000001</v>
      </c>
      <c r="D872" s="4">
        <v>45139</v>
      </c>
      <c r="E872" s="5">
        <v>7.1283000000000003</v>
      </c>
    </row>
    <row r="873" spans="1:5" x14ac:dyDescent="0.3">
      <c r="A873" s="4">
        <v>45140</v>
      </c>
      <c r="B873" s="5">
        <v>102.6348</v>
      </c>
      <c r="D873" s="4">
        <v>45140</v>
      </c>
      <c r="E873" s="5">
        <v>7.1368</v>
      </c>
    </row>
    <row r="874" spans="1:5" x14ac:dyDescent="0.3">
      <c r="A874" s="4">
        <v>45141</v>
      </c>
      <c r="B874" s="5">
        <v>102.4789</v>
      </c>
      <c r="D874" s="4">
        <v>45141</v>
      </c>
      <c r="E874" s="5">
        <v>7.1494999999999997</v>
      </c>
    </row>
    <row r="875" spans="1:5" x14ac:dyDescent="0.3">
      <c r="A875" s="4">
        <v>45142</v>
      </c>
      <c r="B875" s="5">
        <v>102.00369999999999</v>
      </c>
      <c r="D875" s="4">
        <v>45142</v>
      </c>
      <c r="E875" s="5">
        <v>7.1417999999999999</v>
      </c>
    </row>
    <row r="876" spans="1:5" x14ac:dyDescent="0.3">
      <c r="A876" s="4">
        <v>45145</v>
      </c>
      <c r="B876" s="5">
        <v>102.0731</v>
      </c>
      <c r="D876" s="4">
        <v>45145</v>
      </c>
      <c r="E876" s="5">
        <v>7.1379999999999999</v>
      </c>
    </row>
    <row r="877" spans="1:5" x14ac:dyDescent="0.3">
      <c r="A877" s="4">
        <v>45146</v>
      </c>
      <c r="B877" s="5">
        <v>102.5367</v>
      </c>
      <c r="D877" s="4">
        <v>45146</v>
      </c>
      <c r="E877" s="5">
        <v>7.1565000000000003</v>
      </c>
    </row>
    <row r="878" spans="1:5" x14ac:dyDescent="0.3">
      <c r="A878" s="4">
        <v>45147</v>
      </c>
      <c r="B878" s="5">
        <v>102.50320000000001</v>
      </c>
      <c r="D878" s="4">
        <v>45147</v>
      </c>
      <c r="E878" s="5">
        <v>7.1588000000000003</v>
      </c>
    </row>
    <row r="879" spans="1:5" x14ac:dyDescent="0.3">
      <c r="A879" s="4">
        <v>45148</v>
      </c>
      <c r="B879" s="5">
        <v>102.6391</v>
      </c>
      <c r="D879" s="4">
        <v>45148</v>
      </c>
      <c r="E879" s="5">
        <v>7.1576000000000004</v>
      </c>
    </row>
    <row r="880" spans="1:5" x14ac:dyDescent="0.3">
      <c r="A880" s="4">
        <v>45149</v>
      </c>
      <c r="B880" s="5">
        <v>102.877</v>
      </c>
      <c r="D880" s="4">
        <v>45149</v>
      </c>
      <c r="E880" s="5">
        <v>7.1586999999999996</v>
      </c>
    </row>
    <row r="881" spans="1:5" x14ac:dyDescent="0.3">
      <c r="A881" s="4">
        <v>45152</v>
      </c>
      <c r="B881" s="5">
        <v>103.16330000000001</v>
      </c>
      <c r="D881" s="4">
        <v>45152</v>
      </c>
      <c r="E881" s="5">
        <v>7.1685999999999996</v>
      </c>
    </row>
    <row r="882" spans="1:5" x14ac:dyDescent="0.3">
      <c r="A882" s="4">
        <v>45153</v>
      </c>
      <c r="B882" s="5">
        <v>103.20659999999999</v>
      </c>
      <c r="D882" s="4">
        <v>45153</v>
      </c>
      <c r="E882" s="5">
        <v>7.1768000000000001</v>
      </c>
    </row>
    <row r="883" spans="1:5" x14ac:dyDescent="0.3">
      <c r="A883" s="4">
        <v>45154</v>
      </c>
      <c r="B883" s="5">
        <v>103.4449</v>
      </c>
      <c r="D883" s="4">
        <v>45154</v>
      </c>
      <c r="E883" s="5">
        <v>7.1985999999999999</v>
      </c>
    </row>
    <row r="884" spans="1:5" x14ac:dyDescent="0.3">
      <c r="A884" s="4">
        <v>45155</v>
      </c>
      <c r="B884" s="5">
        <v>103.4228</v>
      </c>
      <c r="D884" s="4">
        <v>45155</v>
      </c>
      <c r="E884" s="5">
        <v>7.2076000000000002</v>
      </c>
    </row>
    <row r="885" spans="1:5" x14ac:dyDescent="0.3">
      <c r="A885" s="4">
        <v>45156</v>
      </c>
      <c r="B885" s="5">
        <v>103.44329999999999</v>
      </c>
      <c r="D885" s="4">
        <v>45156</v>
      </c>
      <c r="E885" s="5">
        <v>7.2005999999999997</v>
      </c>
    </row>
    <row r="886" spans="1:5" x14ac:dyDescent="0.3">
      <c r="A886" s="4">
        <v>45159</v>
      </c>
      <c r="B886" s="5">
        <v>103.3344</v>
      </c>
      <c r="D886" s="4">
        <v>45159</v>
      </c>
      <c r="E886" s="5">
        <v>7.1986999999999997</v>
      </c>
    </row>
    <row r="887" spans="1:5" x14ac:dyDescent="0.3">
      <c r="A887" s="4">
        <v>45160</v>
      </c>
      <c r="B887" s="5">
        <v>103.6001</v>
      </c>
      <c r="D887" s="4">
        <v>45160</v>
      </c>
      <c r="E887" s="5">
        <v>7.1992000000000003</v>
      </c>
    </row>
    <row r="888" spans="1:5" x14ac:dyDescent="0.3">
      <c r="A888" s="4">
        <v>45161</v>
      </c>
      <c r="B888" s="5">
        <v>103.3763</v>
      </c>
      <c r="D888" s="4">
        <v>45161</v>
      </c>
      <c r="E888" s="5">
        <v>7.1988000000000003</v>
      </c>
    </row>
    <row r="889" spans="1:5" x14ac:dyDescent="0.3">
      <c r="A889" s="4">
        <v>45162</v>
      </c>
      <c r="B889" s="5">
        <v>103.98650000000001</v>
      </c>
      <c r="D889" s="4">
        <v>45162</v>
      </c>
      <c r="E889" s="5">
        <v>7.1886000000000001</v>
      </c>
    </row>
    <row r="890" spans="1:5" x14ac:dyDescent="0.3">
      <c r="A890" s="4">
        <v>45163</v>
      </c>
      <c r="B890" s="5">
        <v>104.1939</v>
      </c>
      <c r="D890" s="4">
        <v>45163</v>
      </c>
      <c r="E890" s="5">
        <v>7.1882999999999999</v>
      </c>
    </row>
    <row r="891" spans="1:5" x14ac:dyDescent="0.3">
      <c r="A891" s="4">
        <v>45166</v>
      </c>
      <c r="B891" s="5">
        <v>104.0093</v>
      </c>
      <c r="D891" s="4">
        <v>45166</v>
      </c>
      <c r="E891" s="5">
        <v>7.1856</v>
      </c>
    </row>
    <row r="892" spans="1:5" x14ac:dyDescent="0.3">
      <c r="A892" s="4">
        <v>45167</v>
      </c>
      <c r="B892" s="5">
        <v>103.46810000000001</v>
      </c>
      <c r="D892" s="4">
        <v>45167</v>
      </c>
      <c r="E892" s="5">
        <v>7.1851000000000003</v>
      </c>
    </row>
    <row r="893" spans="1:5" x14ac:dyDescent="0.3">
      <c r="A893" s="4">
        <v>45168</v>
      </c>
      <c r="B893" s="5">
        <v>103.16589999999999</v>
      </c>
      <c r="D893" s="4">
        <v>45168</v>
      </c>
      <c r="E893" s="5">
        <v>7.1816000000000004</v>
      </c>
    </row>
    <row r="894" spans="1:5" x14ac:dyDescent="0.3">
      <c r="A894" s="4">
        <v>45169</v>
      </c>
      <c r="B894" s="5">
        <v>103.6279</v>
      </c>
      <c r="D894" s="4">
        <v>45169</v>
      </c>
      <c r="E894" s="5">
        <v>7.1810999999999998</v>
      </c>
    </row>
    <row r="895" spans="1:5" x14ac:dyDescent="0.3">
      <c r="A895" s="4">
        <v>45170</v>
      </c>
      <c r="B895" s="5">
        <v>104.27549999999999</v>
      </c>
      <c r="D895" s="4">
        <v>45170</v>
      </c>
      <c r="E895" s="5">
        <v>7.1787999999999998</v>
      </c>
    </row>
    <row r="896" spans="1:5" x14ac:dyDescent="0.3">
      <c r="A896" s="4">
        <v>45173</v>
      </c>
      <c r="B896" s="5">
        <v>104.1203</v>
      </c>
      <c r="D896" s="4">
        <v>45173</v>
      </c>
      <c r="E896" s="5">
        <v>7.1786000000000003</v>
      </c>
    </row>
    <row r="897" spans="1:5" x14ac:dyDescent="0.3">
      <c r="A897" s="4">
        <v>45174</v>
      </c>
      <c r="B897" s="5">
        <v>104.7968</v>
      </c>
      <c r="D897" s="4">
        <v>45174</v>
      </c>
      <c r="E897" s="5">
        <v>7.1783000000000001</v>
      </c>
    </row>
    <row r="898" spans="1:5" x14ac:dyDescent="0.3">
      <c r="A898" s="4">
        <v>45175</v>
      </c>
      <c r="B898" s="5">
        <v>104.83710000000001</v>
      </c>
      <c r="D898" s="4">
        <v>45175</v>
      </c>
      <c r="E898" s="5">
        <v>7.1969000000000003</v>
      </c>
    </row>
    <row r="899" spans="1:5" x14ac:dyDescent="0.3">
      <c r="A899" s="4">
        <v>45176</v>
      </c>
      <c r="B899" s="5">
        <v>105.05970000000001</v>
      </c>
      <c r="D899" s="4">
        <v>45176</v>
      </c>
      <c r="E899" s="5">
        <v>7.1985999999999999</v>
      </c>
    </row>
    <row r="900" spans="1:5" x14ac:dyDescent="0.3">
      <c r="A900" s="4">
        <v>45177</v>
      </c>
      <c r="B900" s="5">
        <v>105.065</v>
      </c>
      <c r="D900" s="4">
        <v>45177</v>
      </c>
      <c r="E900" s="5">
        <v>7.2149999999999999</v>
      </c>
    </row>
    <row r="901" spans="1:5" x14ac:dyDescent="0.3">
      <c r="A901" s="4">
        <v>45180</v>
      </c>
      <c r="B901" s="5">
        <v>104.5399</v>
      </c>
      <c r="D901" s="4">
        <v>45180</v>
      </c>
      <c r="E901" s="5">
        <v>7.2148000000000003</v>
      </c>
    </row>
    <row r="902" spans="1:5" x14ac:dyDescent="0.3">
      <c r="A902" s="4">
        <v>45181</v>
      </c>
      <c r="B902" s="5">
        <v>104.5706</v>
      </c>
      <c r="D902" s="4">
        <v>45181</v>
      </c>
      <c r="E902" s="5">
        <v>7.1985999999999999</v>
      </c>
    </row>
    <row r="903" spans="1:5" x14ac:dyDescent="0.3">
      <c r="A903" s="4">
        <v>45182</v>
      </c>
      <c r="B903" s="5">
        <v>104.7748</v>
      </c>
      <c r="D903" s="4">
        <v>45182</v>
      </c>
      <c r="E903" s="5">
        <v>7.1894</v>
      </c>
    </row>
    <row r="904" spans="1:5" x14ac:dyDescent="0.3">
      <c r="A904" s="4">
        <v>45183</v>
      </c>
      <c r="B904" s="5">
        <v>105.3447</v>
      </c>
      <c r="D904" s="4">
        <v>45183</v>
      </c>
      <c r="E904" s="5">
        <v>7.1874000000000002</v>
      </c>
    </row>
    <row r="905" spans="1:5" x14ac:dyDescent="0.3">
      <c r="A905" s="4">
        <v>45184</v>
      </c>
      <c r="B905" s="5">
        <v>105.3359</v>
      </c>
      <c r="D905" s="4">
        <v>45184</v>
      </c>
      <c r="E905" s="5">
        <v>7.1786000000000003</v>
      </c>
    </row>
    <row r="906" spans="1:5" x14ac:dyDescent="0.3">
      <c r="A906" s="4">
        <v>45187</v>
      </c>
      <c r="B906" s="5">
        <v>105.0795</v>
      </c>
      <c r="D906" s="4">
        <v>45187</v>
      </c>
      <c r="E906" s="5">
        <v>7.1736000000000004</v>
      </c>
    </row>
    <row r="907" spans="1:5" x14ac:dyDescent="0.3">
      <c r="A907" s="4">
        <v>45188</v>
      </c>
      <c r="B907" s="5">
        <v>105.1502</v>
      </c>
      <c r="D907" s="4">
        <v>45188</v>
      </c>
      <c r="E907" s="5">
        <v>7.1733000000000002</v>
      </c>
    </row>
    <row r="908" spans="1:5" x14ac:dyDescent="0.3">
      <c r="A908" s="4">
        <v>45189</v>
      </c>
      <c r="B908" s="5">
        <v>105.3579</v>
      </c>
      <c r="D908" s="4">
        <v>45189</v>
      </c>
      <c r="E908" s="5">
        <v>7.1731999999999996</v>
      </c>
    </row>
    <row r="909" spans="1:5" x14ac:dyDescent="0.3">
      <c r="A909" s="4">
        <v>45190</v>
      </c>
      <c r="B909" s="5">
        <v>105.3811</v>
      </c>
      <c r="D909" s="4">
        <v>45190</v>
      </c>
      <c r="E909" s="5">
        <v>7.173</v>
      </c>
    </row>
    <row r="910" spans="1:5" x14ac:dyDescent="0.3">
      <c r="A910" s="4">
        <v>45191</v>
      </c>
      <c r="B910" s="5">
        <v>105.60980000000001</v>
      </c>
      <c r="D910" s="4">
        <v>45191</v>
      </c>
      <c r="E910" s="5">
        <v>7.1729000000000003</v>
      </c>
    </row>
    <row r="911" spans="1:5" x14ac:dyDescent="0.3">
      <c r="A911" s="4">
        <v>45194</v>
      </c>
      <c r="B911" s="5">
        <v>105.9485</v>
      </c>
      <c r="D911" s="4">
        <v>45194</v>
      </c>
      <c r="E911" s="5">
        <v>7.1726999999999999</v>
      </c>
    </row>
    <row r="912" spans="1:5" x14ac:dyDescent="0.3">
      <c r="A912" s="4">
        <v>45195</v>
      </c>
      <c r="B912" s="5">
        <v>106.1786</v>
      </c>
      <c r="D912" s="4">
        <v>45195</v>
      </c>
      <c r="E912" s="5">
        <v>7.1726999999999999</v>
      </c>
    </row>
    <row r="913" spans="1:5" x14ac:dyDescent="0.3">
      <c r="A913" s="4">
        <v>45196</v>
      </c>
      <c r="B913" s="5">
        <v>106.7051</v>
      </c>
      <c r="D913" s="4">
        <v>45196</v>
      </c>
      <c r="E913" s="5">
        <v>7.1717000000000004</v>
      </c>
    </row>
    <row r="914" spans="1:5" x14ac:dyDescent="0.3">
      <c r="A914" s="4">
        <v>45197</v>
      </c>
      <c r="B914" s="5">
        <v>106.13460000000001</v>
      </c>
      <c r="D914" s="4">
        <v>45197</v>
      </c>
      <c r="E914" s="5">
        <v>7.1798000000000002</v>
      </c>
    </row>
    <row r="915" spans="1:5" x14ac:dyDescent="0.3">
      <c r="A915" s="4">
        <v>45208</v>
      </c>
      <c r="B915" s="5">
        <v>106.07259999999999</v>
      </c>
      <c r="D915" s="4">
        <v>45208</v>
      </c>
      <c r="E915" s="5">
        <v>7.1788999999999996</v>
      </c>
    </row>
    <row r="916" spans="1:5" x14ac:dyDescent="0.3">
      <c r="A916" s="4">
        <v>45209</v>
      </c>
      <c r="B916" s="5">
        <v>105.7727</v>
      </c>
      <c r="D916" s="4">
        <v>45209</v>
      </c>
      <c r="E916" s="5">
        <v>7.1780999999999997</v>
      </c>
    </row>
    <row r="917" spans="1:5" x14ac:dyDescent="0.3">
      <c r="A917" s="4">
        <v>45210</v>
      </c>
      <c r="B917" s="5">
        <v>105.7137</v>
      </c>
      <c r="D917" s="4">
        <v>45210</v>
      </c>
      <c r="E917" s="5">
        <v>7.1779000000000002</v>
      </c>
    </row>
    <row r="918" spans="1:5" x14ac:dyDescent="0.3">
      <c r="A918" s="4">
        <v>45211</v>
      </c>
      <c r="B918" s="5">
        <v>106.5804</v>
      </c>
      <c r="D918" s="4">
        <v>45211</v>
      </c>
      <c r="E918" s="5">
        <v>7.1776</v>
      </c>
    </row>
    <row r="919" spans="1:5" x14ac:dyDescent="0.3">
      <c r="A919" s="4">
        <v>45212</v>
      </c>
      <c r="B919" s="5">
        <v>106.6767</v>
      </c>
      <c r="D919" s="4">
        <v>45212</v>
      </c>
      <c r="E919" s="5">
        <v>7.1775000000000002</v>
      </c>
    </row>
    <row r="920" spans="1:5" x14ac:dyDescent="0.3">
      <c r="A920" s="4">
        <v>45215</v>
      </c>
      <c r="B920" s="5">
        <v>106.1957</v>
      </c>
      <c r="D920" s="4">
        <v>45215</v>
      </c>
      <c r="E920" s="5">
        <v>7.1798000000000002</v>
      </c>
    </row>
    <row r="921" spans="1:5" x14ac:dyDescent="0.3">
      <c r="A921" s="4">
        <v>45216</v>
      </c>
      <c r="B921" s="5">
        <v>106.18819999999999</v>
      </c>
      <c r="D921" s="4">
        <v>45216</v>
      </c>
      <c r="E921" s="5">
        <v>7.1795999999999998</v>
      </c>
    </row>
    <row r="922" spans="1:5" x14ac:dyDescent="0.3">
      <c r="A922" s="4">
        <v>45217</v>
      </c>
      <c r="B922" s="5">
        <v>106.56829999999999</v>
      </c>
      <c r="D922" s="4">
        <v>45217</v>
      </c>
      <c r="E922" s="5">
        <v>7.1795</v>
      </c>
    </row>
    <row r="923" spans="1:5" x14ac:dyDescent="0.3">
      <c r="A923" s="4">
        <v>45218</v>
      </c>
      <c r="B923" s="5">
        <v>106.23050000000001</v>
      </c>
      <c r="D923" s="4">
        <v>45218</v>
      </c>
      <c r="E923" s="5">
        <v>7.1795</v>
      </c>
    </row>
    <row r="924" spans="1:5" x14ac:dyDescent="0.3">
      <c r="A924" s="4">
        <v>45219</v>
      </c>
      <c r="B924" s="5">
        <v>106.1554</v>
      </c>
      <c r="D924" s="4">
        <v>45219</v>
      </c>
      <c r="E924" s="5">
        <v>7.1792999999999996</v>
      </c>
    </row>
    <row r="925" spans="1:5" x14ac:dyDescent="0.3">
      <c r="A925" s="4">
        <v>45222</v>
      </c>
      <c r="B925" s="5">
        <v>105.5977</v>
      </c>
      <c r="D925" s="4">
        <v>45222</v>
      </c>
      <c r="E925" s="5">
        <v>7.1791999999999998</v>
      </c>
    </row>
    <row r="926" spans="1:5" x14ac:dyDescent="0.3">
      <c r="A926" s="4">
        <v>45223</v>
      </c>
      <c r="B926" s="5">
        <v>106.2683</v>
      </c>
      <c r="D926" s="4">
        <v>45223</v>
      </c>
      <c r="E926" s="5">
        <v>7.1786000000000003</v>
      </c>
    </row>
    <row r="927" spans="1:5" x14ac:dyDescent="0.3">
      <c r="A927" s="4">
        <v>45224</v>
      </c>
      <c r="B927" s="5">
        <v>106.5579</v>
      </c>
      <c r="D927" s="4">
        <v>45224</v>
      </c>
      <c r="E927" s="5">
        <v>7.1784999999999997</v>
      </c>
    </row>
    <row r="928" spans="1:5" x14ac:dyDescent="0.3">
      <c r="A928" s="4">
        <v>45225</v>
      </c>
      <c r="B928" s="5">
        <v>106.62269999999999</v>
      </c>
      <c r="D928" s="4">
        <v>45225</v>
      </c>
      <c r="E928" s="5">
        <v>7.1783999999999999</v>
      </c>
    </row>
    <row r="929" spans="1:5" x14ac:dyDescent="0.3">
      <c r="A929" s="4">
        <v>45226</v>
      </c>
      <c r="B929" s="5">
        <v>106.57899999999999</v>
      </c>
      <c r="D929" s="4">
        <v>45226</v>
      </c>
      <c r="E929" s="5">
        <v>7.1782000000000004</v>
      </c>
    </row>
    <row r="930" spans="1:5" x14ac:dyDescent="0.3">
      <c r="A930" s="4">
        <v>45229</v>
      </c>
      <c r="B930" s="5">
        <v>106.1369</v>
      </c>
      <c r="D930" s="4">
        <v>45229</v>
      </c>
      <c r="E930" s="5">
        <v>7.1780999999999997</v>
      </c>
    </row>
    <row r="931" spans="1:5" x14ac:dyDescent="0.3">
      <c r="A931" s="4">
        <v>45230</v>
      </c>
      <c r="B931" s="5">
        <v>106.7227</v>
      </c>
      <c r="D931" s="4">
        <v>45230</v>
      </c>
      <c r="E931" s="5">
        <v>7.1779000000000002</v>
      </c>
    </row>
    <row r="932" spans="1:5" x14ac:dyDescent="0.3">
      <c r="A932" s="4">
        <v>45231</v>
      </c>
      <c r="B932" s="5">
        <v>106.66</v>
      </c>
      <c r="D932" s="4">
        <v>45231</v>
      </c>
      <c r="E932" s="5">
        <v>7.1778000000000004</v>
      </c>
    </row>
    <row r="933" spans="1:5" x14ac:dyDescent="0.3">
      <c r="A933" s="4">
        <v>45232</v>
      </c>
      <c r="B933" s="5">
        <v>106.1399</v>
      </c>
      <c r="D933" s="4">
        <v>45232</v>
      </c>
      <c r="E933" s="5">
        <v>7.1797000000000004</v>
      </c>
    </row>
    <row r="934" spans="1:5" x14ac:dyDescent="0.3">
      <c r="A934" s="4">
        <v>45233</v>
      </c>
      <c r="B934" s="5">
        <v>105.05410000000001</v>
      </c>
      <c r="D934" s="4">
        <v>45233</v>
      </c>
      <c r="E934" s="5">
        <v>7.1795999999999998</v>
      </c>
    </row>
    <row r="935" spans="1:5" x14ac:dyDescent="0.3">
      <c r="A935" s="4">
        <v>45236</v>
      </c>
      <c r="B935" s="5">
        <v>105.2843</v>
      </c>
      <c r="D935" s="4">
        <v>45236</v>
      </c>
      <c r="E935" s="5">
        <v>7.1779999999999999</v>
      </c>
    </row>
    <row r="936" spans="1:5" x14ac:dyDescent="0.3">
      <c r="A936" s="4">
        <v>45237</v>
      </c>
      <c r="B936" s="5">
        <v>105.51179999999999</v>
      </c>
      <c r="D936" s="4">
        <v>45237</v>
      </c>
      <c r="E936" s="5">
        <v>7.1776</v>
      </c>
    </row>
    <row r="937" spans="1:5" x14ac:dyDescent="0.3">
      <c r="A937" s="4">
        <v>45238</v>
      </c>
      <c r="B937" s="5">
        <v>105.5321</v>
      </c>
      <c r="D937" s="4">
        <v>45238</v>
      </c>
      <c r="E937" s="5">
        <v>7.1772999999999998</v>
      </c>
    </row>
    <row r="938" spans="1:5" x14ac:dyDescent="0.3">
      <c r="A938" s="4">
        <v>45239</v>
      </c>
      <c r="B938" s="5">
        <v>105.92010000000001</v>
      </c>
      <c r="D938" s="4">
        <v>45239</v>
      </c>
      <c r="E938" s="5">
        <v>7.1772</v>
      </c>
    </row>
    <row r="939" spans="1:5" x14ac:dyDescent="0.3">
      <c r="A939" s="4">
        <v>45240</v>
      </c>
      <c r="B939" s="5">
        <v>105.81019999999999</v>
      </c>
      <c r="D939" s="4">
        <v>45240</v>
      </c>
      <c r="E939" s="5">
        <v>7.1771000000000003</v>
      </c>
    </row>
    <row r="940" spans="1:5" x14ac:dyDescent="0.3">
      <c r="A940" s="4">
        <v>45243</v>
      </c>
      <c r="B940" s="5">
        <v>105.6703</v>
      </c>
      <c r="D940" s="4">
        <v>45243</v>
      </c>
      <c r="E940" s="5">
        <v>7.1768999999999998</v>
      </c>
    </row>
    <row r="941" spans="1:5" x14ac:dyDescent="0.3">
      <c r="A941" s="4">
        <v>45244</v>
      </c>
      <c r="B941" s="5">
        <v>104.0765</v>
      </c>
      <c r="D941" s="4">
        <v>45244</v>
      </c>
      <c r="E941" s="5">
        <v>7.1768000000000001</v>
      </c>
    </row>
    <row r="942" spans="1:5" x14ac:dyDescent="0.3">
      <c r="A942" s="4">
        <v>45245</v>
      </c>
      <c r="B942" s="5">
        <v>104.40049999999999</v>
      </c>
      <c r="D942" s="4">
        <v>45245</v>
      </c>
      <c r="E942" s="5">
        <v>7.1752000000000002</v>
      </c>
    </row>
    <row r="943" spans="1:5" x14ac:dyDescent="0.3">
      <c r="A943" s="4">
        <v>45246</v>
      </c>
      <c r="B943" s="5">
        <v>104.37569999999999</v>
      </c>
      <c r="D943" s="4">
        <v>45246</v>
      </c>
      <c r="E943" s="5">
        <v>7.1723999999999997</v>
      </c>
    </row>
    <row r="944" spans="1:5" x14ac:dyDescent="0.3">
      <c r="A944" s="4">
        <v>45247</v>
      </c>
      <c r="B944" s="5">
        <v>103.8218</v>
      </c>
      <c r="D944" s="4">
        <v>45247</v>
      </c>
      <c r="E944" s="5">
        <v>7.1727999999999996</v>
      </c>
    </row>
    <row r="945" spans="1:5" x14ac:dyDescent="0.3">
      <c r="A945" s="4">
        <v>45250</v>
      </c>
      <c r="B945" s="5">
        <v>103.4892</v>
      </c>
      <c r="D945" s="4">
        <v>45250</v>
      </c>
      <c r="E945" s="5">
        <v>7.1612</v>
      </c>
    </row>
    <row r="946" spans="1:5" x14ac:dyDescent="0.3">
      <c r="A946" s="4">
        <v>45251</v>
      </c>
      <c r="B946" s="5">
        <v>103.6092</v>
      </c>
      <c r="D946" s="4">
        <v>45251</v>
      </c>
      <c r="E946" s="5">
        <v>7.1406000000000001</v>
      </c>
    </row>
    <row r="947" spans="1:5" x14ac:dyDescent="0.3">
      <c r="A947" s="4">
        <v>45252</v>
      </c>
      <c r="B947" s="5">
        <v>103.87309999999999</v>
      </c>
      <c r="D947" s="4">
        <v>45252</v>
      </c>
      <c r="E947" s="5">
        <v>7.1254</v>
      </c>
    </row>
    <row r="948" spans="1:5" x14ac:dyDescent="0.3">
      <c r="A948" s="4">
        <v>45253</v>
      </c>
      <c r="B948" s="5">
        <v>103.76090000000001</v>
      </c>
      <c r="D948" s="4">
        <v>45253</v>
      </c>
      <c r="E948" s="5">
        <v>7.1212</v>
      </c>
    </row>
    <row r="949" spans="1:5" x14ac:dyDescent="0.3">
      <c r="A949" s="4">
        <v>45254</v>
      </c>
      <c r="B949" s="5">
        <v>103.4359</v>
      </c>
      <c r="D949" s="4">
        <v>45254</v>
      </c>
      <c r="E949" s="5">
        <v>7.1151</v>
      </c>
    </row>
    <row r="950" spans="1:5" x14ac:dyDescent="0.3">
      <c r="A950" s="4">
        <v>45257</v>
      </c>
      <c r="B950" s="5">
        <v>103.2163</v>
      </c>
      <c r="D950" s="4">
        <v>45257</v>
      </c>
      <c r="E950" s="5">
        <v>7.1158999999999999</v>
      </c>
    </row>
    <row r="951" spans="1:5" x14ac:dyDescent="0.3">
      <c r="A951" s="4">
        <v>45258</v>
      </c>
      <c r="B951" s="5">
        <v>102.73090000000001</v>
      </c>
      <c r="D951" s="4">
        <v>45258</v>
      </c>
      <c r="E951" s="5">
        <v>7.1132</v>
      </c>
    </row>
    <row r="952" spans="1:5" x14ac:dyDescent="0.3">
      <c r="A952" s="4">
        <v>45259</v>
      </c>
      <c r="B952" s="5">
        <v>102.8618</v>
      </c>
      <c r="D952" s="4">
        <v>45259</v>
      </c>
      <c r="E952" s="5">
        <v>7.1031000000000004</v>
      </c>
    </row>
    <row r="953" spans="1:5" x14ac:dyDescent="0.3">
      <c r="A953" s="4">
        <v>45260</v>
      </c>
      <c r="B953" s="5">
        <v>103.5064</v>
      </c>
      <c r="D953" s="4">
        <v>45260</v>
      </c>
      <c r="E953" s="5">
        <v>7.1017999999999999</v>
      </c>
    </row>
    <row r="954" spans="1:5" x14ac:dyDescent="0.3">
      <c r="A954" s="4">
        <v>45261</v>
      </c>
      <c r="B954" s="5">
        <v>103.1952</v>
      </c>
      <c r="D954" s="4">
        <v>45261</v>
      </c>
      <c r="E954" s="5">
        <v>7.1104000000000003</v>
      </c>
    </row>
    <row r="955" spans="1:5" x14ac:dyDescent="0.3">
      <c r="A955" s="4">
        <v>45264</v>
      </c>
      <c r="B955" s="5">
        <v>103.6354</v>
      </c>
      <c r="D955" s="4">
        <v>45264</v>
      </c>
      <c r="E955" s="5">
        <v>7.1010999999999997</v>
      </c>
    </row>
    <row r="956" spans="1:5" x14ac:dyDescent="0.3">
      <c r="A956" s="4">
        <v>45265</v>
      </c>
      <c r="B956" s="5">
        <v>103.9474</v>
      </c>
      <c r="D956" s="4">
        <v>45265</v>
      </c>
      <c r="E956" s="5">
        <v>7.1127000000000002</v>
      </c>
    </row>
    <row r="957" spans="1:5" x14ac:dyDescent="0.3">
      <c r="A957" s="4">
        <v>45266</v>
      </c>
      <c r="B957" s="5">
        <v>104.17789999999999</v>
      </c>
      <c r="D957" s="4">
        <v>45266</v>
      </c>
      <c r="E957" s="5">
        <v>7.1139999999999999</v>
      </c>
    </row>
    <row r="958" spans="1:5" x14ac:dyDescent="0.3">
      <c r="A958" s="4">
        <v>45267</v>
      </c>
      <c r="B958" s="5">
        <v>103.6467</v>
      </c>
      <c r="D958" s="4">
        <v>45267</v>
      </c>
      <c r="E958" s="5">
        <v>7.1176000000000004</v>
      </c>
    </row>
    <row r="959" spans="1:5" x14ac:dyDescent="0.3">
      <c r="A959" s="4">
        <v>45268</v>
      </c>
      <c r="B959" s="5">
        <v>103.998</v>
      </c>
      <c r="D959" s="4">
        <v>45268</v>
      </c>
      <c r="E959" s="5">
        <v>7.1123000000000003</v>
      </c>
    </row>
    <row r="960" spans="1:5" x14ac:dyDescent="0.3">
      <c r="A960" s="4">
        <v>45271</v>
      </c>
      <c r="B960" s="5">
        <v>104.08110000000001</v>
      </c>
      <c r="D960" s="4">
        <v>45271</v>
      </c>
      <c r="E960" s="5">
        <v>7.1162999999999998</v>
      </c>
    </row>
    <row r="961" spans="1:5" x14ac:dyDescent="0.3">
      <c r="A961" s="4">
        <v>45272</v>
      </c>
      <c r="B961" s="5">
        <v>103.81229999999999</v>
      </c>
      <c r="D961" s="4">
        <v>45272</v>
      </c>
      <c r="E961" s="5">
        <v>7.1173999999999999</v>
      </c>
    </row>
    <row r="962" spans="1:5" x14ac:dyDescent="0.3">
      <c r="A962" s="4">
        <v>45273</v>
      </c>
      <c r="B962" s="5">
        <v>102.9468</v>
      </c>
      <c r="D962" s="4">
        <v>45273</v>
      </c>
      <c r="E962" s="5">
        <v>7.1125999999999996</v>
      </c>
    </row>
    <row r="963" spans="1:5" x14ac:dyDescent="0.3">
      <c r="A963" s="4">
        <v>45274</v>
      </c>
      <c r="B963" s="5">
        <v>101.9513</v>
      </c>
      <c r="D963" s="4">
        <v>45274</v>
      </c>
      <c r="E963" s="5">
        <v>7.109</v>
      </c>
    </row>
    <row r="964" spans="1:5" x14ac:dyDescent="0.3">
      <c r="A964" s="4">
        <v>45275</v>
      </c>
      <c r="B964" s="5">
        <v>102.5936</v>
      </c>
      <c r="D964" s="4">
        <v>45275</v>
      </c>
      <c r="E964" s="5">
        <v>7.0956999999999999</v>
      </c>
    </row>
    <row r="965" spans="1:5" x14ac:dyDescent="0.3">
      <c r="A965" s="4">
        <v>45278</v>
      </c>
      <c r="B965" s="5">
        <v>102.50230000000001</v>
      </c>
      <c r="D965" s="4">
        <v>45278</v>
      </c>
      <c r="E965" s="5">
        <v>7.0933000000000002</v>
      </c>
    </row>
    <row r="966" spans="1:5" x14ac:dyDescent="0.3">
      <c r="A966" s="4">
        <v>45279</v>
      </c>
      <c r="B966" s="5">
        <v>102.1234</v>
      </c>
      <c r="D966" s="4">
        <v>45279</v>
      </c>
      <c r="E966" s="5">
        <v>7.0982000000000003</v>
      </c>
    </row>
    <row r="967" spans="1:5" x14ac:dyDescent="0.3">
      <c r="A967" s="4">
        <v>45280</v>
      </c>
      <c r="B967" s="5">
        <v>102.4268</v>
      </c>
      <c r="D967" s="4">
        <v>45280</v>
      </c>
      <c r="E967" s="5">
        <v>7.0965999999999996</v>
      </c>
    </row>
    <row r="968" spans="1:5" x14ac:dyDescent="0.3">
      <c r="A968" s="4">
        <v>45281</v>
      </c>
      <c r="B968" s="5">
        <v>101.74679999999999</v>
      </c>
      <c r="D968" s="4">
        <v>45281</v>
      </c>
      <c r="E968" s="5">
        <v>7.1012000000000004</v>
      </c>
    </row>
    <row r="969" spans="1:5" x14ac:dyDescent="0.3">
      <c r="A969" s="4">
        <v>45282</v>
      </c>
      <c r="B969" s="5">
        <v>101.70310000000001</v>
      </c>
      <c r="D969" s="4">
        <v>45282</v>
      </c>
      <c r="E969" s="5">
        <v>7.0952999999999999</v>
      </c>
    </row>
    <row r="970" spans="1:5" x14ac:dyDescent="0.3">
      <c r="A970" s="4">
        <v>45285</v>
      </c>
      <c r="B970" s="5">
        <v>101.70269999999999</v>
      </c>
      <c r="D970" s="4">
        <v>45285</v>
      </c>
      <c r="E970" s="5">
        <v>7.101</v>
      </c>
    </row>
    <row r="971" spans="1:5" x14ac:dyDescent="0.3">
      <c r="A971" s="4">
        <v>45286</v>
      </c>
      <c r="B971" s="5">
        <v>101.45950000000001</v>
      </c>
      <c r="D971" s="4">
        <v>45286</v>
      </c>
      <c r="E971" s="5">
        <v>7.0964999999999998</v>
      </c>
    </row>
    <row r="972" spans="1:5" x14ac:dyDescent="0.3">
      <c r="A972" s="4">
        <v>45287</v>
      </c>
      <c r="B972" s="5">
        <v>100.9438</v>
      </c>
      <c r="D972" s="4">
        <v>45287</v>
      </c>
      <c r="E972" s="5">
        <v>7.1002000000000001</v>
      </c>
    </row>
    <row r="973" spans="1:5" x14ac:dyDescent="0.3">
      <c r="A973" s="4">
        <v>45288</v>
      </c>
      <c r="B973" s="5">
        <v>101.2418</v>
      </c>
      <c r="D973" s="4">
        <v>45288</v>
      </c>
      <c r="E973" s="5">
        <v>7.0974000000000004</v>
      </c>
    </row>
    <row r="974" spans="1:5" x14ac:dyDescent="0.3">
      <c r="A974" s="4">
        <v>45289</v>
      </c>
      <c r="B974" s="5">
        <v>101.37779999999999</v>
      </c>
      <c r="D974" s="4">
        <v>45289</v>
      </c>
      <c r="E974" s="5">
        <v>7.0827</v>
      </c>
    </row>
    <row r="975" spans="1:5" x14ac:dyDescent="0.3">
      <c r="A975" s="4">
        <v>45293</v>
      </c>
      <c r="B975" s="5">
        <v>102.246</v>
      </c>
      <c r="D975" s="4">
        <v>45293</v>
      </c>
      <c r="E975" s="5">
        <v>7.077</v>
      </c>
    </row>
    <row r="976" spans="1:5" x14ac:dyDescent="0.3">
      <c r="A976" s="4">
        <v>45294</v>
      </c>
      <c r="B976" s="5">
        <v>102.4691</v>
      </c>
      <c r="D976" s="4">
        <v>45294</v>
      </c>
      <c r="E976" s="5">
        <v>7.1002000000000001</v>
      </c>
    </row>
    <row r="977" spans="1:5" x14ac:dyDescent="0.3">
      <c r="A977" s="4">
        <v>45295</v>
      </c>
      <c r="B977" s="5">
        <v>102.42529999999999</v>
      </c>
      <c r="D977" s="4">
        <v>45295</v>
      </c>
      <c r="E977" s="5">
        <v>7.0997000000000003</v>
      </c>
    </row>
    <row r="978" spans="1:5" x14ac:dyDescent="0.3">
      <c r="A978" s="4">
        <v>45296</v>
      </c>
      <c r="B978" s="5">
        <v>102.4395</v>
      </c>
      <c r="D978" s="4">
        <v>45296</v>
      </c>
      <c r="E978" s="5">
        <v>7.1029</v>
      </c>
    </row>
    <row r="979" spans="1:5" x14ac:dyDescent="0.3">
      <c r="A979" s="4">
        <v>45299</v>
      </c>
      <c r="B979" s="5">
        <v>102.2903</v>
      </c>
      <c r="D979" s="4">
        <v>45299</v>
      </c>
      <c r="E979" s="5">
        <v>7.1006</v>
      </c>
    </row>
    <row r="980" spans="1:5" x14ac:dyDescent="0.3">
      <c r="A980" s="4">
        <v>45300</v>
      </c>
      <c r="B980" s="5">
        <v>102.5125</v>
      </c>
      <c r="D980" s="4">
        <v>45300</v>
      </c>
      <c r="E980" s="5">
        <v>7.101</v>
      </c>
    </row>
    <row r="981" spans="1:5" x14ac:dyDescent="0.3">
      <c r="A981" s="4">
        <v>45301</v>
      </c>
      <c r="B981" s="5">
        <v>102.35290000000001</v>
      </c>
      <c r="D981" s="4">
        <v>45301</v>
      </c>
      <c r="E981" s="5">
        <v>7.1055000000000001</v>
      </c>
    </row>
    <row r="982" spans="1:5" x14ac:dyDescent="0.3">
      <c r="A982" s="4">
        <v>45302</v>
      </c>
      <c r="B982" s="5">
        <v>102.31</v>
      </c>
      <c r="D982" s="4">
        <v>45302</v>
      </c>
      <c r="E982" s="5">
        <v>7.1086999999999998</v>
      </c>
    </row>
    <row r="983" spans="1:5" x14ac:dyDescent="0.3">
      <c r="A983" s="4">
        <v>45303</v>
      </c>
      <c r="B983" s="5">
        <v>102.44029999999999</v>
      </c>
      <c r="D983" s="4">
        <v>45303</v>
      </c>
      <c r="E983" s="5">
        <v>7.1050000000000004</v>
      </c>
    </row>
    <row r="984" spans="1:5" x14ac:dyDescent="0.3">
      <c r="A984" s="4">
        <v>45306</v>
      </c>
      <c r="B984" s="5">
        <v>102.5912</v>
      </c>
      <c r="D984" s="4">
        <v>45306</v>
      </c>
      <c r="E984" s="5">
        <v>7.1083999999999996</v>
      </c>
    </row>
    <row r="985" spans="1:5" x14ac:dyDescent="0.3">
      <c r="A985" s="4">
        <v>45307</v>
      </c>
      <c r="B985" s="5">
        <v>103.336</v>
      </c>
      <c r="D985" s="4">
        <v>45307</v>
      </c>
      <c r="E985" s="5">
        <v>7.1134000000000004</v>
      </c>
    </row>
    <row r="986" spans="1:5" x14ac:dyDescent="0.3">
      <c r="A986" s="4">
        <v>45308</v>
      </c>
      <c r="B986" s="5">
        <v>103.3728</v>
      </c>
      <c r="D986" s="4">
        <v>45308</v>
      </c>
      <c r="E986" s="5">
        <v>7.1167999999999996</v>
      </c>
    </row>
    <row r="987" spans="1:5" x14ac:dyDescent="0.3">
      <c r="A987" s="4">
        <v>45309</v>
      </c>
      <c r="B987" s="5">
        <v>103.40479999999999</v>
      </c>
      <c r="D987" s="4">
        <v>45309</v>
      </c>
      <c r="E987" s="5">
        <v>7.1173999999999999</v>
      </c>
    </row>
    <row r="988" spans="1:5" x14ac:dyDescent="0.3">
      <c r="A988" s="4">
        <v>45310</v>
      </c>
      <c r="B988" s="5">
        <v>103.2317</v>
      </c>
      <c r="D988" s="4">
        <v>45310</v>
      </c>
      <c r="E988" s="5">
        <v>7.1166999999999998</v>
      </c>
    </row>
    <row r="989" spans="1:5" x14ac:dyDescent="0.3">
      <c r="A989" s="4">
        <v>45313</v>
      </c>
      <c r="B989" s="5">
        <v>103.3466</v>
      </c>
      <c r="D989" s="4">
        <v>45313</v>
      </c>
      <c r="E989" s="5">
        <v>7.1105</v>
      </c>
    </row>
    <row r="990" spans="1:5" x14ac:dyDescent="0.3">
      <c r="A990" s="4">
        <v>45314</v>
      </c>
      <c r="B990" s="5">
        <v>103.5491</v>
      </c>
      <c r="D990" s="4">
        <v>45314</v>
      </c>
      <c r="E990" s="5">
        <v>7.1116999999999999</v>
      </c>
    </row>
    <row r="991" spans="1:5" x14ac:dyDescent="0.3">
      <c r="A991" s="4">
        <v>45315</v>
      </c>
      <c r="B991" s="5">
        <v>103.25830000000001</v>
      </c>
      <c r="D991" s="4">
        <v>45315</v>
      </c>
      <c r="E991" s="5">
        <v>7.1052999999999997</v>
      </c>
    </row>
    <row r="992" spans="1:5" x14ac:dyDescent="0.3">
      <c r="A992" s="4">
        <v>45316</v>
      </c>
      <c r="B992" s="5">
        <v>103.48390000000001</v>
      </c>
      <c r="D992" s="4">
        <v>45316</v>
      </c>
      <c r="E992" s="5">
        <v>7.1044</v>
      </c>
    </row>
    <row r="993" spans="1:5" x14ac:dyDescent="0.3">
      <c r="A993" s="4">
        <v>45317</v>
      </c>
      <c r="B993" s="5">
        <v>103.4744</v>
      </c>
      <c r="D993" s="4">
        <v>45317</v>
      </c>
      <c r="E993" s="5">
        <v>7.1074000000000002</v>
      </c>
    </row>
    <row r="994" spans="1:5" x14ac:dyDescent="0.3">
      <c r="A994" s="4">
        <v>45320</v>
      </c>
      <c r="B994" s="5">
        <v>103.468</v>
      </c>
      <c r="D994" s="4">
        <v>45320</v>
      </c>
      <c r="E994" s="5">
        <v>7.1097000000000001</v>
      </c>
    </row>
    <row r="995" spans="1:5" x14ac:dyDescent="0.3">
      <c r="A995" s="4">
        <v>45321</v>
      </c>
      <c r="B995" s="5">
        <v>103.3969</v>
      </c>
      <c r="D995" s="4">
        <v>45321</v>
      </c>
      <c r="E995" s="5">
        <v>7.1055000000000001</v>
      </c>
    </row>
    <row r="996" spans="1:5" x14ac:dyDescent="0.3">
      <c r="A996" s="4">
        <v>45322</v>
      </c>
      <c r="B996" s="5">
        <v>103.5235</v>
      </c>
      <c r="D996" s="4">
        <v>45322</v>
      </c>
      <c r="E996" s="5">
        <v>7.1039000000000003</v>
      </c>
    </row>
    <row r="997" spans="1:5" x14ac:dyDescent="0.3">
      <c r="A997" s="4">
        <v>45323</v>
      </c>
      <c r="B997" s="5">
        <v>103.0629</v>
      </c>
      <c r="D997" s="4">
        <v>45323</v>
      </c>
      <c r="E997" s="5">
        <v>7.1048999999999998</v>
      </c>
    </row>
    <row r="998" spans="1:5" x14ac:dyDescent="0.3">
      <c r="A998" s="4">
        <v>45324</v>
      </c>
      <c r="B998" s="5">
        <v>103.96550000000001</v>
      </c>
      <c r="D998" s="4">
        <v>45324</v>
      </c>
      <c r="E998" s="5">
        <v>7.1006</v>
      </c>
    </row>
    <row r="999" spans="1:5" x14ac:dyDescent="0.3">
      <c r="A999" s="4">
        <v>45327</v>
      </c>
      <c r="B999" s="5">
        <v>104.45569999999999</v>
      </c>
      <c r="D999" s="4">
        <v>45327</v>
      </c>
      <c r="E999" s="5">
        <v>7.1070000000000002</v>
      </c>
    </row>
    <row r="1000" spans="1:5" x14ac:dyDescent="0.3">
      <c r="A1000" s="4">
        <v>45328</v>
      </c>
      <c r="B1000" s="5">
        <v>104.1764</v>
      </c>
      <c r="D1000" s="4">
        <v>45328</v>
      </c>
      <c r="E1000" s="5">
        <v>7.1082000000000001</v>
      </c>
    </row>
    <row r="1001" spans="1:5" x14ac:dyDescent="0.3">
      <c r="A1001" s="4">
        <v>45329</v>
      </c>
      <c r="B1001" s="5">
        <v>104.04989999999999</v>
      </c>
      <c r="D1001" s="4">
        <v>45329</v>
      </c>
      <c r="E1001" s="5">
        <v>7.1048999999999998</v>
      </c>
    </row>
    <row r="1002" spans="1:5" x14ac:dyDescent="0.3">
      <c r="A1002" s="4">
        <v>45330</v>
      </c>
      <c r="B1002" s="5">
        <v>104.1405</v>
      </c>
      <c r="D1002" s="4">
        <v>45330</v>
      </c>
      <c r="E1002" s="5">
        <v>7.1063000000000001</v>
      </c>
    </row>
    <row r="1003" spans="1:5" x14ac:dyDescent="0.3">
      <c r="A1003" s="4">
        <v>45341</v>
      </c>
      <c r="B1003" s="5">
        <v>104.2525</v>
      </c>
      <c r="D1003" s="4">
        <v>45341</v>
      </c>
      <c r="E1003" s="5">
        <v>7.1032000000000002</v>
      </c>
    </row>
    <row r="1004" spans="1:5" x14ac:dyDescent="0.3">
      <c r="A1004" s="4">
        <v>45342</v>
      </c>
      <c r="B1004" s="5">
        <v>104.0599</v>
      </c>
      <c r="D1004" s="4">
        <v>45342</v>
      </c>
      <c r="E1004" s="5">
        <v>7.1067999999999998</v>
      </c>
    </row>
    <row r="1005" spans="1:5" x14ac:dyDescent="0.3">
      <c r="A1005" s="4">
        <v>45343</v>
      </c>
      <c r="B1005" s="5">
        <v>103.986</v>
      </c>
      <c r="D1005" s="4">
        <v>45343</v>
      </c>
      <c r="E1005" s="5">
        <v>7.1029999999999998</v>
      </c>
    </row>
    <row r="1006" spans="1:5" x14ac:dyDescent="0.3">
      <c r="A1006" s="4">
        <v>45344</v>
      </c>
      <c r="B1006" s="5">
        <v>103.9406</v>
      </c>
      <c r="D1006" s="4">
        <v>45344</v>
      </c>
      <c r="E1006" s="5">
        <v>7.1017999999999999</v>
      </c>
    </row>
    <row r="1007" spans="1:5" x14ac:dyDescent="0.3">
      <c r="A1007" s="4">
        <v>45345</v>
      </c>
      <c r="B1007" s="5">
        <v>103.9738</v>
      </c>
      <c r="D1007" s="4">
        <v>45345</v>
      </c>
      <c r="E1007" s="5">
        <v>7.1063999999999998</v>
      </c>
    </row>
    <row r="1008" spans="1:5" x14ac:dyDescent="0.3">
      <c r="A1008" s="4">
        <v>45348</v>
      </c>
      <c r="B1008" s="5">
        <v>103.7777</v>
      </c>
      <c r="D1008" s="4">
        <v>45348</v>
      </c>
      <c r="E1008" s="5">
        <v>7.1079999999999997</v>
      </c>
    </row>
    <row r="1009" spans="1:5" x14ac:dyDescent="0.3">
      <c r="A1009" s="4">
        <v>45349</v>
      </c>
      <c r="B1009" s="5">
        <v>103.8116</v>
      </c>
      <c r="D1009" s="4">
        <v>45349</v>
      </c>
      <c r="E1009" s="5">
        <v>7.1056999999999997</v>
      </c>
    </row>
    <row r="1010" spans="1:5" x14ac:dyDescent="0.3">
      <c r="A1010" s="4">
        <v>45350</v>
      </c>
      <c r="B1010" s="5">
        <v>103.9365</v>
      </c>
      <c r="D1010" s="4">
        <v>45350</v>
      </c>
      <c r="E1010" s="5">
        <v>7.1074999999999999</v>
      </c>
    </row>
    <row r="1011" spans="1:5" x14ac:dyDescent="0.3">
      <c r="A1011" s="4">
        <v>45351</v>
      </c>
      <c r="B1011" s="5">
        <v>104.13590000000001</v>
      </c>
      <c r="D1011" s="4">
        <v>45351</v>
      </c>
      <c r="E1011" s="5">
        <v>7.1036000000000001</v>
      </c>
    </row>
    <row r="1012" spans="1:5" x14ac:dyDescent="0.3">
      <c r="A1012" s="4">
        <v>45352</v>
      </c>
      <c r="B1012" s="5">
        <v>103.8849</v>
      </c>
      <c r="D1012" s="4">
        <v>45352</v>
      </c>
      <c r="E1012" s="5">
        <v>7.1059000000000001</v>
      </c>
    </row>
    <row r="1013" spans="1:5" x14ac:dyDescent="0.3">
      <c r="A1013" s="4">
        <v>45355</v>
      </c>
      <c r="B1013" s="5">
        <v>103.8343</v>
      </c>
      <c r="D1013" s="4">
        <v>45355</v>
      </c>
      <c r="E1013" s="5">
        <v>7.1020000000000003</v>
      </c>
    </row>
    <row r="1014" spans="1:5" x14ac:dyDescent="0.3">
      <c r="A1014" s="4">
        <v>45356</v>
      </c>
      <c r="B1014" s="5">
        <v>103.783</v>
      </c>
      <c r="D1014" s="4">
        <v>45356</v>
      </c>
      <c r="E1014" s="5">
        <v>7.1026999999999996</v>
      </c>
    </row>
    <row r="1015" spans="1:5" x14ac:dyDescent="0.3">
      <c r="A1015" s="4">
        <v>45357</v>
      </c>
      <c r="B1015" s="5">
        <v>103.367</v>
      </c>
      <c r="D1015" s="4">
        <v>45357</v>
      </c>
      <c r="E1015" s="5">
        <v>7.1016000000000004</v>
      </c>
    </row>
    <row r="1016" spans="1:5" x14ac:dyDescent="0.3">
      <c r="A1016" s="4">
        <v>45358</v>
      </c>
      <c r="B1016" s="5">
        <v>102.8058</v>
      </c>
      <c r="D1016" s="4">
        <v>45358</v>
      </c>
      <c r="E1016" s="5">
        <v>7.1002000000000001</v>
      </c>
    </row>
    <row r="1017" spans="1:5" x14ac:dyDescent="0.3">
      <c r="A1017" s="4">
        <v>45359</v>
      </c>
      <c r="B1017" s="5">
        <v>102.742</v>
      </c>
      <c r="D1017" s="4">
        <v>45359</v>
      </c>
      <c r="E1017" s="5">
        <v>7.0978000000000003</v>
      </c>
    </row>
    <row r="1018" spans="1:5" x14ac:dyDescent="0.3">
      <c r="A1018" s="4">
        <v>45362</v>
      </c>
      <c r="B1018" s="5">
        <v>102.8445</v>
      </c>
      <c r="D1018" s="4">
        <v>45362</v>
      </c>
      <c r="E1018" s="5">
        <v>7.0968999999999998</v>
      </c>
    </row>
    <row r="1019" spans="1:5" x14ac:dyDescent="0.3">
      <c r="A1019" s="4">
        <v>45363</v>
      </c>
      <c r="B1019" s="5">
        <v>102.93210000000001</v>
      </c>
      <c r="D1019" s="4">
        <v>45363</v>
      </c>
      <c r="E1019" s="5">
        <v>7.0963000000000003</v>
      </c>
    </row>
    <row r="1020" spans="1:5" x14ac:dyDescent="0.3">
      <c r="A1020" s="4">
        <v>45364</v>
      </c>
      <c r="B1020" s="5">
        <v>102.81189999999999</v>
      </c>
      <c r="D1020" s="4">
        <v>45364</v>
      </c>
      <c r="E1020" s="5">
        <v>7.093</v>
      </c>
    </row>
    <row r="1021" spans="1:5" x14ac:dyDescent="0.3">
      <c r="A1021" s="4">
        <v>45365</v>
      </c>
      <c r="B1021" s="5">
        <v>103.3672</v>
      </c>
      <c r="D1021" s="4">
        <v>45365</v>
      </c>
      <c r="E1021" s="5">
        <v>7.0974000000000004</v>
      </c>
    </row>
    <row r="1022" spans="1:5" x14ac:dyDescent="0.3">
      <c r="A1022" s="4">
        <v>45366</v>
      </c>
      <c r="B1022" s="5">
        <v>103.45310000000001</v>
      </c>
      <c r="D1022" s="4">
        <v>45366</v>
      </c>
      <c r="E1022" s="5">
        <v>7.0975000000000001</v>
      </c>
    </row>
    <row r="1023" spans="1:5" x14ac:dyDescent="0.3">
      <c r="A1023" s="4">
        <v>45369</v>
      </c>
      <c r="B1023" s="5">
        <v>103.5873</v>
      </c>
      <c r="D1023" s="4">
        <v>45369</v>
      </c>
      <c r="E1023" s="5">
        <v>7.0942999999999996</v>
      </c>
    </row>
    <row r="1024" spans="1:5" x14ac:dyDescent="0.3">
      <c r="A1024" s="4">
        <v>45370</v>
      </c>
      <c r="B1024" s="5">
        <v>103.8142</v>
      </c>
      <c r="D1024" s="4">
        <v>45370</v>
      </c>
      <c r="E1024" s="5">
        <v>7.0984999999999996</v>
      </c>
    </row>
    <row r="1025" spans="1:5" x14ac:dyDescent="0.3">
      <c r="A1025" s="4">
        <v>45371</v>
      </c>
      <c r="B1025" s="5">
        <v>103.4023</v>
      </c>
      <c r="D1025" s="4">
        <v>45371</v>
      </c>
      <c r="E1025" s="5">
        <v>7.0968</v>
      </c>
    </row>
    <row r="1026" spans="1:5" x14ac:dyDescent="0.3">
      <c r="A1026" s="4">
        <v>45372</v>
      </c>
      <c r="B1026" s="5">
        <v>104.0074</v>
      </c>
      <c r="D1026" s="4">
        <v>45372</v>
      </c>
      <c r="E1026" s="5">
        <v>7.0941999999999998</v>
      </c>
    </row>
    <row r="1027" spans="1:5" x14ac:dyDescent="0.3">
      <c r="A1027" s="4">
        <v>45373</v>
      </c>
      <c r="B1027" s="5">
        <v>104.4332</v>
      </c>
      <c r="D1027" s="4">
        <v>45373</v>
      </c>
      <c r="E1027" s="5">
        <v>7.1003999999999996</v>
      </c>
    </row>
    <row r="1028" spans="1:5" x14ac:dyDescent="0.3">
      <c r="A1028" s="4">
        <v>45376</v>
      </c>
      <c r="B1028" s="5">
        <v>104.2268</v>
      </c>
      <c r="D1028" s="4">
        <v>45376</v>
      </c>
      <c r="E1028" s="5">
        <v>7.0995999999999997</v>
      </c>
    </row>
    <row r="1029" spans="1:5" x14ac:dyDescent="0.3">
      <c r="A1029" s="4">
        <v>45377</v>
      </c>
      <c r="B1029" s="5">
        <v>104.30759999999999</v>
      </c>
      <c r="D1029" s="4">
        <v>45377</v>
      </c>
      <c r="E1029" s="5">
        <v>7.0942999999999996</v>
      </c>
    </row>
    <row r="1030" spans="1:5" x14ac:dyDescent="0.3">
      <c r="A1030" s="4">
        <v>45378</v>
      </c>
      <c r="B1030" s="5">
        <v>104.2877</v>
      </c>
      <c r="D1030" s="4">
        <v>45378</v>
      </c>
      <c r="E1030" s="5">
        <v>7.0945999999999998</v>
      </c>
    </row>
    <row r="1031" spans="1:5" x14ac:dyDescent="0.3">
      <c r="A1031" s="4">
        <v>45379</v>
      </c>
      <c r="B1031" s="5">
        <v>104.539</v>
      </c>
      <c r="D1031" s="4">
        <v>45379</v>
      </c>
      <c r="E1031" s="5">
        <v>7.0948000000000002</v>
      </c>
    </row>
    <row r="1032" spans="1:5" x14ac:dyDescent="0.3">
      <c r="A1032" s="4">
        <v>45380</v>
      </c>
      <c r="B1032" s="5">
        <v>104.50700000000001</v>
      </c>
      <c r="D1032" s="4">
        <v>45380</v>
      </c>
      <c r="E1032" s="5">
        <v>7.0949999999999998</v>
      </c>
    </row>
    <row r="1033" spans="1:5" x14ac:dyDescent="0.3">
      <c r="A1033" s="4">
        <v>45383</v>
      </c>
      <c r="B1033" s="5">
        <v>104.95950000000001</v>
      </c>
      <c r="D1033" s="4">
        <v>45383</v>
      </c>
      <c r="E1033" s="5">
        <v>7.0937999999999999</v>
      </c>
    </row>
    <row r="1034" spans="1:5" x14ac:dyDescent="0.3">
      <c r="A1034" s="4">
        <v>45384</v>
      </c>
      <c r="B1034" s="5">
        <v>104.773</v>
      </c>
      <c r="D1034" s="4">
        <v>45384</v>
      </c>
      <c r="E1034" s="5">
        <v>7.0956999999999999</v>
      </c>
    </row>
    <row r="1035" spans="1:5" x14ac:dyDescent="0.3">
      <c r="A1035" s="4">
        <v>45385</v>
      </c>
      <c r="B1035" s="5">
        <v>104.24420000000001</v>
      </c>
      <c r="D1035" s="4">
        <v>45385</v>
      </c>
      <c r="E1035" s="5">
        <v>7.0949</v>
      </c>
    </row>
    <row r="1036" spans="1:5" x14ac:dyDescent="0.3">
      <c r="A1036" s="4">
        <v>45390</v>
      </c>
      <c r="B1036" s="5">
        <v>104.1426</v>
      </c>
      <c r="D1036" s="4">
        <v>45390</v>
      </c>
      <c r="E1036" s="5">
        <v>7.0946999999999996</v>
      </c>
    </row>
    <row r="1037" spans="1:5" x14ac:dyDescent="0.3">
      <c r="A1037" s="4">
        <v>45391</v>
      </c>
      <c r="B1037" s="5">
        <v>104.11190000000001</v>
      </c>
      <c r="D1037" s="4">
        <v>45391</v>
      </c>
      <c r="E1037" s="5">
        <v>7.0956000000000001</v>
      </c>
    </row>
    <row r="1038" spans="1:5" x14ac:dyDescent="0.3">
      <c r="A1038" s="4">
        <v>45392</v>
      </c>
      <c r="B1038" s="5">
        <v>105.19750000000001</v>
      </c>
      <c r="D1038" s="4">
        <v>45392</v>
      </c>
      <c r="E1038" s="5">
        <v>7.0959000000000003</v>
      </c>
    </row>
    <row r="1039" spans="1:5" x14ac:dyDescent="0.3">
      <c r="A1039" s="4">
        <v>45393</v>
      </c>
      <c r="B1039" s="5">
        <v>105.2839</v>
      </c>
      <c r="D1039" s="4">
        <v>45393</v>
      </c>
      <c r="E1039" s="5">
        <v>7.0968</v>
      </c>
    </row>
    <row r="1040" spans="1:5" x14ac:dyDescent="0.3">
      <c r="A1040" s="4">
        <v>45394</v>
      </c>
      <c r="B1040" s="5">
        <v>106.0228</v>
      </c>
      <c r="D1040" s="4">
        <v>45394</v>
      </c>
      <c r="E1040" s="5">
        <v>7.0967000000000002</v>
      </c>
    </row>
    <row r="1041" spans="1:5" x14ac:dyDescent="0.3">
      <c r="A1041" s="4">
        <v>45397</v>
      </c>
      <c r="B1041" s="5">
        <v>106.20610000000001</v>
      </c>
      <c r="D1041" s="4">
        <v>45397</v>
      </c>
      <c r="E1041" s="5">
        <v>7.0979000000000001</v>
      </c>
    </row>
    <row r="1042" spans="1:5" x14ac:dyDescent="0.3">
      <c r="A1042" s="4">
        <v>45398</v>
      </c>
      <c r="B1042" s="5">
        <v>106.36709999999999</v>
      </c>
      <c r="D1042" s="4">
        <v>45398</v>
      </c>
      <c r="E1042" s="5">
        <v>7.1028000000000002</v>
      </c>
    </row>
    <row r="1043" spans="1:5" x14ac:dyDescent="0.3">
      <c r="A1043" s="4">
        <v>45399</v>
      </c>
      <c r="B1043" s="5">
        <v>105.9426</v>
      </c>
      <c r="D1043" s="4">
        <v>45399</v>
      </c>
      <c r="E1043" s="5">
        <v>7.1025</v>
      </c>
    </row>
    <row r="1044" spans="1:5" x14ac:dyDescent="0.3">
      <c r="A1044" s="4">
        <v>45400</v>
      </c>
      <c r="B1044" s="5">
        <v>106.1675</v>
      </c>
      <c r="D1044" s="4">
        <v>45400</v>
      </c>
      <c r="E1044" s="5">
        <v>7.1020000000000003</v>
      </c>
    </row>
    <row r="1045" spans="1:5" x14ac:dyDescent="0.3">
      <c r="A1045" s="4">
        <v>45401</v>
      </c>
      <c r="B1045" s="5">
        <v>106.11490000000001</v>
      </c>
      <c r="D1045" s="4">
        <v>45401</v>
      </c>
      <c r="E1045" s="5">
        <v>7.1045999999999996</v>
      </c>
    </row>
    <row r="1046" spans="1:5" x14ac:dyDescent="0.3">
      <c r="A1046" s="4">
        <v>45404</v>
      </c>
      <c r="B1046" s="5">
        <v>106.13</v>
      </c>
      <c r="D1046" s="4">
        <v>45404</v>
      </c>
      <c r="E1046" s="5">
        <v>7.1043000000000003</v>
      </c>
    </row>
    <row r="1047" spans="1:5" x14ac:dyDescent="0.3">
      <c r="A1047" s="4">
        <v>45405</v>
      </c>
      <c r="B1047" s="5">
        <v>105.6998</v>
      </c>
      <c r="D1047" s="4">
        <v>45405</v>
      </c>
      <c r="E1047" s="5">
        <v>7.1059000000000001</v>
      </c>
    </row>
    <row r="1048" spans="1:5" x14ac:dyDescent="0.3">
      <c r="A1048" s="4">
        <v>45406</v>
      </c>
      <c r="B1048" s="5">
        <v>105.816</v>
      </c>
      <c r="D1048" s="4">
        <v>45406</v>
      </c>
      <c r="E1048" s="5">
        <v>7.1048</v>
      </c>
    </row>
    <row r="1049" spans="1:5" x14ac:dyDescent="0.3">
      <c r="A1049" s="4">
        <v>45407</v>
      </c>
      <c r="B1049" s="5">
        <v>105.5759</v>
      </c>
      <c r="D1049" s="4">
        <v>45407</v>
      </c>
      <c r="E1049" s="5">
        <v>7.1058000000000003</v>
      </c>
    </row>
    <row r="1050" spans="1:5" x14ac:dyDescent="0.3">
      <c r="A1050" s="4">
        <v>45408</v>
      </c>
      <c r="B1050" s="5">
        <v>106.0902</v>
      </c>
      <c r="D1050" s="4">
        <v>45408</v>
      </c>
      <c r="E1050" s="5">
        <v>7.1055999999999999</v>
      </c>
    </row>
    <row r="1051" spans="1:5" x14ac:dyDescent="0.3">
      <c r="A1051" s="4">
        <v>45411</v>
      </c>
      <c r="B1051" s="5">
        <v>105.6515</v>
      </c>
      <c r="D1051" s="4">
        <v>45411</v>
      </c>
      <c r="E1051" s="5">
        <v>7.1066000000000003</v>
      </c>
    </row>
    <row r="1052" spans="1:5" x14ac:dyDescent="0.3">
      <c r="A1052" s="4">
        <v>45412</v>
      </c>
      <c r="B1052" s="5">
        <v>106.3369</v>
      </c>
      <c r="D1052" s="4">
        <v>45412</v>
      </c>
      <c r="E1052" s="5">
        <v>7.1063000000000001</v>
      </c>
    </row>
    <row r="1053" spans="1:5" x14ac:dyDescent="0.3">
      <c r="A1053" s="4">
        <v>45418</v>
      </c>
      <c r="B1053" s="5">
        <v>105.09269999999999</v>
      </c>
      <c r="D1053" s="4">
        <v>45418</v>
      </c>
      <c r="E1053" s="5">
        <v>7.0994000000000002</v>
      </c>
    </row>
    <row r="1054" spans="1:5" x14ac:dyDescent="0.3">
      <c r="A1054" s="4">
        <v>45419</v>
      </c>
      <c r="B1054" s="5">
        <v>105.3886</v>
      </c>
      <c r="D1054" s="4">
        <v>45419</v>
      </c>
      <c r="E1054" s="5">
        <v>7.1002000000000001</v>
      </c>
    </row>
    <row r="1055" spans="1:5" x14ac:dyDescent="0.3">
      <c r="A1055" s="4">
        <v>45420</v>
      </c>
      <c r="B1055" s="5">
        <v>105.50790000000001</v>
      </c>
      <c r="D1055" s="4">
        <v>45420</v>
      </c>
      <c r="E1055" s="5">
        <v>7.1016000000000004</v>
      </c>
    </row>
    <row r="1056" spans="1:5" x14ac:dyDescent="0.3">
      <c r="A1056" s="4">
        <v>45421</v>
      </c>
      <c r="B1056" s="5">
        <v>105.2242</v>
      </c>
      <c r="D1056" s="4">
        <v>45421</v>
      </c>
      <c r="E1056" s="5">
        <v>7.1028000000000002</v>
      </c>
    </row>
    <row r="1057" spans="1:5" x14ac:dyDescent="0.3">
      <c r="A1057" s="4">
        <v>45422</v>
      </c>
      <c r="B1057" s="5">
        <v>105.32769999999999</v>
      </c>
      <c r="D1057" s="4">
        <v>45422</v>
      </c>
      <c r="E1057" s="5">
        <v>7.1010999999999997</v>
      </c>
    </row>
    <row r="1058" spans="1:5" x14ac:dyDescent="0.3">
      <c r="A1058" s="4">
        <v>45425</v>
      </c>
      <c r="B1058" s="5">
        <v>105.2154</v>
      </c>
      <c r="D1058" s="4">
        <v>45425</v>
      </c>
      <c r="E1058" s="5">
        <v>7.1029999999999998</v>
      </c>
    </row>
    <row r="1059" spans="1:5" x14ac:dyDescent="0.3">
      <c r="A1059" s="4">
        <v>45426</v>
      </c>
      <c r="B1059" s="5">
        <v>104.99890000000001</v>
      </c>
      <c r="D1059" s="4">
        <v>45426</v>
      </c>
      <c r="E1059" s="5">
        <v>7.1052999999999997</v>
      </c>
    </row>
    <row r="1060" spans="1:5" x14ac:dyDescent="0.3">
      <c r="A1060" s="4">
        <v>45427</v>
      </c>
      <c r="B1060" s="5">
        <v>104.3015</v>
      </c>
      <c r="D1060" s="4">
        <v>45427</v>
      </c>
      <c r="E1060" s="5">
        <v>7.1048999999999998</v>
      </c>
    </row>
    <row r="1061" spans="1:5" x14ac:dyDescent="0.3">
      <c r="A1061" s="4">
        <v>45428</v>
      </c>
      <c r="B1061" s="5">
        <v>104.5052</v>
      </c>
      <c r="D1061" s="4">
        <v>45428</v>
      </c>
      <c r="E1061" s="5">
        <v>7.1020000000000003</v>
      </c>
    </row>
    <row r="1062" spans="1:5" x14ac:dyDescent="0.3">
      <c r="A1062" s="4">
        <v>45429</v>
      </c>
      <c r="B1062" s="5">
        <v>104.4932</v>
      </c>
      <c r="D1062" s="4">
        <v>45429</v>
      </c>
      <c r="E1062" s="5">
        <v>7.1044999999999998</v>
      </c>
    </row>
    <row r="1063" spans="1:5" x14ac:dyDescent="0.3">
      <c r="A1063" s="4">
        <v>45432</v>
      </c>
      <c r="B1063" s="5">
        <v>104.61839999999999</v>
      </c>
      <c r="D1063" s="4">
        <v>45432</v>
      </c>
      <c r="E1063" s="5">
        <v>7.1041999999999996</v>
      </c>
    </row>
    <row r="1064" spans="1:5" x14ac:dyDescent="0.3">
      <c r="A1064" s="4">
        <v>45433</v>
      </c>
      <c r="B1064" s="5">
        <v>104.6514</v>
      </c>
      <c r="D1064" s="4">
        <v>45433</v>
      </c>
      <c r="E1064" s="5">
        <v>7.1069000000000004</v>
      </c>
    </row>
    <row r="1065" spans="1:5" x14ac:dyDescent="0.3">
      <c r="A1065" s="4">
        <v>45434</v>
      </c>
      <c r="B1065" s="5">
        <v>104.93210000000001</v>
      </c>
      <c r="D1065" s="4">
        <v>45434</v>
      </c>
      <c r="E1065" s="5">
        <v>7.1077000000000004</v>
      </c>
    </row>
    <row r="1066" spans="1:5" x14ac:dyDescent="0.3">
      <c r="A1066" s="4">
        <v>45435</v>
      </c>
      <c r="B1066" s="5">
        <v>105.0274</v>
      </c>
      <c r="D1066" s="4">
        <v>45435</v>
      </c>
      <c r="E1066" s="5">
        <v>7.1097999999999999</v>
      </c>
    </row>
    <row r="1067" spans="1:5" x14ac:dyDescent="0.3">
      <c r="A1067" s="4">
        <v>45436</v>
      </c>
      <c r="B1067" s="5">
        <v>104.74209999999999</v>
      </c>
      <c r="D1067" s="4">
        <v>45436</v>
      </c>
      <c r="E1067" s="5">
        <v>7.1101999999999999</v>
      </c>
    </row>
    <row r="1068" spans="1:5" x14ac:dyDescent="0.3">
      <c r="A1068" s="4">
        <v>45439</v>
      </c>
      <c r="B1068" s="5">
        <v>104.5908</v>
      </c>
      <c r="D1068" s="4">
        <v>45439</v>
      </c>
      <c r="E1068" s="5">
        <v>7.1090999999999998</v>
      </c>
    </row>
    <row r="1069" spans="1:5" x14ac:dyDescent="0.3">
      <c r="A1069" s="4">
        <v>45440</v>
      </c>
      <c r="B1069" s="5">
        <v>104.6242</v>
      </c>
      <c r="D1069" s="4">
        <v>45440</v>
      </c>
      <c r="E1069" s="5">
        <v>7.1101000000000001</v>
      </c>
    </row>
    <row r="1070" spans="1:5" x14ac:dyDescent="0.3">
      <c r="A1070" s="4">
        <v>45441</v>
      </c>
      <c r="B1070" s="5">
        <v>105.1293</v>
      </c>
      <c r="D1070" s="4">
        <v>45441</v>
      </c>
      <c r="E1070" s="5">
        <v>7.1105999999999998</v>
      </c>
    </row>
    <row r="1071" spans="1:5" x14ac:dyDescent="0.3">
      <c r="A1071" s="4">
        <v>45442</v>
      </c>
      <c r="B1071" s="5">
        <v>104.74890000000001</v>
      </c>
      <c r="D1071" s="4">
        <v>45442</v>
      </c>
      <c r="E1071" s="5">
        <v>7.1111000000000004</v>
      </c>
    </row>
    <row r="1072" spans="1:5" x14ac:dyDescent="0.3">
      <c r="A1072" s="4">
        <v>45443</v>
      </c>
      <c r="B1072" s="5">
        <v>104.6318</v>
      </c>
      <c r="D1072" s="4">
        <v>45443</v>
      </c>
      <c r="E1072" s="5">
        <v>7.1087999999999996</v>
      </c>
    </row>
    <row r="1073" spans="1:5" x14ac:dyDescent="0.3">
      <c r="A1073" s="4">
        <v>45446</v>
      </c>
      <c r="B1073" s="5">
        <v>104.0608</v>
      </c>
      <c r="D1073" s="4">
        <v>45446</v>
      </c>
      <c r="E1073" s="5">
        <v>7.1086</v>
      </c>
    </row>
    <row r="1074" spans="1:5" x14ac:dyDescent="0.3">
      <c r="A1074" s="4">
        <v>45447</v>
      </c>
      <c r="B1074" s="5">
        <v>104.15179999999999</v>
      </c>
      <c r="D1074" s="4">
        <v>45447</v>
      </c>
      <c r="E1074" s="5">
        <v>7.1082999999999998</v>
      </c>
    </row>
    <row r="1075" spans="1:5" x14ac:dyDescent="0.3">
      <c r="A1075" s="4">
        <v>45448</v>
      </c>
      <c r="B1075" s="5">
        <v>104.3163</v>
      </c>
      <c r="D1075" s="4">
        <v>45448</v>
      </c>
      <c r="E1075" s="5">
        <v>7.1097000000000001</v>
      </c>
    </row>
    <row r="1076" spans="1:5" x14ac:dyDescent="0.3">
      <c r="A1076" s="4">
        <v>45449</v>
      </c>
      <c r="B1076" s="5">
        <v>104.1168</v>
      </c>
      <c r="D1076" s="4">
        <v>45449</v>
      </c>
      <c r="E1076" s="5">
        <v>7.1108000000000002</v>
      </c>
    </row>
    <row r="1077" spans="1:5" x14ac:dyDescent="0.3">
      <c r="A1077" s="4">
        <v>45450</v>
      </c>
      <c r="B1077" s="5">
        <v>104.9395</v>
      </c>
      <c r="D1077" s="4">
        <v>45450</v>
      </c>
      <c r="E1077" s="5">
        <v>7.1105999999999998</v>
      </c>
    </row>
    <row r="1078" spans="1:5" x14ac:dyDescent="0.3">
      <c r="A1078" s="4">
        <v>45454</v>
      </c>
      <c r="B1078" s="5">
        <v>105.2706</v>
      </c>
      <c r="D1078" s="4">
        <v>45454</v>
      </c>
      <c r="E1078" s="5">
        <v>7.1135000000000002</v>
      </c>
    </row>
    <row r="1079" spans="1:5" x14ac:dyDescent="0.3">
      <c r="A1079" s="4">
        <v>45455</v>
      </c>
      <c r="B1079" s="5">
        <v>104.7081</v>
      </c>
      <c r="D1079" s="4">
        <v>45455</v>
      </c>
      <c r="E1079" s="5">
        <v>7.1132999999999997</v>
      </c>
    </row>
    <row r="1080" spans="1:5" x14ac:dyDescent="0.3">
      <c r="A1080" s="4">
        <v>45456</v>
      </c>
      <c r="B1080" s="5">
        <v>105.2302</v>
      </c>
      <c r="D1080" s="4">
        <v>45456</v>
      </c>
      <c r="E1080" s="5">
        <v>7.1121999999999996</v>
      </c>
    </row>
    <row r="1081" spans="1:5" x14ac:dyDescent="0.3">
      <c r="A1081" s="4">
        <v>45457</v>
      </c>
      <c r="B1081" s="5">
        <v>105.52670000000001</v>
      </c>
      <c r="D1081" s="4">
        <v>45457</v>
      </c>
      <c r="E1081" s="5">
        <v>7.1151</v>
      </c>
    </row>
    <row r="1082" spans="1:5" x14ac:dyDescent="0.3">
      <c r="A1082" s="4">
        <v>45460</v>
      </c>
      <c r="B1082" s="5">
        <v>105.3287</v>
      </c>
      <c r="D1082" s="4">
        <v>45460</v>
      </c>
      <c r="E1082" s="5">
        <v>7.1148999999999996</v>
      </c>
    </row>
    <row r="1083" spans="1:5" x14ac:dyDescent="0.3">
      <c r="A1083" s="4">
        <v>45461</v>
      </c>
      <c r="B1083" s="5">
        <v>105.2666</v>
      </c>
      <c r="D1083" s="4">
        <v>45461</v>
      </c>
      <c r="E1083" s="5">
        <v>7.1147999999999998</v>
      </c>
    </row>
    <row r="1084" spans="1:5" x14ac:dyDescent="0.3">
      <c r="A1084" s="4">
        <v>45462</v>
      </c>
      <c r="B1084" s="5">
        <v>105.252</v>
      </c>
      <c r="D1084" s="4">
        <v>45462</v>
      </c>
      <c r="E1084" s="5">
        <v>7.1158999999999999</v>
      </c>
    </row>
    <row r="1085" spans="1:5" x14ac:dyDescent="0.3">
      <c r="A1085" s="4">
        <v>45463</v>
      </c>
      <c r="B1085" s="5">
        <v>105.66370000000001</v>
      </c>
      <c r="D1085" s="4">
        <v>45463</v>
      </c>
      <c r="E1085" s="5">
        <v>7.1192000000000002</v>
      </c>
    </row>
    <row r="1086" spans="1:5" x14ac:dyDescent="0.3">
      <c r="A1086" s="4">
        <v>45464</v>
      </c>
      <c r="B1086" s="5">
        <v>105.82510000000001</v>
      </c>
      <c r="D1086" s="4">
        <v>45464</v>
      </c>
      <c r="E1086" s="5">
        <v>7.1196000000000002</v>
      </c>
    </row>
    <row r="1087" spans="1:5" x14ac:dyDescent="0.3">
      <c r="A1087" s="4">
        <v>45467</v>
      </c>
      <c r="B1087" s="5">
        <v>105.48739999999999</v>
      </c>
      <c r="D1087" s="4">
        <v>45467</v>
      </c>
      <c r="E1087" s="5">
        <v>7.1200999999999999</v>
      </c>
    </row>
    <row r="1088" spans="1:5" x14ac:dyDescent="0.3">
      <c r="A1088" s="4">
        <v>45468</v>
      </c>
      <c r="B1088" s="5">
        <v>105.6271</v>
      </c>
      <c r="D1088" s="4">
        <v>45468</v>
      </c>
      <c r="E1088" s="5">
        <v>7.1224999999999996</v>
      </c>
    </row>
    <row r="1089" spans="1:5" x14ac:dyDescent="0.3">
      <c r="A1089" s="4">
        <v>45469</v>
      </c>
      <c r="B1089" s="5">
        <v>106.0545</v>
      </c>
      <c r="D1089" s="4">
        <v>45469</v>
      </c>
      <c r="E1089" s="5">
        <v>7.1247999999999996</v>
      </c>
    </row>
    <row r="1090" spans="1:5" x14ac:dyDescent="0.3">
      <c r="A1090" s="4">
        <v>45470</v>
      </c>
      <c r="B1090" s="5">
        <v>105.93040000000001</v>
      </c>
      <c r="D1090" s="4">
        <v>45470</v>
      </c>
      <c r="E1090" s="5">
        <v>7.1269999999999998</v>
      </c>
    </row>
    <row r="1091" spans="1:5" x14ac:dyDescent="0.3">
      <c r="A1091" s="4">
        <v>45471</v>
      </c>
      <c r="B1091" s="5">
        <v>105.84269999999999</v>
      </c>
      <c r="D1091" s="4">
        <v>45471</v>
      </c>
      <c r="E1091" s="5">
        <v>7.1268000000000002</v>
      </c>
    </row>
    <row r="1092" spans="1:5" x14ac:dyDescent="0.3">
      <c r="A1092" s="4">
        <v>45474</v>
      </c>
      <c r="B1092" s="5">
        <v>105.8109</v>
      </c>
      <c r="D1092" s="4">
        <v>45474</v>
      </c>
      <c r="E1092" s="5">
        <v>7.1265000000000001</v>
      </c>
    </row>
    <row r="1093" spans="1:5" x14ac:dyDescent="0.3">
      <c r="A1093" s="4">
        <v>45475</v>
      </c>
      <c r="B1093" s="5">
        <v>105.69070000000001</v>
      </c>
      <c r="D1093" s="4">
        <v>45475</v>
      </c>
      <c r="E1093" s="5">
        <v>7.1291000000000002</v>
      </c>
    </row>
    <row r="1094" spans="1:5" x14ac:dyDescent="0.3">
      <c r="A1094" s="4">
        <v>45476</v>
      </c>
      <c r="B1094" s="5">
        <v>105.35339999999999</v>
      </c>
      <c r="D1094" s="4">
        <v>45476</v>
      </c>
      <c r="E1094" s="5">
        <v>7.1311999999999998</v>
      </c>
    </row>
    <row r="1095" spans="1:5" x14ac:dyDescent="0.3">
      <c r="A1095" s="4">
        <v>45477</v>
      </c>
      <c r="B1095" s="5">
        <v>105.15170000000001</v>
      </c>
      <c r="D1095" s="4">
        <v>45477</v>
      </c>
      <c r="E1095" s="5">
        <v>7.1304999999999996</v>
      </c>
    </row>
    <row r="1096" spans="1:5" x14ac:dyDescent="0.3">
      <c r="A1096" s="4">
        <v>45478</v>
      </c>
      <c r="B1096" s="5">
        <v>104.8689</v>
      </c>
      <c r="D1096" s="4">
        <v>45478</v>
      </c>
      <c r="E1096" s="5">
        <v>7.1288999999999998</v>
      </c>
    </row>
    <row r="1097" spans="1:5" x14ac:dyDescent="0.3">
      <c r="A1097" s="4">
        <v>45481</v>
      </c>
      <c r="B1097" s="5">
        <v>105.02030000000001</v>
      </c>
      <c r="D1097" s="4">
        <v>45481</v>
      </c>
      <c r="E1097" s="5">
        <v>7.1285999999999996</v>
      </c>
    </row>
    <row r="1098" spans="1:5" x14ac:dyDescent="0.3">
      <c r="A1098" s="4">
        <v>45482</v>
      </c>
      <c r="B1098" s="5">
        <v>105.1279</v>
      </c>
      <c r="D1098" s="4">
        <v>45482</v>
      </c>
      <c r="E1098" s="5">
        <v>7.1310000000000002</v>
      </c>
    </row>
    <row r="1099" spans="1:5" x14ac:dyDescent="0.3">
      <c r="A1099" s="4">
        <v>45483</v>
      </c>
      <c r="B1099" s="5">
        <v>105.00230000000001</v>
      </c>
      <c r="D1099" s="4">
        <v>45483</v>
      </c>
      <c r="E1099" s="5">
        <v>7.1341999999999999</v>
      </c>
    </row>
    <row r="1100" spans="1:5" x14ac:dyDescent="0.3">
      <c r="A1100" s="4">
        <v>45484</v>
      </c>
      <c r="B1100" s="5">
        <v>104.44880000000001</v>
      </c>
      <c r="D1100" s="4">
        <v>45484</v>
      </c>
      <c r="E1100" s="5">
        <v>7.1338999999999997</v>
      </c>
    </row>
    <row r="1101" spans="1:5" x14ac:dyDescent="0.3">
      <c r="A1101" s="4">
        <v>45485</v>
      </c>
      <c r="B1101" s="5">
        <v>104.0997</v>
      </c>
      <c r="D1101" s="4">
        <v>45485</v>
      </c>
      <c r="E1101" s="5">
        <v>7.1315</v>
      </c>
    </row>
    <row r="1102" spans="1:5" x14ac:dyDescent="0.3">
      <c r="A1102" s="4">
        <v>45488</v>
      </c>
      <c r="B1102" s="5">
        <v>104.2633</v>
      </c>
      <c r="D1102" s="4">
        <v>45488</v>
      </c>
      <c r="E1102" s="5">
        <v>7.1313000000000004</v>
      </c>
    </row>
    <row r="1103" spans="1:5" x14ac:dyDescent="0.3">
      <c r="A1103" s="4">
        <v>45489</v>
      </c>
      <c r="B1103" s="5">
        <v>104.2283</v>
      </c>
      <c r="D1103" s="4">
        <v>45489</v>
      </c>
      <c r="E1103" s="5">
        <v>7.1327999999999996</v>
      </c>
    </row>
    <row r="1104" spans="1:5" x14ac:dyDescent="0.3">
      <c r="A1104" s="4">
        <v>45490</v>
      </c>
      <c r="B1104" s="5">
        <v>103.7261</v>
      </c>
      <c r="D1104" s="4">
        <v>45490</v>
      </c>
      <c r="E1104" s="5">
        <v>7.1318000000000001</v>
      </c>
    </row>
    <row r="1105" spans="1:5" x14ac:dyDescent="0.3">
      <c r="A1105" s="4">
        <v>45491</v>
      </c>
      <c r="B1105" s="5">
        <v>104.1947</v>
      </c>
      <c r="D1105" s="4">
        <v>45491</v>
      </c>
      <c r="E1105" s="5">
        <v>7.1284999999999998</v>
      </c>
    </row>
    <row r="1106" spans="1:5" x14ac:dyDescent="0.3">
      <c r="A1106" s="4">
        <v>45492</v>
      </c>
      <c r="B1106" s="5">
        <v>104.36539999999999</v>
      </c>
      <c r="D1106" s="4">
        <v>45492</v>
      </c>
      <c r="E1106" s="5">
        <v>7.1315</v>
      </c>
    </row>
    <row r="1107" spans="1:5" x14ac:dyDescent="0.3">
      <c r="A1107" s="4">
        <v>45495</v>
      </c>
      <c r="B1107" s="5">
        <v>104.2941</v>
      </c>
      <c r="D1107" s="4">
        <v>45495</v>
      </c>
      <c r="E1107" s="5">
        <v>7.1334999999999997</v>
      </c>
    </row>
    <row r="1108" spans="1:5" x14ac:dyDescent="0.3">
      <c r="A1108" s="4">
        <v>45496</v>
      </c>
      <c r="B1108" s="5">
        <v>104.4379</v>
      </c>
      <c r="D1108" s="4">
        <v>45496</v>
      </c>
      <c r="E1108" s="5">
        <v>7.1334</v>
      </c>
    </row>
    <row r="1109" spans="1:5" x14ac:dyDescent="0.3">
      <c r="A1109" s="4">
        <v>45497</v>
      </c>
      <c r="B1109" s="5">
        <v>104.35599999999999</v>
      </c>
      <c r="D1109" s="4">
        <v>45497</v>
      </c>
      <c r="E1109" s="5">
        <v>7.1357999999999997</v>
      </c>
    </row>
    <row r="1110" spans="1:5" x14ac:dyDescent="0.3">
      <c r="A1110" s="4">
        <v>45498</v>
      </c>
      <c r="B1110" s="5">
        <v>104.4053</v>
      </c>
      <c r="D1110" s="4">
        <v>45498</v>
      </c>
      <c r="E1110" s="5">
        <v>7.1321000000000003</v>
      </c>
    </row>
    <row r="1111" spans="1:5" x14ac:dyDescent="0.3">
      <c r="A1111" s="4">
        <v>45499</v>
      </c>
      <c r="B1111" s="5">
        <v>104.3233</v>
      </c>
      <c r="D1111" s="4">
        <v>45499</v>
      </c>
      <c r="E1111" s="5">
        <v>7.1269999999999998</v>
      </c>
    </row>
    <row r="1112" spans="1:5" x14ac:dyDescent="0.3">
      <c r="A1112" s="4">
        <v>45502</v>
      </c>
      <c r="B1112" s="5">
        <v>104.5744</v>
      </c>
      <c r="D1112" s="4">
        <v>45502</v>
      </c>
      <c r="E1112" s="5">
        <v>7.1315999999999997</v>
      </c>
    </row>
    <row r="1113" spans="1:5" x14ac:dyDescent="0.3">
      <c r="A1113" s="4">
        <v>45503</v>
      </c>
      <c r="B1113" s="5">
        <v>104.46899999999999</v>
      </c>
      <c r="D1113" s="4">
        <v>45503</v>
      </c>
      <c r="E1113" s="5">
        <v>7.1364000000000001</v>
      </c>
    </row>
    <row r="1114" spans="1:5" x14ac:dyDescent="0.3">
      <c r="A1114" s="4">
        <v>45504</v>
      </c>
      <c r="B1114" s="5">
        <v>104.0574</v>
      </c>
      <c r="D1114" s="4">
        <v>45504</v>
      </c>
      <c r="E1114" s="5">
        <v>7.1345999999999998</v>
      </c>
    </row>
    <row r="1115" spans="1:5" x14ac:dyDescent="0.3">
      <c r="A1115" s="4">
        <v>45505</v>
      </c>
      <c r="B1115" s="5">
        <v>104.3402</v>
      </c>
      <c r="D1115" s="4">
        <v>45505</v>
      </c>
      <c r="E1115" s="5">
        <v>7.1322999999999999</v>
      </c>
    </row>
    <row r="1116" spans="1:5" x14ac:dyDescent="0.3">
      <c r="A1116" s="4">
        <v>45506</v>
      </c>
      <c r="B1116" s="5">
        <v>103.2295</v>
      </c>
      <c r="D1116" s="4">
        <v>45506</v>
      </c>
      <c r="E1116" s="5">
        <v>7.1375999999999999</v>
      </c>
    </row>
    <row r="1117" spans="1:5" x14ac:dyDescent="0.3">
      <c r="A1117" s="4">
        <v>45509</v>
      </c>
      <c r="B1117" s="5">
        <v>102.7266</v>
      </c>
      <c r="D1117" s="4">
        <v>45509</v>
      </c>
      <c r="E1117" s="5">
        <v>7.1345000000000001</v>
      </c>
    </row>
    <row r="1118" spans="1:5" x14ac:dyDescent="0.3">
      <c r="A1118" s="4">
        <v>45510</v>
      </c>
      <c r="B1118" s="5">
        <v>102.8943</v>
      </c>
      <c r="D1118" s="4">
        <v>45510</v>
      </c>
      <c r="E1118" s="5">
        <v>7.1318000000000001</v>
      </c>
    </row>
    <row r="1119" spans="1:5" x14ac:dyDescent="0.3">
      <c r="A1119" s="4">
        <v>45511</v>
      </c>
      <c r="B1119" s="5">
        <v>103.182</v>
      </c>
      <c r="D1119" s="4">
        <v>45511</v>
      </c>
      <c r="E1119" s="5">
        <v>7.1386000000000003</v>
      </c>
    </row>
    <row r="1120" spans="1:5" x14ac:dyDescent="0.3">
      <c r="A1120" s="4">
        <v>45512</v>
      </c>
      <c r="B1120" s="5">
        <v>103.2189</v>
      </c>
      <c r="D1120" s="4">
        <v>45512</v>
      </c>
      <c r="E1120" s="5">
        <v>7.1459999999999999</v>
      </c>
    </row>
    <row r="1121" spans="1:5" x14ac:dyDescent="0.3">
      <c r="A1121" s="4">
        <v>45513</v>
      </c>
      <c r="B1121" s="5">
        <v>103.15179999999999</v>
      </c>
      <c r="D1121" s="4">
        <v>45513</v>
      </c>
      <c r="E1121" s="5">
        <v>7.1448999999999998</v>
      </c>
    </row>
    <row r="1122" spans="1:5" x14ac:dyDescent="0.3">
      <c r="A1122" s="4">
        <v>45516</v>
      </c>
      <c r="B1122" s="5">
        <v>103.1307</v>
      </c>
      <c r="D1122" s="4">
        <v>45516</v>
      </c>
      <c r="E1122" s="5">
        <v>7.1458000000000004</v>
      </c>
    </row>
    <row r="1123" spans="1:5" x14ac:dyDescent="0.3">
      <c r="A1123" s="4">
        <v>45517</v>
      </c>
      <c r="B1123" s="5">
        <v>102.61409999999999</v>
      </c>
      <c r="D1123" s="4">
        <v>45517</v>
      </c>
      <c r="E1123" s="5">
        <v>7.1478999999999999</v>
      </c>
    </row>
    <row r="1124" spans="1:5" x14ac:dyDescent="0.3">
      <c r="A1124" s="4">
        <v>45518</v>
      </c>
      <c r="B1124" s="5">
        <v>102.6053</v>
      </c>
      <c r="D1124" s="4">
        <v>45518</v>
      </c>
      <c r="E1124" s="5">
        <v>7.1414999999999997</v>
      </c>
    </row>
    <row r="1125" spans="1:5" x14ac:dyDescent="0.3">
      <c r="A1125" s="4">
        <v>45519</v>
      </c>
      <c r="B1125" s="5">
        <v>103.0517</v>
      </c>
      <c r="D1125" s="4">
        <v>45519</v>
      </c>
      <c r="E1125" s="5">
        <v>7.1398999999999999</v>
      </c>
    </row>
    <row r="1126" spans="1:5" x14ac:dyDescent="0.3">
      <c r="A1126" s="4">
        <v>45520</v>
      </c>
      <c r="B1126" s="5">
        <v>102.404</v>
      </c>
      <c r="D1126" s="4">
        <v>45520</v>
      </c>
      <c r="E1126" s="5">
        <v>7.1463999999999999</v>
      </c>
    </row>
    <row r="1127" spans="1:5" x14ac:dyDescent="0.3">
      <c r="A1127" s="4">
        <v>45523</v>
      </c>
      <c r="B1127" s="5">
        <v>101.8578</v>
      </c>
      <c r="D1127" s="4">
        <v>45523</v>
      </c>
      <c r="E1127" s="5">
        <v>7.1414999999999997</v>
      </c>
    </row>
    <row r="1128" spans="1:5" x14ac:dyDescent="0.3">
      <c r="A1128" s="4">
        <v>45524</v>
      </c>
      <c r="B1128" s="5">
        <v>101.3677</v>
      </c>
      <c r="D1128" s="4">
        <v>45524</v>
      </c>
      <c r="E1128" s="5">
        <v>7.1325000000000003</v>
      </c>
    </row>
    <row r="1129" spans="1:5" x14ac:dyDescent="0.3">
      <c r="A1129" s="4">
        <v>45525</v>
      </c>
      <c r="B1129" s="5">
        <v>101.1756</v>
      </c>
      <c r="D1129" s="4">
        <v>45525</v>
      </c>
      <c r="E1129" s="5">
        <v>7.1307</v>
      </c>
    </row>
    <row r="1130" spans="1:5" x14ac:dyDescent="0.3">
      <c r="A1130" s="4">
        <v>45526</v>
      </c>
      <c r="B1130" s="5">
        <v>101.5149</v>
      </c>
      <c r="D1130" s="4">
        <v>45526</v>
      </c>
      <c r="E1130" s="5">
        <v>7.1227999999999998</v>
      </c>
    </row>
    <row r="1131" spans="1:5" x14ac:dyDescent="0.3">
      <c r="A1131" s="4">
        <v>45527</v>
      </c>
      <c r="B1131" s="5">
        <v>100.6824</v>
      </c>
      <c r="D1131" s="4">
        <v>45527</v>
      </c>
      <c r="E1131" s="5">
        <v>7.1357999999999997</v>
      </c>
    </row>
    <row r="1132" spans="1:5" x14ac:dyDescent="0.3">
      <c r="A1132" s="4">
        <v>45530</v>
      </c>
      <c r="B1132" s="5">
        <v>100.8783</v>
      </c>
      <c r="D1132" s="4">
        <v>45530</v>
      </c>
      <c r="E1132" s="5">
        <v>7.1139000000000001</v>
      </c>
    </row>
    <row r="1133" spans="1:5" x14ac:dyDescent="0.3">
      <c r="A1133" s="4">
        <v>45531</v>
      </c>
      <c r="B1133" s="5">
        <v>100.5549</v>
      </c>
      <c r="D1133" s="4">
        <v>45531</v>
      </c>
      <c r="E1133" s="5">
        <v>7.1249000000000002</v>
      </c>
    </row>
    <row r="1134" spans="1:5" x14ac:dyDescent="0.3">
      <c r="A1134" s="4">
        <v>45532</v>
      </c>
      <c r="B1134" s="5">
        <v>101.06310000000001</v>
      </c>
      <c r="D1134" s="4">
        <v>45532</v>
      </c>
      <c r="E1134" s="5">
        <v>7.1215999999999999</v>
      </c>
    </row>
    <row r="1135" spans="1:5" x14ac:dyDescent="0.3">
      <c r="A1135" s="4">
        <v>45533</v>
      </c>
      <c r="B1135" s="5">
        <v>101.3796</v>
      </c>
      <c r="D1135" s="4">
        <v>45533</v>
      </c>
      <c r="E1135" s="5">
        <v>7.1299000000000001</v>
      </c>
    </row>
    <row r="1136" spans="1:5" x14ac:dyDescent="0.3">
      <c r="A1136" s="4">
        <v>45534</v>
      </c>
      <c r="B1136" s="5">
        <v>101.732</v>
      </c>
      <c r="D1136" s="4">
        <v>45534</v>
      </c>
      <c r="E1136" s="5">
        <v>7.1124000000000001</v>
      </c>
    </row>
    <row r="1137" spans="1:5" x14ac:dyDescent="0.3">
      <c r="A1137" s="4">
        <v>45537</v>
      </c>
      <c r="B1137" s="5">
        <v>101.6452</v>
      </c>
      <c r="D1137" s="4">
        <v>45537</v>
      </c>
      <c r="E1137" s="5">
        <v>7.1026999999999996</v>
      </c>
    </row>
    <row r="1138" spans="1:5" x14ac:dyDescent="0.3">
      <c r="A1138" s="4">
        <v>45538</v>
      </c>
      <c r="B1138" s="5">
        <v>101.7512</v>
      </c>
      <c r="D1138" s="4">
        <v>45538</v>
      </c>
      <c r="E1138" s="5">
        <v>7.1112000000000002</v>
      </c>
    </row>
    <row r="1139" spans="1:5" x14ac:dyDescent="0.3">
      <c r="A1139" s="4">
        <v>45539</v>
      </c>
      <c r="B1139" s="5">
        <v>101.2864</v>
      </c>
      <c r="D1139" s="4">
        <v>45539</v>
      </c>
      <c r="E1139" s="5">
        <v>7.1147999999999998</v>
      </c>
    </row>
    <row r="1140" spans="1:5" x14ac:dyDescent="0.3">
      <c r="A1140" s="4">
        <v>45540</v>
      </c>
      <c r="B1140" s="5">
        <v>101.06</v>
      </c>
      <c r="D1140" s="4">
        <v>45540</v>
      </c>
      <c r="E1140" s="5">
        <v>7.0989000000000004</v>
      </c>
    </row>
    <row r="1141" spans="1:5" x14ac:dyDescent="0.3">
      <c r="A1141" s="4">
        <v>45541</v>
      </c>
      <c r="B1141" s="5">
        <v>101.18300000000001</v>
      </c>
      <c r="D1141" s="4">
        <v>45541</v>
      </c>
      <c r="E1141" s="5">
        <v>7.0925000000000002</v>
      </c>
    </row>
    <row r="1142" spans="1:5" x14ac:dyDescent="0.3">
      <c r="A1142" s="4">
        <v>45544</v>
      </c>
      <c r="B1142" s="5">
        <v>101.6448</v>
      </c>
      <c r="D1142" s="4">
        <v>45544</v>
      </c>
      <c r="E1142" s="5">
        <v>7.0989000000000004</v>
      </c>
    </row>
    <row r="1143" spans="1:5" x14ac:dyDescent="0.3">
      <c r="A1143" s="4">
        <v>45545</v>
      </c>
      <c r="B1143" s="5">
        <v>101.6712</v>
      </c>
      <c r="D1143" s="4">
        <v>45545</v>
      </c>
      <c r="E1143" s="5">
        <v>7.1135999999999999</v>
      </c>
    </row>
    <row r="1144" spans="1:5" x14ac:dyDescent="0.3">
      <c r="A1144" s="4">
        <v>45546</v>
      </c>
      <c r="B1144" s="5">
        <v>101.7414</v>
      </c>
      <c r="D1144" s="4">
        <v>45546</v>
      </c>
      <c r="E1144" s="5">
        <v>7.1181999999999999</v>
      </c>
    </row>
    <row r="1145" spans="1:5" x14ac:dyDescent="0.3">
      <c r="A1145" s="4">
        <v>45547</v>
      </c>
      <c r="B1145" s="5">
        <v>101.242</v>
      </c>
      <c r="D1145" s="4">
        <v>45547</v>
      </c>
      <c r="E1145" s="5">
        <v>7.1214000000000004</v>
      </c>
    </row>
    <row r="1146" spans="1:5" x14ac:dyDescent="0.3">
      <c r="A1146" s="4">
        <v>45548</v>
      </c>
      <c r="B1146" s="5">
        <v>101.111</v>
      </c>
      <c r="D1146" s="4">
        <v>45548</v>
      </c>
      <c r="E1146" s="5">
        <v>7.1029999999999998</v>
      </c>
    </row>
    <row r="1147" spans="1:5" x14ac:dyDescent="0.3">
      <c r="A1147" s="4">
        <v>45553</v>
      </c>
      <c r="B1147" s="5">
        <v>100.94199999999999</v>
      </c>
      <c r="D1147" s="4">
        <v>45553</v>
      </c>
      <c r="E1147" s="5">
        <v>7.0869999999999997</v>
      </c>
    </row>
    <row r="1148" spans="1:5" x14ac:dyDescent="0.3">
      <c r="A1148" s="4">
        <v>45554</v>
      </c>
      <c r="B1148" s="5">
        <v>100.6377</v>
      </c>
      <c r="D1148" s="4">
        <v>45554</v>
      </c>
      <c r="E1148" s="5">
        <v>7.0983000000000001</v>
      </c>
    </row>
    <row r="1149" spans="1:5" x14ac:dyDescent="0.3">
      <c r="A1149" s="4">
        <v>45555</v>
      </c>
      <c r="B1149" s="5">
        <v>100.73350000000001</v>
      </c>
      <c r="D1149" s="4">
        <v>45555</v>
      </c>
      <c r="E1149" s="5">
        <v>7.0644</v>
      </c>
    </row>
    <row r="1150" spans="1:5" x14ac:dyDescent="0.3">
      <c r="A1150" s="4">
        <v>45558</v>
      </c>
      <c r="B1150" s="5">
        <v>100.9383</v>
      </c>
      <c r="D1150" s="4">
        <v>45558</v>
      </c>
      <c r="E1150" s="5">
        <v>7.0530999999999997</v>
      </c>
    </row>
    <row r="1151" spans="1:5" x14ac:dyDescent="0.3">
      <c r="A1151" s="4">
        <v>45559</v>
      </c>
      <c r="B1151" s="5">
        <v>100.3527</v>
      </c>
      <c r="D1151" s="4">
        <v>45559</v>
      </c>
      <c r="E1151" s="5">
        <v>7.0510000000000002</v>
      </c>
    </row>
    <row r="1152" spans="1:5" x14ac:dyDescent="0.3">
      <c r="A1152" s="4">
        <v>45560</v>
      </c>
      <c r="B1152" s="5">
        <v>100.9252</v>
      </c>
      <c r="D1152" s="4">
        <v>45560</v>
      </c>
      <c r="E1152" s="5">
        <v>7.0202</v>
      </c>
    </row>
    <row r="1153" spans="1:5" x14ac:dyDescent="0.3">
      <c r="A1153" s="4">
        <v>45561</v>
      </c>
      <c r="B1153" s="5">
        <v>100.55759999999999</v>
      </c>
      <c r="D1153" s="4">
        <v>45561</v>
      </c>
      <c r="E1153" s="5">
        <v>7.0354000000000001</v>
      </c>
    </row>
    <row r="1154" spans="1:5" x14ac:dyDescent="0.3">
      <c r="A1154" s="4">
        <v>45562</v>
      </c>
      <c r="B1154" s="5">
        <v>100.4199</v>
      </c>
      <c r="D1154" s="4">
        <v>45562</v>
      </c>
      <c r="E1154" s="5">
        <v>7.0101000000000004</v>
      </c>
    </row>
    <row r="1155" spans="1:5" x14ac:dyDescent="0.3">
      <c r="A1155" s="4">
        <v>45565</v>
      </c>
      <c r="B1155" s="5">
        <v>100.7604</v>
      </c>
      <c r="D1155" s="4">
        <v>45565</v>
      </c>
      <c r="E1155" s="5">
        <v>7.0073999999999996</v>
      </c>
    </row>
    <row r="1156" spans="1:5" x14ac:dyDescent="0.3">
      <c r="A1156" s="4">
        <v>45573</v>
      </c>
      <c r="B1156" s="5">
        <v>102.4619</v>
      </c>
      <c r="D1156" s="4">
        <v>45573</v>
      </c>
      <c r="E1156" s="5">
        <v>7.0709</v>
      </c>
    </row>
    <row r="1157" spans="1:5" x14ac:dyDescent="0.3">
      <c r="A1157" s="4">
        <v>45574</v>
      </c>
      <c r="B1157" s="5">
        <v>102.9008</v>
      </c>
      <c r="D1157" s="4">
        <v>45574</v>
      </c>
      <c r="E1157" s="5">
        <v>7.0568</v>
      </c>
    </row>
    <row r="1158" spans="1:5" x14ac:dyDescent="0.3">
      <c r="A1158" s="4">
        <v>45575</v>
      </c>
      <c r="B1158" s="5">
        <v>102.85290000000001</v>
      </c>
      <c r="D1158" s="4">
        <v>45575</v>
      </c>
      <c r="E1158" s="5">
        <v>7.0742000000000003</v>
      </c>
    </row>
    <row r="1159" spans="1:5" x14ac:dyDescent="0.3">
      <c r="A1159" s="4">
        <v>45576</v>
      </c>
      <c r="B1159" s="5">
        <v>102.9254</v>
      </c>
      <c r="D1159" s="4">
        <v>45576</v>
      </c>
      <c r="E1159" s="5">
        <v>7.0731000000000002</v>
      </c>
    </row>
    <row r="1160" spans="1:5" x14ac:dyDescent="0.3">
      <c r="A1160" s="4">
        <v>45579</v>
      </c>
      <c r="B1160" s="5">
        <v>103.1953</v>
      </c>
      <c r="D1160" s="4">
        <v>45579</v>
      </c>
      <c r="E1160" s="5">
        <v>7.0723000000000003</v>
      </c>
    </row>
    <row r="1161" spans="1:5" x14ac:dyDescent="0.3">
      <c r="A1161" s="4">
        <v>45580</v>
      </c>
      <c r="B1161" s="5">
        <v>103.21120000000001</v>
      </c>
      <c r="D1161" s="4">
        <v>45580</v>
      </c>
      <c r="E1161" s="5">
        <v>7.0830000000000002</v>
      </c>
    </row>
    <row r="1162" spans="1:5" x14ac:dyDescent="0.3">
      <c r="A1162" s="4">
        <v>45581</v>
      </c>
      <c r="B1162" s="5">
        <v>103.5218</v>
      </c>
      <c r="D1162" s="4">
        <v>45581</v>
      </c>
      <c r="E1162" s="5">
        <v>7.1191000000000004</v>
      </c>
    </row>
    <row r="1163" spans="1:5" x14ac:dyDescent="0.3">
      <c r="A1163" s="4">
        <v>45582</v>
      </c>
      <c r="B1163" s="5">
        <v>103.7752</v>
      </c>
      <c r="D1163" s="4">
        <v>45582</v>
      </c>
      <c r="E1163" s="5">
        <v>7.1219999999999999</v>
      </c>
    </row>
    <row r="1164" spans="1:5" x14ac:dyDescent="0.3">
      <c r="A1164" s="4">
        <v>45583</v>
      </c>
      <c r="B1164" s="5">
        <v>103.4615</v>
      </c>
      <c r="D1164" s="4">
        <v>45583</v>
      </c>
      <c r="E1164" s="5">
        <v>7.1273999999999997</v>
      </c>
    </row>
    <row r="1165" spans="1:5" x14ac:dyDescent="0.3">
      <c r="A1165" s="4">
        <v>45586</v>
      </c>
      <c r="B1165" s="5">
        <v>103.9866</v>
      </c>
      <c r="D1165" s="4">
        <v>45586</v>
      </c>
      <c r="E1165" s="5">
        <v>7.0982000000000003</v>
      </c>
    </row>
    <row r="1166" spans="1:5" x14ac:dyDescent="0.3">
      <c r="A1166" s="4">
        <v>45587</v>
      </c>
      <c r="B1166" s="5">
        <v>104.0766</v>
      </c>
      <c r="D1166" s="4">
        <v>45587</v>
      </c>
      <c r="E1166" s="5">
        <v>7.1223000000000001</v>
      </c>
    </row>
    <row r="1167" spans="1:5" x14ac:dyDescent="0.3">
      <c r="A1167" s="4">
        <v>45588</v>
      </c>
      <c r="B1167" s="5">
        <v>104.42400000000001</v>
      </c>
      <c r="D1167" s="4">
        <v>45588</v>
      </c>
      <c r="E1167" s="5">
        <v>7.1245000000000003</v>
      </c>
    </row>
    <row r="1168" spans="1:5" x14ac:dyDescent="0.3">
      <c r="A1168" s="4">
        <v>45589</v>
      </c>
      <c r="B1168" s="5">
        <v>104.02549999999999</v>
      </c>
      <c r="D1168" s="4">
        <v>45589</v>
      </c>
      <c r="E1168" s="5">
        <v>7.1285999999999996</v>
      </c>
    </row>
    <row r="1169" spans="1:5" x14ac:dyDescent="0.3">
      <c r="A1169" s="4">
        <v>45590</v>
      </c>
      <c r="B1169" s="5">
        <v>104.31529999999999</v>
      </c>
      <c r="D1169" s="4">
        <v>45590</v>
      </c>
      <c r="E1169" s="5">
        <v>7.109</v>
      </c>
    </row>
    <row r="1170" spans="1:5" x14ac:dyDescent="0.3">
      <c r="A1170" s="4">
        <v>45593</v>
      </c>
      <c r="B1170" s="5">
        <v>104.3122</v>
      </c>
      <c r="D1170" s="4">
        <v>45593</v>
      </c>
      <c r="E1170" s="5">
        <v>7.1307</v>
      </c>
    </row>
    <row r="1171" spans="1:5" x14ac:dyDescent="0.3">
      <c r="A1171" s="4">
        <v>45594</v>
      </c>
      <c r="B1171" s="5">
        <v>104.26479999999999</v>
      </c>
      <c r="D1171" s="4">
        <v>45594</v>
      </c>
      <c r="E1171" s="5">
        <v>7.1283000000000003</v>
      </c>
    </row>
    <row r="1172" spans="1:5" x14ac:dyDescent="0.3">
      <c r="A1172" s="4">
        <v>45595</v>
      </c>
      <c r="B1172" s="5">
        <v>104.1215</v>
      </c>
      <c r="D1172" s="4">
        <v>45595</v>
      </c>
      <c r="E1172" s="5">
        <v>7.1390000000000002</v>
      </c>
    </row>
    <row r="1173" spans="1:5" x14ac:dyDescent="0.3">
      <c r="A1173" s="4">
        <v>45596</v>
      </c>
      <c r="B1173" s="5">
        <v>103.8939</v>
      </c>
      <c r="D1173" s="4">
        <v>45596</v>
      </c>
      <c r="E1173" s="5">
        <v>7.125</v>
      </c>
    </row>
    <row r="1174" spans="1:5" x14ac:dyDescent="0.3">
      <c r="A1174" s="4">
        <v>45597</v>
      </c>
      <c r="B1174" s="5">
        <v>104.3228</v>
      </c>
      <c r="D1174" s="4">
        <v>45597</v>
      </c>
      <c r="E1174" s="5">
        <v>7.1135000000000002</v>
      </c>
    </row>
    <row r="1175" spans="1:5" x14ac:dyDescent="0.3">
      <c r="A1175" s="4">
        <v>45600</v>
      </c>
      <c r="B1175" s="5">
        <v>103.89709999999999</v>
      </c>
      <c r="D1175" s="4">
        <v>45600</v>
      </c>
      <c r="E1175" s="5">
        <v>7.1203000000000003</v>
      </c>
    </row>
    <row r="1176" spans="1:5" x14ac:dyDescent="0.3">
      <c r="A1176" s="4">
        <v>45601</v>
      </c>
      <c r="B1176" s="5">
        <v>103.4097</v>
      </c>
      <c r="D1176" s="4">
        <v>45601</v>
      </c>
      <c r="E1176" s="5">
        <v>7.1016000000000004</v>
      </c>
    </row>
    <row r="1177" spans="1:5" x14ac:dyDescent="0.3">
      <c r="A1177" s="4">
        <v>45602</v>
      </c>
      <c r="B1177" s="5">
        <v>105.15479999999999</v>
      </c>
      <c r="D1177" s="4">
        <v>45602</v>
      </c>
      <c r="E1177" s="5">
        <v>7.0993000000000004</v>
      </c>
    </row>
    <row r="1178" spans="1:5" x14ac:dyDescent="0.3">
      <c r="A1178" s="4">
        <v>45603</v>
      </c>
      <c r="B1178" s="5">
        <v>104.3389</v>
      </c>
      <c r="D1178" s="4">
        <v>45603</v>
      </c>
      <c r="E1178" s="5">
        <v>7.1658999999999997</v>
      </c>
    </row>
    <row r="1179" spans="1:5" x14ac:dyDescent="0.3">
      <c r="A1179" s="4">
        <v>45604</v>
      </c>
      <c r="B1179" s="5">
        <v>104.9521</v>
      </c>
      <c r="D1179" s="4">
        <v>45604</v>
      </c>
      <c r="E1179" s="5">
        <v>7.1433</v>
      </c>
    </row>
    <row r="1180" spans="1:5" x14ac:dyDescent="0.3">
      <c r="A1180" s="4">
        <v>45607</v>
      </c>
      <c r="B1180" s="5">
        <v>105.5069</v>
      </c>
      <c r="D1180" s="4">
        <v>45607</v>
      </c>
      <c r="E1180" s="5">
        <v>7.1786000000000003</v>
      </c>
    </row>
    <row r="1181" spans="1:5" x14ac:dyDescent="0.3">
      <c r="A1181" s="4">
        <v>45608</v>
      </c>
      <c r="B1181" s="5">
        <v>105.93429999999999</v>
      </c>
      <c r="D1181" s="4">
        <v>45608</v>
      </c>
      <c r="E1181" s="5">
        <v>7.1927000000000003</v>
      </c>
    </row>
    <row r="1182" spans="1:5" x14ac:dyDescent="0.3">
      <c r="A1182" s="4">
        <v>45609</v>
      </c>
      <c r="B1182" s="5">
        <v>106.48390000000001</v>
      </c>
      <c r="D1182" s="4">
        <v>45609</v>
      </c>
      <c r="E1182" s="5">
        <v>7.1990999999999996</v>
      </c>
    </row>
    <row r="1183" spans="1:5" x14ac:dyDescent="0.3">
      <c r="A1183" s="4">
        <v>45610</v>
      </c>
      <c r="B1183" s="5">
        <v>106.8682</v>
      </c>
      <c r="D1183" s="4">
        <v>45610</v>
      </c>
      <c r="E1183" s="5">
        <v>7.1966000000000001</v>
      </c>
    </row>
    <row r="1184" spans="1:5" x14ac:dyDescent="0.3">
      <c r="A1184" s="4">
        <v>45611</v>
      </c>
      <c r="B1184" s="5">
        <v>106.6842</v>
      </c>
      <c r="D1184" s="4">
        <v>45611</v>
      </c>
      <c r="E1184" s="5">
        <v>7.1992000000000003</v>
      </c>
    </row>
    <row r="1185" spans="1:5" x14ac:dyDescent="0.3">
      <c r="A1185" s="4">
        <v>45614</v>
      </c>
      <c r="B1185" s="5">
        <v>106.2149</v>
      </c>
      <c r="D1185" s="4">
        <v>45614</v>
      </c>
      <c r="E1185" s="5">
        <v>7.1906999999999996</v>
      </c>
    </row>
    <row r="1186" spans="1:5" x14ac:dyDescent="0.3">
      <c r="A1186" s="4">
        <v>45615</v>
      </c>
      <c r="B1186" s="5">
        <v>106.1765</v>
      </c>
      <c r="D1186" s="4">
        <v>45615</v>
      </c>
      <c r="E1186" s="5">
        <v>7.1910999999999996</v>
      </c>
    </row>
    <row r="1187" spans="1:5" x14ac:dyDescent="0.3">
      <c r="A1187" s="4">
        <v>45616</v>
      </c>
      <c r="B1187" s="5">
        <v>106.64749999999999</v>
      </c>
      <c r="D1187" s="4">
        <v>45616</v>
      </c>
      <c r="E1187" s="5">
        <v>7.1935000000000002</v>
      </c>
    </row>
    <row r="1188" spans="1:5" x14ac:dyDescent="0.3">
      <c r="A1188" s="4">
        <v>45617</v>
      </c>
      <c r="B1188" s="5">
        <v>107.06310000000001</v>
      </c>
      <c r="D1188" s="4">
        <v>45617</v>
      </c>
      <c r="E1188" s="5">
        <v>7.1933999999999996</v>
      </c>
    </row>
    <row r="1189" spans="1:5" x14ac:dyDescent="0.3">
      <c r="A1189" s="4">
        <v>45618</v>
      </c>
      <c r="B1189" s="5">
        <v>107.4911</v>
      </c>
      <c r="D1189" s="4">
        <v>45618</v>
      </c>
      <c r="E1189" s="5">
        <v>7.1942000000000004</v>
      </c>
    </row>
    <row r="1190" spans="1:5" x14ac:dyDescent="0.3">
      <c r="A1190" s="4">
        <v>45621</v>
      </c>
      <c r="B1190" s="5">
        <v>106.8942</v>
      </c>
      <c r="D1190" s="4">
        <v>45621</v>
      </c>
      <c r="E1190" s="5">
        <v>7.1917999999999997</v>
      </c>
    </row>
    <row r="1191" spans="1:5" x14ac:dyDescent="0.3">
      <c r="A1191" s="4">
        <v>45622</v>
      </c>
      <c r="B1191" s="5">
        <v>106.8843</v>
      </c>
      <c r="D1191" s="4">
        <v>45622</v>
      </c>
      <c r="E1191" s="5">
        <v>7.1909999999999998</v>
      </c>
    </row>
    <row r="1192" spans="1:5" x14ac:dyDescent="0.3">
      <c r="A1192" s="4">
        <v>45623</v>
      </c>
      <c r="B1192" s="5">
        <v>106.056</v>
      </c>
      <c r="D1192" s="4">
        <v>45623</v>
      </c>
      <c r="E1192" s="5">
        <v>7.1981999999999999</v>
      </c>
    </row>
    <row r="1193" spans="1:5" x14ac:dyDescent="0.3">
      <c r="A1193" s="4">
        <v>45624</v>
      </c>
      <c r="B1193" s="5">
        <v>106.16930000000001</v>
      </c>
      <c r="D1193" s="4">
        <v>45624</v>
      </c>
      <c r="E1193" s="5">
        <v>7.1894</v>
      </c>
    </row>
    <row r="1194" spans="1:5" x14ac:dyDescent="0.3">
      <c r="A1194" s="4">
        <v>45625</v>
      </c>
      <c r="B1194" s="5">
        <v>105.7761</v>
      </c>
      <c r="D1194" s="4">
        <v>45625</v>
      </c>
      <c r="E1194" s="5">
        <v>7.1877000000000004</v>
      </c>
    </row>
    <row r="1195" spans="1:5" x14ac:dyDescent="0.3">
      <c r="A1195" s="4">
        <v>45628</v>
      </c>
      <c r="B1195" s="5">
        <v>106.40260000000001</v>
      </c>
      <c r="D1195" s="4">
        <v>45628</v>
      </c>
      <c r="E1195" s="5">
        <v>7.1864999999999997</v>
      </c>
    </row>
    <row r="1196" spans="1:5" x14ac:dyDescent="0.3">
      <c r="A1196" s="4">
        <v>45629</v>
      </c>
      <c r="B1196" s="5">
        <v>106.33969999999999</v>
      </c>
      <c r="D1196" s="4">
        <v>45629</v>
      </c>
      <c r="E1196" s="5">
        <v>7.1996000000000002</v>
      </c>
    </row>
    <row r="1197" spans="1:5" x14ac:dyDescent="0.3">
      <c r="A1197" s="4">
        <v>45630</v>
      </c>
      <c r="B1197" s="5">
        <v>106.3665</v>
      </c>
      <c r="D1197" s="4">
        <v>45630</v>
      </c>
      <c r="E1197" s="5">
        <v>7.1933999999999996</v>
      </c>
    </row>
    <row r="1198" spans="1:5" x14ac:dyDescent="0.3">
      <c r="A1198" s="4">
        <v>45631</v>
      </c>
      <c r="B1198" s="5">
        <v>105.7222</v>
      </c>
      <c r="D1198" s="4">
        <v>45631</v>
      </c>
      <c r="E1198" s="5">
        <v>7.1879</v>
      </c>
    </row>
    <row r="1199" spans="1:5" x14ac:dyDescent="0.3">
      <c r="A1199" s="4">
        <v>45632</v>
      </c>
      <c r="B1199" s="5">
        <v>105.97020000000001</v>
      </c>
      <c r="D1199" s="4">
        <v>45632</v>
      </c>
      <c r="E1199" s="5">
        <v>7.1848000000000001</v>
      </c>
    </row>
    <row r="1200" spans="1:5" x14ac:dyDescent="0.3">
      <c r="A1200" s="4">
        <v>45635</v>
      </c>
      <c r="B1200" s="5">
        <v>106.1571</v>
      </c>
      <c r="D1200" s="4">
        <v>45635</v>
      </c>
      <c r="E1200" s="5">
        <v>7.1870000000000003</v>
      </c>
    </row>
    <row r="1201" spans="1:5" x14ac:dyDescent="0.3">
      <c r="A1201" s="4">
        <v>45636</v>
      </c>
      <c r="B1201" s="5">
        <v>106.411</v>
      </c>
      <c r="D1201" s="4">
        <v>45636</v>
      </c>
      <c r="E1201" s="5">
        <v>7.1896000000000004</v>
      </c>
    </row>
    <row r="1202" spans="1:5" x14ac:dyDescent="0.3">
      <c r="A1202" s="4">
        <v>45637</v>
      </c>
      <c r="B1202" s="5">
        <v>106.6559</v>
      </c>
      <c r="D1202" s="4">
        <v>45637</v>
      </c>
      <c r="E1202" s="5">
        <v>7.1843000000000004</v>
      </c>
    </row>
    <row r="1203" spans="1:5" x14ac:dyDescent="0.3">
      <c r="A1203" s="4">
        <v>45638</v>
      </c>
      <c r="B1203" s="5">
        <v>107.017</v>
      </c>
      <c r="D1203" s="4">
        <v>45638</v>
      </c>
      <c r="E1203" s="5">
        <v>7.1853999999999996</v>
      </c>
    </row>
    <row r="1204" spans="1:5" x14ac:dyDescent="0.3">
      <c r="A1204" s="4">
        <v>45639</v>
      </c>
      <c r="B1204" s="5">
        <v>106.94280000000001</v>
      </c>
      <c r="D1204" s="4">
        <v>45639</v>
      </c>
      <c r="E1204" s="5">
        <v>7.1875999999999998</v>
      </c>
    </row>
    <row r="1205" spans="1:5" x14ac:dyDescent="0.3">
      <c r="A1205" s="4">
        <v>45642</v>
      </c>
      <c r="B1205" s="5">
        <v>106.8616</v>
      </c>
      <c r="D1205" s="4">
        <v>45642</v>
      </c>
      <c r="E1205" s="5">
        <v>7.1882000000000001</v>
      </c>
    </row>
    <row r="1206" spans="1:5" x14ac:dyDescent="0.3">
      <c r="A1206" s="4">
        <v>45643</v>
      </c>
      <c r="B1206" s="5">
        <v>106.9473</v>
      </c>
      <c r="D1206" s="4">
        <v>45643</v>
      </c>
      <c r="E1206" s="5">
        <v>7.1890999999999998</v>
      </c>
    </row>
    <row r="1207" spans="1:5" x14ac:dyDescent="0.3">
      <c r="A1207" s="4">
        <v>45644</v>
      </c>
      <c r="B1207" s="5">
        <v>108.2621</v>
      </c>
      <c r="D1207" s="4">
        <v>45644</v>
      </c>
      <c r="E1207" s="5">
        <v>7.1879999999999997</v>
      </c>
    </row>
    <row r="1208" spans="1:5" x14ac:dyDescent="0.3">
      <c r="A1208" s="4">
        <v>45645</v>
      </c>
      <c r="B1208" s="5">
        <v>108.4157</v>
      </c>
      <c r="D1208" s="4">
        <v>45645</v>
      </c>
      <c r="E1208" s="5">
        <v>7.1910999999999996</v>
      </c>
    </row>
    <row r="1209" spans="1:5" x14ac:dyDescent="0.3">
      <c r="A1209" s="4">
        <v>45646</v>
      </c>
      <c r="B1209" s="5">
        <v>107.8408</v>
      </c>
      <c r="D1209" s="4">
        <v>45646</v>
      </c>
      <c r="E1209" s="5">
        <v>7.1901000000000002</v>
      </c>
    </row>
    <row r="1210" spans="1:5" x14ac:dyDescent="0.3">
      <c r="A1210" s="4">
        <v>45649</v>
      </c>
      <c r="B1210" s="5">
        <v>108.0825</v>
      </c>
      <c r="D1210" s="4">
        <v>45649</v>
      </c>
      <c r="E1210" s="5">
        <v>7.1870000000000003</v>
      </c>
    </row>
    <row r="1211" spans="1:5" x14ac:dyDescent="0.3">
      <c r="A1211" s="4">
        <v>45650</v>
      </c>
      <c r="B1211" s="5">
        <v>108.1118</v>
      </c>
      <c r="D1211" s="4">
        <v>45650</v>
      </c>
      <c r="E1211" s="5">
        <v>7.1875999999999998</v>
      </c>
    </row>
    <row r="1212" spans="1:5" x14ac:dyDescent="0.3">
      <c r="A1212" s="4">
        <v>45651</v>
      </c>
      <c r="B1212" s="5">
        <v>108.0975</v>
      </c>
      <c r="D1212" s="4">
        <v>45651</v>
      </c>
      <c r="E1212" s="5">
        <v>7.1867999999999999</v>
      </c>
    </row>
    <row r="1213" spans="1:5" x14ac:dyDescent="0.3">
      <c r="A1213" s="4">
        <v>45652</v>
      </c>
      <c r="B1213" s="5">
        <v>108.0949</v>
      </c>
      <c r="D1213" s="4">
        <v>45652</v>
      </c>
      <c r="E1213" s="5">
        <v>7.1897000000000002</v>
      </c>
    </row>
    <row r="1214" spans="1:5" x14ac:dyDescent="0.3">
      <c r="A1214" s="4">
        <v>45653</v>
      </c>
      <c r="B1214" s="5">
        <v>108.0151</v>
      </c>
      <c r="D1214" s="4">
        <v>45653</v>
      </c>
      <c r="E1214" s="5">
        <v>7.1893000000000002</v>
      </c>
    </row>
    <row r="1215" spans="1:5" x14ac:dyDescent="0.3">
      <c r="A1215" s="4">
        <v>45656</v>
      </c>
      <c r="B1215" s="5">
        <v>108.0351</v>
      </c>
      <c r="D1215" s="4">
        <v>45656</v>
      </c>
      <c r="E1215" s="5">
        <v>7.1889000000000003</v>
      </c>
    </row>
    <row r="1216" spans="1:5" x14ac:dyDescent="0.3">
      <c r="A1216" s="4">
        <v>45657</v>
      </c>
      <c r="B1216" s="5">
        <v>108.4816</v>
      </c>
      <c r="D1216" s="4">
        <v>45657</v>
      </c>
      <c r="E1216" s="5">
        <v>7.1883999999999997</v>
      </c>
    </row>
    <row r="1217" spans="1:5" x14ac:dyDescent="0.3">
      <c r="A1217" s="4">
        <v>45659</v>
      </c>
      <c r="B1217" s="5">
        <v>109.2411</v>
      </c>
      <c r="D1217" s="4">
        <v>45659</v>
      </c>
      <c r="E1217" s="5">
        <v>7.1879</v>
      </c>
    </row>
    <row r="1218" spans="1:5" x14ac:dyDescent="0.3">
      <c r="A1218" s="4">
        <v>45660</v>
      </c>
      <c r="B1218" s="5">
        <v>108.9212</v>
      </c>
      <c r="D1218" s="4">
        <v>45660</v>
      </c>
      <c r="E1218" s="5">
        <v>7.1878000000000002</v>
      </c>
    </row>
    <row r="1219" spans="1:5" x14ac:dyDescent="0.3">
      <c r="A1219" s="4">
        <v>45663</v>
      </c>
      <c r="B1219" s="5">
        <v>108.2413</v>
      </c>
      <c r="D1219" s="4">
        <v>45663</v>
      </c>
      <c r="E1219" s="5">
        <v>7.1875999999999998</v>
      </c>
    </row>
    <row r="1220" spans="1:5" x14ac:dyDescent="0.3">
      <c r="A1220" s="4">
        <v>45664</v>
      </c>
      <c r="B1220" s="5">
        <v>108.7038</v>
      </c>
      <c r="D1220" s="4">
        <v>45664</v>
      </c>
      <c r="E1220" s="5">
        <v>7.1879</v>
      </c>
    </row>
    <row r="1221" spans="1:5" x14ac:dyDescent="0.3">
      <c r="A1221" s="4">
        <v>45665</v>
      </c>
      <c r="B1221" s="5">
        <v>108.99590000000001</v>
      </c>
      <c r="D1221" s="4">
        <v>45665</v>
      </c>
      <c r="E1221" s="5">
        <v>7.1886999999999999</v>
      </c>
    </row>
    <row r="1222" spans="1:5" x14ac:dyDescent="0.3">
      <c r="A1222" s="4">
        <v>45666</v>
      </c>
      <c r="B1222" s="5">
        <v>109.17659999999999</v>
      </c>
      <c r="D1222" s="4">
        <v>45666</v>
      </c>
      <c r="E1222" s="5">
        <v>7.1886000000000001</v>
      </c>
    </row>
    <row r="1223" spans="1:5" x14ac:dyDescent="0.3">
      <c r="A1223" s="4">
        <v>45667</v>
      </c>
      <c r="B1223" s="5">
        <v>109.6567</v>
      </c>
      <c r="D1223" s="4">
        <v>45667</v>
      </c>
      <c r="E1223" s="5">
        <v>7.1890999999999998</v>
      </c>
    </row>
    <row r="1224" spans="1:5" x14ac:dyDescent="0.3">
      <c r="A1224" s="4">
        <v>45670</v>
      </c>
      <c r="B1224" s="5">
        <v>109.6208</v>
      </c>
      <c r="D1224" s="4">
        <v>45670</v>
      </c>
      <c r="E1224" s="5">
        <v>7.1885000000000003</v>
      </c>
    </row>
    <row r="1225" spans="1:5" x14ac:dyDescent="0.3">
      <c r="A1225" s="4">
        <v>45671</v>
      </c>
      <c r="B1225" s="5">
        <v>109.1825</v>
      </c>
      <c r="D1225" s="4">
        <v>45671</v>
      </c>
      <c r="E1225" s="5">
        <v>7.1878000000000002</v>
      </c>
    </row>
    <row r="1226" spans="1:5" x14ac:dyDescent="0.3">
      <c r="A1226" s="4">
        <v>45672</v>
      </c>
      <c r="B1226" s="5">
        <v>109.1073</v>
      </c>
      <c r="D1226" s="4">
        <v>45672</v>
      </c>
      <c r="E1226" s="5">
        <v>7.1882999999999999</v>
      </c>
    </row>
    <row r="1227" spans="1:5" x14ac:dyDescent="0.3">
      <c r="A1227" s="4">
        <v>45673</v>
      </c>
      <c r="B1227" s="5">
        <v>108.9414</v>
      </c>
      <c r="D1227" s="4">
        <v>45673</v>
      </c>
      <c r="E1227" s="5">
        <v>7.1881000000000004</v>
      </c>
    </row>
    <row r="1228" spans="1:5" x14ac:dyDescent="0.3">
      <c r="A1228" s="4">
        <v>45674</v>
      </c>
      <c r="B1228" s="5">
        <v>109.3792</v>
      </c>
      <c r="D1228" s="4">
        <v>45674</v>
      </c>
      <c r="E1228" s="5">
        <v>7.1889000000000003</v>
      </c>
    </row>
    <row r="1229" spans="1:5" x14ac:dyDescent="0.3">
      <c r="A1229" s="4">
        <v>45677</v>
      </c>
      <c r="B1229" s="5">
        <v>108.0744</v>
      </c>
      <c r="D1229" s="4">
        <v>45677</v>
      </c>
      <c r="E1229" s="5">
        <v>7.1886000000000001</v>
      </c>
    </row>
    <row r="1230" spans="1:5" x14ac:dyDescent="0.3">
      <c r="A1230" s="4">
        <v>45678</v>
      </c>
      <c r="B1230" s="5">
        <v>107.9696</v>
      </c>
      <c r="D1230" s="4">
        <v>45678</v>
      </c>
      <c r="E1230" s="5">
        <v>7.1703000000000001</v>
      </c>
    </row>
    <row r="1231" spans="1:5" x14ac:dyDescent="0.3">
      <c r="A1231" s="4">
        <v>45679</v>
      </c>
      <c r="B1231" s="5">
        <v>108.2525</v>
      </c>
      <c r="D1231" s="4">
        <v>45679</v>
      </c>
      <c r="E1231" s="5">
        <v>7.1696</v>
      </c>
    </row>
    <row r="1232" spans="1:5" x14ac:dyDescent="0.3">
      <c r="A1232" s="4">
        <v>45680</v>
      </c>
      <c r="B1232" s="5">
        <v>108.1472</v>
      </c>
      <c r="D1232" s="4">
        <v>45680</v>
      </c>
      <c r="E1232" s="5">
        <v>7.1707999999999998</v>
      </c>
    </row>
    <row r="1233" spans="1:5" x14ac:dyDescent="0.3">
      <c r="A1233" s="4">
        <v>45681</v>
      </c>
      <c r="B1233" s="5">
        <v>107.4804</v>
      </c>
      <c r="D1233" s="4">
        <v>45681</v>
      </c>
      <c r="E1233" s="5">
        <v>7.1704999999999997</v>
      </c>
    </row>
    <row r="1234" spans="1:5" x14ac:dyDescent="0.3">
      <c r="A1234" s="4">
        <v>45684</v>
      </c>
      <c r="B1234" s="5">
        <v>107.3327</v>
      </c>
      <c r="D1234" s="4">
        <v>45684</v>
      </c>
      <c r="E1234" s="5">
        <v>7.1698000000000004</v>
      </c>
    </row>
    <row r="1235" spans="1:5" x14ac:dyDescent="0.3">
      <c r="A1235" s="4">
        <v>45693</v>
      </c>
      <c r="B1235" s="5">
        <v>107.61879999999999</v>
      </c>
      <c r="D1235" s="4">
        <v>45693</v>
      </c>
      <c r="E1235" s="5">
        <v>7.1692999999999998</v>
      </c>
    </row>
    <row r="1236" spans="1:5" x14ac:dyDescent="0.3">
      <c r="A1236" s="4">
        <v>45694</v>
      </c>
      <c r="B1236" s="5">
        <v>107.7047</v>
      </c>
      <c r="D1236" s="4">
        <v>45694</v>
      </c>
      <c r="E1236" s="5">
        <v>7.1691000000000003</v>
      </c>
    </row>
    <row r="1237" spans="1:5" x14ac:dyDescent="0.3">
      <c r="A1237" s="4">
        <v>45695</v>
      </c>
      <c r="B1237" s="5">
        <v>108.1001</v>
      </c>
      <c r="D1237" s="4">
        <v>45695</v>
      </c>
      <c r="E1237" s="5">
        <v>7.1699000000000002</v>
      </c>
    </row>
    <row r="1238" spans="1:5" x14ac:dyDescent="0.3">
      <c r="A1238" s="4">
        <v>45698</v>
      </c>
      <c r="B1238" s="5">
        <v>108.33199999999999</v>
      </c>
      <c r="D1238" s="4">
        <v>45698</v>
      </c>
      <c r="E1238" s="5">
        <v>7.1707000000000001</v>
      </c>
    </row>
    <row r="1239" spans="1:5" x14ac:dyDescent="0.3">
      <c r="A1239" s="4">
        <v>45699</v>
      </c>
      <c r="B1239" s="5">
        <v>107.9248</v>
      </c>
      <c r="D1239" s="4">
        <v>45699</v>
      </c>
      <c r="E1239" s="5">
        <v>7.1715999999999998</v>
      </c>
    </row>
    <row r="1240" spans="1:5" x14ac:dyDescent="0.3">
      <c r="A1240" s="4">
        <v>45700</v>
      </c>
      <c r="B1240" s="5">
        <v>108.01</v>
      </c>
      <c r="D1240" s="4">
        <v>45700</v>
      </c>
      <c r="E1240" s="5">
        <v>7.1710000000000003</v>
      </c>
    </row>
    <row r="1241" spans="1:5" x14ac:dyDescent="0.3">
      <c r="A1241" s="4">
        <v>45701</v>
      </c>
      <c r="B1241" s="5">
        <v>107.05589999999999</v>
      </c>
      <c r="D1241" s="4">
        <v>45701</v>
      </c>
      <c r="E1241" s="5">
        <v>7.1718999999999999</v>
      </c>
    </row>
    <row r="1242" spans="1:5" x14ac:dyDescent="0.3">
      <c r="A1242" s="4">
        <v>45702</v>
      </c>
      <c r="B1242" s="5">
        <v>106.80370000000001</v>
      </c>
      <c r="D1242" s="4">
        <v>45702</v>
      </c>
      <c r="E1242" s="5">
        <v>7.1706000000000003</v>
      </c>
    </row>
    <row r="1243" spans="1:5" x14ac:dyDescent="0.3">
      <c r="A1243" s="4">
        <v>45705</v>
      </c>
      <c r="B1243" s="5">
        <v>106.7296</v>
      </c>
      <c r="D1243" s="4">
        <v>45705</v>
      </c>
      <c r="E1243" s="5">
        <v>7.1702000000000004</v>
      </c>
    </row>
    <row r="1244" spans="1:5" x14ac:dyDescent="0.3">
      <c r="A1244" s="4">
        <v>45706</v>
      </c>
      <c r="B1244" s="5">
        <v>107.0553</v>
      </c>
      <c r="D1244" s="4">
        <v>45706</v>
      </c>
      <c r="E1244" s="5">
        <v>7.1696999999999997</v>
      </c>
    </row>
    <row r="1245" spans="1:5" x14ac:dyDescent="0.3">
      <c r="A1245" s="4">
        <v>45707</v>
      </c>
      <c r="B1245" s="5">
        <v>107.1981</v>
      </c>
      <c r="D1245" s="4">
        <v>45707</v>
      </c>
      <c r="E1245" s="5">
        <v>7.1704999999999997</v>
      </c>
    </row>
    <row r="1246" spans="1:5" x14ac:dyDescent="0.3">
      <c r="A1246" s="4">
        <v>45708</v>
      </c>
      <c r="B1246" s="5">
        <v>106.35380000000001</v>
      </c>
      <c r="D1246" s="4">
        <v>45708</v>
      </c>
      <c r="E1246" s="5">
        <v>7.1711999999999998</v>
      </c>
    </row>
    <row r="1247" spans="1:5" x14ac:dyDescent="0.3">
      <c r="A1247" s="4">
        <v>45709</v>
      </c>
      <c r="B1247" s="5">
        <v>106.65009999999999</v>
      </c>
      <c r="D1247" s="4">
        <v>45709</v>
      </c>
      <c r="E1247" s="5">
        <v>7.1696</v>
      </c>
    </row>
    <row r="1248" spans="1:5" x14ac:dyDescent="0.3">
      <c r="A1248" s="4">
        <v>45712</v>
      </c>
      <c r="B1248" s="5">
        <v>106.67010000000001</v>
      </c>
      <c r="D1248" s="4">
        <v>45712</v>
      </c>
      <c r="E1248" s="5">
        <v>7.1717000000000004</v>
      </c>
    </row>
    <row r="1249" spans="1:5" x14ac:dyDescent="0.3">
      <c r="A1249" s="4">
        <v>45713</v>
      </c>
      <c r="B1249" s="5">
        <v>106.2821</v>
      </c>
      <c r="D1249" s="4">
        <v>45713</v>
      </c>
      <c r="E1249" s="5">
        <v>7.1726000000000001</v>
      </c>
    </row>
    <row r="1250" spans="1:5" x14ac:dyDescent="0.3">
      <c r="A1250" s="4">
        <v>45714</v>
      </c>
      <c r="B1250" s="5">
        <v>106.4987</v>
      </c>
      <c r="D1250" s="4">
        <v>45714</v>
      </c>
      <c r="E1250" s="5">
        <v>7.1731999999999996</v>
      </c>
    </row>
    <row r="1251" spans="1:5" x14ac:dyDescent="0.3">
      <c r="A1251" s="4">
        <v>45715</v>
      </c>
      <c r="B1251" s="5">
        <v>107.28660000000001</v>
      </c>
      <c r="D1251" s="4">
        <v>45715</v>
      </c>
      <c r="E1251" s="5">
        <v>7.1740000000000004</v>
      </c>
    </row>
    <row r="1252" spans="1:5" x14ac:dyDescent="0.3">
      <c r="A1252" s="4">
        <v>45716</v>
      </c>
      <c r="B1252" s="5">
        <v>107.56440000000001</v>
      </c>
      <c r="D1252" s="4">
        <v>45716</v>
      </c>
      <c r="E1252" s="5">
        <v>7.1738</v>
      </c>
    </row>
    <row r="1253" spans="1:5" x14ac:dyDescent="0.3">
      <c r="A1253" s="4">
        <v>45719</v>
      </c>
      <c r="B1253" s="5">
        <v>106.53449999999999</v>
      </c>
      <c r="D1253" s="4">
        <v>45719</v>
      </c>
      <c r="E1253" s="5">
        <v>7.1745000000000001</v>
      </c>
    </row>
    <row r="1254" spans="1:5" x14ac:dyDescent="0.3">
      <c r="A1254" s="4">
        <v>45720</v>
      </c>
      <c r="B1254" s="5">
        <v>105.5372</v>
      </c>
      <c r="D1254" s="4">
        <v>45720</v>
      </c>
      <c r="E1254" s="5">
        <v>7.1738999999999997</v>
      </c>
    </row>
    <row r="1255" spans="1:5" x14ac:dyDescent="0.3">
      <c r="A1255" s="4">
        <v>45721</v>
      </c>
      <c r="B1255" s="5">
        <v>104.3218</v>
      </c>
      <c r="D1255" s="4">
        <v>45721</v>
      </c>
      <c r="E1255" s="5">
        <v>7.1714000000000002</v>
      </c>
    </row>
    <row r="1256" spans="1:5" x14ac:dyDescent="0.3">
      <c r="A1256" s="4">
        <v>45722</v>
      </c>
      <c r="B1256" s="5">
        <v>104.2055</v>
      </c>
      <c r="D1256" s="4">
        <v>45722</v>
      </c>
      <c r="E1256" s="5">
        <v>7.1692</v>
      </c>
    </row>
    <row r="1257" spans="1:5" x14ac:dyDescent="0.3">
      <c r="A1257" s="4">
        <v>45723</v>
      </c>
      <c r="B1257" s="5">
        <v>103.89449999999999</v>
      </c>
      <c r="D1257" s="4">
        <v>45723</v>
      </c>
      <c r="E1257" s="5">
        <v>7.1704999999999997</v>
      </c>
    </row>
    <row r="1258" spans="1:5" x14ac:dyDescent="0.3">
      <c r="A1258" s="4">
        <v>45726</v>
      </c>
      <c r="B1258" s="5">
        <v>103.925</v>
      </c>
      <c r="D1258" s="4">
        <v>45726</v>
      </c>
      <c r="E1258" s="5">
        <v>7.1733000000000002</v>
      </c>
    </row>
    <row r="1259" spans="1:5" x14ac:dyDescent="0.3">
      <c r="A1259" s="4">
        <v>45727</v>
      </c>
      <c r="B1259" s="5">
        <v>103.38549999999999</v>
      </c>
      <c r="D1259" s="4">
        <v>45727</v>
      </c>
      <c r="E1259" s="5">
        <v>7.1741000000000001</v>
      </c>
    </row>
    <row r="1260" spans="1:5" x14ac:dyDescent="0.3">
      <c r="A1260" s="4">
        <v>45728</v>
      </c>
      <c r="B1260" s="5">
        <v>103.5872</v>
      </c>
      <c r="D1260" s="4">
        <v>45728</v>
      </c>
      <c r="E1260" s="5">
        <v>7.1696</v>
      </c>
    </row>
    <row r="1261" spans="1:5" x14ac:dyDescent="0.3">
      <c r="A1261" s="4">
        <v>45729</v>
      </c>
      <c r="B1261" s="5">
        <v>103.83629999999999</v>
      </c>
      <c r="D1261" s="4">
        <v>45729</v>
      </c>
      <c r="E1261" s="5">
        <v>7.1727999999999996</v>
      </c>
    </row>
    <row r="1262" spans="1:5" x14ac:dyDescent="0.3">
      <c r="A1262" s="4">
        <v>45730</v>
      </c>
      <c r="B1262" s="5">
        <v>103.7363</v>
      </c>
      <c r="D1262" s="4">
        <v>45730</v>
      </c>
      <c r="E1262" s="5">
        <v>7.1738</v>
      </c>
    </row>
    <row r="1263" spans="1:5" x14ac:dyDescent="0.3">
      <c r="A1263" s="4">
        <v>45733</v>
      </c>
      <c r="B1263" s="5">
        <v>103.3986</v>
      </c>
      <c r="D1263" s="4">
        <v>45733</v>
      </c>
      <c r="E1263" s="5">
        <v>7.1688000000000001</v>
      </c>
    </row>
    <row r="1264" spans="1:5" x14ac:dyDescent="0.3">
      <c r="A1264" s="4">
        <v>45734</v>
      </c>
      <c r="B1264" s="5">
        <v>103.25369999999999</v>
      </c>
      <c r="D1264" s="4">
        <v>45734</v>
      </c>
      <c r="E1264" s="5">
        <v>7.1733000000000002</v>
      </c>
    </row>
    <row r="1265" spans="1:5" x14ac:dyDescent="0.3">
      <c r="A1265" s="4">
        <v>45735</v>
      </c>
      <c r="B1265" s="5">
        <v>103.4629</v>
      </c>
      <c r="D1265" s="4">
        <v>45735</v>
      </c>
      <c r="E1265" s="5">
        <v>7.1696999999999997</v>
      </c>
    </row>
    <row r="1266" spans="1:5" x14ac:dyDescent="0.3">
      <c r="A1266" s="4">
        <v>45736</v>
      </c>
      <c r="B1266" s="5">
        <v>103.81699999999999</v>
      </c>
      <c r="D1266" s="4">
        <v>45736</v>
      </c>
      <c r="E1266" s="5">
        <v>7.1753999999999998</v>
      </c>
    </row>
    <row r="1267" spans="1:5" x14ac:dyDescent="0.3">
      <c r="A1267" s="4">
        <v>45737</v>
      </c>
      <c r="B1267" s="5">
        <v>104.154</v>
      </c>
      <c r="D1267" s="4">
        <v>45737</v>
      </c>
      <c r="E1267" s="5">
        <v>7.1760000000000002</v>
      </c>
    </row>
    <row r="1268" spans="1:5" x14ac:dyDescent="0.3">
      <c r="A1268" s="4">
        <v>45740</v>
      </c>
      <c r="B1268" s="5">
        <v>104.3068</v>
      </c>
      <c r="D1268" s="4">
        <v>45740</v>
      </c>
      <c r="E1268" s="5">
        <v>7.1779999999999999</v>
      </c>
    </row>
    <row r="1269" spans="1:5" x14ac:dyDescent="0.3">
      <c r="A1269" s="4">
        <v>45741</v>
      </c>
      <c r="B1269" s="5">
        <v>104.2099</v>
      </c>
      <c r="D1269" s="4">
        <v>45741</v>
      </c>
      <c r="E1269" s="5">
        <v>7.1787999999999998</v>
      </c>
    </row>
    <row r="1270" spans="1:5" x14ac:dyDescent="0.3">
      <c r="A1270" s="4">
        <v>45742</v>
      </c>
      <c r="B1270" s="5">
        <v>104.5586</v>
      </c>
      <c r="D1270" s="4">
        <v>45742</v>
      </c>
      <c r="E1270" s="5">
        <v>7.1753999999999998</v>
      </c>
    </row>
    <row r="1271" spans="1:5" x14ac:dyDescent="0.3">
      <c r="A1271" s="4">
        <v>45743</v>
      </c>
      <c r="B1271" s="5">
        <v>104.2597</v>
      </c>
      <c r="D1271" s="4">
        <v>45743</v>
      </c>
      <c r="E1271" s="5">
        <v>7.1763000000000003</v>
      </c>
    </row>
    <row r="1272" spans="1:5" x14ac:dyDescent="0.3">
      <c r="A1272" s="4">
        <v>45744</v>
      </c>
      <c r="B1272" s="5">
        <v>104.03360000000001</v>
      </c>
      <c r="D1272" s="4">
        <v>45744</v>
      </c>
      <c r="E1272" s="5">
        <v>7.1752000000000002</v>
      </c>
    </row>
    <row r="1273" spans="1:5" x14ac:dyDescent="0.3">
      <c r="A1273" s="4">
        <v>45747</v>
      </c>
      <c r="B1273" s="5">
        <v>104.1921</v>
      </c>
      <c r="D1273" s="4">
        <v>45747</v>
      </c>
      <c r="E1273" s="5">
        <v>7.1782000000000004</v>
      </c>
    </row>
    <row r="1274" spans="1:5" x14ac:dyDescent="0.3">
      <c r="A1274" s="4">
        <v>45748</v>
      </c>
      <c r="B1274" s="5">
        <v>104.22629999999999</v>
      </c>
      <c r="D1274" s="4">
        <v>45748</v>
      </c>
      <c r="E1274" s="5">
        <v>7.1775000000000002</v>
      </c>
    </row>
    <row r="1275" spans="1:5" x14ac:dyDescent="0.3">
      <c r="A1275" s="4">
        <v>45749</v>
      </c>
      <c r="B1275" s="5">
        <v>103.66079999999999</v>
      </c>
      <c r="D1275" s="4">
        <v>45749</v>
      </c>
      <c r="E1275" s="5">
        <v>7.1792999999999996</v>
      </c>
    </row>
    <row r="1276" spans="1:5" x14ac:dyDescent="0.3">
      <c r="A1276" s="4">
        <v>45750</v>
      </c>
      <c r="B1276" s="5">
        <v>101.9451</v>
      </c>
      <c r="D1276" s="4">
        <v>45750</v>
      </c>
      <c r="E1276" s="5">
        <v>7.1889000000000003</v>
      </c>
    </row>
    <row r="1277" spans="1:5" x14ac:dyDescent="0.3">
      <c r="A1277" s="4">
        <v>45754</v>
      </c>
      <c r="B1277" s="5">
        <v>103.501</v>
      </c>
      <c r="D1277" s="4">
        <v>45754</v>
      </c>
      <c r="E1277" s="5">
        <v>7.1980000000000004</v>
      </c>
    </row>
    <row r="1278" spans="1:5" x14ac:dyDescent="0.3">
      <c r="A1278" s="4">
        <v>45755</v>
      </c>
      <c r="B1278" s="5">
        <v>102.956</v>
      </c>
      <c r="D1278" s="4">
        <v>45755</v>
      </c>
      <c r="E1278" s="5">
        <v>7.2038000000000002</v>
      </c>
    </row>
    <row r="1279" spans="1:5" x14ac:dyDescent="0.3">
      <c r="A1279" s="4">
        <v>45756</v>
      </c>
      <c r="B1279" s="5">
        <v>102.971</v>
      </c>
      <c r="D1279" s="4">
        <v>45756</v>
      </c>
      <c r="E1279" s="5">
        <v>7.2065999999999999</v>
      </c>
    </row>
    <row r="1280" spans="1:5" x14ac:dyDescent="0.3">
      <c r="A1280" s="4">
        <v>45757</v>
      </c>
      <c r="B1280" s="5">
        <v>100.9374</v>
      </c>
      <c r="D1280" s="4">
        <v>45757</v>
      </c>
      <c r="E1280" s="5">
        <v>7.2092000000000001</v>
      </c>
    </row>
    <row r="1281" spans="1:5" x14ac:dyDescent="0.3">
      <c r="A1281" s="4">
        <v>45758</v>
      </c>
      <c r="B1281" s="5">
        <v>99.769000000000005</v>
      </c>
      <c r="D1281" s="4">
        <v>45758</v>
      </c>
      <c r="E1281" s="5">
        <v>7.2087000000000003</v>
      </c>
    </row>
    <row r="1282" spans="1:5" x14ac:dyDescent="0.3">
      <c r="A1282" s="4">
        <v>45761</v>
      </c>
      <c r="B1282" s="5">
        <v>99.691999999999993</v>
      </c>
      <c r="D1282" s="4">
        <v>45761</v>
      </c>
      <c r="E1282" s="5">
        <v>7.2110000000000003</v>
      </c>
    </row>
    <row r="1283" spans="1:5" x14ac:dyDescent="0.3">
      <c r="A1283" s="4">
        <v>45762</v>
      </c>
      <c r="B1283" s="5">
        <v>100.167</v>
      </c>
      <c r="D1283" s="4">
        <v>45762</v>
      </c>
      <c r="E1283" s="5">
        <v>7.2096</v>
      </c>
    </row>
    <row r="1284" spans="1:5" x14ac:dyDescent="0.3">
      <c r="A1284" s="4">
        <v>45763</v>
      </c>
      <c r="B1284" s="5">
        <v>99.2667</v>
      </c>
      <c r="D1284" s="4">
        <v>45763</v>
      </c>
      <c r="E1284" s="5">
        <v>7.2133000000000003</v>
      </c>
    </row>
    <row r="1285" spans="1:5" x14ac:dyDescent="0.3">
      <c r="A1285" s="4">
        <v>45764</v>
      </c>
      <c r="B1285" s="5">
        <v>99.424000000000007</v>
      </c>
      <c r="D1285" s="4">
        <v>45764</v>
      </c>
      <c r="E1285" s="5">
        <v>7.2084999999999999</v>
      </c>
    </row>
    <row r="1286" spans="1:5" x14ac:dyDescent="0.3">
      <c r="A1286" s="4">
        <v>45765</v>
      </c>
      <c r="B1286" s="5">
        <v>99.2286</v>
      </c>
      <c r="D1286" s="4">
        <v>45765</v>
      </c>
      <c r="E1286" s="5">
        <v>7.2069000000000001</v>
      </c>
    </row>
    <row r="1287" spans="1:5" x14ac:dyDescent="0.3">
      <c r="A1287" s="4">
        <v>45768</v>
      </c>
      <c r="B1287" s="5">
        <v>98.351799999999997</v>
      </c>
      <c r="D1287" s="4">
        <v>45768</v>
      </c>
      <c r="E1287" s="5">
        <v>7.2054999999999998</v>
      </c>
    </row>
    <row r="1288" spans="1:5" x14ac:dyDescent="0.3">
      <c r="A1288" s="4">
        <v>45769</v>
      </c>
      <c r="B1288" s="5">
        <v>98.975700000000003</v>
      </c>
      <c r="D1288" s="4">
        <v>45769</v>
      </c>
      <c r="E1288" s="5">
        <v>7.2073999999999998</v>
      </c>
    </row>
    <row r="1289" spans="1:5" x14ac:dyDescent="0.3">
      <c r="A1289" s="4">
        <v>45770</v>
      </c>
      <c r="B1289" s="5">
        <v>99.909599999999998</v>
      </c>
      <c r="D1289" s="4">
        <v>45770</v>
      </c>
      <c r="E1289" s="5">
        <v>7.2115999999999998</v>
      </c>
    </row>
    <row r="1290" spans="1:5" x14ac:dyDescent="0.3">
      <c r="A1290" s="4">
        <v>45771</v>
      </c>
      <c r="B1290" s="5">
        <v>99.287999999999997</v>
      </c>
      <c r="D1290" s="4">
        <v>45771</v>
      </c>
      <c r="E1290" s="5">
        <v>7.2098000000000004</v>
      </c>
    </row>
    <row r="1291" spans="1:5" x14ac:dyDescent="0.3">
      <c r="A1291" s="4">
        <v>45772</v>
      </c>
      <c r="B1291" s="5">
        <v>99.583600000000004</v>
      </c>
      <c r="D1291" s="4">
        <v>45772</v>
      </c>
      <c r="E1291" s="5">
        <v>7.2065999999999999</v>
      </c>
    </row>
    <row r="1292" spans="1:5" x14ac:dyDescent="0.3">
      <c r="A1292" s="4">
        <v>45775</v>
      </c>
      <c r="B1292" s="5">
        <v>98.935699999999997</v>
      </c>
      <c r="D1292" s="4">
        <v>45775</v>
      </c>
      <c r="E1292" s="5">
        <v>7.2042999999999999</v>
      </c>
    </row>
    <row r="1293" spans="1:5" x14ac:dyDescent="0.3">
      <c r="A1293" s="4">
        <v>45776</v>
      </c>
      <c r="B1293" s="5">
        <v>99.21</v>
      </c>
      <c r="D1293" s="4">
        <v>45776</v>
      </c>
      <c r="E1293" s="5">
        <v>7.2028999999999996</v>
      </c>
    </row>
    <row r="1294" spans="1:5" x14ac:dyDescent="0.3">
      <c r="A1294" s="4">
        <v>45777</v>
      </c>
      <c r="B1294" s="5">
        <v>99.640299999999996</v>
      </c>
      <c r="D1294" s="4">
        <v>45777</v>
      </c>
      <c r="E1294" s="5">
        <v>7.2013999999999996</v>
      </c>
    </row>
    <row r="1295" spans="1:5" x14ac:dyDescent="0.3">
      <c r="A1295" s="4">
        <v>45783</v>
      </c>
      <c r="B1295" s="5">
        <v>99.2654</v>
      </c>
      <c r="D1295" s="4">
        <v>45783</v>
      </c>
      <c r="E1295" s="5">
        <v>7.2008000000000001</v>
      </c>
    </row>
    <row r="1296" spans="1:5" x14ac:dyDescent="0.3">
      <c r="A1296" s="4">
        <v>45784</v>
      </c>
      <c r="B1296" s="5">
        <v>99.900599999999997</v>
      </c>
      <c r="D1296" s="4">
        <v>45784</v>
      </c>
      <c r="E1296" s="5">
        <v>7.2004999999999999</v>
      </c>
    </row>
    <row r="1297" spans="1:5" x14ac:dyDescent="0.3">
      <c r="A1297" s="4">
        <v>45785</v>
      </c>
      <c r="B1297" s="5">
        <v>100.63249999999999</v>
      </c>
      <c r="D1297" s="4">
        <v>45785</v>
      </c>
      <c r="E1297" s="5">
        <v>7.2073</v>
      </c>
    </row>
    <row r="1298" spans="1:5" x14ac:dyDescent="0.3">
      <c r="A1298" s="4">
        <v>45786</v>
      </c>
      <c r="B1298" s="5">
        <v>100.4218</v>
      </c>
      <c r="D1298" s="4">
        <v>45786</v>
      </c>
      <c r="E1298" s="5">
        <v>7.2095000000000002</v>
      </c>
    </row>
    <row r="1299" spans="1:5" x14ac:dyDescent="0.3">
      <c r="A1299" s="4">
        <v>45789</v>
      </c>
      <c r="B1299" s="5">
        <v>101.81399999999999</v>
      </c>
      <c r="D1299" s="4">
        <v>45789</v>
      </c>
      <c r="E1299" s="5">
        <v>7.2065999999999999</v>
      </c>
    </row>
    <row r="1300" spans="1:5" x14ac:dyDescent="0.3">
      <c r="A1300" s="4">
        <v>45790</v>
      </c>
      <c r="B1300" s="5">
        <v>100.98269999999999</v>
      </c>
      <c r="D1300" s="4">
        <v>45790</v>
      </c>
      <c r="E1300" s="5">
        <v>7.1990999999999996</v>
      </c>
    </row>
    <row r="1301" spans="1:5" x14ac:dyDescent="0.3">
      <c r="A1301" s="4">
        <v>45791</v>
      </c>
      <c r="B1301" s="5">
        <v>101.0655</v>
      </c>
      <c r="D1301" s="4">
        <v>45791</v>
      </c>
      <c r="E1301" s="5">
        <v>7.1955999999999998</v>
      </c>
    </row>
    <row r="1302" spans="1:5" x14ac:dyDescent="0.3">
      <c r="A1302" s="4">
        <v>45792</v>
      </c>
      <c r="B1302" s="5">
        <v>100.81959999999999</v>
      </c>
      <c r="D1302" s="4">
        <v>45792</v>
      </c>
      <c r="E1302" s="5">
        <v>7.1962999999999999</v>
      </c>
    </row>
    <row r="1303" spans="1:5" x14ac:dyDescent="0.3">
      <c r="A1303" s="4">
        <v>45793</v>
      </c>
      <c r="B1303" s="5">
        <v>100.9828</v>
      </c>
      <c r="D1303" s="4">
        <v>45793</v>
      </c>
      <c r="E1303" s="5">
        <v>7.1938000000000004</v>
      </c>
    </row>
    <row r="1304" spans="1:5" x14ac:dyDescent="0.3">
      <c r="A1304" s="4">
        <v>45796</v>
      </c>
      <c r="B1304" s="5">
        <v>100.37260000000001</v>
      </c>
      <c r="D1304" s="4">
        <v>45796</v>
      </c>
      <c r="E1304" s="5">
        <v>7.1916000000000002</v>
      </c>
    </row>
    <row r="1305" spans="1:5" x14ac:dyDescent="0.3">
      <c r="A1305" s="4">
        <v>45797</v>
      </c>
      <c r="B1305" s="5">
        <v>100.0219</v>
      </c>
      <c r="D1305" s="4">
        <v>45797</v>
      </c>
      <c r="E1305" s="5">
        <v>7.1931000000000003</v>
      </c>
    </row>
    <row r="1306" spans="1:5" x14ac:dyDescent="0.3">
      <c r="A1306" s="4">
        <v>45798</v>
      </c>
      <c r="B1306" s="5">
        <v>99.601399999999998</v>
      </c>
      <c r="D1306" s="4">
        <v>45798</v>
      </c>
      <c r="E1306" s="5">
        <v>7.1936999999999998</v>
      </c>
    </row>
    <row r="1307" spans="1:5" x14ac:dyDescent="0.3">
      <c r="A1307" s="4">
        <v>45799</v>
      </c>
      <c r="B1307" s="5">
        <v>99.938800000000001</v>
      </c>
      <c r="D1307" s="4">
        <v>45799</v>
      </c>
      <c r="E1307" s="5">
        <v>7.1902999999999997</v>
      </c>
    </row>
    <row r="1308" spans="1:5" x14ac:dyDescent="0.3">
      <c r="A1308" s="4">
        <v>45800</v>
      </c>
      <c r="B1308" s="5">
        <v>99.123099999999994</v>
      </c>
      <c r="D1308" s="4">
        <v>45800</v>
      </c>
      <c r="E1308" s="5">
        <v>7.1919000000000004</v>
      </c>
    </row>
    <row r="1309" spans="1:5" x14ac:dyDescent="0.3">
      <c r="A1309" s="4">
        <v>45803</v>
      </c>
      <c r="B1309" s="5">
        <v>98.978700000000003</v>
      </c>
      <c r="D1309" s="4">
        <v>45803</v>
      </c>
      <c r="E1309" s="5">
        <v>7.1833</v>
      </c>
    </row>
    <row r="1310" spans="1:5" x14ac:dyDescent="0.3">
      <c r="A1310" s="4">
        <v>45804</v>
      </c>
      <c r="B1310" s="5">
        <v>99.614699999999999</v>
      </c>
      <c r="D1310" s="4">
        <v>45804</v>
      </c>
      <c r="E1310" s="5">
        <v>7.1875999999999998</v>
      </c>
    </row>
    <row r="1311" spans="1:5" x14ac:dyDescent="0.3">
      <c r="A1311" s="4">
        <v>45805</v>
      </c>
      <c r="B1311" s="5">
        <v>99.897800000000004</v>
      </c>
      <c r="D1311" s="4">
        <v>45805</v>
      </c>
      <c r="E1311" s="5">
        <v>7.1894</v>
      </c>
    </row>
    <row r="1312" spans="1:5" x14ac:dyDescent="0.3">
      <c r="A1312" s="4">
        <v>45806</v>
      </c>
      <c r="B1312" s="5">
        <v>99.363299999999995</v>
      </c>
      <c r="D1312" s="4">
        <v>45806</v>
      </c>
      <c r="E1312" s="5">
        <v>7.1906999999999996</v>
      </c>
    </row>
    <row r="1313" spans="1:5" x14ac:dyDescent="0.3">
      <c r="A1313" s="4">
        <v>45807</v>
      </c>
      <c r="B1313" s="5">
        <v>99.439300000000003</v>
      </c>
      <c r="D1313" s="4">
        <v>45807</v>
      </c>
      <c r="E1313" s="5">
        <v>7.1848000000000001</v>
      </c>
    </row>
    <row r="1314" spans="1:5" x14ac:dyDescent="0.3">
      <c r="A1314" s="4">
        <v>45811</v>
      </c>
      <c r="B1314" s="5">
        <v>99.278099999999995</v>
      </c>
      <c r="D1314" s="4">
        <v>45811</v>
      </c>
      <c r="E1314" s="5">
        <v>7.1868999999999996</v>
      </c>
    </row>
    <row r="1315" spans="1:5" x14ac:dyDescent="0.3">
      <c r="A1315" s="4">
        <v>45812</v>
      </c>
      <c r="B1315" s="5">
        <v>98.812799999999996</v>
      </c>
      <c r="D1315" s="4">
        <v>45812</v>
      </c>
      <c r="E1315" s="5">
        <v>7.1886000000000001</v>
      </c>
    </row>
    <row r="1316" spans="1:5" x14ac:dyDescent="0.3">
      <c r="A1316" s="4">
        <v>45813</v>
      </c>
      <c r="B1316" s="5">
        <v>98.744399999999999</v>
      </c>
      <c r="D1316" s="4">
        <v>45813</v>
      </c>
      <c r="E1316" s="5">
        <v>7.1864999999999997</v>
      </c>
    </row>
    <row r="1317" spans="1:5" x14ac:dyDescent="0.3">
      <c r="A1317" s="4">
        <v>45814</v>
      </c>
      <c r="B1317" s="5">
        <v>99.203100000000006</v>
      </c>
      <c r="D1317" s="4">
        <v>45814</v>
      </c>
      <c r="E1317" s="5">
        <v>7.1844999999999999</v>
      </c>
    </row>
    <row r="1318" spans="1:5" x14ac:dyDescent="0.3">
      <c r="A1318" s="4">
        <v>45817</v>
      </c>
      <c r="B1318" s="5">
        <v>99.018699999999995</v>
      </c>
      <c r="D1318" s="4">
        <v>45817</v>
      </c>
      <c r="E1318" s="5">
        <v>7.1855000000000002</v>
      </c>
    </row>
    <row r="1319" spans="1:5" x14ac:dyDescent="0.3">
      <c r="A1319" s="4">
        <v>45818</v>
      </c>
      <c r="B1319" s="5">
        <v>99.052199999999999</v>
      </c>
      <c r="D1319" s="4">
        <v>45818</v>
      </c>
      <c r="E1319" s="5">
        <v>7.1840000000000002</v>
      </c>
    </row>
    <row r="1320" spans="1:5" x14ac:dyDescent="0.3">
      <c r="A1320" s="4">
        <v>45819</v>
      </c>
      <c r="B1320" s="5">
        <v>98.645399999999995</v>
      </c>
      <c r="D1320" s="4">
        <v>45819</v>
      </c>
      <c r="E1320" s="5">
        <v>7.1814999999999998</v>
      </c>
    </row>
    <row r="1321" spans="1:5" x14ac:dyDescent="0.3">
      <c r="A1321" s="4">
        <v>45820</v>
      </c>
      <c r="B1321" s="5">
        <v>97.865499999999997</v>
      </c>
      <c r="D1321" s="4">
        <v>45820</v>
      </c>
      <c r="E1321" s="5">
        <v>7.1802999999999999</v>
      </c>
    </row>
    <row r="1322" spans="1:5" x14ac:dyDescent="0.3">
      <c r="A1322" s="4">
        <v>45821</v>
      </c>
      <c r="B1322" s="5">
        <v>98.144999999999996</v>
      </c>
      <c r="D1322" s="4">
        <v>45821</v>
      </c>
      <c r="E1322" s="5">
        <v>7.1772</v>
      </c>
    </row>
    <row r="1323" spans="1:5" x14ac:dyDescent="0.3">
      <c r="A1323" s="4">
        <v>45824</v>
      </c>
      <c r="B1323" s="5">
        <v>98.154799999999994</v>
      </c>
      <c r="D1323" s="4">
        <v>45824</v>
      </c>
      <c r="E1323" s="5">
        <v>7.1788999999999996</v>
      </c>
    </row>
    <row r="1324" spans="1:5" x14ac:dyDescent="0.3">
      <c r="A1324" s="4">
        <v>45825</v>
      </c>
      <c r="B1324" s="5">
        <v>98.830399999999997</v>
      </c>
      <c r="D1324" s="4">
        <v>45825</v>
      </c>
      <c r="E1324" s="5">
        <v>7.1745999999999999</v>
      </c>
    </row>
    <row r="1325" spans="1:5" x14ac:dyDescent="0.3">
      <c r="A1325" s="4">
        <v>45826</v>
      </c>
      <c r="B1325" s="5">
        <v>98.891099999999994</v>
      </c>
      <c r="D1325" s="4">
        <v>45826</v>
      </c>
      <c r="E1325" s="5">
        <v>7.1760999999999999</v>
      </c>
    </row>
    <row r="1326" spans="1:5" x14ac:dyDescent="0.3">
      <c r="A1326" s="4">
        <v>45827</v>
      </c>
      <c r="B1326" s="5">
        <v>98.777299999999997</v>
      </c>
      <c r="D1326" s="4">
        <v>45827</v>
      </c>
      <c r="E1326" s="5">
        <v>7.1729000000000003</v>
      </c>
    </row>
    <row r="1327" spans="1:5" x14ac:dyDescent="0.3">
      <c r="A1327" s="4">
        <v>45828</v>
      </c>
      <c r="B1327" s="5">
        <v>98.763900000000007</v>
      </c>
      <c r="D1327" s="4">
        <v>45828</v>
      </c>
      <c r="E1327" s="5">
        <v>7.1695000000000002</v>
      </c>
    </row>
    <row r="1328" spans="1:5" x14ac:dyDescent="0.3">
      <c r="A1328" s="4">
        <v>45831</v>
      </c>
      <c r="B1328" s="5">
        <v>98.380099999999999</v>
      </c>
      <c r="D1328" s="4">
        <v>45831</v>
      </c>
      <c r="E1328" s="5">
        <v>7.1710000000000003</v>
      </c>
    </row>
    <row r="1329" spans="1:5" x14ac:dyDescent="0.3">
      <c r="A1329" s="4">
        <v>45832</v>
      </c>
      <c r="B1329" s="5">
        <v>97.968100000000007</v>
      </c>
      <c r="D1329" s="4">
        <v>45832</v>
      </c>
      <c r="E1329" s="5">
        <v>7.1656000000000004</v>
      </c>
    </row>
    <row r="1330" spans="1:5" x14ac:dyDescent="0.3">
      <c r="A1330" s="4">
        <v>45833</v>
      </c>
      <c r="B1330" s="5">
        <v>97.697699999999998</v>
      </c>
      <c r="D1330" s="4">
        <v>45833</v>
      </c>
      <c r="E1330" s="5">
        <v>7.1668000000000003</v>
      </c>
    </row>
    <row r="1331" spans="1:5" x14ac:dyDescent="0.3">
      <c r="A1331" s="4">
        <v>45834</v>
      </c>
      <c r="B1331" s="5">
        <v>97.298500000000004</v>
      </c>
      <c r="D1331" s="4">
        <v>45834</v>
      </c>
      <c r="E1331" s="5">
        <v>7.1619999999999999</v>
      </c>
    </row>
    <row r="1332" spans="1:5" x14ac:dyDescent="0.3">
      <c r="A1332" s="4">
        <v>45835</v>
      </c>
      <c r="B1332" s="5">
        <v>97.261200000000002</v>
      </c>
      <c r="D1332" s="4">
        <v>45835</v>
      </c>
      <c r="E1332" s="5">
        <v>7.1627000000000001</v>
      </c>
    </row>
    <row r="1333" spans="1:5" x14ac:dyDescent="0.3">
      <c r="A1333" s="4">
        <v>45838</v>
      </c>
      <c r="B1333" s="5">
        <v>96.772300000000001</v>
      </c>
      <c r="D1333" s="4">
        <v>45838</v>
      </c>
      <c r="E1333" s="5">
        <v>7.1585999999999999</v>
      </c>
    </row>
    <row r="1334" spans="1:5" x14ac:dyDescent="0.3">
      <c r="A1334" s="4">
        <v>45839</v>
      </c>
      <c r="B1334" s="5">
        <v>96.645099999999999</v>
      </c>
      <c r="D1334" s="4">
        <v>45839</v>
      </c>
      <c r="E1334" s="5">
        <v>7.1534000000000004</v>
      </c>
    </row>
    <row r="1335" spans="1:5" x14ac:dyDescent="0.3">
      <c r="A1335" s="4">
        <v>45840</v>
      </c>
      <c r="B1335" s="5">
        <v>96.778800000000004</v>
      </c>
      <c r="D1335" s="4">
        <v>45840</v>
      </c>
      <c r="E1335" s="5">
        <v>7.1546000000000003</v>
      </c>
    </row>
    <row r="1336" spans="1:5" x14ac:dyDescent="0.3">
      <c r="A1336" s="4">
        <v>45841</v>
      </c>
      <c r="B1336" s="5">
        <v>97.118499999999997</v>
      </c>
      <c r="D1336" s="4">
        <v>45841</v>
      </c>
      <c r="E1336" s="5">
        <v>7.1523000000000003</v>
      </c>
    </row>
    <row r="1337" spans="1:5" x14ac:dyDescent="0.3">
      <c r="A1337" s="4">
        <v>45842</v>
      </c>
      <c r="B1337" s="5">
        <v>96.988</v>
      </c>
      <c r="D1337" s="4">
        <v>45842</v>
      </c>
      <c r="E1337" s="5">
        <v>7.1535000000000002</v>
      </c>
    </row>
    <row r="1338" spans="1:5" x14ac:dyDescent="0.3">
      <c r="A1338" s="4">
        <v>45845</v>
      </c>
      <c r="B1338" s="5">
        <v>97.553700000000006</v>
      </c>
      <c r="D1338" s="4">
        <v>45845</v>
      </c>
      <c r="E1338" s="5">
        <v>7.1505999999999998</v>
      </c>
    </row>
    <row r="1339" spans="1:5" x14ac:dyDescent="0.3">
      <c r="A1339" s="4">
        <v>45846</v>
      </c>
      <c r="B1339" s="5">
        <v>97.492099999999994</v>
      </c>
      <c r="D1339" s="4">
        <v>45846</v>
      </c>
      <c r="E1339" s="5">
        <v>7.1534000000000004</v>
      </c>
    </row>
    <row r="1340" spans="1:5" x14ac:dyDescent="0.3">
      <c r="A1340" s="4">
        <v>45847</v>
      </c>
      <c r="B1340" s="5">
        <v>97.493099999999998</v>
      </c>
      <c r="D1340" s="4">
        <v>45847</v>
      </c>
      <c r="E1340" s="5">
        <v>7.1540999999999997</v>
      </c>
    </row>
    <row r="1341" spans="1:5" x14ac:dyDescent="0.3">
      <c r="A1341" s="4">
        <v>45848</v>
      </c>
      <c r="B1341" s="5">
        <v>97.590400000000002</v>
      </c>
      <c r="D1341" s="4">
        <v>45848</v>
      </c>
      <c r="E1341" s="5">
        <v>7.1509999999999998</v>
      </c>
    </row>
    <row r="1342" spans="1:5" x14ac:dyDescent="0.3">
      <c r="A1342" s="4">
        <v>45849</v>
      </c>
      <c r="B1342" s="5">
        <v>97.873099999999994</v>
      </c>
      <c r="D1342" s="4">
        <v>45849</v>
      </c>
      <c r="E1342" s="5">
        <v>7.1475</v>
      </c>
    </row>
    <row r="1343" spans="1:5" x14ac:dyDescent="0.3">
      <c r="A1343" s="4">
        <v>45852</v>
      </c>
      <c r="B1343" s="5">
        <v>98.108199999999997</v>
      </c>
      <c r="D1343" s="4">
        <v>45852</v>
      </c>
      <c r="E1343" s="5">
        <v>7.1490999999999998</v>
      </c>
    </row>
    <row r="1344" spans="1:5" x14ac:dyDescent="0.3">
      <c r="A1344" s="4">
        <v>45853</v>
      </c>
      <c r="B1344" s="5">
        <v>98.630600000000001</v>
      </c>
      <c r="D1344" s="4">
        <v>45853</v>
      </c>
      <c r="E1344" s="5">
        <v>7.1497999999999999</v>
      </c>
    </row>
    <row r="1345" spans="1:5" x14ac:dyDescent="0.3">
      <c r="A1345" s="4">
        <v>45854</v>
      </c>
      <c r="B1345" s="5">
        <v>98.285899999999998</v>
      </c>
      <c r="D1345" s="4">
        <v>45854</v>
      </c>
      <c r="E1345" s="5">
        <v>7.1525999999999996</v>
      </c>
    </row>
    <row r="1346" spans="1:5" x14ac:dyDescent="0.3">
      <c r="A1346" s="4">
        <v>45855</v>
      </c>
      <c r="B1346" s="5">
        <v>98.641900000000007</v>
      </c>
      <c r="D1346" s="4">
        <v>45855</v>
      </c>
      <c r="E1346" s="5">
        <v>7.1460999999999997</v>
      </c>
    </row>
    <row r="1347" spans="1:5" x14ac:dyDescent="0.3">
      <c r="A1347" s="4">
        <v>45856</v>
      </c>
      <c r="B1347" s="5">
        <v>98.46</v>
      </c>
      <c r="D1347" s="4">
        <v>45856</v>
      </c>
      <c r="E1347" s="5">
        <v>7.1497999999999999</v>
      </c>
    </row>
    <row r="1348" spans="1:5" x14ac:dyDescent="0.3">
      <c r="A1348" s="4">
        <v>45859</v>
      </c>
      <c r="B1348" s="5">
        <v>97.834199999999996</v>
      </c>
      <c r="D1348" s="4">
        <v>45859</v>
      </c>
      <c r="E1348" s="5">
        <v>7.1521999999999997</v>
      </c>
    </row>
    <row r="1349" spans="1:5" x14ac:dyDescent="0.3">
      <c r="A1349" s="4">
        <v>45860</v>
      </c>
      <c r="B1349" s="5">
        <v>97.355000000000004</v>
      </c>
      <c r="D1349" s="4">
        <v>45860</v>
      </c>
      <c r="E1349" s="5">
        <v>7.1459999999999999</v>
      </c>
    </row>
    <row r="1350" spans="1:5" x14ac:dyDescent="0.3">
      <c r="A1350" s="4">
        <v>45861</v>
      </c>
      <c r="B1350" s="5">
        <v>97.204800000000006</v>
      </c>
      <c r="D1350" s="4">
        <v>45861</v>
      </c>
      <c r="E1350" s="5">
        <v>7.1414</v>
      </c>
    </row>
    <row r="1351" spans="1:5" x14ac:dyDescent="0.3">
      <c r="A1351" s="4">
        <v>45862</v>
      </c>
      <c r="B1351" s="5">
        <v>97.488399999999999</v>
      </c>
      <c r="D1351" s="4">
        <v>45862</v>
      </c>
      <c r="E1351" s="5">
        <v>7.1384999999999996</v>
      </c>
    </row>
    <row r="1352" spans="1:5" x14ac:dyDescent="0.3">
      <c r="A1352" s="4">
        <v>45863</v>
      </c>
      <c r="B1352" s="5">
        <v>97.670100000000005</v>
      </c>
      <c r="D1352" s="4">
        <v>45863</v>
      </c>
      <c r="E1352" s="5">
        <v>7.1418999999999997</v>
      </c>
    </row>
    <row r="1353" spans="1:5" x14ac:dyDescent="0.3">
      <c r="A1353" s="4">
        <v>45866</v>
      </c>
      <c r="B1353" s="5">
        <v>98.669399999999996</v>
      </c>
      <c r="D1353" s="4">
        <v>45866</v>
      </c>
      <c r="E1353" s="5">
        <v>7.1467000000000001</v>
      </c>
    </row>
    <row r="1354" spans="1:5" x14ac:dyDescent="0.3">
      <c r="A1354" s="4">
        <v>45867</v>
      </c>
      <c r="B1354" s="5">
        <v>98.923400000000001</v>
      </c>
      <c r="D1354" s="4">
        <v>45867</v>
      </c>
      <c r="E1354" s="5">
        <v>7.1510999999999996</v>
      </c>
    </row>
    <row r="1355" spans="1:5" x14ac:dyDescent="0.3">
      <c r="A1355" s="4">
        <v>45868</v>
      </c>
      <c r="B1355" s="5">
        <v>99.968400000000003</v>
      </c>
      <c r="D1355" s="4">
        <v>45868</v>
      </c>
      <c r="E1355" s="5">
        <v>7.1440999999999999</v>
      </c>
    </row>
    <row r="1356" spans="1:5" x14ac:dyDescent="0.3">
      <c r="A1356" s="4">
        <v>45869</v>
      </c>
      <c r="B1356" s="5">
        <v>100.0489</v>
      </c>
      <c r="D1356" s="4">
        <v>45869</v>
      </c>
      <c r="E1356" s="5">
        <v>7.1494</v>
      </c>
    </row>
    <row r="1357" spans="1:5" x14ac:dyDescent="0.3">
      <c r="A1357" s="4">
        <v>45870</v>
      </c>
      <c r="B1357" s="5">
        <v>98.69</v>
      </c>
      <c r="D1357" s="4">
        <v>45870</v>
      </c>
      <c r="E1357" s="5">
        <v>7.1496000000000004</v>
      </c>
    </row>
    <row r="1358" spans="1:5" x14ac:dyDescent="0.3">
      <c r="A1358" s="4">
        <v>45873</v>
      </c>
      <c r="B1358" s="5">
        <v>98.742699999999999</v>
      </c>
      <c r="D1358" s="4">
        <v>45873</v>
      </c>
      <c r="E1358" s="5">
        <v>7.1395</v>
      </c>
    </row>
    <row r="1359" spans="1:5" x14ac:dyDescent="0.3">
      <c r="A1359" s="4">
        <v>45874</v>
      </c>
      <c r="B1359" s="5">
        <v>98.755899999999997</v>
      </c>
      <c r="D1359" s="4">
        <v>45874</v>
      </c>
      <c r="E1359" s="5">
        <v>7.1365999999999996</v>
      </c>
    </row>
    <row r="1360" spans="1:5" x14ac:dyDescent="0.3">
      <c r="A1360" s="4">
        <v>45875</v>
      </c>
      <c r="B1360" s="5">
        <v>98.222999999999999</v>
      </c>
      <c r="D1360" s="4">
        <v>45875</v>
      </c>
      <c r="E1360" s="5">
        <v>7.1409000000000002</v>
      </c>
    </row>
    <row r="1361" spans="1:5" x14ac:dyDescent="0.3">
      <c r="A1361" s="4">
        <v>45876</v>
      </c>
      <c r="B1361" s="5">
        <v>98.087199999999996</v>
      </c>
      <c r="D1361" s="4">
        <v>45876</v>
      </c>
      <c r="E1361" s="5">
        <v>7.1345000000000001</v>
      </c>
    </row>
    <row r="1362" spans="1:5" x14ac:dyDescent="0.3">
      <c r="A1362" s="4">
        <v>45877</v>
      </c>
      <c r="B1362" s="5">
        <v>98.266999999999996</v>
      </c>
      <c r="D1362" s="4">
        <v>45877</v>
      </c>
      <c r="E1362" s="5">
        <v>7.1382000000000003</v>
      </c>
    </row>
    <row r="1363" spans="1:5" x14ac:dyDescent="0.3">
      <c r="A1363" s="4">
        <v>45880</v>
      </c>
      <c r="B1363" s="5">
        <v>98.501300000000001</v>
      </c>
      <c r="D1363" s="4">
        <v>45880</v>
      </c>
      <c r="E1363" s="5">
        <v>7.1405000000000003</v>
      </c>
    </row>
    <row r="1364" spans="1:5" x14ac:dyDescent="0.3">
      <c r="A1364" s="4">
        <v>45881</v>
      </c>
      <c r="B1364" s="5">
        <v>98.070700000000002</v>
      </c>
      <c r="D1364" s="4">
        <v>45881</v>
      </c>
      <c r="E1364" s="5">
        <v>7.1417999999999999</v>
      </c>
    </row>
    <row r="1365" spans="1:5" x14ac:dyDescent="0.3">
      <c r="A1365" s="4">
        <v>45882</v>
      </c>
      <c r="B1365" s="5">
        <v>97.788399999999996</v>
      </c>
      <c r="D1365" s="4">
        <v>45882</v>
      </c>
      <c r="E1365" s="5">
        <v>7.1349999999999998</v>
      </c>
    </row>
    <row r="1366" spans="1:5" x14ac:dyDescent="0.3">
      <c r="A1366" s="4">
        <v>45883</v>
      </c>
      <c r="B1366" s="5">
        <v>98.204099999999997</v>
      </c>
      <c r="D1366" s="4">
        <v>45883</v>
      </c>
      <c r="E1366" s="5">
        <v>7.1337000000000002</v>
      </c>
    </row>
    <row r="1367" spans="1:5" x14ac:dyDescent="0.3">
      <c r="A1367" s="4">
        <v>45884</v>
      </c>
      <c r="B1367" s="5">
        <v>97.846699999999998</v>
      </c>
      <c r="D1367" s="4">
        <v>45884</v>
      </c>
      <c r="E1367" s="5">
        <v>7.1371000000000002</v>
      </c>
    </row>
    <row r="1368" spans="1:5" x14ac:dyDescent="0.3">
      <c r="A1368" s="4">
        <v>45887</v>
      </c>
      <c r="B1368" s="5">
        <v>98.153499999999994</v>
      </c>
      <c r="D1368" s="4">
        <v>45887</v>
      </c>
      <c r="E1368" s="5">
        <v>7.1322000000000001</v>
      </c>
    </row>
    <row r="1369" spans="1:5" x14ac:dyDescent="0.3">
      <c r="A1369" s="4">
        <v>45888</v>
      </c>
      <c r="B1369" s="5">
        <v>98.278999999999996</v>
      </c>
      <c r="D1369" s="4">
        <v>45888</v>
      </c>
      <c r="E1369" s="5">
        <v>7.1359000000000004</v>
      </c>
    </row>
    <row r="1370" spans="1:5" x14ac:dyDescent="0.3">
      <c r="A1370" s="4">
        <v>45889</v>
      </c>
      <c r="B1370" s="5">
        <v>98.240600000000001</v>
      </c>
      <c r="D1370" s="4">
        <v>45889</v>
      </c>
      <c r="E1370" s="5">
        <v>7.1383999999999999</v>
      </c>
    </row>
    <row r="1371" spans="1:5" x14ac:dyDescent="0.3">
      <c r="A1371" s="4">
        <v>45890</v>
      </c>
      <c r="B1371" s="5">
        <v>98.652600000000007</v>
      </c>
      <c r="D1371" s="4">
        <v>45890</v>
      </c>
      <c r="E1371" s="5">
        <v>7.1287000000000003</v>
      </c>
    </row>
    <row r="1372" spans="1:5" x14ac:dyDescent="0.3">
      <c r="A1372" s="4">
        <v>45891</v>
      </c>
      <c r="B1372" s="5">
        <v>97.724400000000003</v>
      </c>
      <c r="D1372" s="4">
        <v>45891</v>
      </c>
      <c r="E1372" s="5">
        <v>7.1321000000000003</v>
      </c>
    </row>
    <row r="1373" spans="1:5" x14ac:dyDescent="0.3">
      <c r="A1373" s="4">
        <v>45894</v>
      </c>
      <c r="B1373" s="5">
        <v>98.426199999999994</v>
      </c>
      <c r="D1373" s="4">
        <v>45894</v>
      </c>
      <c r="E1373" s="5">
        <v>7.1161000000000003</v>
      </c>
    </row>
    <row r="1374" spans="1:5" x14ac:dyDescent="0.3">
      <c r="A1374" s="4">
        <v>45895</v>
      </c>
      <c r="B1374" s="5">
        <v>98.237499999999997</v>
      </c>
      <c r="D1374" s="4">
        <v>45895</v>
      </c>
      <c r="E1374" s="5">
        <v>7.1188000000000002</v>
      </c>
    </row>
    <row r="1375" spans="1:5" x14ac:dyDescent="0.3">
      <c r="A1375" s="4">
        <v>45896</v>
      </c>
      <c r="B1375" s="5">
        <v>98.192599999999999</v>
      </c>
      <c r="D1375" s="4">
        <v>45896</v>
      </c>
      <c r="E1375" s="5">
        <v>7.1108000000000002</v>
      </c>
    </row>
    <row r="1376" spans="1:5" x14ac:dyDescent="0.3">
      <c r="A1376" s="4">
        <v>45897</v>
      </c>
      <c r="B1376" s="5">
        <v>97.867900000000006</v>
      </c>
      <c r="D1376" s="4">
        <v>45897</v>
      </c>
      <c r="E1376" s="5">
        <v>7.1063000000000001</v>
      </c>
    </row>
    <row r="1377" spans="1:5" x14ac:dyDescent="0.3">
      <c r="A1377" s="4">
        <v>45898</v>
      </c>
      <c r="B1377" s="5">
        <v>97.847700000000003</v>
      </c>
      <c r="D1377" s="4">
        <v>45898</v>
      </c>
      <c r="E1377" s="5">
        <v>7.1029999999999998</v>
      </c>
    </row>
    <row r="1378" spans="1:5" x14ac:dyDescent="0.3">
      <c r="A1378" s="4">
        <v>45901</v>
      </c>
      <c r="B1378" s="5">
        <v>97.679299999999998</v>
      </c>
      <c r="D1378" s="4">
        <v>45901</v>
      </c>
      <c r="E1378" s="5">
        <v>7.1071999999999997</v>
      </c>
    </row>
    <row r="1379" spans="1:5" x14ac:dyDescent="0.3">
      <c r="A1379" s="4">
        <v>45902</v>
      </c>
      <c r="B1379" s="5">
        <v>98.314700000000002</v>
      </c>
      <c r="D1379" s="4">
        <v>45902</v>
      </c>
      <c r="E1379" s="5">
        <v>7.1089000000000002</v>
      </c>
    </row>
    <row r="1380" spans="1:5" x14ac:dyDescent="0.3">
      <c r="A1380" s="4">
        <v>45903</v>
      </c>
      <c r="B1380" s="5">
        <v>98.148499999999999</v>
      </c>
      <c r="D1380" s="4">
        <v>45903</v>
      </c>
      <c r="E1380" s="5">
        <v>7.1108000000000002</v>
      </c>
    </row>
    <row r="1381" spans="1:5" x14ac:dyDescent="0.3">
      <c r="A1381" s="4">
        <v>45904</v>
      </c>
      <c r="B1381" s="5">
        <v>98.274799999999999</v>
      </c>
      <c r="D1381" s="4">
        <v>45904</v>
      </c>
      <c r="E1381" s="5">
        <v>7.1052</v>
      </c>
    </row>
    <row r="1382" spans="1:5" x14ac:dyDescent="0.3">
      <c r="A1382" s="4">
        <v>45905</v>
      </c>
      <c r="B1382" s="5">
        <v>97.735699999999994</v>
      </c>
      <c r="D1382" s="4">
        <v>45905</v>
      </c>
      <c r="E1382" s="5">
        <v>7.1063999999999998</v>
      </c>
    </row>
    <row r="1383" spans="1:5" x14ac:dyDescent="0.3">
      <c r="A1383" s="4">
        <v>45908</v>
      </c>
      <c r="B1383" s="5">
        <v>97.447800000000001</v>
      </c>
      <c r="D1383" s="4">
        <v>45908</v>
      </c>
      <c r="E1383" s="5">
        <v>7.1029</v>
      </c>
    </row>
    <row r="1384" spans="1:5" x14ac:dyDescent="0.3">
      <c r="A1384" s="4">
        <v>45909</v>
      </c>
      <c r="B1384" s="5">
        <v>97.766900000000007</v>
      </c>
      <c r="D1384" s="4">
        <v>45909</v>
      </c>
      <c r="E1384" s="5">
        <v>7.1007999999999996</v>
      </c>
    </row>
    <row r="1385" spans="1:5" x14ac:dyDescent="0.3">
      <c r="A1385" s="4">
        <v>45910</v>
      </c>
      <c r="B1385" s="5">
        <v>97.843299999999999</v>
      </c>
      <c r="D1385" s="4">
        <v>45910</v>
      </c>
      <c r="E1385" s="5">
        <v>7.1062000000000003</v>
      </c>
    </row>
    <row r="1386" spans="1:5" x14ac:dyDescent="0.3">
      <c r="A1386" s="4">
        <v>45911</v>
      </c>
      <c r="B1386" s="5">
        <v>97.529899999999998</v>
      </c>
      <c r="D1386" s="4">
        <v>45911</v>
      </c>
      <c r="E1386" s="5">
        <v>7.1033999999999997</v>
      </c>
    </row>
    <row r="1387" spans="1:5" x14ac:dyDescent="0.3">
      <c r="A1387" s="4">
        <v>45912</v>
      </c>
      <c r="B1387" s="5">
        <v>97.617800000000003</v>
      </c>
      <c r="D1387" s="4">
        <v>45912</v>
      </c>
      <c r="E1387" s="5">
        <v>7.1018999999999997</v>
      </c>
    </row>
    <row r="1388" spans="1:5" x14ac:dyDescent="0.3">
      <c r="A1388" s="4">
        <v>45915</v>
      </c>
      <c r="B1388" s="5">
        <v>97.358599999999996</v>
      </c>
      <c r="D1388" s="4">
        <v>45915</v>
      </c>
      <c r="E1388" s="5">
        <v>7.1055999999999999</v>
      </c>
    </row>
    <row r="1389" spans="1:5" x14ac:dyDescent="0.3">
      <c r="A1389" s="4">
        <v>45916</v>
      </c>
      <c r="B1389" s="5">
        <v>96.6434</v>
      </c>
      <c r="D1389" s="4">
        <v>45916</v>
      </c>
      <c r="E1389" s="5">
        <v>7.1026999999999996</v>
      </c>
    </row>
    <row r="1390" spans="1:5" x14ac:dyDescent="0.3">
      <c r="A1390" s="4">
        <v>45917</v>
      </c>
      <c r="B1390" s="5">
        <v>97.0351</v>
      </c>
      <c r="D1390" s="4">
        <v>45917</v>
      </c>
      <c r="E1390" s="5">
        <v>7.1013000000000002</v>
      </c>
    </row>
    <row r="1391" spans="1:5" x14ac:dyDescent="0.3">
      <c r="A1391" s="4">
        <v>45918</v>
      </c>
      <c r="B1391" s="5">
        <v>97.369600000000005</v>
      </c>
      <c r="D1391" s="4">
        <v>45918</v>
      </c>
      <c r="E1391" s="5">
        <v>7.1085000000000003</v>
      </c>
    </row>
    <row r="1392" spans="1:5" x14ac:dyDescent="0.3">
      <c r="A1392" s="4">
        <v>45919</v>
      </c>
      <c r="B1392" s="5">
        <v>97.651899999999998</v>
      </c>
      <c r="D1392" s="4">
        <v>45919</v>
      </c>
      <c r="E1392" s="5">
        <v>7.1128</v>
      </c>
    </row>
    <row r="1393" spans="1:5" x14ac:dyDescent="0.3">
      <c r="A1393" s="4">
        <v>45922</v>
      </c>
      <c r="B1393" s="5">
        <v>97.311000000000007</v>
      </c>
      <c r="D1393" s="4">
        <v>45922</v>
      </c>
      <c r="E1393" s="5">
        <v>7.1105999999999998</v>
      </c>
    </row>
    <row r="1394" spans="1:5" x14ac:dyDescent="0.3">
      <c r="A1394" s="4">
        <v>45923</v>
      </c>
      <c r="B1394" s="5">
        <v>97.235100000000003</v>
      </c>
      <c r="D1394" s="4">
        <v>45923</v>
      </c>
      <c r="E1394" s="5">
        <v>7.1056999999999997</v>
      </c>
    </row>
    <row r="1395" spans="1:5" x14ac:dyDescent="0.3">
      <c r="A1395" s="4">
        <v>45924</v>
      </c>
      <c r="B1395" s="5">
        <v>97.865700000000004</v>
      </c>
      <c r="D1395" s="4">
        <v>45924</v>
      </c>
      <c r="E1395" s="5">
        <v>7.1077000000000004</v>
      </c>
    </row>
    <row r="1396" spans="1:5" x14ac:dyDescent="0.3">
      <c r="A1396" s="4">
        <v>45925</v>
      </c>
      <c r="B1396" s="5">
        <v>98.462100000000007</v>
      </c>
      <c r="D1396" s="4">
        <v>45925</v>
      </c>
      <c r="E1396" s="5">
        <v>7.1117999999999997</v>
      </c>
    </row>
    <row r="1397" spans="1:5" x14ac:dyDescent="0.3">
      <c r="A1397" s="4">
        <v>45926</v>
      </c>
      <c r="B1397" s="5">
        <v>98.192599999999999</v>
      </c>
      <c r="D1397" s="4">
        <v>45926</v>
      </c>
      <c r="E1397" s="5">
        <v>7.1151999999999997</v>
      </c>
    </row>
    <row r="1398" spans="1:5" x14ac:dyDescent="0.3">
      <c r="A1398" s="4">
        <v>45929</v>
      </c>
      <c r="B1398" s="5">
        <v>97.932500000000005</v>
      </c>
      <c r="D1398" s="4">
        <v>45929</v>
      </c>
      <c r="E1398" s="5">
        <v>7.1089000000000002</v>
      </c>
    </row>
    <row r="1399" spans="1:5" x14ac:dyDescent="0.3">
      <c r="A1399" s="4">
        <v>45930</v>
      </c>
      <c r="B1399" s="5">
        <v>97.822400000000002</v>
      </c>
      <c r="D1399" s="4">
        <v>45930</v>
      </c>
      <c r="E1399" s="5">
        <v>7.1055000000000001</v>
      </c>
    </row>
    <row r="1400" spans="1:5" x14ac:dyDescent="0.3">
      <c r="A1400" s="4">
        <v>45939</v>
      </c>
      <c r="B1400" s="5">
        <v>99.404399999999995</v>
      </c>
      <c r="D1400" s="4">
        <v>45939</v>
      </c>
      <c r="E1400" s="5">
        <v>7.1101999999999999</v>
      </c>
    </row>
    <row r="1401" spans="1:5" x14ac:dyDescent="0.3">
      <c r="A1401" s="4">
        <v>45940</v>
      </c>
      <c r="B1401" s="5">
        <v>98.822299999999998</v>
      </c>
      <c r="D1401" s="4">
        <v>45940</v>
      </c>
      <c r="E1401" s="5">
        <v>7.1048</v>
      </c>
    </row>
    <row r="1402" spans="1:5" x14ac:dyDescent="0.3">
      <c r="A1402" s="4">
        <v>45943</v>
      </c>
      <c r="B1402" s="5">
        <v>99.259500000000003</v>
      </c>
      <c r="D1402" s="4">
        <v>45943</v>
      </c>
      <c r="E1402" s="5">
        <v>7.1006999999999998</v>
      </c>
    </row>
    <row r="1403" spans="1:5" x14ac:dyDescent="0.3">
      <c r="A1403" s="4">
        <v>45944</v>
      </c>
      <c r="B1403" s="5">
        <v>99.045299999999997</v>
      </c>
      <c r="D1403" s="4">
        <v>45944</v>
      </c>
      <c r="E1403" s="5">
        <v>7.1021000000000001</v>
      </c>
    </row>
    <row r="1404" spans="1:5" x14ac:dyDescent="0.3">
      <c r="A1404" s="4">
        <v>45945</v>
      </c>
      <c r="B1404" s="5">
        <v>98.665899999999993</v>
      </c>
      <c r="D1404" s="4">
        <v>45945</v>
      </c>
      <c r="E1404" s="5">
        <v>7.0994999999999999</v>
      </c>
    </row>
    <row r="1405" spans="1:5" x14ac:dyDescent="0.3">
      <c r="A1405" s="4">
        <v>45946</v>
      </c>
      <c r="B1405" s="5">
        <v>98.352599999999995</v>
      </c>
      <c r="D1405" s="4">
        <v>45946</v>
      </c>
      <c r="E1405" s="5">
        <v>7.0968</v>
      </c>
    </row>
    <row r="1406" spans="1:5" x14ac:dyDescent="0.3">
      <c r="A1406" s="4">
        <v>45947</v>
      </c>
      <c r="B1406" s="5">
        <v>98.555599999999998</v>
      </c>
      <c r="D1406" s="4">
        <v>45947</v>
      </c>
      <c r="E1406" s="5">
        <v>7.0949</v>
      </c>
    </row>
    <row r="1407" spans="1:5" x14ac:dyDescent="0.3">
      <c r="A1407" s="4">
        <v>45950</v>
      </c>
      <c r="B1407" s="5">
        <v>98.621899999999997</v>
      </c>
      <c r="D1407" s="4">
        <v>45950</v>
      </c>
      <c r="E1407" s="5">
        <v>7.0972999999999997</v>
      </c>
    </row>
    <row r="1408" spans="1:5" x14ac:dyDescent="0.3">
      <c r="A1408" s="4">
        <v>45951</v>
      </c>
      <c r="B1408" s="5">
        <v>98.971199999999996</v>
      </c>
      <c r="D1408" s="4">
        <v>45951</v>
      </c>
      <c r="E1408" s="5">
        <v>7.093</v>
      </c>
    </row>
    <row r="1409" spans="1:5" x14ac:dyDescent="0.3">
      <c r="A1409" s="4">
        <v>45952</v>
      </c>
      <c r="B1409" s="5">
        <v>98.9071</v>
      </c>
      <c r="D1409" s="4">
        <v>45952</v>
      </c>
      <c r="E1409" s="5">
        <v>7.0953999999999997</v>
      </c>
    </row>
    <row r="1410" spans="1:5" x14ac:dyDescent="0.3">
      <c r="A1410" s="4">
        <v>45953</v>
      </c>
      <c r="B1410" s="5">
        <v>98.933400000000006</v>
      </c>
      <c r="D1410" s="4">
        <v>45953</v>
      </c>
      <c r="E1410" s="5">
        <v>7.0918000000000001</v>
      </c>
    </row>
    <row r="1411" spans="1:5" x14ac:dyDescent="0.3">
      <c r="A1411" s="4">
        <v>45954</v>
      </c>
      <c r="B1411" s="5">
        <v>98.941699999999997</v>
      </c>
      <c r="D1411" s="4">
        <v>45954</v>
      </c>
      <c r="E1411" s="5">
        <v>7.0928000000000004</v>
      </c>
    </row>
    <row r="1412" spans="1:5" x14ac:dyDescent="0.3">
      <c r="A1412" s="4">
        <v>45957</v>
      </c>
      <c r="B1412" s="5">
        <v>98.820700000000002</v>
      </c>
      <c r="D1412" s="4">
        <v>45957</v>
      </c>
      <c r="E1412" s="5">
        <v>7.0880999999999998</v>
      </c>
    </row>
    <row r="1413" spans="1:5" x14ac:dyDescent="0.3">
      <c r="A1413" s="4">
        <v>45958</v>
      </c>
      <c r="B1413" s="5">
        <v>98.721500000000006</v>
      </c>
      <c r="D1413" s="4">
        <v>45958</v>
      </c>
      <c r="E1413" s="5">
        <v>7.0856000000000003</v>
      </c>
    </row>
    <row r="1414" spans="1:5" x14ac:dyDescent="0.3">
      <c r="A1414" s="4">
        <v>45959</v>
      </c>
      <c r="B1414" s="5">
        <v>99.149500000000003</v>
      </c>
      <c r="D1414" s="4">
        <v>45959</v>
      </c>
      <c r="E1414" s="5">
        <v>7.0842999999999998</v>
      </c>
    </row>
    <row r="1415" spans="1:5" x14ac:dyDescent="0.3">
      <c r="A1415" s="4">
        <v>45960</v>
      </c>
      <c r="B1415" s="5">
        <v>99.545599999999993</v>
      </c>
      <c r="D1415" s="4">
        <v>45960</v>
      </c>
      <c r="E1415" s="5">
        <v>7.0864000000000003</v>
      </c>
    </row>
    <row r="1416" spans="1:5" x14ac:dyDescent="0.3">
      <c r="A1416" s="4">
        <v>45961</v>
      </c>
      <c r="B1416" s="5">
        <v>99.730800000000002</v>
      </c>
      <c r="D1416" s="4">
        <v>45961</v>
      </c>
      <c r="E1416" s="5">
        <v>7.0880000000000001</v>
      </c>
    </row>
    <row r="1417" spans="1:5" x14ac:dyDescent="0.3">
      <c r="A1417" s="4">
        <v>45964</v>
      </c>
      <c r="B1417" s="5">
        <v>99.876199999999997</v>
      </c>
      <c r="D1417" s="4">
        <v>45964</v>
      </c>
      <c r="E1417" s="5">
        <v>7.0867000000000004</v>
      </c>
    </row>
    <row r="1418" spans="1:5" x14ac:dyDescent="0.3">
      <c r="A1418" s="4">
        <v>45965</v>
      </c>
      <c r="B1418" s="5">
        <v>100.2092</v>
      </c>
      <c r="D1418" s="4">
        <v>45965</v>
      </c>
      <c r="E1418" s="5">
        <v>7.0884999999999998</v>
      </c>
    </row>
    <row r="1419" spans="1:5" x14ac:dyDescent="0.3">
      <c r="A1419" s="4">
        <v>45966</v>
      </c>
      <c r="B1419" s="5">
        <v>100.1593</v>
      </c>
      <c r="D1419" s="4">
        <v>45966</v>
      </c>
      <c r="E1419" s="5">
        <v>7.0900999999999996</v>
      </c>
    </row>
    <row r="1420" spans="1:5" x14ac:dyDescent="0.3">
      <c r="A1420" s="4">
        <v>45967</v>
      </c>
      <c r="B1420" s="5">
        <v>99.696799999999996</v>
      </c>
      <c r="D1420" s="4">
        <v>45967</v>
      </c>
      <c r="E1420" s="5">
        <v>7.0865</v>
      </c>
    </row>
    <row r="1421" spans="1:5" x14ac:dyDescent="0.3">
      <c r="A1421" s="4">
        <v>45968</v>
      </c>
      <c r="B1421" s="5">
        <v>99.547700000000006</v>
      </c>
      <c r="D1421" s="4">
        <v>45968</v>
      </c>
      <c r="E1421" s="5">
        <v>7.0835999999999997</v>
      </c>
    </row>
    <row r="1422" spans="1:5" x14ac:dyDescent="0.3">
      <c r="A1422" s="4">
        <v>45971</v>
      </c>
      <c r="B1422" s="5">
        <v>99.616699999999994</v>
      </c>
      <c r="D1422" s="4">
        <v>45971</v>
      </c>
      <c r="E1422" s="5">
        <v>7.0856000000000003</v>
      </c>
    </row>
    <row r="1423" spans="1:5" x14ac:dyDescent="0.3">
      <c r="A1423" s="4">
        <v>45972</v>
      </c>
      <c r="B1423" s="5">
        <v>99.479200000000006</v>
      </c>
      <c r="D1423" s="4">
        <v>45972</v>
      </c>
      <c r="E1423" s="5">
        <v>7.0865999999999998</v>
      </c>
    </row>
    <row r="1424" spans="1:5" x14ac:dyDescent="0.3">
      <c r="A1424" s="4">
        <v>45973</v>
      </c>
      <c r="B1424" s="5">
        <v>99.477099999999993</v>
      </c>
      <c r="D1424" s="4">
        <v>45973</v>
      </c>
      <c r="E1424" s="5">
        <v>7.0833000000000004</v>
      </c>
    </row>
    <row r="1425" spans="1:5" x14ac:dyDescent="0.3">
      <c r="A1425" s="4">
        <v>45974</v>
      </c>
      <c r="B1425" s="5">
        <v>99.176000000000002</v>
      </c>
      <c r="D1425" s="4">
        <v>45974</v>
      </c>
      <c r="E1425" s="5">
        <v>7.0865</v>
      </c>
    </row>
    <row r="1426" spans="1:5" x14ac:dyDescent="0.3">
      <c r="A1426" s="4">
        <v>45975</v>
      </c>
      <c r="B1426" s="5">
        <v>99.284499999999994</v>
      </c>
      <c r="D1426" s="4">
        <v>45975</v>
      </c>
      <c r="E1426" s="5">
        <v>7.0824999999999996</v>
      </c>
    </row>
    <row r="1427" spans="1:5" x14ac:dyDescent="0.3">
      <c r="A1427" s="4">
        <v>45978</v>
      </c>
      <c r="B1427" s="5">
        <v>99.531700000000001</v>
      </c>
      <c r="D1427" s="4">
        <v>45978</v>
      </c>
      <c r="E1427" s="5">
        <v>7.0815999999999999</v>
      </c>
    </row>
    <row r="1428" spans="1:5" x14ac:dyDescent="0.3">
      <c r="A1428" s="4">
        <v>45979</v>
      </c>
      <c r="B1428" s="5">
        <v>99.593199999999996</v>
      </c>
      <c r="D1428" s="4">
        <v>45979</v>
      </c>
      <c r="E1428" s="5">
        <v>7.0856000000000003</v>
      </c>
    </row>
    <row r="1429" spans="1:5" x14ac:dyDescent="0.3">
      <c r="A1429" s="4">
        <v>45980</v>
      </c>
      <c r="B1429" s="5">
        <v>100.1249</v>
      </c>
      <c r="D1429" s="4">
        <v>45980</v>
      </c>
      <c r="E1429" s="5">
        <v>7.0872000000000002</v>
      </c>
    </row>
    <row r="1430" spans="1:5" x14ac:dyDescent="0.3">
      <c r="A1430" s="4">
        <v>45981</v>
      </c>
      <c r="B1430" s="5">
        <v>100.2193</v>
      </c>
      <c r="D1430" s="4">
        <v>45981</v>
      </c>
      <c r="E1430" s="5">
        <v>7.0904999999999996</v>
      </c>
    </row>
    <row r="1431" spans="1:5" x14ac:dyDescent="0.3">
      <c r="A1431" s="4">
        <v>45982</v>
      </c>
      <c r="B1431" s="5">
        <v>100.1527</v>
      </c>
      <c r="D1431" s="4">
        <v>45982</v>
      </c>
      <c r="E1431" s="5">
        <v>7.0875000000000004</v>
      </c>
    </row>
    <row r="1432" spans="1:5" x14ac:dyDescent="0.3">
      <c r="A1432" s="4">
        <v>45985</v>
      </c>
      <c r="B1432" s="5">
        <v>100.2026</v>
      </c>
      <c r="D1432" s="4">
        <v>45985</v>
      </c>
      <c r="E1432" s="5">
        <v>7.0846999999999998</v>
      </c>
    </row>
    <row r="1433" spans="1:5" x14ac:dyDescent="0.3">
      <c r="A1433" s="4">
        <v>45986</v>
      </c>
      <c r="B1433" s="5">
        <v>99.812299999999993</v>
      </c>
      <c r="D1433" s="4">
        <v>45986</v>
      </c>
      <c r="E1433" s="5">
        <v>7.0826000000000002</v>
      </c>
    </row>
    <row r="1434" spans="1:5" x14ac:dyDescent="0.3">
      <c r="A1434" s="4">
        <v>45987</v>
      </c>
      <c r="B1434" s="5">
        <v>99.588499999999996</v>
      </c>
      <c r="D1434" s="4">
        <v>45987</v>
      </c>
      <c r="E1434" s="5">
        <v>7.0796000000000001</v>
      </c>
    </row>
    <row r="1435" spans="1:5" x14ac:dyDescent="0.3">
      <c r="A1435" s="4">
        <v>45988</v>
      </c>
      <c r="B1435" s="5">
        <v>99.552700000000002</v>
      </c>
      <c r="D1435" s="4">
        <v>45988</v>
      </c>
      <c r="E1435" s="5">
        <v>7.0778999999999996</v>
      </c>
    </row>
    <row r="1436" spans="1:5" x14ac:dyDescent="0.3">
      <c r="A1436" s="4">
        <v>45989</v>
      </c>
      <c r="B1436" s="5">
        <v>99.439099999999996</v>
      </c>
      <c r="D1436" s="4">
        <v>45989</v>
      </c>
      <c r="E1436" s="5">
        <v>7.0789</v>
      </c>
    </row>
    <row r="1437" spans="1:5" x14ac:dyDescent="0.3">
      <c r="A1437" s="4">
        <v>45992</v>
      </c>
      <c r="B1437" s="5">
        <v>99.408100000000005</v>
      </c>
      <c r="D1437" s="4">
        <v>45992</v>
      </c>
      <c r="E1437" s="5">
        <v>7.0758999999999999</v>
      </c>
    </row>
    <row r="1438" spans="1:5" x14ac:dyDescent="0.3">
      <c r="A1438" s="4">
        <v>45993</v>
      </c>
      <c r="B1438" s="5">
        <v>99.320800000000006</v>
      </c>
      <c r="D1438" s="4">
        <v>45993</v>
      </c>
      <c r="E1438" s="5">
        <v>7.0793999999999997</v>
      </c>
    </row>
    <row r="1439" spans="1:5" x14ac:dyDescent="0.3">
      <c r="A1439" s="4">
        <v>45994</v>
      </c>
      <c r="B1439" s="5">
        <v>98.865899999999996</v>
      </c>
      <c r="D1439" s="4">
        <v>45994</v>
      </c>
      <c r="E1439" s="5">
        <v>7.0754000000000001</v>
      </c>
    </row>
    <row r="1440" spans="1:5" x14ac:dyDescent="0.3">
      <c r="A1440" s="4">
        <v>45995</v>
      </c>
      <c r="B1440" s="5">
        <v>99.060199999999995</v>
      </c>
      <c r="D1440" s="4">
        <v>45995</v>
      </c>
      <c r="E1440" s="5">
        <v>7.0732999999999997</v>
      </c>
    </row>
    <row r="1441" spans="1:5" x14ac:dyDescent="0.3">
      <c r="A1441" s="4">
        <v>45996</v>
      </c>
      <c r="B1441" s="5">
        <v>98.983000000000004</v>
      </c>
      <c r="D1441" s="4">
        <v>45996</v>
      </c>
      <c r="E1441" s="5">
        <v>7.0749000000000004</v>
      </c>
    </row>
    <row r="1442" spans="1:5" x14ac:dyDescent="0.3">
      <c r="A1442" s="4">
        <v>45999</v>
      </c>
      <c r="B1442" s="5">
        <v>99.102599999999995</v>
      </c>
      <c r="D1442" s="4">
        <v>45999</v>
      </c>
      <c r="E1442" s="5">
        <v>7.0763999999999996</v>
      </c>
    </row>
    <row r="1443" spans="1:5" x14ac:dyDescent="0.3">
      <c r="A1443" s="4">
        <v>46000</v>
      </c>
      <c r="B1443" s="5">
        <v>99.240700000000004</v>
      </c>
      <c r="D1443" s="4">
        <v>46000</v>
      </c>
      <c r="E1443" s="5">
        <v>7.0773000000000001</v>
      </c>
    </row>
    <row r="1444" spans="1:5" x14ac:dyDescent="0.3">
      <c r="A1444" s="4">
        <v>46001</v>
      </c>
      <c r="B1444" s="5">
        <v>98.640299999999996</v>
      </c>
      <c r="D1444" s="4">
        <v>46001</v>
      </c>
      <c r="E1444" s="5">
        <v>7.0753000000000004</v>
      </c>
    </row>
    <row r="1445" spans="1:5" x14ac:dyDescent="0.3">
      <c r="A1445" s="4">
        <v>46002</v>
      </c>
      <c r="B1445" s="5">
        <v>98.344800000000006</v>
      </c>
      <c r="D1445" s="4">
        <v>46002</v>
      </c>
      <c r="E1445" s="5">
        <v>7.0686</v>
      </c>
    </row>
    <row r="1446" spans="1:5" x14ac:dyDescent="0.3">
      <c r="A1446" s="4">
        <v>46003</v>
      </c>
      <c r="B1446" s="5">
        <v>98.401200000000003</v>
      </c>
      <c r="D1446" s="4">
        <v>46003</v>
      </c>
      <c r="E1446" s="5">
        <v>7.0637999999999996</v>
      </c>
    </row>
    <row r="1447" spans="1:5" x14ac:dyDescent="0.3">
      <c r="A1447" s="4">
        <v>46006</v>
      </c>
      <c r="B1447" s="5">
        <v>98.279700000000005</v>
      </c>
      <c r="D1447" s="4">
        <v>46006</v>
      </c>
      <c r="E1447" s="5">
        <v>7.0655999999999999</v>
      </c>
    </row>
    <row r="1448" spans="1:5" x14ac:dyDescent="0.3">
      <c r="A1448" s="4">
        <v>46007</v>
      </c>
      <c r="B1448" s="5">
        <v>98.219899999999996</v>
      </c>
      <c r="D1448" s="4">
        <v>46007</v>
      </c>
      <c r="E1448" s="5">
        <v>7.0602</v>
      </c>
    </row>
    <row r="1449" spans="1:5" x14ac:dyDescent="0.3">
      <c r="A1449" s="4">
        <v>46008</v>
      </c>
      <c r="B1449" s="5">
        <v>98.398300000000006</v>
      </c>
      <c r="D1449" s="4">
        <v>46008</v>
      </c>
      <c r="E1449" s="5">
        <v>7.0572999999999997</v>
      </c>
    </row>
    <row r="1450" spans="1:5" x14ac:dyDescent="0.3">
      <c r="A1450" s="4">
        <v>46009</v>
      </c>
      <c r="B1450" s="5">
        <v>98.440100000000001</v>
      </c>
      <c r="D1450" s="4">
        <v>46009</v>
      </c>
      <c r="E1450" s="5">
        <v>7.0583</v>
      </c>
    </row>
    <row r="1451" spans="1:5" x14ac:dyDescent="0.3">
      <c r="A1451" s="4">
        <v>46010</v>
      </c>
      <c r="B1451" s="5">
        <v>98.712500000000006</v>
      </c>
      <c r="D1451" s="4">
        <v>46010</v>
      </c>
      <c r="E1451" s="5">
        <v>7.0549999999999997</v>
      </c>
    </row>
    <row r="1452" spans="1:5" x14ac:dyDescent="0.3">
      <c r="A1452" s="4">
        <v>46013</v>
      </c>
      <c r="B1452" s="5">
        <v>98.260300000000001</v>
      </c>
      <c r="D1452" s="4">
        <v>46013</v>
      </c>
      <c r="E1452" s="5">
        <v>7.0571999999999999</v>
      </c>
    </row>
    <row r="1453" spans="1:5" x14ac:dyDescent="0.3">
      <c r="A1453" s="4">
        <v>46014</v>
      </c>
      <c r="B1453" s="5">
        <v>97.909300000000002</v>
      </c>
      <c r="D1453" s="4">
        <v>46014</v>
      </c>
      <c r="E1453" s="5">
        <v>7.0522999999999998</v>
      </c>
    </row>
    <row r="1454" spans="1:5" x14ac:dyDescent="0.3">
      <c r="A1454" s="4">
        <v>46015</v>
      </c>
      <c r="B1454" s="5">
        <v>97.953500000000005</v>
      </c>
      <c r="D1454" s="4">
        <v>46015</v>
      </c>
      <c r="E1454" s="5">
        <v>7.0471000000000004</v>
      </c>
    </row>
    <row r="1455" spans="1:5" x14ac:dyDescent="0.3">
      <c r="A1455" s="4">
        <v>46016</v>
      </c>
      <c r="B1455" s="5">
        <v>97.907899999999998</v>
      </c>
      <c r="D1455" s="4">
        <v>46016</v>
      </c>
      <c r="E1455" s="5">
        <v>7.0392000000000001</v>
      </c>
    </row>
    <row r="1456" spans="1:5" x14ac:dyDescent="0.3">
      <c r="A1456" s="4">
        <v>46017</v>
      </c>
      <c r="B1456" s="5">
        <v>98.034099999999995</v>
      </c>
      <c r="D1456" s="4">
        <v>46017</v>
      </c>
      <c r="E1456" s="5">
        <v>7.0358000000000001</v>
      </c>
    </row>
    <row r="1457" spans="1:5" x14ac:dyDescent="0.3">
      <c r="A1457" s="4">
        <v>46020</v>
      </c>
      <c r="B1457" s="5">
        <v>97.997500000000002</v>
      </c>
      <c r="D1457" s="4">
        <v>46020</v>
      </c>
      <c r="E1457" s="5">
        <v>7.0331000000000001</v>
      </c>
    </row>
    <row r="1458" spans="1:5" x14ac:dyDescent="0.3">
      <c r="A1458" s="4">
        <v>46021</v>
      </c>
      <c r="B1458" s="5">
        <v>98.218100000000007</v>
      </c>
      <c r="D1458" s="4">
        <v>46021</v>
      </c>
      <c r="E1458" s="5">
        <v>7.0347999999999997</v>
      </c>
    </row>
    <row r="1459" spans="1:5" x14ac:dyDescent="0.3">
      <c r="A1459" s="4">
        <v>46022</v>
      </c>
      <c r="B1459" s="5">
        <v>98.269599999999997</v>
      </c>
      <c r="D1459" s="4">
        <v>46022</v>
      </c>
      <c r="E1459" s="5">
        <v>7.0288000000000004</v>
      </c>
    </row>
    <row r="1460" spans="1:5" x14ac:dyDescent="0.3">
      <c r="A1460" s="4">
        <v>46027</v>
      </c>
      <c r="B1460" s="5">
        <v>98.329099999999997</v>
      </c>
      <c r="D1460" s="4">
        <v>46027</v>
      </c>
      <c r="E1460" s="5">
        <v>7.0229999999999997</v>
      </c>
    </row>
    <row r="1461" spans="1:5" x14ac:dyDescent="0.3">
      <c r="A1461" s="4">
        <v>46028</v>
      </c>
      <c r="B1461" s="5">
        <v>98.599699999999999</v>
      </c>
      <c r="D1461" s="4">
        <v>46028</v>
      </c>
      <c r="E1461" s="5">
        <v>7.0172999999999996</v>
      </c>
    </row>
    <row r="1462" spans="1:5" x14ac:dyDescent="0.3">
      <c r="A1462" s="4">
        <v>46029</v>
      </c>
      <c r="B1462" s="5">
        <v>98.742599999999996</v>
      </c>
      <c r="D1462" s="4">
        <v>46029</v>
      </c>
      <c r="E1462" s="5">
        <v>7.0186999999999999</v>
      </c>
    </row>
    <row r="1463" spans="1:5" x14ac:dyDescent="0.3">
      <c r="A1463" s="4">
        <v>46030</v>
      </c>
      <c r="B1463" s="5">
        <v>98.864000000000004</v>
      </c>
      <c r="D1463" s="4">
        <v>46030</v>
      </c>
      <c r="E1463" s="5">
        <v>7.0197000000000003</v>
      </c>
    </row>
    <row r="1464" spans="1:5" x14ac:dyDescent="0.3">
      <c r="A1464" s="4">
        <v>46031</v>
      </c>
      <c r="B1464" s="5">
        <v>99.136799999999994</v>
      </c>
      <c r="D1464" s="4">
        <v>46031</v>
      </c>
      <c r="E1464" s="5">
        <v>7.0128000000000004</v>
      </c>
    </row>
    <row r="1465" spans="1:5" x14ac:dyDescent="0.3">
      <c r="A1465" s="4">
        <v>46034</v>
      </c>
      <c r="B1465" s="5">
        <v>98.894300000000001</v>
      </c>
      <c r="D1465" s="4">
        <v>46034</v>
      </c>
      <c r="E1465" s="5">
        <v>7.0107999999999997</v>
      </c>
    </row>
    <row r="1466" spans="1:5" x14ac:dyDescent="0.3">
      <c r="A1466" s="4">
        <v>46035</v>
      </c>
      <c r="B1466" s="5">
        <v>99.184200000000004</v>
      </c>
      <c r="D1466" s="4">
        <v>46035</v>
      </c>
      <c r="E1466" s="5">
        <v>7.0103</v>
      </c>
    </row>
    <row r="1467" spans="1:5" x14ac:dyDescent="0.3">
      <c r="A1467" s="4">
        <v>46036</v>
      </c>
      <c r="B1467" s="5">
        <v>99.075299999999999</v>
      </c>
      <c r="D1467" s="4">
        <v>46036</v>
      </c>
      <c r="E1467" s="5">
        <v>7.0119999999999996</v>
      </c>
    </row>
    <row r="1468" spans="1:5" x14ac:dyDescent="0.3">
      <c r="A1468" s="4">
        <v>46037</v>
      </c>
      <c r="B1468" s="5">
        <v>99.342399999999998</v>
      </c>
      <c r="D1468" s="4">
        <v>46037</v>
      </c>
      <c r="E1468" s="5">
        <v>7.0064000000000002</v>
      </c>
    </row>
    <row r="1469" spans="1:5" x14ac:dyDescent="0.3">
      <c r="A1469" s="4">
        <v>46038</v>
      </c>
      <c r="B1469" s="5">
        <v>99.369100000000003</v>
      </c>
      <c r="D1469" s="4">
        <v>46038</v>
      </c>
      <c r="E1469" s="5">
        <v>7.0077999999999996</v>
      </c>
    </row>
    <row r="1470" spans="1:5" x14ac:dyDescent="0.3">
      <c r="A1470" s="4">
        <v>46041</v>
      </c>
      <c r="B1470" s="5">
        <v>99.042299999999997</v>
      </c>
      <c r="D1470" s="4">
        <v>46041</v>
      </c>
      <c r="E1470" s="5">
        <v>7.0050999999999997</v>
      </c>
    </row>
    <row r="1471" spans="1:5" x14ac:dyDescent="0.3">
      <c r="A1471" s="4">
        <v>46042</v>
      </c>
      <c r="B1471" s="5">
        <v>98.541300000000007</v>
      </c>
      <c r="D1471" s="4">
        <v>46042</v>
      </c>
      <c r="E1471" s="5">
        <v>7.0006000000000004</v>
      </c>
    </row>
    <row r="1472" spans="1:5" x14ac:dyDescent="0.3">
      <c r="A1472" s="4">
        <v>46043</v>
      </c>
      <c r="B1472" s="5">
        <v>98.769300000000001</v>
      </c>
      <c r="D1472" s="4">
        <v>46043</v>
      </c>
      <c r="E1472" s="5">
        <v>7.0014000000000003</v>
      </c>
    </row>
    <row r="1473" spans="1:5" x14ac:dyDescent="0.3">
      <c r="A1473" s="4">
        <v>46044</v>
      </c>
      <c r="B1473" s="5">
        <v>98.277799999999999</v>
      </c>
      <c r="D1473" s="4">
        <v>46044</v>
      </c>
      <c r="E1473" s="5">
        <v>7.0019</v>
      </c>
    </row>
    <row r="1474" spans="1:5" x14ac:dyDescent="0.3">
      <c r="A1474" s="4">
        <v>46045</v>
      </c>
      <c r="B1474" s="5">
        <v>97.505300000000005</v>
      </c>
      <c r="D1474" s="4">
        <v>46045</v>
      </c>
      <c r="E1474" s="5">
        <v>6.9928999999999997</v>
      </c>
    </row>
    <row r="1475" spans="1:5" x14ac:dyDescent="0.3">
      <c r="A1475" s="4">
        <v>46048</v>
      </c>
      <c r="B1475" s="5">
        <v>97.050600000000003</v>
      </c>
      <c r="D1475" s="4">
        <v>46048</v>
      </c>
      <c r="E1475" s="5">
        <v>6.9843000000000002</v>
      </c>
    </row>
    <row r="1476" spans="1:5" x14ac:dyDescent="0.3">
      <c r="A1476" s="4">
        <v>46049</v>
      </c>
      <c r="B1476" s="5">
        <v>95.772499999999994</v>
      </c>
      <c r="D1476" s="4">
        <v>46049</v>
      </c>
      <c r="E1476" s="5">
        <v>6.9858000000000002</v>
      </c>
    </row>
    <row r="1477" spans="1:5" x14ac:dyDescent="0.3">
      <c r="A1477" s="4">
        <v>46050</v>
      </c>
      <c r="B1477" s="5">
        <v>96.352000000000004</v>
      </c>
      <c r="D1477" s="4">
        <v>46050</v>
      </c>
      <c r="E1477" s="5">
        <v>6.9755000000000003</v>
      </c>
    </row>
    <row r="1478" spans="1:5" x14ac:dyDescent="0.3">
      <c r="A1478" s="4">
        <v>46051</v>
      </c>
      <c r="B1478" s="5">
        <v>96.164299999999997</v>
      </c>
      <c r="D1478" s="4">
        <v>46051</v>
      </c>
      <c r="E1478" s="5">
        <v>6.9771000000000001</v>
      </c>
    </row>
    <row r="1479" spans="1:5" x14ac:dyDescent="0.3">
      <c r="A1479" s="4">
        <v>46052</v>
      </c>
      <c r="B1479" s="5">
        <v>97.115200000000002</v>
      </c>
      <c r="D1479" s="4">
        <v>46052</v>
      </c>
      <c r="E1479" s="5">
        <v>6.9678000000000004</v>
      </c>
    </row>
    <row r="1480" spans="1:5" x14ac:dyDescent="0.3">
      <c r="A1480" s="4">
        <v>46055</v>
      </c>
      <c r="B1480" s="5">
        <v>97.612899999999996</v>
      </c>
      <c r="D1480" s="4">
        <v>46055</v>
      </c>
      <c r="E1480" s="5">
        <v>6.9695</v>
      </c>
    </row>
    <row r="1481" spans="1:5" x14ac:dyDescent="0.3">
      <c r="A1481" s="4">
        <v>46056</v>
      </c>
      <c r="B1481" s="5">
        <v>97.387200000000007</v>
      </c>
      <c r="D1481" s="4">
        <v>46056</v>
      </c>
      <c r="E1481" s="5">
        <v>6.9607999999999999</v>
      </c>
    </row>
    <row r="1482" spans="1:5" x14ac:dyDescent="0.3">
      <c r="A1482" s="4">
        <v>46057</v>
      </c>
      <c r="B1482" s="5">
        <v>97.651799999999994</v>
      </c>
      <c r="D1482" s="4">
        <v>46057</v>
      </c>
      <c r="E1482" s="5">
        <v>6.9532999999999996</v>
      </c>
    </row>
    <row r="1483" spans="1:5" x14ac:dyDescent="0.3">
      <c r="A1483" s="4">
        <v>46058</v>
      </c>
      <c r="B1483" s="5">
        <v>97.958500000000001</v>
      </c>
      <c r="D1483" s="4">
        <v>46058</v>
      </c>
      <c r="E1483" s="5">
        <v>6.9569999999999999</v>
      </c>
    </row>
    <row r="1484" spans="1:5" x14ac:dyDescent="0.3">
      <c r="A1484" s="4">
        <v>46059</v>
      </c>
      <c r="B1484" s="5">
        <v>97.610200000000006</v>
      </c>
      <c r="D1484" s="4">
        <v>46059</v>
      </c>
      <c r="E1484" s="5">
        <v>6.9589999999999996</v>
      </c>
    </row>
    <row r="1485" spans="1:5" x14ac:dyDescent="0.3">
      <c r="A1485" s="4">
        <v>46062</v>
      </c>
      <c r="B1485" s="5">
        <v>96.852599999999995</v>
      </c>
      <c r="D1485" s="4">
        <v>46062</v>
      </c>
      <c r="E1485" s="5">
        <v>6.9523000000000001</v>
      </c>
    </row>
    <row r="1486" spans="1:5" x14ac:dyDescent="0.3">
      <c r="A1486" s="4">
        <v>46063</v>
      </c>
      <c r="B1486" s="5">
        <v>96.864999999999995</v>
      </c>
      <c r="D1486" s="4">
        <v>46063</v>
      </c>
      <c r="E1486" s="5">
        <v>6.9458000000000002</v>
      </c>
    </row>
    <row r="1487" spans="1:5" x14ac:dyDescent="0.3">
      <c r="A1487" s="4">
        <v>46064</v>
      </c>
      <c r="B1487" s="5">
        <v>96.919399999999996</v>
      </c>
      <c r="D1487" s="4">
        <v>46064</v>
      </c>
      <c r="E1487" s="5">
        <v>6.9438000000000004</v>
      </c>
    </row>
    <row r="1488" spans="1:5" x14ac:dyDescent="0.3">
      <c r="A1488" s="4">
        <v>46065</v>
      </c>
      <c r="B1488" s="5">
        <v>96.906499999999994</v>
      </c>
      <c r="D1488" s="4">
        <v>46065</v>
      </c>
      <c r="E1488" s="5">
        <v>6.9457000000000004</v>
      </c>
    </row>
    <row r="1489" spans="1:5" x14ac:dyDescent="0.3">
      <c r="A1489" s="4">
        <v>46066</v>
      </c>
      <c r="B1489" s="5">
        <v>96.859200000000001</v>
      </c>
      <c r="D1489" s="4">
        <v>46066</v>
      </c>
      <c r="E1489" s="5">
        <v>6.9398</v>
      </c>
    </row>
    <row r="1490" spans="1:5" x14ac:dyDescent="0.3">
      <c r="A1490" s="4">
        <v>46077</v>
      </c>
      <c r="B1490" s="5">
        <v>97.893100000000004</v>
      </c>
      <c r="D1490" s="4">
        <v>46077</v>
      </c>
      <c r="E1490" s="5">
        <v>6.9413999999999998</v>
      </c>
    </row>
    <row r="1491" spans="1:5" x14ac:dyDescent="0.3">
      <c r="A1491" s="4">
        <v>46078</v>
      </c>
      <c r="B1491" s="5">
        <v>97.659400000000005</v>
      </c>
      <c r="D1491" s="4">
        <v>46078</v>
      </c>
      <c r="E1491" s="5">
        <v>6.9321000000000002</v>
      </c>
    </row>
    <row r="1492" spans="1:5" x14ac:dyDescent="0.3">
      <c r="A1492" s="4">
        <v>46079</v>
      </c>
      <c r="B1492" s="5">
        <v>97.784599999999998</v>
      </c>
      <c r="D1492" s="4">
        <v>46079</v>
      </c>
      <c r="E1492" s="5">
        <v>6.9227999999999996</v>
      </c>
    </row>
    <row r="1493" spans="1:5" x14ac:dyDescent="0.3">
      <c r="A1493" s="4">
        <v>46080</v>
      </c>
      <c r="B1493" s="5">
        <v>97.644300000000001</v>
      </c>
      <c r="D1493" s="4">
        <v>46080</v>
      </c>
      <c r="E1493" s="5">
        <v>6.9227999999999996</v>
      </c>
    </row>
    <row r="1494" spans="1:5" x14ac:dyDescent="0.3">
      <c r="A1494" s="4">
        <v>46083</v>
      </c>
      <c r="B1494" s="5">
        <v>98.549099999999996</v>
      </c>
      <c r="D1494" s="4">
        <v>46083</v>
      </c>
      <c r="E1494" s="5">
        <v>6.9236000000000004</v>
      </c>
    </row>
    <row r="1495" spans="1:5" x14ac:dyDescent="0.3">
      <c r="A1495" s="4">
        <v>46084</v>
      </c>
      <c r="B1495" s="5">
        <v>99.062299999999993</v>
      </c>
      <c r="D1495" s="4">
        <v>46084</v>
      </c>
      <c r="E1495" s="5">
        <v>6.9088000000000003</v>
      </c>
    </row>
    <row r="1496" spans="1:5" x14ac:dyDescent="0.3">
      <c r="A1496" s="4">
        <v>46085</v>
      </c>
      <c r="B1496" s="5">
        <v>98.796800000000005</v>
      </c>
      <c r="D1496" s="4">
        <v>46085</v>
      </c>
      <c r="E1496" s="5">
        <v>6.9123999999999999</v>
      </c>
    </row>
    <row r="1497" spans="1:5" x14ac:dyDescent="0.3">
      <c r="A1497" s="4">
        <v>46086</v>
      </c>
      <c r="B1497" s="5">
        <v>99.043400000000005</v>
      </c>
      <c r="D1497" s="4">
        <v>46086</v>
      </c>
      <c r="E1497" s="5">
        <v>6.9006999999999996</v>
      </c>
    </row>
    <row r="1498" spans="1:5" x14ac:dyDescent="0.3">
      <c r="A1498" s="4">
        <v>46087</v>
      </c>
      <c r="B1498" s="5">
        <v>98.955799999999996</v>
      </c>
      <c r="D1498" s="4">
        <v>46087</v>
      </c>
      <c r="E1498" s="5">
        <v>6.9024999999999999</v>
      </c>
    </row>
    <row r="1499" spans="1:5" x14ac:dyDescent="0.3">
      <c r="A1499" s="4">
        <v>46090</v>
      </c>
      <c r="B1499" s="5">
        <v>98.714799999999997</v>
      </c>
      <c r="D1499" s="4">
        <v>46090</v>
      </c>
      <c r="E1499" s="5">
        <v>6.9157999999999999</v>
      </c>
    </row>
    <row r="1500" spans="1:5" x14ac:dyDescent="0.3">
      <c r="A1500" s="4">
        <v>46091</v>
      </c>
      <c r="B1500" s="5">
        <v>98.9435</v>
      </c>
      <c r="D1500" s="4">
        <v>46091</v>
      </c>
      <c r="E1500" s="5">
        <v>6.8982000000000001</v>
      </c>
    </row>
    <row r="1501" spans="1:5" x14ac:dyDescent="0.3">
      <c r="A1501" s="4">
        <v>46092</v>
      </c>
      <c r="B1501" s="5">
        <v>99.262200000000007</v>
      </c>
      <c r="D1501" s="4">
        <v>46092</v>
      </c>
      <c r="E1501" s="5">
        <v>6.8917000000000002</v>
      </c>
    </row>
    <row r="1502" spans="1:5" x14ac:dyDescent="0.3">
      <c r="A1502" s="4">
        <v>46093</v>
      </c>
      <c r="B1502" s="5">
        <v>99.739800000000002</v>
      </c>
      <c r="D1502" s="4">
        <v>46093</v>
      </c>
      <c r="E1502" s="5">
        <v>6.8959000000000001</v>
      </c>
    </row>
    <row r="1503" spans="1:5" x14ac:dyDescent="0.3">
      <c r="A1503" s="4">
        <v>46094</v>
      </c>
      <c r="B1503" s="5">
        <v>100.504</v>
      </c>
      <c r="D1503" s="4">
        <v>46094</v>
      </c>
      <c r="E1503" s="5">
        <v>6.9006999999999996</v>
      </c>
    </row>
    <row r="1504" spans="1:5" x14ac:dyDescent="0.3">
      <c r="A1504" s="4">
        <v>46097</v>
      </c>
      <c r="B1504" s="5">
        <v>99.8018</v>
      </c>
      <c r="D1504" s="4">
        <v>46097</v>
      </c>
      <c r="E1504" s="5">
        <v>6.9057000000000004</v>
      </c>
    </row>
    <row r="1505" spans="1:5" x14ac:dyDescent="0.3">
      <c r="A1505" s="4">
        <v>46098</v>
      </c>
      <c r="B1505" s="5">
        <v>99.556700000000006</v>
      </c>
      <c r="D1505" s="4">
        <v>46098</v>
      </c>
      <c r="E1505" s="5">
        <v>6.8960999999999997</v>
      </c>
    </row>
    <row r="1506" spans="1:5" x14ac:dyDescent="0.3">
      <c r="A1506" s="4">
        <v>46099</v>
      </c>
      <c r="B1506" s="5">
        <v>100.29810000000001</v>
      </c>
      <c r="D1506" s="4">
        <v>46099</v>
      </c>
      <c r="E1506" s="5">
        <v>6.8909000000000002</v>
      </c>
    </row>
    <row r="1507" spans="1:5" x14ac:dyDescent="0.3">
      <c r="A1507" s="4">
        <v>46100</v>
      </c>
      <c r="B1507" s="5">
        <v>99.184700000000007</v>
      </c>
      <c r="D1507" s="4">
        <v>46100</v>
      </c>
      <c r="E1507" s="5">
        <v>6.8975</v>
      </c>
    </row>
    <row r="1508" spans="1:5" x14ac:dyDescent="0.3">
      <c r="A1508" s="4">
        <v>46101</v>
      </c>
      <c r="B1508" s="5">
        <v>99.51</v>
      </c>
      <c r="D1508" s="4">
        <v>46101</v>
      </c>
      <c r="E1508" s="5">
        <v>6.8898000000000001</v>
      </c>
    </row>
    <row r="1509" spans="1:5" x14ac:dyDescent="0.3">
      <c r="A1509" s="4">
        <v>46104</v>
      </c>
      <c r="B1509" s="5">
        <v>99.159700000000001</v>
      </c>
      <c r="D1509" s="4">
        <v>46104</v>
      </c>
      <c r="E1509" s="5">
        <v>6.9040999999999997</v>
      </c>
    </row>
    <row r="1510" spans="1:5" x14ac:dyDescent="0.3">
      <c r="A1510" s="4">
        <v>46105</v>
      </c>
      <c r="B1510" s="5">
        <v>99.228300000000004</v>
      </c>
      <c r="D1510" s="4">
        <v>46105</v>
      </c>
      <c r="E1510" s="5">
        <v>6.8943000000000003</v>
      </c>
    </row>
    <row r="1511" spans="1:5" x14ac:dyDescent="0.3">
      <c r="A1511" s="4">
        <v>46106</v>
      </c>
      <c r="B1511" s="5">
        <v>99.632900000000006</v>
      </c>
      <c r="D1511" s="4">
        <v>46106</v>
      </c>
      <c r="E1511" s="5">
        <v>6.8910999999999998</v>
      </c>
    </row>
    <row r="1512" spans="1:5" x14ac:dyDescent="0.3">
      <c r="A1512" s="4">
        <v>46107</v>
      </c>
      <c r="B1512" s="5">
        <v>99.917199999999994</v>
      </c>
      <c r="D1512" s="4">
        <v>46107</v>
      </c>
      <c r="E1512" s="5">
        <v>6.9055999999999997</v>
      </c>
    </row>
    <row r="1513" spans="1:5" x14ac:dyDescent="0.3">
      <c r="A1513" s="4">
        <v>46108</v>
      </c>
      <c r="B1513" s="5">
        <v>100.17449999999999</v>
      </c>
      <c r="D1513" s="4">
        <v>46108</v>
      </c>
      <c r="E1513" s="5">
        <v>6.9141000000000004</v>
      </c>
    </row>
    <row r="1514" spans="1:5" x14ac:dyDescent="0.3">
      <c r="A1514" s="4">
        <v>46111</v>
      </c>
      <c r="B1514" s="5">
        <v>100.50539999999999</v>
      </c>
      <c r="D1514" s="4">
        <v>46111</v>
      </c>
      <c r="E1514" s="5">
        <v>6.9222999999999999</v>
      </c>
    </row>
    <row r="1515" spans="1:5" x14ac:dyDescent="0.3">
      <c r="A1515" s="4">
        <v>46112</v>
      </c>
      <c r="B1515" s="5">
        <v>99.881699999999995</v>
      </c>
      <c r="D1515" s="4">
        <v>46112</v>
      </c>
      <c r="E1515" s="5">
        <v>6.9194000000000004</v>
      </c>
    </row>
    <row r="1516" spans="1:5" x14ac:dyDescent="0.3">
      <c r="A1516" s="4">
        <v>46113</v>
      </c>
      <c r="B1516" s="5">
        <v>99.553899999999999</v>
      </c>
      <c r="D1516" s="4">
        <v>46113</v>
      </c>
      <c r="E1516" s="5">
        <v>6.9024999999999999</v>
      </c>
    </row>
    <row r="1517" spans="1:5" x14ac:dyDescent="0.3">
      <c r="A1517" s="4">
        <v>46114</v>
      </c>
      <c r="B1517" s="5">
        <v>100.01</v>
      </c>
      <c r="D1517" s="4">
        <v>46114</v>
      </c>
      <c r="E1517" s="5">
        <v>6.8879999999999999</v>
      </c>
    </row>
    <row r="1518" spans="1:5" x14ac:dyDescent="0.3">
      <c r="A1518" s="4">
        <v>46115</v>
      </c>
      <c r="B1518" s="5">
        <v>100.1943</v>
      </c>
      <c r="D1518" s="4">
        <v>46115</v>
      </c>
      <c r="E1518" s="5">
        <v>6.8929</v>
      </c>
    </row>
    <row r="1519" spans="1:5" x14ac:dyDescent="0.3">
      <c r="A1519" s="4">
        <v>46119</v>
      </c>
      <c r="B1519" s="5">
        <v>99.653400000000005</v>
      </c>
      <c r="D1519" s="4">
        <v>46119</v>
      </c>
      <c r="E1519" s="5">
        <v>6.8853999999999997</v>
      </c>
    </row>
    <row r="1520" spans="1:5" x14ac:dyDescent="0.3">
      <c r="A1520" s="4">
        <v>46120</v>
      </c>
      <c r="B1520" s="5">
        <v>99.028000000000006</v>
      </c>
      <c r="D1520" s="4">
        <v>46120</v>
      </c>
      <c r="E1520" s="5">
        <v>6.8680000000000003</v>
      </c>
    </row>
    <row r="1521" spans="1:5" x14ac:dyDescent="0.3">
      <c r="A1521" s="4">
        <v>46121</v>
      </c>
      <c r="B1521" s="5">
        <v>98.815700000000007</v>
      </c>
      <c r="D1521" s="4">
        <v>46121</v>
      </c>
      <c r="E1521" s="5">
        <v>6.8648999999999996</v>
      </c>
    </row>
    <row r="1522" spans="1:5" x14ac:dyDescent="0.3">
      <c r="A1522" s="4">
        <v>46122</v>
      </c>
      <c r="B1522" s="5">
        <v>98.699700000000007</v>
      </c>
      <c r="D1522" s="4">
        <v>46122</v>
      </c>
      <c r="E1522" s="5">
        <v>6.8654000000000002</v>
      </c>
    </row>
    <row r="1523" spans="1:5" x14ac:dyDescent="0.3">
      <c r="A1523" s="4">
        <v>46125</v>
      </c>
      <c r="B1523" s="5">
        <v>98.409400000000005</v>
      </c>
      <c r="D1523" s="4">
        <v>46125</v>
      </c>
      <c r="E1523" s="5">
        <v>6.8657000000000004</v>
      </c>
    </row>
    <row r="1524" spans="1:5" x14ac:dyDescent="0.3">
      <c r="A1524" s="4">
        <v>46126</v>
      </c>
      <c r="B1524" s="5">
        <v>98.099500000000006</v>
      </c>
      <c r="D1524" s="4">
        <v>46126</v>
      </c>
      <c r="E1524" s="5">
        <v>6.8593000000000002</v>
      </c>
    </row>
    <row r="1525" spans="1:5" x14ac:dyDescent="0.3">
      <c r="A1525" s="4">
        <v>46127</v>
      </c>
      <c r="B1525" s="5">
        <v>98.0792</v>
      </c>
      <c r="D1525" s="4">
        <v>46127</v>
      </c>
      <c r="E1525" s="5">
        <v>6.8582000000000001</v>
      </c>
    </row>
    <row r="1526" spans="1:5" x14ac:dyDescent="0.3">
      <c r="A1526" s="4">
        <v>46128</v>
      </c>
      <c r="B1526" s="5">
        <v>98.203500000000005</v>
      </c>
      <c r="D1526" s="4">
        <v>46128</v>
      </c>
      <c r="E1526" s="5">
        <v>6.8616000000000001</v>
      </c>
    </row>
    <row r="1527" spans="1:5" x14ac:dyDescent="0.3">
      <c r="A1527" s="4">
        <v>46129</v>
      </c>
      <c r="B1527" s="5">
        <v>98.228899999999996</v>
      </c>
      <c r="D1527" s="4">
        <v>46129</v>
      </c>
      <c r="E1527" s="5">
        <v>6.8621999999999996</v>
      </c>
    </row>
    <row r="1528" spans="1:5" x14ac:dyDescent="0.3">
      <c r="A1528" s="4">
        <v>46132</v>
      </c>
      <c r="B1528" s="5">
        <v>98.054100000000005</v>
      </c>
      <c r="D1528" s="4">
        <v>46132</v>
      </c>
      <c r="E1528" s="5">
        <v>6.8647999999999998</v>
      </c>
    </row>
    <row r="1529" spans="1:5" x14ac:dyDescent="0.3">
      <c r="A1529" s="4">
        <v>46133</v>
      </c>
      <c r="B1529" s="5">
        <v>98.3767</v>
      </c>
      <c r="D1529" s="4">
        <v>46133</v>
      </c>
      <c r="E1529" s="5">
        <v>6.8593999999999999</v>
      </c>
    </row>
    <row r="1530" spans="1:5" x14ac:dyDescent="0.3">
      <c r="A1530" s="4">
        <v>46134</v>
      </c>
      <c r="B1530" s="5">
        <v>98.605900000000005</v>
      </c>
      <c r="D1530" s="4">
        <v>46134</v>
      </c>
      <c r="E1530" s="5">
        <v>6.8635000000000002</v>
      </c>
    </row>
    <row r="1531" spans="1:5" x14ac:dyDescent="0.3">
      <c r="A1531" s="4">
        <v>46135</v>
      </c>
      <c r="B1531" s="5">
        <v>98.8279</v>
      </c>
      <c r="D1531" s="4">
        <v>46135</v>
      </c>
      <c r="E1531" s="5">
        <v>6.8650000000000002</v>
      </c>
    </row>
    <row r="1532" spans="1:5" x14ac:dyDescent="0.3">
      <c r="A1532" s="4">
        <v>46136</v>
      </c>
      <c r="B1532" s="5">
        <v>98.526700000000005</v>
      </c>
      <c r="D1532" s="4">
        <v>46136</v>
      </c>
      <c r="E1532" s="5">
        <v>6.8673999999999999</v>
      </c>
    </row>
    <row r="1533" spans="1:5" x14ac:dyDescent="0.3">
      <c r="A1533" s="4">
        <v>46139</v>
      </c>
      <c r="B1533" s="5">
        <v>98.49</v>
      </c>
      <c r="D1533" s="4">
        <v>46139</v>
      </c>
      <c r="E1533" s="5">
        <v>6.8578999999999999</v>
      </c>
    </row>
    <row r="1534" spans="1:5" x14ac:dyDescent="0.3">
      <c r="A1534" s="4">
        <v>46140</v>
      </c>
      <c r="B1534" s="5">
        <v>98.629300000000001</v>
      </c>
      <c r="D1534" s="4">
        <v>46140</v>
      </c>
      <c r="E1534" s="5">
        <v>6.8589000000000002</v>
      </c>
    </row>
    <row r="1535" spans="1:5" x14ac:dyDescent="0.3">
      <c r="A1535" s="4">
        <v>46141</v>
      </c>
      <c r="B1535" s="5">
        <v>98.953199999999995</v>
      </c>
      <c r="D1535" s="4">
        <v>46141</v>
      </c>
      <c r="E1535" s="5">
        <v>6.8608000000000002</v>
      </c>
    </row>
    <row r="1536" spans="1:5" x14ac:dyDescent="0.3">
      <c r="A1536" s="4">
        <v>46142</v>
      </c>
      <c r="B1536" s="5">
        <v>98.099699999999999</v>
      </c>
      <c r="D1536" s="4">
        <v>46142</v>
      </c>
      <c r="E1536" s="5">
        <v>6.8628</v>
      </c>
    </row>
    <row r="1537" spans="1:5" x14ac:dyDescent="0.3">
      <c r="A1537" s="4">
        <v>46148</v>
      </c>
      <c r="B1537" s="5">
        <v>98.026600000000002</v>
      </c>
      <c r="D1537" s="4">
        <v>46148</v>
      </c>
      <c r="E1537" s="5">
        <v>6.8562000000000003</v>
      </c>
    </row>
    <row r="1538" spans="1:5" x14ac:dyDescent="0.3">
      <c r="A1538" s="4">
        <v>46149</v>
      </c>
      <c r="B1538" s="5">
        <v>98.280699999999996</v>
      </c>
      <c r="D1538" s="4">
        <v>46149</v>
      </c>
      <c r="E1538" s="5">
        <v>6.8487</v>
      </c>
    </row>
    <row r="1539" spans="1:5" x14ac:dyDescent="0.3">
      <c r="A1539" s="4">
        <v>46150</v>
      </c>
      <c r="B1539" s="5">
        <v>97.848500000000001</v>
      </c>
      <c r="D1539" s="4">
        <v>46150</v>
      </c>
      <c r="E1539" s="5">
        <v>6.8502000000000001</v>
      </c>
    </row>
    <row r="1540" spans="1:5" x14ac:dyDescent="0.3">
      <c r="A1540" s="4">
        <v>46153</v>
      </c>
      <c r="B1540" s="5">
        <v>97.941299999999998</v>
      </c>
      <c r="D1540" s="4">
        <v>46153</v>
      </c>
      <c r="E1540" s="5">
        <v>6.8467000000000002</v>
      </c>
    </row>
    <row r="1541" spans="1:5" x14ac:dyDescent="0.3">
      <c r="A1541" s="4">
        <v>46154</v>
      </c>
      <c r="B1541" s="5">
        <v>98.283900000000003</v>
      </c>
      <c r="D1541" s="4">
        <v>46154</v>
      </c>
      <c r="E1541" s="5">
        <v>6.8426</v>
      </c>
    </row>
    <row r="1542" spans="1:5" x14ac:dyDescent="0.3">
      <c r="A1542" s="4">
        <v>46155</v>
      </c>
      <c r="B1542" s="5">
        <v>98.283900000000003</v>
      </c>
      <c r="D1542" s="4">
        <v>46155</v>
      </c>
      <c r="E1542" s="5">
        <v>6.8426</v>
      </c>
    </row>
  </sheetData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1607"/>
  <sheetViews>
    <sheetView zoomScale="115" zoomScaleNormal="115" workbookViewId="0">
      <pane ySplit="3" topLeftCell="A1594" activePane="bottomLeft" state="frozen"/>
      <selection pane="bottomLeft" activeCell="B1603" sqref="B1603"/>
    </sheetView>
  </sheetViews>
  <sheetFormatPr defaultColWidth="9" defaultRowHeight="13.5" x14ac:dyDescent="0.3"/>
  <cols>
    <col min="1" max="1" width="11.6640625" customWidth="1"/>
    <col min="2" max="2" width="22" customWidth="1"/>
    <col min="3" max="3" width="16.9296875" customWidth="1"/>
  </cols>
  <sheetData>
    <row r="1" spans="1:3" ht="13.9" x14ac:dyDescent="0.35">
      <c r="B1" s="1" t="s">
        <v>16</v>
      </c>
    </row>
    <row r="2" spans="1:3" ht="13.9" x14ac:dyDescent="0.35">
      <c r="B2" s="1" t="s">
        <v>17</v>
      </c>
    </row>
    <row r="3" spans="1:3" ht="13.9" x14ac:dyDescent="0.35">
      <c r="A3" s="1" t="s">
        <v>12</v>
      </c>
      <c r="B3" s="1" t="s">
        <v>127</v>
      </c>
      <c r="C3" s="52"/>
    </row>
    <row r="4" spans="1:3" ht="13.9" x14ac:dyDescent="0.35">
      <c r="A4" s="1" t="s">
        <v>13</v>
      </c>
      <c r="B4" s="1" t="s">
        <v>18</v>
      </c>
    </row>
    <row r="5" spans="1:3" ht="13.9" x14ac:dyDescent="0.35">
      <c r="A5" s="2">
        <v>43832</v>
      </c>
      <c r="B5" s="3">
        <f>[1]!WSD(B2,B4:B4,"2020-01-01","","TradingCalendar=SSE","rptType=1","ShowParams=Y","cols=1;rows=1603")</f>
        <v>66.17</v>
      </c>
    </row>
    <row r="6" spans="1:3" ht="13.9" x14ac:dyDescent="0.35">
      <c r="A6" s="2">
        <v>43833</v>
      </c>
      <c r="B6" s="3">
        <v>68.36</v>
      </c>
    </row>
    <row r="7" spans="1:3" ht="13.9" x14ac:dyDescent="0.35">
      <c r="A7" s="2">
        <v>43836</v>
      </c>
      <c r="B7" s="3">
        <v>70.23</v>
      </c>
    </row>
    <row r="8" spans="1:3" ht="13.9" x14ac:dyDescent="0.35">
      <c r="A8" s="2">
        <v>43837</v>
      </c>
      <c r="B8" s="3">
        <v>68.89</v>
      </c>
    </row>
    <row r="9" spans="1:3" ht="13.9" x14ac:dyDescent="0.35">
      <c r="A9" s="2">
        <v>43838</v>
      </c>
      <c r="B9" s="3">
        <v>67.72</v>
      </c>
    </row>
    <row r="10" spans="1:3" ht="13.9" x14ac:dyDescent="0.35">
      <c r="A10" s="2">
        <v>43839</v>
      </c>
      <c r="B10" s="3">
        <v>66.540000000000006</v>
      </c>
    </row>
    <row r="11" spans="1:3" ht="13.9" x14ac:dyDescent="0.35">
      <c r="A11" s="2">
        <v>43840</v>
      </c>
      <c r="B11" s="3">
        <v>66.510000000000005</v>
      </c>
    </row>
    <row r="12" spans="1:3" ht="13.9" x14ac:dyDescent="0.35">
      <c r="A12" s="2">
        <v>43843</v>
      </c>
      <c r="B12" s="3">
        <v>64.22</v>
      </c>
    </row>
    <row r="13" spans="1:3" ht="13.9" x14ac:dyDescent="0.35">
      <c r="A13" s="2">
        <v>43844</v>
      </c>
      <c r="B13" s="3">
        <v>64.59</v>
      </c>
    </row>
    <row r="14" spans="1:3" ht="13.9" x14ac:dyDescent="0.35">
      <c r="A14" s="2">
        <v>43845</v>
      </c>
      <c r="B14" s="3">
        <v>63.6</v>
      </c>
    </row>
    <row r="15" spans="1:3" ht="13.9" x14ac:dyDescent="0.35">
      <c r="A15" s="2">
        <v>43846</v>
      </c>
      <c r="B15" s="3">
        <v>64.55</v>
      </c>
    </row>
    <row r="16" spans="1:3" ht="13.9" x14ac:dyDescent="0.35">
      <c r="A16" s="2">
        <v>43847</v>
      </c>
      <c r="B16" s="3">
        <v>64.08</v>
      </c>
    </row>
    <row r="17" spans="1:2" ht="13.9" x14ac:dyDescent="0.35">
      <c r="A17" s="2">
        <v>43850</v>
      </c>
      <c r="B17" s="3">
        <v>64.56</v>
      </c>
    </row>
    <row r="18" spans="1:2" ht="13.9" x14ac:dyDescent="0.35">
      <c r="A18" s="2">
        <v>43851</v>
      </c>
      <c r="B18" s="3">
        <v>64.2</v>
      </c>
    </row>
    <row r="19" spans="1:2" ht="13.9" x14ac:dyDescent="0.35">
      <c r="A19" s="2">
        <v>43852</v>
      </c>
      <c r="B19" s="3">
        <v>62.46</v>
      </c>
    </row>
    <row r="20" spans="1:2" ht="13.9" x14ac:dyDescent="0.35">
      <c r="A20" s="2">
        <v>43853</v>
      </c>
      <c r="B20" s="3">
        <v>61.3</v>
      </c>
    </row>
    <row r="21" spans="1:2" ht="13.9" x14ac:dyDescent="0.35">
      <c r="A21" s="2">
        <v>43854</v>
      </c>
      <c r="B21" s="3">
        <v>59.91</v>
      </c>
    </row>
    <row r="22" spans="1:2" ht="13.9" x14ac:dyDescent="0.35">
      <c r="A22" s="2">
        <v>43857</v>
      </c>
      <c r="B22" s="3">
        <v>58.49</v>
      </c>
    </row>
    <row r="23" spans="1:2" ht="13.9" x14ac:dyDescent="0.35">
      <c r="A23" s="2">
        <v>43858</v>
      </c>
      <c r="B23" s="3">
        <v>59.51</v>
      </c>
    </row>
    <row r="24" spans="1:2" ht="13.9" x14ac:dyDescent="0.35">
      <c r="A24" s="2">
        <v>43859</v>
      </c>
      <c r="B24" s="3">
        <v>59.67</v>
      </c>
    </row>
    <row r="25" spans="1:2" ht="13.9" x14ac:dyDescent="0.35">
      <c r="A25" s="2">
        <v>43860</v>
      </c>
      <c r="B25" s="3">
        <v>57.86</v>
      </c>
    </row>
    <row r="26" spans="1:2" ht="13.9" x14ac:dyDescent="0.35">
      <c r="A26" s="2">
        <v>43861</v>
      </c>
      <c r="B26" s="3">
        <v>56.81</v>
      </c>
    </row>
    <row r="27" spans="1:2" ht="13.9" x14ac:dyDescent="0.35">
      <c r="A27" s="2">
        <v>43864</v>
      </c>
      <c r="B27" s="3">
        <v>53.71</v>
      </c>
    </row>
    <row r="28" spans="1:2" ht="13.9" x14ac:dyDescent="0.35">
      <c r="A28" s="2">
        <v>43865</v>
      </c>
      <c r="B28" s="3">
        <v>53.76</v>
      </c>
    </row>
    <row r="29" spans="1:2" ht="13.9" x14ac:dyDescent="0.35">
      <c r="A29" s="2">
        <v>43866</v>
      </c>
      <c r="B29" s="3">
        <v>55.11</v>
      </c>
    </row>
    <row r="30" spans="1:2" ht="13.9" x14ac:dyDescent="0.35">
      <c r="A30" s="2">
        <v>43867</v>
      </c>
      <c r="B30" s="3">
        <v>54.02</v>
      </c>
    </row>
    <row r="31" spans="1:2" ht="13.9" x14ac:dyDescent="0.35">
      <c r="A31" s="2">
        <v>43868</v>
      </c>
      <c r="B31" s="3">
        <v>54.22</v>
      </c>
    </row>
    <row r="32" spans="1:2" ht="13.9" x14ac:dyDescent="0.35">
      <c r="A32" s="2">
        <v>43871</v>
      </c>
      <c r="B32" s="3">
        <v>53.4</v>
      </c>
    </row>
    <row r="33" spans="1:2" ht="13.9" x14ac:dyDescent="0.35">
      <c r="A33" s="2">
        <v>43872</v>
      </c>
      <c r="B33" s="3">
        <v>53.77</v>
      </c>
    </row>
    <row r="34" spans="1:2" ht="13.9" x14ac:dyDescent="0.35">
      <c r="A34" s="2">
        <v>43873</v>
      </c>
      <c r="B34" s="3">
        <v>55.68</v>
      </c>
    </row>
    <row r="35" spans="1:2" ht="13.9" x14ac:dyDescent="0.35">
      <c r="A35" s="2">
        <v>43874</v>
      </c>
      <c r="B35" s="3">
        <v>56.42</v>
      </c>
    </row>
    <row r="36" spans="1:2" ht="13.9" x14ac:dyDescent="0.35">
      <c r="A36" s="2">
        <v>43875</v>
      </c>
      <c r="B36" s="3">
        <v>57.17</v>
      </c>
    </row>
    <row r="37" spans="1:2" ht="13.9" x14ac:dyDescent="0.35">
      <c r="A37" s="2">
        <v>43878</v>
      </c>
      <c r="B37" s="3">
        <v>57.91</v>
      </c>
    </row>
    <row r="38" spans="1:2" ht="13.9" x14ac:dyDescent="0.35">
      <c r="A38" s="2">
        <v>43879</v>
      </c>
      <c r="B38" s="3">
        <v>57.54</v>
      </c>
    </row>
    <row r="39" spans="1:2" ht="13.9" x14ac:dyDescent="0.35">
      <c r="A39" s="2">
        <v>43880</v>
      </c>
      <c r="B39" s="3">
        <v>59.87</v>
      </c>
    </row>
    <row r="40" spans="1:2" ht="13.9" x14ac:dyDescent="0.35">
      <c r="A40" s="2">
        <v>43881</v>
      </c>
      <c r="B40" s="3">
        <v>60.31</v>
      </c>
    </row>
    <row r="41" spans="1:2" ht="13.9" x14ac:dyDescent="0.35">
      <c r="A41" s="2">
        <v>43882</v>
      </c>
      <c r="B41" s="3">
        <v>58.76</v>
      </c>
    </row>
    <row r="42" spans="1:2" ht="13.9" x14ac:dyDescent="0.35">
      <c r="A42" s="2">
        <v>43885</v>
      </c>
      <c r="B42" s="3">
        <v>56</v>
      </c>
    </row>
    <row r="43" spans="1:2" ht="13.9" x14ac:dyDescent="0.35">
      <c r="A43" s="2">
        <v>43886</v>
      </c>
      <c r="B43" s="3">
        <v>56.23</v>
      </c>
    </row>
    <row r="44" spans="1:2" ht="13.9" x14ac:dyDescent="0.35">
      <c r="A44" s="2">
        <v>43887</v>
      </c>
      <c r="B44" s="3">
        <v>55.06</v>
      </c>
    </row>
    <row r="45" spans="1:2" ht="13.9" x14ac:dyDescent="0.35">
      <c r="A45" s="2">
        <v>43888</v>
      </c>
      <c r="B45" s="3">
        <v>52.38</v>
      </c>
    </row>
    <row r="46" spans="1:2" ht="13.9" x14ac:dyDescent="0.35">
      <c r="A46" s="2">
        <v>43889</v>
      </c>
      <c r="B46" s="3">
        <v>50.57</v>
      </c>
    </row>
    <row r="47" spans="1:2" ht="13.9" x14ac:dyDescent="0.35">
      <c r="A47" s="2">
        <v>43892</v>
      </c>
      <c r="B47" s="3">
        <v>51.82</v>
      </c>
    </row>
    <row r="48" spans="1:2" ht="13.9" x14ac:dyDescent="0.35">
      <c r="A48" s="2">
        <v>43893</v>
      </c>
      <c r="B48" s="3">
        <v>52.14</v>
      </c>
    </row>
    <row r="49" spans="1:2" ht="13.9" x14ac:dyDescent="0.35">
      <c r="A49" s="2">
        <v>43894</v>
      </c>
      <c r="B49" s="3">
        <v>51.83</v>
      </c>
    </row>
    <row r="50" spans="1:2" ht="13.9" x14ac:dyDescent="0.35">
      <c r="A50" s="2">
        <v>43895</v>
      </c>
      <c r="B50" s="3">
        <v>51.57</v>
      </c>
    </row>
    <row r="51" spans="1:2" ht="13.9" x14ac:dyDescent="0.35">
      <c r="A51" s="2">
        <v>43896</v>
      </c>
      <c r="B51" s="3">
        <v>45.61</v>
      </c>
    </row>
    <row r="52" spans="1:2" ht="13.9" x14ac:dyDescent="0.35">
      <c r="A52" s="2">
        <v>43899</v>
      </c>
      <c r="B52" s="3">
        <v>35.700000000000003</v>
      </c>
    </row>
    <row r="53" spans="1:2" ht="13.9" x14ac:dyDescent="0.35">
      <c r="A53" s="2">
        <v>43900</v>
      </c>
      <c r="B53" s="3">
        <v>35.79</v>
      </c>
    </row>
    <row r="54" spans="1:2" ht="13.9" x14ac:dyDescent="0.35">
      <c r="A54" s="2">
        <v>43901</v>
      </c>
      <c r="B54" s="3">
        <v>34.99</v>
      </c>
    </row>
    <row r="55" spans="1:2" ht="13.9" x14ac:dyDescent="0.35">
      <c r="A55" s="2">
        <v>43902</v>
      </c>
      <c r="B55" s="3">
        <v>30.99</v>
      </c>
    </row>
    <row r="56" spans="1:2" ht="13.9" x14ac:dyDescent="0.35">
      <c r="A56" s="2">
        <v>43903</v>
      </c>
      <c r="B56" s="3">
        <v>31.93</v>
      </c>
    </row>
    <row r="57" spans="1:2" ht="13.9" x14ac:dyDescent="0.35">
      <c r="A57" s="2">
        <v>43906</v>
      </c>
      <c r="B57" s="3">
        <v>27.98</v>
      </c>
    </row>
    <row r="58" spans="1:2" ht="13.9" x14ac:dyDescent="0.35">
      <c r="A58" s="2">
        <v>43907</v>
      </c>
      <c r="B58" s="3">
        <v>27.83</v>
      </c>
    </row>
    <row r="59" spans="1:2" ht="13.9" x14ac:dyDescent="0.35">
      <c r="A59" s="2">
        <v>43908</v>
      </c>
      <c r="B59" s="3">
        <v>23.19</v>
      </c>
    </row>
    <row r="60" spans="1:2" ht="13.9" x14ac:dyDescent="0.35">
      <c r="A60" s="2">
        <v>43909</v>
      </c>
      <c r="B60" s="3">
        <v>24.23</v>
      </c>
    </row>
    <row r="61" spans="1:2" ht="13.9" x14ac:dyDescent="0.35">
      <c r="A61" s="2">
        <v>43910</v>
      </c>
      <c r="B61" s="3">
        <v>25.4</v>
      </c>
    </row>
    <row r="62" spans="1:2" ht="13.9" x14ac:dyDescent="0.35">
      <c r="A62" s="2">
        <v>43913</v>
      </c>
      <c r="B62" s="3">
        <v>22.48</v>
      </c>
    </row>
    <row r="63" spans="1:2" ht="13.9" x14ac:dyDescent="0.35">
      <c r="A63" s="2">
        <v>43914</v>
      </c>
      <c r="B63" s="3">
        <v>24.63</v>
      </c>
    </row>
    <row r="64" spans="1:2" ht="13.9" x14ac:dyDescent="0.35">
      <c r="A64" s="2">
        <v>43915</v>
      </c>
      <c r="B64" s="3">
        <v>24.27</v>
      </c>
    </row>
    <row r="65" spans="1:2" ht="13.9" x14ac:dyDescent="0.35">
      <c r="A65" s="2">
        <v>43916</v>
      </c>
      <c r="B65" s="3">
        <v>23.82</v>
      </c>
    </row>
    <row r="66" spans="1:2" ht="13.9" x14ac:dyDescent="0.35">
      <c r="A66" s="2">
        <v>43917</v>
      </c>
      <c r="B66" s="3">
        <v>21.21</v>
      </c>
    </row>
    <row r="67" spans="1:2" ht="13.9" x14ac:dyDescent="0.35">
      <c r="A67" s="2">
        <v>43920</v>
      </c>
      <c r="B67" s="3">
        <v>18.05</v>
      </c>
    </row>
    <row r="68" spans="1:2" ht="13.9" x14ac:dyDescent="0.35">
      <c r="A68" s="2">
        <v>43921</v>
      </c>
      <c r="B68" s="3">
        <v>17.850000000000001</v>
      </c>
    </row>
    <row r="69" spans="1:2" ht="13.9" x14ac:dyDescent="0.35">
      <c r="A69" s="2">
        <v>43922</v>
      </c>
      <c r="B69" s="3">
        <v>15.35</v>
      </c>
    </row>
    <row r="70" spans="1:2" ht="13.9" x14ac:dyDescent="0.35">
      <c r="A70" s="2">
        <v>43923</v>
      </c>
      <c r="B70" s="3">
        <v>19.309999999999999</v>
      </c>
    </row>
    <row r="71" spans="1:2" ht="13.9" x14ac:dyDescent="0.35">
      <c r="A71" s="2">
        <v>43924</v>
      </c>
      <c r="B71" s="3">
        <v>23.8</v>
      </c>
    </row>
    <row r="72" spans="1:2" ht="13.9" x14ac:dyDescent="0.35">
      <c r="A72" s="2">
        <v>43927</v>
      </c>
      <c r="B72" s="3">
        <v>22.61</v>
      </c>
    </row>
    <row r="73" spans="1:2" ht="13.9" x14ac:dyDescent="0.35">
      <c r="A73" s="2">
        <v>43928</v>
      </c>
      <c r="B73" s="3">
        <v>23.23</v>
      </c>
    </row>
    <row r="74" spans="1:2" ht="13.9" x14ac:dyDescent="0.35">
      <c r="A74" s="2">
        <v>43929</v>
      </c>
      <c r="B74" s="3">
        <v>22.54</v>
      </c>
    </row>
    <row r="75" spans="1:2" ht="13.9" x14ac:dyDescent="0.35">
      <c r="A75" s="2">
        <v>43930</v>
      </c>
      <c r="B75" s="3">
        <v>24</v>
      </c>
    </row>
    <row r="76" spans="1:2" ht="13.9" x14ac:dyDescent="0.35">
      <c r="A76" s="2">
        <v>43935</v>
      </c>
      <c r="B76" s="3">
        <v>20.74</v>
      </c>
    </row>
    <row r="77" spans="1:2" ht="13.9" x14ac:dyDescent="0.35">
      <c r="A77" s="2">
        <v>43936</v>
      </c>
      <c r="B77" s="3">
        <v>18.18</v>
      </c>
    </row>
    <row r="78" spans="1:2" ht="13.9" x14ac:dyDescent="0.35">
      <c r="A78" s="2">
        <v>43937</v>
      </c>
      <c r="B78" s="3">
        <v>19.05</v>
      </c>
    </row>
    <row r="79" spans="1:2" ht="13.9" x14ac:dyDescent="0.35">
      <c r="A79" s="2">
        <v>43938</v>
      </c>
      <c r="B79" s="3">
        <v>20.41</v>
      </c>
    </row>
    <row r="80" spans="1:2" ht="13.9" x14ac:dyDescent="0.35">
      <c r="A80" s="2">
        <v>43941</v>
      </c>
      <c r="B80" s="3">
        <v>19.29</v>
      </c>
    </row>
    <row r="81" spans="1:2" ht="13.9" x14ac:dyDescent="0.35">
      <c r="A81" s="2">
        <v>43942</v>
      </c>
      <c r="B81" s="3">
        <v>13.28</v>
      </c>
    </row>
    <row r="82" spans="1:2" ht="13.9" x14ac:dyDescent="0.35">
      <c r="A82" s="2">
        <v>43943</v>
      </c>
      <c r="B82" s="3">
        <v>14.23</v>
      </c>
    </row>
    <row r="83" spans="1:2" ht="13.9" x14ac:dyDescent="0.35">
      <c r="A83" s="2">
        <v>43944</v>
      </c>
      <c r="B83" s="3">
        <v>16.510000000000002</v>
      </c>
    </row>
    <row r="84" spans="1:2" ht="13.9" x14ac:dyDescent="0.35">
      <c r="A84" s="2">
        <v>43945</v>
      </c>
      <c r="B84" s="3">
        <v>16.239999999999998</v>
      </c>
    </row>
    <row r="85" spans="1:2" ht="13.9" x14ac:dyDescent="0.35">
      <c r="A85" s="2">
        <v>43948</v>
      </c>
      <c r="B85" s="3">
        <v>13.67</v>
      </c>
    </row>
    <row r="86" spans="1:2" ht="13.9" x14ac:dyDescent="0.35">
      <c r="A86" s="2">
        <v>43949</v>
      </c>
      <c r="B86" s="3">
        <v>14.75</v>
      </c>
    </row>
    <row r="87" spans="1:2" ht="13.9" x14ac:dyDescent="0.35">
      <c r="A87" s="2">
        <v>43950</v>
      </c>
      <c r="B87" s="3">
        <v>17</v>
      </c>
    </row>
    <row r="88" spans="1:2" ht="13.9" x14ac:dyDescent="0.35">
      <c r="A88" s="2">
        <v>43951</v>
      </c>
      <c r="B88" s="3">
        <v>19.88</v>
      </c>
    </row>
    <row r="89" spans="1:2" ht="13.9" x14ac:dyDescent="0.35">
      <c r="A89" s="2">
        <v>43952</v>
      </c>
      <c r="B89" s="3">
        <v>20.86</v>
      </c>
    </row>
    <row r="90" spans="1:2" ht="13.9" x14ac:dyDescent="0.35">
      <c r="A90" s="2">
        <v>43955</v>
      </c>
      <c r="B90" s="3">
        <v>19.399999999999999</v>
      </c>
    </row>
    <row r="91" spans="1:2" ht="13.9" x14ac:dyDescent="0.35">
      <c r="A91" s="2">
        <v>43956</v>
      </c>
      <c r="B91" s="3">
        <v>23.98</v>
      </c>
    </row>
    <row r="92" spans="1:2" ht="13.9" x14ac:dyDescent="0.35">
      <c r="A92" s="2">
        <v>43957</v>
      </c>
      <c r="B92" s="3">
        <v>23.28</v>
      </c>
    </row>
    <row r="93" spans="1:2" ht="13.9" x14ac:dyDescent="0.35">
      <c r="A93" s="2">
        <v>43958</v>
      </c>
      <c r="B93" s="3">
        <v>25.17</v>
      </c>
    </row>
    <row r="94" spans="1:2" ht="13.9" x14ac:dyDescent="0.35">
      <c r="A94" s="2">
        <v>43962</v>
      </c>
      <c r="B94" s="3">
        <v>25.72</v>
      </c>
    </row>
    <row r="95" spans="1:2" ht="13.9" x14ac:dyDescent="0.35">
      <c r="A95" s="2">
        <v>43963</v>
      </c>
      <c r="B95" s="3">
        <v>26.56</v>
      </c>
    </row>
    <row r="96" spans="1:2" ht="13.9" x14ac:dyDescent="0.35">
      <c r="A96" s="2">
        <v>43964</v>
      </c>
      <c r="B96" s="3">
        <v>28.15</v>
      </c>
    </row>
    <row r="97" spans="1:2" ht="13.9" x14ac:dyDescent="0.35">
      <c r="A97" s="2">
        <v>43965</v>
      </c>
      <c r="B97" s="3">
        <v>28.61</v>
      </c>
    </row>
    <row r="98" spans="1:2" ht="13.9" x14ac:dyDescent="0.35">
      <c r="A98" s="2">
        <v>43966</v>
      </c>
      <c r="B98" s="3">
        <v>30.37</v>
      </c>
    </row>
    <row r="99" spans="1:2" ht="13.9" x14ac:dyDescent="0.35">
      <c r="A99" s="2">
        <v>43969</v>
      </c>
      <c r="B99" s="3">
        <v>34.21</v>
      </c>
    </row>
    <row r="100" spans="1:2" ht="13.9" x14ac:dyDescent="0.35">
      <c r="A100" s="2">
        <v>43970</v>
      </c>
      <c r="B100" s="3">
        <v>32.71</v>
      </c>
    </row>
    <row r="101" spans="1:2" ht="13.9" x14ac:dyDescent="0.35">
      <c r="A101" s="2">
        <v>43971</v>
      </c>
      <c r="B101" s="3">
        <v>34.29</v>
      </c>
    </row>
    <row r="102" spans="1:2" ht="13.9" x14ac:dyDescent="0.35">
      <c r="A102" s="2">
        <v>43972</v>
      </c>
      <c r="B102" s="3">
        <v>34.39</v>
      </c>
    </row>
    <row r="103" spans="1:2" ht="13.9" x14ac:dyDescent="0.35">
      <c r="A103" s="2">
        <v>43973</v>
      </c>
      <c r="B103" s="3">
        <v>33.130000000000003</v>
      </c>
    </row>
    <row r="104" spans="1:2" ht="13.9" x14ac:dyDescent="0.35">
      <c r="A104" s="2">
        <v>43977</v>
      </c>
      <c r="B104" s="3">
        <v>33.5</v>
      </c>
    </row>
    <row r="105" spans="1:2" ht="13.9" x14ac:dyDescent="0.35">
      <c r="A105" s="2">
        <v>43978</v>
      </c>
      <c r="B105" s="3">
        <v>32.85</v>
      </c>
    </row>
    <row r="106" spans="1:2" ht="13.9" x14ac:dyDescent="0.35">
      <c r="A106" s="2">
        <v>43979</v>
      </c>
      <c r="B106" s="3">
        <v>33.35</v>
      </c>
    </row>
    <row r="107" spans="1:2" ht="13.9" x14ac:dyDescent="0.35">
      <c r="A107" s="2">
        <v>43980</v>
      </c>
      <c r="B107" s="3">
        <v>34.64</v>
      </c>
    </row>
    <row r="108" spans="1:2" ht="13.9" x14ac:dyDescent="0.35">
      <c r="A108" s="12">
        <v>43983</v>
      </c>
      <c r="B108" s="13">
        <v>35.659999999999997</v>
      </c>
    </row>
    <row r="109" spans="1:2" ht="13.9" x14ac:dyDescent="0.35">
      <c r="A109" s="12">
        <v>43984</v>
      </c>
      <c r="B109" s="13">
        <v>37.71</v>
      </c>
    </row>
    <row r="110" spans="1:2" ht="13.9" x14ac:dyDescent="0.35">
      <c r="A110" s="12">
        <v>43985</v>
      </c>
      <c r="B110" s="13">
        <v>37.659999999999997</v>
      </c>
    </row>
    <row r="111" spans="1:2" ht="13.9" x14ac:dyDescent="0.35">
      <c r="A111" s="12">
        <v>43986</v>
      </c>
      <c r="B111" s="13">
        <v>37.97</v>
      </c>
    </row>
    <row r="112" spans="1:2" ht="13.9" x14ac:dyDescent="0.35">
      <c r="A112" s="12">
        <v>43987</v>
      </c>
      <c r="B112" s="13">
        <v>41.09</v>
      </c>
    </row>
    <row r="113" spans="1:2" ht="13.9" x14ac:dyDescent="0.35">
      <c r="A113" s="14">
        <v>43990</v>
      </c>
      <c r="B113" s="15">
        <v>40.36</v>
      </c>
    </row>
    <row r="114" spans="1:2" ht="13.9" x14ac:dyDescent="0.35">
      <c r="A114" s="14">
        <v>43991</v>
      </c>
      <c r="B114" s="15">
        <v>39.74</v>
      </c>
    </row>
    <row r="115" spans="1:2" ht="13.9" x14ac:dyDescent="0.35">
      <c r="A115" s="14">
        <v>43992</v>
      </c>
      <c r="B115" s="15">
        <v>40.14</v>
      </c>
    </row>
    <row r="116" spans="1:2" ht="13.9" x14ac:dyDescent="0.35">
      <c r="A116" s="14">
        <v>43993</v>
      </c>
      <c r="B116" s="15">
        <v>38.549999999999997</v>
      </c>
    </row>
    <row r="117" spans="1:2" ht="13.9" x14ac:dyDescent="0.35">
      <c r="A117" s="14">
        <v>43994</v>
      </c>
      <c r="B117" s="15">
        <v>38.86</v>
      </c>
    </row>
    <row r="118" spans="1:2" ht="13.9" x14ac:dyDescent="0.35">
      <c r="A118" s="2">
        <v>43997</v>
      </c>
      <c r="B118" s="3">
        <v>39.020000000000003</v>
      </c>
    </row>
    <row r="119" spans="1:2" ht="13.9" x14ac:dyDescent="0.35">
      <c r="A119" s="2">
        <v>43998</v>
      </c>
      <c r="B119" s="3">
        <v>40.32</v>
      </c>
    </row>
    <row r="120" spans="1:2" ht="13.9" x14ac:dyDescent="0.35">
      <c r="A120" s="2">
        <v>43999</v>
      </c>
      <c r="B120" s="3">
        <v>40.549999999999997</v>
      </c>
    </row>
    <row r="121" spans="1:2" ht="13.9" x14ac:dyDescent="0.35">
      <c r="A121" s="2">
        <v>44000</v>
      </c>
      <c r="B121" s="3">
        <v>41.47</v>
      </c>
    </row>
    <row r="122" spans="1:2" ht="13.9" x14ac:dyDescent="0.35">
      <c r="A122" s="2">
        <v>44001</v>
      </c>
      <c r="B122" s="3">
        <v>42.92</v>
      </c>
    </row>
    <row r="123" spans="1:2" ht="13.9" x14ac:dyDescent="0.35">
      <c r="A123" s="2">
        <v>44004</v>
      </c>
      <c r="B123" s="3">
        <v>43.01</v>
      </c>
    </row>
    <row r="124" spans="1:2" ht="13.9" x14ac:dyDescent="0.35">
      <c r="A124" s="2">
        <v>44005</v>
      </c>
      <c r="B124" s="3">
        <v>43.75</v>
      </c>
    </row>
    <row r="125" spans="1:2" ht="13.9" x14ac:dyDescent="0.35">
      <c r="A125" s="2">
        <v>44006</v>
      </c>
      <c r="B125" s="3">
        <v>40.520000000000003</v>
      </c>
    </row>
    <row r="126" spans="1:2" ht="13.9" x14ac:dyDescent="0.35">
      <c r="A126" s="2">
        <v>44007</v>
      </c>
      <c r="B126" s="3">
        <v>41.07</v>
      </c>
    </row>
    <row r="127" spans="1:2" ht="13.9" x14ac:dyDescent="0.35">
      <c r="A127" s="2">
        <v>44008</v>
      </c>
      <c r="B127" s="3">
        <v>40.82</v>
      </c>
    </row>
    <row r="128" spans="1:2" ht="13.9" x14ac:dyDescent="0.35">
      <c r="A128" s="2">
        <v>44011</v>
      </c>
      <c r="B128" s="3">
        <v>41.62</v>
      </c>
    </row>
    <row r="129" spans="1:2" ht="13.9" x14ac:dyDescent="0.35">
      <c r="A129" s="2">
        <v>44012</v>
      </c>
      <c r="B129" s="3">
        <v>41.85</v>
      </c>
    </row>
    <row r="130" spans="1:2" ht="13.9" x14ac:dyDescent="0.35">
      <c r="A130" s="2">
        <v>44013</v>
      </c>
      <c r="B130" s="3">
        <v>42.8</v>
      </c>
    </row>
    <row r="131" spans="1:2" ht="13.9" x14ac:dyDescent="0.35">
      <c r="A131" s="2">
        <v>44014</v>
      </c>
      <c r="B131" s="3">
        <v>43.42</v>
      </c>
    </row>
    <row r="132" spans="1:2" ht="13.9" x14ac:dyDescent="0.35">
      <c r="A132" s="2">
        <v>44015</v>
      </c>
      <c r="B132" s="3">
        <v>43.26</v>
      </c>
    </row>
    <row r="133" spans="1:2" ht="13.9" x14ac:dyDescent="0.35">
      <c r="A133" s="2">
        <v>44018</v>
      </c>
      <c r="B133" s="3">
        <v>43.53</v>
      </c>
    </row>
    <row r="134" spans="1:2" ht="13.9" x14ac:dyDescent="0.35">
      <c r="A134" s="2">
        <v>44019</v>
      </c>
      <c r="B134" s="3">
        <v>43.59</v>
      </c>
    </row>
    <row r="135" spans="1:2" ht="13.9" x14ac:dyDescent="0.35">
      <c r="A135" s="2">
        <v>44020</v>
      </c>
      <c r="B135" s="3">
        <v>43.35</v>
      </c>
    </row>
    <row r="136" spans="1:2" ht="13.9" x14ac:dyDescent="0.35">
      <c r="A136" s="2">
        <v>44021</v>
      </c>
      <c r="B136" s="3">
        <v>42.67</v>
      </c>
    </row>
    <row r="137" spans="1:2" ht="13.9" x14ac:dyDescent="0.35">
      <c r="A137" s="2">
        <v>44022</v>
      </c>
      <c r="B137" s="3">
        <v>43.22</v>
      </c>
    </row>
    <row r="138" spans="1:2" ht="13.9" x14ac:dyDescent="0.35">
      <c r="A138" s="2">
        <v>44025</v>
      </c>
      <c r="B138" s="3">
        <v>43.77</v>
      </c>
    </row>
    <row r="139" spans="1:2" ht="13.9" x14ac:dyDescent="0.35">
      <c r="A139" s="2">
        <v>44026</v>
      </c>
      <c r="B139" s="3">
        <v>43.74</v>
      </c>
    </row>
    <row r="140" spans="1:2" ht="13.9" x14ac:dyDescent="0.35">
      <c r="A140" s="2">
        <v>44027</v>
      </c>
      <c r="B140" s="3">
        <v>44.49</v>
      </c>
    </row>
    <row r="141" spans="1:2" ht="13.9" x14ac:dyDescent="0.35">
      <c r="A141" s="2">
        <v>44028</v>
      </c>
      <c r="B141" s="3">
        <v>44.57</v>
      </c>
    </row>
    <row r="142" spans="1:2" ht="13.9" x14ac:dyDescent="0.35">
      <c r="A142" s="2">
        <v>44029</v>
      </c>
      <c r="B142" s="3">
        <v>43.81</v>
      </c>
    </row>
    <row r="143" spans="1:2" ht="13.9" x14ac:dyDescent="0.35">
      <c r="A143" s="2">
        <v>44032</v>
      </c>
      <c r="B143" s="3">
        <v>43.36</v>
      </c>
    </row>
    <row r="144" spans="1:2" ht="13.9" x14ac:dyDescent="0.35">
      <c r="A144" s="2">
        <v>44033</v>
      </c>
      <c r="B144" s="3">
        <v>44.79</v>
      </c>
    </row>
    <row r="145" spans="1:2" ht="13.9" x14ac:dyDescent="0.35">
      <c r="A145" s="2">
        <v>44034</v>
      </c>
      <c r="B145" s="3">
        <v>43.76</v>
      </c>
    </row>
    <row r="146" spans="1:2" ht="13.9" x14ac:dyDescent="0.35">
      <c r="A146" s="2">
        <v>44035</v>
      </c>
      <c r="B146" s="3">
        <v>44.38</v>
      </c>
    </row>
    <row r="147" spans="1:2" ht="13.9" x14ac:dyDescent="0.35">
      <c r="A147" s="2">
        <v>44036</v>
      </c>
      <c r="B147" s="3">
        <v>43.06</v>
      </c>
    </row>
    <row r="148" spans="1:2" ht="13.9" x14ac:dyDescent="0.35">
      <c r="A148" s="2">
        <v>44039</v>
      </c>
      <c r="B148" s="3">
        <v>42.32</v>
      </c>
    </row>
    <row r="149" spans="1:2" ht="13.9" x14ac:dyDescent="0.35">
      <c r="A149" s="2">
        <v>44040</v>
      </c>
      <c r="B149" s="3">
        <v>43.3</v>
      </c>
    </row>
    <row r="150" spans="1:2" ht="13.9" x14ac:dyDescent="0.35">
      <c r="A150" s="2">
        <v>44041</v>
      </c>
      <c r="B150" s="3">
        <v>43.92</v>
      </c>
    </row>
    <row r="151" spans="1:2" ht="13.9" x14ac:dyDescent="0.35">
      <c r="A151" s="2">
        <v>44042</v>
      </c>
      <c r="B151" s="3">
        <v>42.7</v>
      </c>
    </row>
    <row r="152" spans="1:2" ht="13.9" x14ac:dyDescent="0.35">
      <c r="A152" s="2">
        <v>44043</v>
      </c>
      <c r="B152" s="3">
        <v>43.16</v>
      </c>
    </row>
    <row r="153" spans="1:2" ht="13.9" x14ac:dyDescent="0.35">
      <c r="A153" s="2">
        <v>44046</v>
      </c>
      <c r="B153" s="3">
        <v>44.16</v>
      </c>
    </row>
    <row r="154" spans="1:2" ht="13.9" x14ac:dyDescent="0.35">
      <c r="A154" s="2">
        <v>44047</v>
      </c>
      <c r="B154" s="3">
        <v>44.46</v>
      </c>
    </row>
    <row r="155" spans="1:2" ht="13.9" x14ac:dyDescent="0.35">
      <c r="A155" s="2">
        <v>44048</v>
      </c>
      <c r="B155" s="3">
        <v>46.21</v>
      </c>
    </row>
    <row r="156" spans="1:2" ht="13.9" x14ac:dyDescent="0.35">
      <c r="A156" s="2">
        <v>44049</v>
      </c>
      <c r="B156" s="3">
        <v>45.43</v>
      </c>
    </row>
    <row r="157" spans="1:2" ht="13.9" x14ac:dyDescent="0.35">
      <c r="A157" s="2">
        <v>44050</v>
      </c>
      <c r="B157" s="3">
        <v>44.52</v>
      </c>
    </row>
    <row r="158" spans="1:2" ht="13.9" x14ac:dyDescent="0.35">
      <c r="A158" s="2">
        <v>44053</v>
      </c>
      <c r="B158" s="3">
        <v>44.5</v>
      </c>
    </row>
    <row r="159" spans="1:2" ht="13.9" x14ac:dyDescent="0.35">
      <c r="A159" s="2">
        <v>44054</v>
      </c>
      <c r="B159" s="3">
        <v>45.06</v>
      </c>
    </row>
    <row r="160" spans="1:2" ht="13.9" x14ac:dyDescent="0.35">
      <c r="A160" s="2">
        <v>44055</v>
      </c>
      <c r="B160" s="3">
        <v>45.33</v>
      </c>
    </row>
    <row r="161" spans="1:2" ht="13.9" x14ac:dyDescent="0.35">
      <c r="A161" s="2">
        <v>44056</v>
      </c>
      <c r="B161" s="3">
        <v>45.35</v>
      </c>
    </row>
    <row r="162" spans="1:2" ht="13.9" x14ac:dyDescent="0.35">
      <c r="A162" s="2">
        <v>44057</v>
      </c>
      <c r="B162" s="3">
        <v>44.56</v>
      </c>
    </row>
    <row r="163" spans="1:2" ht="13.9" x14ac:dyDescent="0.35">
      <c r="A163" s="2">
        <v>44060</v>
      </c>
      <c r="B163" s="3">
        <v>44.96</v>
      </c>
    </row>
    <row r="164" spans="1:2" ht="13.9" x14ac:dyDescent="0.35">
      <c r="A164" s="2">
        <v>44061</v>
      </c>
      <c r="B164" s="3">
        <v>45.2</v>
      </c>
    </row>
    <row r="165" spans="1:2" ht="13.9" x14ac:dyDescent="0.35">
      <c r="A165" s="2">
        <v>44062</v>
      </c>
      <c r="B165" s="3">
        <v>45.25</v>
      </c>
    </row>
    <row r="166" spans="1:2" ht="13.9" x14ac:dyDescent="0.35">
      <c r="A166" s="2">
        <v>44063</v>
      </c>
      <c r="B166" s="3">
        <v>44.39</v>
      </c>
    </row>
    <row r="167" spans="1:2" ht="13.9" x14ac:dyDescent="0.35">
      <c r="A167" s="2">
        <v>44064</v>
      </c>
      <c r="B167" s="3">
        <v>43.6</v>
      </c>
    </row>
    <row r="168" spans="1:2" ht="13.9" x14ac:dyDescent="0.35">
      <c r="A168" s="2">
        <v>44067</v>
      </c>
      <c r="B168" s="3">
        <v>45.04</v>
      </c>
    </row>
    <row r="169" spans="1:2" ht="13.9" x14ac:dyDescent="0.35">
      <c r="A169" s="2">
        <v>44068</v>
      </c>
      <c r="B169" s="3">
        <v>46.12</v>
      </c>
    </row>
    <row r="170" spans="1:2" ht="13.9" x14ac:dyDescent="0.35">
      <c r="A170" s="2">
        <v>44069</v>
      </c>
      <c r="B170" s="3">
        <v>45.77</v>
      </c>
    </row>
    <row r="171" spans="1:2" ht="13.9" x14ac:dyDescent="0.35">
      <c r="A171" s="2">
        <v>44070</v>
      </c>
      <c r="B171" s="3">
        <v>44.84</v>
      </c>
    </row>
    <row r="172" spans="1:2" ht="13.9" x14ac:dyDescent="0.35">
      <c r="A172" s="2">
        <v>44071</v>
      </c>
      <c r="B172" s="3">
        <v>44.97</v>
      </c>
    </row>
    <row r="173" spans="1:2" ht="13.9" x14ac:dyDescent="0.35">
      <c r="A173" s="2">
        <v>44075</v>
      </c>
      <c r="B173" s="3">
        <v>44.55</v>
      </c>
    </row>
    <row r="174" spans="1:2" ht="13.9" x14ac:dyDescent="0.35">
      <c r="A174" s="2">
        <v>44076</v>
      </c>
      <c r="B174" s="3">
        <v>43.05</v>
      </c>
    </row>
    <row r="175" spans="1:2" ht="13.9" x14ac:dyDescent="0.35">
      <c r="A175" s="2">
        <v>44077</v>
      </c>
      <c r="B175" s="3">
        <v>41.61</v>
      </c>
    </row>
    <row r="176" spans="1:2" ht="13.9" x14ac:dyDescent="0.35">
      <c r="A176" s="2">
        <v>44078</v>
      </c>
      <c r="B176" s="3">
        <v>41.46</v>
      </c>
    </row>
    <row r="177" spans="1:2" ht="13.9" x14ac:dyDescent="0.35">
      <c r="A177" s="2">
        <v>44081</v>
      </c>
      <c r="B177" s="3">
        <v>40.54</v>
      </c>
    </row>
    <row r="178" spans="1:2" ht="13.9" x14ac:dyDescent="0.35">
      <c r="A178" s="2">
        <v>44082</v>
      </c>
      <c r="B178" s="3">
        <v>38.590000000000003</v>
      </c>
    </row>
    <row r="179" spans="1:2" ht="13.9" x14ac:dyDescent="0.35">
      <c r="A179" s="2">
        <v>44083</v>
      </c>
      <c r="B179" s="3">
        <v>39.82</v>
      </c>
    </row>
    <row r="180" spans="1:2" ht="13.9" x14ac:dyDescent="0.35">
      <c r="A180" s="2">
        <v>44084</v>
      </c>
      <c r="B180" s="3">
        <v>39.6</v>
      </c>
    </row>
    <row r="181" spans="1:2" ht="13.9" x14ac:dyDescent="0.35">
      <c r="A181" s="2">
        <v>44085</v>
      </c>
      <c r="B181" s="3">
        <v>39.270000000000003</v>
      </c>
    </row>
    <row r="182" spans="1:2" ht="13.9" x14ac:dyDescent="0.35">
      <c r="A182" s="2">
        <v>44088</v>
      </c>
      <c r="B182" s="3">
        <v>38.57</v>
      </c>
    </row>
    <row r="183" spans="1:2" ht="13.9" x14ac:dyDescent="0.35">
      <c r="A183" s="2">
        <v>44089</v>
      </c>
      <c r="B183" s="3">
        <v>39.409999999999997</v>
      </c>
    </row>
    <row r="184" spans="1:2" ht="13.9" x14ac:dyDescent="0.35">
      <c r="A184" s="2">
        <v>44090</v>
      </c>
      <c r="B184" s="3">
        <v>40.950000000000003</v>
      </c>
    </row>
    <row r="185" spans="1:2" ht="13.9" x14ac:dyDescent="0.35">
      <c r="A185" s="2">
        <v>44091</v>
      </c>
      <c r="B185" s="3">
        <v>42.59</v>
      </c>
    </row>
    <row r="186" spans="1:2" ht="13.9" x14ac:dyDescent="0.35">
      <c r="A186" s="2">
        <v>44092</v>
      </c>
      <c r="B186" s="3">
        <v>42.76</v>
      </c>
    </row>
    <row r="187" spans="1:2" ht="13.9" x14ac:dyDescent="0.35">
      <c r="A187" s="2">
        <v>44095</v>
      </c>
      <c r="B187" s="3">
        <v>40.35</v>
      </c>
    </row>
    <row r="188" spans="1:2" ht="13.9" x14ac:dyDescent="0.35">
      <c r="A188" s="2">
        <v>44096</v>
      </c>
      <c r="B188" s="3">
        <v>41.34</v>
      </c>
    </row>
    <row r="189" spans="1:2" ht="13.9" x14ac:dyDescent="0.35">
      <c r="A189" s="2">
        <v>44097</v>
      </c>
      <c r="B189" s="3">
        <v>41.65</v>
      </c>
    </row>
    <row r="190" spans="1:2" ht="13.9" x14ac:dyDescent="0.35">
      <c r="A190" s="2">
        <v>44098</v>
      </c>
      <c r="B190" s="3">
        <v>40.92</v>
      </c>
    </row>
    <row r="191" spans="1:2" ht="13.9" x14ac:dyDescent="0.35">
      <c r="A191" s="2">
        <v>44099</v>
      </c>
      <c r="B191" s="3">
        <v>41.08</v>
      </c>
    </row>
    <row r="192" spans="1:2" ht="13.9" x14ac:dyDescent="0.35">
      <c r="A192" s="2">
        <v>44102</v>
      </c>
      <c r="B192" s="3">
        <v>41.7</v>
      </c>
    </row>
    <row r="193" spans="1:2" ht="13.9" x14ac:dyDescent="0.35">
      <c r="A193" s="2">
        <v>44103</v>
      </c>
      <c r="B193" s="3">
        <v>40.19</v>
      </c>
    </row>
    <row r="194" spans="1:2" ht="13.9" x14ac:dyDescent="0.35">
      <c r="A194" s="2">
        <v>44104</v>
      </c>
      <c r="B194" s="3">
        <v>40.9</v>
      </c>
    </row>
    <row r="195" spans="1:2" ht="13.9" x14ac:dyDescent="0.35">
      <c r="A195" s="2">
        <v>44105</v>
      </c>
      <c r="B195" s="3">
        <v>39.03</v>
      </c>
    </row>
    <row r="196" spans="1:2" ht="13.9" x14ac:dyDescent="0.35">
      <c r="A196" s="2">
        <v>44106</v>
      </c>
      <c r="B196" s="3">
        <v>38.9</v>
      </c>
    </row>
    <row r="197" spans="1:2" ht="13.9" x14ac:dyDescent="0.35">
      <c r="A197" s="2">
        <v>44109</v>
      </c>
      <c r="B197" s="3">
        <v>40.049999999999997</v>
      </c>
    </row>
    <row r="198" spans="1:2" ht="13.9" x14ac:dyDescent="0.35">
      <c r="A198" s="2">
        <v>44110</v>
      </c>
      <c r="B198" s="3">
        <v>41.35</v>
      </c>
    </row>
    <row r="199" spans="1:2" ht="13.9" x14ac:dyDescent="0.35">
      <c r="A199" s="2">
        <v>44111</v>
      </c>
      <c r="B199" s="3">
        <v>40.340000000000003</v>
      </c>
    </row>
    <row r="200" spans="1:2" ht="13.9" x14ac:dyDescent="0.35">
      <c r="A200" s="2">
        <v>44112</v>
      </c>
      <c r="B200" s="3">
        <v>41.63</v>
      </c>
    </row>
    <row r="201" spans="1:2" ht="13.9" x14ac:dyDescent="0.35">
      <c r="A201" s="2">
        <v>44113</v>
      </c>
      <c r="B201" s="3">
        <v>42.17</v>
      </c>
    </row>
    <row r="202" spans="1:2" ht="13.9" x14ac:dyDescent="0.35">
      <c r="A202" s="2">
        <v>44116</v>
      </c>
      <c r="B202" s="3">
        <v>40.369999999999997</v>
      </c>
    </row>
    <row r="203" spans="1:2" ht="13.9" x14ac:dyDescent="0.35">
      <c r="A203" s="2">
        <v>44117</v>
      </c>
      <c r="B203" s="3">
        <v>41.28</v>
      </c>
    </row>
    <row r="204" spans="1:2" ht="13.9" x14ac:dyDescent="0.35">
      <c r="A204" s="2">
        <v>44118</v>
      </c>
      <c r="B204" s="3">
        <v>41.88</v>
      </c>
    </row>
    <row r="205" spans="1:2" ht="13.9" x14ac:dyDescent="0.35">
      <c r="A205" s="2">
        <v>44119</v>
      </c>
      <c r="B205" s="3">
        <v>41.2</v>
      </c>
    </row>
    <row r="206" spans="1:2" ht="13.9" x14ac:dyDescent="0.35">
      <c r="A206" s="2">
        <v>44120</v>
      </c>
      <c r="B206" s="3">
        <v>41.9</v>
      </c>
    </row>
    <row r="207" spans="1:2" ht="13.9" x14ac:dyDescent="0.35">
      <c r="A207" s="2">
        <v>44123</v>
      </c>
      <c r="B207" s="3">
        <v>41.8</v>
      </c>
    </row>
    <row r="208" spans="1:2" ht="13.9" x14ac:dyDescent="0.35">
      <c r="A208" s="2">
        <v>44124</v>
      </c>
      <c r="B208" s="3">
        <v>41.16</v>
      </c>
    </row>
    <row r="209" spans="1:2" ht="13.9" x14ac:dyDescent="0.35">
      <c r="A209" s="2">
        <v>44125</v>
      </c>
      <c r="B209" s="3">
        <v>40.67</v>
      </c>
    </row>
    <row r="210" spans="1:2" ht="13.9" x14ac:dyDescent="0.35">
      <c r="A210" s="2">
        <v>44126</v>
      </c>
      <c r="B210" s="3">
        <v>41.7</v>
      </c>
    </row>
    <row r="211" spans="1:2" ht="13.9" x14ac:dyDescent="0.35">
      <c r="A211" s="2">
        <v>44127</v>
      </c>
      <c r="B211" s="3">
        <v>41.34</v>
      </c>
    </row>
    <row r="212" spans="1:2" ht="13.9" x14ac:dyDescent="0.35">
      <c r="A212" s="2">
        <v>44130</v>
      </c>
      <c r="B212" s="3">
        <v>39.270000000000003</v>
      </c>
    </row>
    <row r="213" spans="1:2" ht="13.9" x14ac:dyDescent="0.35">
      <c r="A213" s="2">
        <v>44131</v>
      </c>
      <c r="B213" s="3">
        <v>40.299999999999997</v>
      </c>
    </row>
    <row r="214" spans="1:2" ht="13.9" x14ac:dyDescent="0.35">
      <c r="A214" s="2">
        <v>44132</v>
      </c>
      <c r="B214" s="3">
        <v>37.89</v>
      </c>
    </row>
    <row r="215" spans="1:2" ht="13.9" x14ac:dyDescent="0.35">
      <c r="A215" s="2">
        <v>44133</v>
      </c>
      <c r="B215" s="3">
        <v>36.42</v>
      </c>
    </row>
    <row r="216" spans="1:2" ht="13.9" x14ac:dyDescent="0.35">
      <c r="A216" s="2">
        <v>44134</v>
      </c>
      <c r="B216" s="3">
        <v>36.29</v>
      </c>
    </row>
    <row r="217" spans="1:2" ht="13.9" x14ac:dyDescent="0.35">
      <c r="A217" s="2">
        <v>44137</v>
      </c>
      <c r="B217" s="3">
        <v>36.78</v>
      </c>
    </row>
    <row r="218" spans="1:2" ht="13.9" x14ac:dyDescent="0.35">
      <c r="A218" s="2">
        <v>44138</v>
      </c>
      <c r="B218" s="3">
        <v>38.1</v>
      </c>
    </row>
    <row r="219" spans="1:2" ht="13.9" x14ac:dyDescent="0.35">
      <c r="A219" s="2">
        <v>44139</v>
      </c>
      <c r="B219" s="3">
        <v>39.67</v>
      </c>
    </row>
    <row r="220" spans="1:2" ht="13.9" x14ac:dyDescent="0.35">
      <c r="A220" s="2">
        <v>44140</v>
      </c>
      <c r="B220" s="3">
        <v>39.57</v>
      </c>
    </row>
    <row r="221" spans="1:2" ht="13.9" x14ac:dyDescent="0.35">
      <c r="A221" s="2">
        <v>44141</v>
      </c>
      <c r="B221" s="3">
        <v>38.409999999999997</v>
      </c>
    </row>
    <row r="222" spans="1:2" ht="13.9" x14ac:dyDescent="0.35">
      <c r="A222" s="2">
        <v>44144</v>
      </c>
      <c r="B222" s="3">
        <v>41.57</v>
      </c>
    </row>
    <row r="223" spans="1:2" ht="13.9" x14ac:dyDescent="0.35">
      <c r="A223" s="2">
        <v>44145</v>
      </c>
      <c r="B223" s="3">
        <v>41.88</v>
      </c>
    </row>
    <row r="224" spans="1:2" ht="13.9" x14ac:dyDescent="0.35">
      <c r="A224" s="2">
        <v>44146</v>
      </c>
      <c r="B224" s="3">
        <v>43.25</v>
      </c>
    </row>
    <row r="225" spans="1:2" ht="13.9" x14ac:dyDescent="0.35">
      <c r="A225" s="2">
        <v>44147</v>
      </c>
      <c r="B225" s="3">
        <v>43.01</v>
      </c>
    </row>
    <row r="226" spans="1:2" ht="13.9" x14ac:dyDescent="0.35">
      <c r="A226" s="2">
        <v>44148</v>
      </c>
      <c r="B226" s="3">
        <v>42.02</v>
      </c>
    </row>
    <row r="227" spans="1:2" ht="13.9" x14ac:dyDescent="0.35">
      <c r="A227" s="2">
        <v>44151</v>
      </c>
      <c r="B227" s="3">
        <v>43.24</v>
      </c>
    </row>
    <row r="228" spans="1:2" ht="13.9" x14ac:dyDescent="0.35">
      <c r="A228" s="2">
        <v>44152</v>
      </c>
      <c r="B228" s="3">
        <v>42.31</v>
      </c>
    </row>
    <row r="229" spans="1:2" ht="13.9" x14ac:dyDescent="0.35">
      <c r="A229" s="2">
        <v>44153</v>
      </c>
      <c r="B229" s="3">
        <v>43.61</v>
      </c>
    </row>
    <row r="230" spans="1:2" ht="13.9" x14ac:dyDescent="0.35">
      <c r="A230" s="2">
        <v>44154</v>
      </c>
      <c r="B230" s="3">
        <v>42.93</v>
      </c>
    </row>
    <row r="231" spans="1:2" ht="13.9" x14ac:dyDescent="0.35">
      <c r="A231" s="2">
        <v>44155</v>
      </c>
      <c r="B231" s="3">
        <v>43.59</v>
      </c>
    </row>
    <row r="232" spans="1:2" ht="13.9" x14ac:dyDescent="0.35">
      <c r="A232" s="2">
        <v>44158</v>
      </c>
      <c r="B232" s="3">
        <v>44.95</v>
      </c>
    </row>
    <row r="233" spans="1:2" ht="13.9" x14ac:dyDescent="0.35">
      <c r="A233" s="2">
        <v>44159</v>
      </c>
      <c r="B233" s="3">
        <v>46.9</v>
      </c>
    </row>
    <row r="234" spans="1:2" ht="13.9" x14ac:dyDescent="0.35">
      <c r="A234" s="2">
        <v>44160</v>
      </c>
      <c r="B234" s="3">
        <v>46.83</v>
      </c>
    </row>
    <row r="235" spans="1:2" ht="13.9" x14ac:dyDescent="0.35">
      <c r="A235" s="2">
        <v>44161</v>
      </c>
      <c r="B235" s="3">
        <v>46.6</v>
      </c>
    </row>
    <row r="236" spans="1:2" ht="13.9" x14ac:dyDescent="0.35">
      <c r="A236" s="2">
        <v>44162</v>
      </c>
      <c r="B236" s="3">
        <v>47.07</v>
      </c>
    </row>
    <row r="237" spans="1:2" ht="13.9" x14ac:dyDescent="0.35">
      <c r="A237" s="2">
        <v>44165</v>
      </c>
      <c r="B237" s="3">
        <v>46.6</v>
      </c>
    </row>
    <row r="238" spans="1:2" ht="13.9" x14ac:dyDescent="0.35">
      <c r="A238" s="2">
        <v>44166</v>
      </c>
      <c r="B238" s="3">
        <v>47.22</v>
      </c>
    </row>
    <row r="239" spans="1:2" ht="13.9" x14ac:dyDescent="0.35">
      <c r="A239" s="2">
        <v>44167</v>
      </c>
      <c r="B239" s="3">
        <v>47.85</v>
      </c>
    </row>
    <row r="240" spans="1:2" ht="13.9" x14ac:dyDescent="0.35">
      <c r="A240" s="2">
        <v>44168</v>
      </c>
      <c r="B240" s="3">
        <v>48.59</v>
      </c>
    </row>
    <row r="241" spans="1:2" ht="13.9" x14ac:dyDescent="0.35">
      <c r="A241" s="2">
        <v>44169</v>
      </c>
      <c r="B241" s="3">
        <v>49.09</v>
      </c>
    </row>
    <row r="242" spans="1:2" ht="13.9" x14ac:dyDescent="0.35">
      <c r="A242" s="2">
        <v>44172</v>
      </c>
      <c r="B242" s="3">
        <v>48.91</v>
      </c>
    </row>
    <row r="243" spans="1:2" ht="13.9" x14ac:dyDescent="0.35">
      <c r="A243" s="2">
        <v>44173</v>
      </c>
      <c r="B243" s="3">
        <v>48.82</v>
      </c>
    </row>
    <row r="244" spans="1:2" ht="13.9" x14ac:dyDescent="0.35">
      <c r="A244" s="2">
        <v>44174</v>
      </c>
      <c r="B244" s="3">
        <v>48.66</v>
      </c>
    </row>
    <row r="245" spans="1:2" ht="13.9" x14ac:dyDescent="0.35">
      <c r="A245" s="2">
        <v>44175</v>
      </c>
      <c r="B245" s="3">
        <v>51.04</v>
      </c>
    </row>
    <row r="246" spans="1:2" ht="13.9" x14ac:dyDescent="0.35">
      <c r="A246" s="2">
        <v>44176</v>
      </c>
      <c r="B246" s="3">
        <v>50.15</v>
      </c>
    </row>
    <row r="247" spans="1:2" ht="13.9" x14ac:dyDescent="0.35">
      <c r="A247" s="2">
        <v>44179</v>
      </c>
      <c r="B247" s="3">
        <v>49.82</v>
      </c>
    </row>
    <row r="248" spans="1:2" ht="13.9" x14ac:dyDescent="0.35">
      <c r="A248" s="2">
        <v>44180</v>
      </c>
      <c r="B248" s="3">
        <v>50.8</v>
      </c>
    </row>
    <row r="249" spans="1:2" ht="13.9" x14ac:dyDescent="0.35">
      <c r="A249" s="2">
        <v>44181</v>
      </c>
      <c r="B249" s="3">
        <v>50.92</v>
      </c>
    </row>
    <row r="250" spans="1:2" ht="13.9" x14ac:dyDescent="0.35">
      <c r="A250" s="2">
        <v>44182</v>
      </c>
      <c r="B250" s="3">
        <v>51.37</v>
      </c>
    </row>
    <row r="251" spans="1:2" ht="13.9" x14ac:dyDescent="0.35">
      <c r="A251" s="2">
        <v>44183</v>
      </c>
      <c r="B251" s="3">
        <v>52.2</v>
      </c>
    </row>
    <row r="252" spans="1:2" ht="13.9" x14ac:dyDescent="0.35">
      <c r="A252" s="2">
        <v>44186</v>
      </c>
      <c r="B252" s="3">
        <v>50.26</v>
      </c>
    </row>
    <row r="253" spans="1:2" ht="13.9" x14ac:dyDescent="0.35">
      <c r="A253" s="2">
        <v>44187</v>
      </c>
      <c r="B253" s="3">
        <v>50.51</v>
      </c>
    </row>
    <row r="254" spans="1:2" ht="13.9" x14ac:dyDescent="0.35">
      <c r="A254" s="2">
        <v>44188</v>
      </c>
      <c r="B254" s="3">
        <v>51.48</v>
      </c>
    </row>
    <row r="255" spans="1:2" ht="13.9" x14ac:dyDescent="0.35">
      <c r="A255" s="2">
        <v>44189</v>
      </c>
      <c r="B255" s="3">
        <v>50.6</v>
      </c>
    </row>
    <row r="256" spans="1:2" ht="13.9" x14ac:dyDescent="0.35">
      <c r="A256" s="2">
        <v>44194</v>
      </c>
      <c r="B256" s="3">
        <v>50.77</v>
      </c>
    </row>
    <row r="257" spans="1:2" ht="13.9" x14ac:dyDescent="0.35">
      <c r="A257" s="2">
        <v>44195</v>
      </c>
      <c r="B257" s="3">
        <v>50.78</v>
      </c>
    </row>
    <row r="258" spans="1:2" ht="13.9" x14ac:dyDescent="0.35">
      <c r="A258" s="2">
        <v>44196</v>
      </c>
      <c r="B258" s="3">
        <v>50.7</v>
      </c>
    </row>
    <row r="259" spans="1:2" ht="13.9" x14ac:dyDescent="0.35">
      <c r="A259" s="2">
        <v>44200</v>
      </c>
      <c r="B259" s="3">
        <v>50.54</v>
      </c>
    </row>
    <row r="260" spans="1:2" ht="13.9" x14ac:dyDescent="0.35">
      <c r="A260" s="2">
        <v>44201</v>
      </c>
      <c r="B260" s="3">
        <v>52.59</v>
      </c>
    </row>
    <row r="261" spans="1:2" ht="13.9" x14ac:dyDescent="0.35">
      <c r="A261" s="2">
        <v>44202</v>
      </c>
      <c r="B261" s="3">
        <v>54.46</v>
      </c>
    </row>
    <row r="262" spans="1:2" ht="13.9" x14ac:dyDescent="0.35">
      <c r="A262" s="2">
        <v>44203</v>
      </c>
      <c r="B262" s="3">
        <v>51.25</v>
      </c>
    </row>
    <row r="263" spans="1:2" ht="13.9" x14ac:dyDescent="0.35">
      <c r="A263" s="2">
        <v>44204</v>
      </c>
      <c r="B263" s="3">
        <v>55.36</v>
      </c>
    </row>
    <row r="264" spans="1:2" ht="13.9" x14ac:dyDescent="0.35">
      <c r="A264" s="2">
        <v>44207</v>
      </c>
      <c r="B264" s="3">
        <v>55.12</v>
      </c>
    </row>
    <row r="265" spans="1:2" ht="13.9" x14ac:dyDescent="0.35">
      <c r="A265" s="2">
        <v>44208</v>
      </c>
      <c r="B265" s="3">
        <v>56.32</v>
      </c>
    </row>
    <row r="266" spans="1:2" ht="13.9" x14ac:dyDescent="0.35">
      <c r="A266" s="2">
        <v>44209</v>
      </c>
      <c r="B266" s="3">
        <v>56.09</v>
      </c>
    </row>
    <row r="267" spans="1:2" ht="13.9" x14ac:dyDescent="0.35">
      <c r="A267" s="2">
        <v>44210</v>
      </c>
      <c r="B267" s="3">
        <v>55.48</v>
      </c>
    </row>
    <row r="268" spans="1:2" ht="13.9" x14ac:dyDescent="0.35">
      <c r="A268" s="2">
        <v>44211</v>
      </c>
      <c r="B268" s="3">
        <v>54.73</v>
      </c>
    </row>
    <row r="269" spans="1:2" ht="13.9" x14ac:dyDescent="0.35">
      <c r="A269" s="2">
        <v>44214</v>
      </c>
      <c r="B269" s="3">
        <v>54.83</v>
      </c>
    </row>
    <row r="270" spans="1:2" ht="13.9" x14ac:dyDescent="0.35">
      <c r="A270" s="2">
        <v>44215</v>
      </c>
      <c r="B270" s="3">
        <v>55.68</v>
      </c>
    </row>
    <row r="271" spans="1:2" ht="13.9" x14ac:dyDescent="0.35">
      <c r="A271" s="2">
        <v>44216</v>
      </c>
      <c r="B271" s="3">
        <v>56.18</v>
      </c>
    </row>
    <row r="272" spans="1:2" ht="13.9" x14ac:dyDescent="0.35">
      <c r="A272" s="2">
        <v>44217</v>
      </c>
      <c r="B272" s="3">
        <v>56.03</v>
      </c>
    </row>
    <row r="273" spans="1:2" ht="13.9" x14ac:dyDescent="0.35">
      <c r="A273" s="2">
        <v>44218</v>
      </c>
      <c r="B273" s="3">
        <v>55.37</v>
      </c>
    </row>
    <row r="274" spans="1:2" ht="13.9" x14ac:dyDescent="0.35">
      <c r="A274" s="2">
        <v>44221</v>
      </c>
      <c r="B274" s="3">
        <v>55.15</v>
      </c>
    </row>
    <row r="275" spans="1:2" ht="13.9" x14ac:dyDescent="0.35">
      <c r="A275" s="2">
        <v>44222</v>
      </c>
      <c r="B275" s="3">
        <v>55.64</v>
      </c>
    </row>
    <row r="276" spans="1:2" ht="13.9" x14ac:dyDescent="0.35">
      <c r="A276" s="2">
        <v>44223</v>
      </c>
      <c r="B276" s="3">
        <v>55.88</v>
      </c>
    </row>
    <row r="277" spans="1:2" ht="13.9" x14ac:dyDescent="0.35">
      <c r="A277" s="2">
        <v>44224</v>
      </c>
      <c r="B277" s="3">
        <v>55.2</v>
      </c>
    </row>
    <row r="278" spans="1:2" ht="13.9" x14ac:dyDescent="0.35">
      <c r="A278" s="2">
        <v>44225</v>
      </c>
      <c r="B278" s="3">
        <v>55.24</v>
      </c>
    </row>
    <row r="279" spans="1:2" ht="13.9" x14ac:dyDescent="0.35">
      <c r="A279" s="2">
        <v>44228</v>
      </c>
      <c r="B279" s="3">
        <v>55.95</v>
      </c>
    </row>
    <row r="280" spans="1:2" ht="13.9" x14ac:dyDescent="0.35">
      <c r="A280" s="2">
        <v>44229</v>
      </c>
      <c r="B280" s="3">
        <v>57.78</v>
      </c>
    </row>
    <row r="281" spans="1:2" ht="13.9" x14ac:dyDescent="0.35">
      <c r="A281" s="2">
        <v>44230</v>
      </c>
      <c r="B281" s="3">
        <v>58.81</v>
      </c>
    </row>
    <row r="282" spans="1:2" ht="13.9" x14ac:dyDescent="0.35">
      <c r="A282" s="2">
        <v>44231</v>
      </c>
      <c r="B282" s="3">
        <v>58.91</v>
      </c>
    </row>
    <row r="283" spans="1:2" ht="13.9" x14ac:dyDescent="0.35">
      <c r="A283" s="2">
        <v>44232</v>
      </c>
      <c r="B283" s="3">
        <v>59.95</v>
      </c>
    </row>
    <row r="284" spans="1:2" ht="13.9" x14ac:dyDescent="0.35">
      <c r="A284" s="2">
        <v>44235</v>
      </c>
      <c r="B284" s="3">
        <v>59.99</v>
      </c>
    </row>
    <row r="285" spans="1:2" ht="13.9" x14ac:dyDescent="0.35">
      <c r="A285" s="2">
        <v>44236</v>
      </c>
      <c r="B285" s="3">
        <v>60.71</v>
      </c>
    </row>
    <row r="286" spans="1:2" ht="13.9" x14ac:dyDescent="0.35">
      <c r="A286" s="2">
        <v>44237</v>
      </c>
      <c r="B286" s="3">
        <v>61.25</v>
      </c>
    </row>
    <row r="287" spans="1:2" ht="13.9" x14ac:dyDescent="0.35">
      <c r="A287" s="2">
        <v>44238</v>
      </c>
      <c r="B287" s="3">
        <v>61.59</v>
      </c>
    </row>
    <row r="288" spans="1:2" ht="13.9" x14ac:dyDescent="0.35">
      <c r="A288" s="2">
        <v>44239</v>
      </c>
      <c r="B288" s="3">
        <v>62.17</v>
      </c>
    </row>
    <row r="289" spans="1:2" ht="13.9" x14ac:dyDescent="0.35">
      <c r="A289" s="2">
        <v>44242</v>
      </c>
      <c r="B289" s="3">
        <v>64.19</v>
      </c>
    </row>
    <row r="290" spans="1:2" ht="13.9" x14ac:dyDescent="0.35">
      <c r="A290" s="2">
        <v>44243</v>
      </c>
      <c r="B290" s="3">
        <v>63.82</v>
      </c>
    </row>
    <row r="291" spans="1:2" ht="13.9" x14ac:dyDescent="0.35">
      <c r="A291" s="2">
        <v>44244</v>
      </c>
      <c r="B291" s="3">
        <v>64.290000000000006</v>
      </c>
    </row>
    <row r="292" spans="1:2" ht="13.9" x14ac:dyDescent="0.35">
      <c r="A292" s="2">
        <v>44245</v>
      </c>
      <c r="B292" s="3">
        <v>64.73</v>
      </c>
    </row>
    <row r="293" spans="1:2" ht="13.9" x14ac:dyDescent="0.35">
      <c r="A293" s="2">
        <v>44246</v>
      </c>
      <c r="B293" s="3">
        <v>63.54</v>
      </c>
    </row>
    <row r="294" spans="1:2" ht="13.9" x14ac:dyDescent="0.35">
      <c r="A294" s="2">
        <v>44249</v>
      </c>
      <c r="B294" s="3">
        <v>64.47</v>
      </c>
    </row>
    <row r="295" spans="1:2" ht="13.9" x14ac:dyDescent="0.35">
      <c r="A295" s="2">
        <v>44250</v>
      </c>
      <c r="B295" s="3">
        <v>65.19</v>
      </c>
    </row>
    <row r="296" spans="1:2" ht="13.9" x14ac:dyDescent="0.35">
      <c r="A296" s="2">
        <v>44251</v>
      </c>
      <c r="B296" s="3">
        <v>66.94</v>
      </c>
    </row>
    <row r="297" spans="1:2" ht="13.9" x14ac:dyDescent="0.35">
      <c r="A297" s="2">
        <v>44252</v>
      </c>
      <c r="B297" s="3">
        <v>67.040000000000006</v>
      </c>
    </row>
    <row r="298" spans="1:2" ht="13.9" x14ac:dyDescent="0.35">
      <c r="A298" s="2">
        <v>44253</v>
      </c>
      <c r="B298" s="3">
        <v>66.06</v>
      </c>
    </row>
    <row r="299" spans="1:2" ht="13.9" x14ac:dyDescent="0.35">
      <c r="A299" s="2">
        <v>44256</v>
      </c>
      <c r="B299" s="3">
        <v>65.87</v>
      </c>
    </row>
    <row r="300" spans="1:2" ht="13.9" x14ac:dyDescent="0.35">
      <c r="A300" s="2">
        <v>44257</v>
      </c>
      <c r="B300" s="3">
        <v>64.08</v>
      </c>
    </row>
    <row r="301" spans="1:2" ht="13.9" x14ac:dyDescent="0.35">
      <c r="A301" s="2">
        <v>44258</v>
      </c>
      <c r="B301" s="3">
        <v>64.66</v>
      </c>
    </row>
    <row r="302" spans="1:2" ht="13.9" x14ac:dyDescent="0.35">
      <c r="A302" s="2">
        <v>44259</v>
      </c>
      <c r="B302" s="3">
        <v>67.510000000000005</v>
      </c>
    </row>
    <row r="303" spans="1:2" ht="13.9" x14ac:dyDescent="0.35">
      <c r="A303" s="2">
        <v>44260</v>
      </c>
      <c r="B303" s="3">
        <v>69.040000000000006</v>
      </c>
    </row>
    <row r="304" spans="1:2" ht="13.9" x14ac:dyDescent="0.35">
      <c r="A304" s="2">
        <v>44263</v>
      </c>
      <c r="B304" s="3">
        <v>68.77</v>
      </c>
    </row>
    <row r="305" spans="1:2" ht="13.9" x14ac:dyDescent="0.35">
      <c r="A305" s="2">
        <v>44264</v>
      </c>
      <c r="B305" s="3">
        <v>67.430000000000007</v>
      </c>
    </row>
    <row r="306" spans="1:2" ht="13.9" x14ac:dyDescent="0.35">
      <c r="A306" s="2">
        <v>44265</v>
      </c>
      <c r="B306" s="3">
        <v>66.98</v>
      </c>
    </row>
    <row r="307" spans="1:2" ht="13.9" x14ac:dyDescent="0.35">
      <c r="A307" s="2">
        <v>44266</v>
      </c>
      <c r="B307" s="3">
        <v>69.319999999999993</v>
      </c>
    </row>
    <row r="308" spans="1:2" ht="13.9" x14ac:dyDescent="0.35">
      <c r="A308" s="2">
        <v>44267</v>
      </c>
      <c r="B308" s="3">
        <v>69.38</v>
      </c>
    </row>
    <row r="309" spans="1:2" ht="13.9" x14ac:dyDescent="0.35">
      <c r="A309" s="2">
        <v>44270</v>
      </c>
      <c r="B309" s="3">
        <v>68.66</v>
      </c>
    </row>
    <row r="310" spans="1:2" ht="13.9" x14ac:dyDescent="0.35">
      <c r="A310" s="2">
        <v>44271</v>
      </c>
      <c r="B310" s="3">
        <v>68.23</v>
      </c>
    </row>
    <row r="311" spans="1:2" ht="13.9" x14ac:dyDescent="0.35">
      <c r="A311" s="2">
        <v>44272</v>
      </c>
      <c r="B311" s="3">
        <v>67.61</v>
      </c>
    </row>
    <row r="312" spans="1:2" ht="13.9" x14ac:dyDescent="0.35">
      <c r="A312" s="2">
        <v>44273</v>
      </c>
      <c r="B312" s="3">
        <v>65.099999999999994</v>
      </c>
    </row>
    <row r="313" spans="1:2" ht="13.9" x14ac:dyDescent="0.35">
      <c r="A313" s="2">
        <v>44274</v>
      </c>
      <c r="B313" s="3">
        <v>63.78</v>
      </c>
    </row>
    <row r="314" spans="1:2" ht="13.9" x14ac:dyDescent="0.35">
      <c r="A314" s="2">
        <v>44277</v>
      </c>
      <c r="B314" s="3">
        <v>64.05</v>
      </c>
    </row>
    <row r="315" spans="1:2" ht="13.9" x14ac:dyDescent="0.35">
      <c r="A315" s="2">
        <v>44278</v>
      </c>
      <c r="B315" s="3">
        <v>62.17</v>
      </c>
    </row>
    <row r="316" spans="1:2" ht="13.9" x14ac:dyDescent="0.35">
      <c r="A316" s="2">
        <v>44279</v>
      </c>
      <c r="B316" s="3">
        <v>63.85</v>
      </c>
    </row>
    <row r="317" spans="1:2" ht="13.9" x14ac:dyDescent="0.35">
      <c r="A317" s="2">
        <v>44280</v>
      </c>
      <c r="B317" s="3">
        <v>61.36</v>
      </c>
    </row>
    <row r="318" spans="1:2" ht="13.9" x14ac:dyDescent="0.35">
      <c r="A318" s="2">
        <v>44281</v>
      </c>
      <c r="B318" s="3">
        <v>64.02</v>
      </c>
    </row>
    <row r="319" spans="1:2" ht="13.9" x14ac:dyDescent="0.35">
      <c r="A319" s="2">
        <v>44284</v>
      </c>
      <c r="B319" s="3">
        <v>63.45</v>
      </c>
    </row>
    <row r="320" spans="1:2" ht="13.9" x14ac:dyDescent="0.35">
      <c r="A320" s="2">
        <v>44285</v>
      </c>
      <c r="B320" s="3">
        <v>63.58</v>
      </c>
    </row>
    <row r="321" spans="1:2" ht="13.9" x14ac:dyDescent="0.35">
      <c r="A321" s="2">
        <v>44286</v>
      </c>
      <c r="B321" s="3">
        <v>63.98</v>
      </c>
    </row>
    <row r="322" spans="1:2" ht="13.9" x14ac:dyDescent="0.35">
      <c r="A322" s="2">
        <v>44287</v>
      </c>
      <c r="B322" s="3">
        <v>62.35</v>
      </c>
    </row>
    <row r="323" spans="1:2" ht="13.9" x14ac:dyDescent="0.35">
      <c r="A323" s="2">
        <v>44292</v>
      </c>
      <c r="B323" s="3">
        <v>62.61</v>
      </c>
    </row>
    <row r="324" spans="1:2" ht="13.9" x14ac:dyDescent="0.35">
      <c r="A324" s="2">
        <v>44293</v>
      </c>
      <c r="B324" s="3">
        <v>61.11</v>
      </c>
    </row>
    <row r="325" spans="1:2" ht="13.9" x14ac:dyDescent="0.35">
      <c r="A325" s="2">
        <v>44294</v>
      </c>
      <c r="B325" s="3">
        <v>62.17</v>
      </c>
    </row>
    <row r="326" spans="1:2" ht="13.9" x14ac:dyDescent="0.35">
      <c r="A326" s="2">
        <v>44295</v>
      </c>
      <c r="B326" s="3">
        <v>62.48</v>
      </c>
    </row>
    <row r="327" spans="1:2" ht="13.9" x14ac:dyDescent="0.35">
      <c r="A327" s="2">
        <v>44298</v>
      </c>
      <c r="B327" s="3">
        <v>62.62</v>
      </c>
    </row>
    <row r="328" spans="1:2" ht="13.9" x14ac:dyDescent="0.35">
      <c r="A328" s="2">
        <v>44299</v>
      </c>
      <c r="B328" s="3">
        <v>63.39</v>
      </c>
    </row>
    <row r="329" spans="1:2" ht="13.9" x14ac:dyDescent="0.35">
      <c r="A329" s="2">
        <v>44300</v>
      </c>
      <c r="B329" s="3">
        <v>65.680000000000007</v>
      </c>
    </row>
    <row r="330" spans="1:2" ht="13.9" x14ac:dyDescent="0.35">
      <c r="A330" s="2">
        <v>44301</v>
      </c>
      <c r="B330" s="3">
        <v>65.61</v>
      </c>
    </row>
    <row r="331" spans="1:2" ht="13.9" x14ac:dyDescent="0.35">
      <c r="A331" s="2">
        <v>44302</v>
      </c>
      <c r="B331" s="3">
        <v>65.98</v>
      </c>
    </row>
    <row r="332" spans="1:2" ht="13.9" x14ac:dyDescent="0.35">
      <c r="A332" s="2">
        <v>44305</v>
      </c>
      <c r="B332" s="3">
        <v>66.39</v>
      </c>
    </row>
    <row r="333" spans="1:2" ht="13.9" x14ac:dyDescent="0.35">
      <c r="A333" s="2">
        <v>44306</v>
      </c>
      <c r="B333" s="3">
        <v>65.31</v>
      </c>
    </row>
    <row r="334" spans="1:2" ht="13.9" x14ac:dyDescent="0.35">
      <c r="A334" s="2">
        <v>44307</v>
      </c>
      <c r="B334" s="3">
        <v>65.540000000000006</v>
      </c>
    </row>
    <row r="335" spans="1:2" ht="13.9" x14ac:dyDescent="0.35">
      <c r="A335" s="2">
        <v>44308</v>
      </c>
      <c r="B335" s="3">
        <v>65.319999999999993</v>
      </c>
    </row>
    <row r="336" spans="1:2" ht="13.9" x14ac:dyDescent="0.35">
      <c r="A336" s="2">
        <v>44309</v>
      </c>
      <c r="B336" s="3">
        <v>65.790000000000006</v>
      </c>
    </row>
    <row r="337" spans="1:2" ht="13.9" x14ac:dyDescent="0.35">
      <c r="A337" s="2">
        <v>44312</v>
      </c>
      <c r="B337" s="3">
        <v>65.58</v>
      </c>
    </row>
    <row r="338" spans="1:2" ht="13.9" x14ac:dyDescent="0.35">
      <c r="A338" s="2">
        <v>44313</v>
      </c>
      <c r="B338" s="3">
        <v>65.72</v>
      </c>
    </row>
    <row r="339" spans="1:2" ht="13.9" x14ac:dyDescent="0.35">
      <c r="A339" s="2">
        <v>44314</v>
      </c>
      <c r="B339" s="3">
        <v>67.56</v>
      </c>
    </row>
    <row r="340" spans="1:2" ht="13.9" x14ac:dyDescent="0.35">
      <c r="A340" s="2">
        <v>44315</v>
      </c>
      <c r="B340" s="3">
        <v>68.36</v>
      </c>
    </row>
    <row r="341" spans="1:2" ht="13.9" x14ac:dyDescent="0.35">
      <c r="A341" s="2">
        <v>44316</v>
      </c>
      <c r="B341" s="3">
        <v>67.319999999999993</v>
      </c>
    </row>
    <row r="342" spans="1:2" ht="13.9" x14ac:dyDescent="0.35">
      <c r="A342" s="2">
        <v>44320</v>
      </c>
      <c r="B342" s="3">
        <v>69.319999999999993</v>
      </c>
    </row>
    <row r="343" spans="1:2" ht="13.9" x14ac:dyDescent="0.35">
      <c r="A343" s="2">
        <v>44321</v>
      </c>
      <c r="B343" s="3">
        <v>70.56</v>
      </c>
    </row>
    <row r="344" spans="1:2" ht="13.9" x14ac:dyDescent="0.35">
      <c r="A344" s="2">
        <v>44322</v>
      </c>
      <c r="B344" s="3">
        <v>69.31</v>
      </c>
    </row>
    <row r="345" spans="1:2" ht="13.9" x14ac:dyDescent="0.35">
      <c r="A345" s="2">
        <v>44323</v>
      </c>
      <c r="B345" s="3">
        <v>68.98</v>
      </c>
    </row>
    <row r="346" spans="1:2" ht="13.9" x14ac:dyDescent="0.35">
      <c r="A346" s="2">
        <v>44326</v>
      </c>
      <c r="B346" s="3">
        <v>68.88</v>
      </c>
    </row>
    <row r="347" spans="1:2" ht="13.9" x14ac:dyDescent="0.35">
      <c r="A347" s="2">
        <v>44327</v>
      </c>
      <c r="B347" s="3">
        <v>69</v>
      </c>
    </row>
    <row r="348" spans="1:2" ht="13.9" x14ac:dyDescent="0.35">
      <c r="A348" s="2">
        <v>44328</v>
      </c>
      <c r="B348" s="3">
        <v>70.260000000000005</v>
      </c>
    </row>
    <row r="349" spans="1:2" ht="13.9" x14ac:dyDescent="0.35">
      <c r="A349" s="2">
        <v>44329</v>
      </c>
      <c r="B349" s="3">
        <v>68.290000000000006</v>
      </c>
    </row>
    <row r="350" spans="1:2" ht="13.9" x14ac:dyDescent="0.35">
      <c r="A350" s="2">
        <v>44330</v>
      </c>
      <c r="B350" s="3">
        <v>69.17</v>
      </c>
    </row>
    <row r="351" spans="1:2" ht="13.9" x14ac:dyDescent="0.35">
      <c r="A351" s="2">
        <v>44333</v>
      </c>
      <c r="B351" s="3">
        <v>69.989999999999995</v>
      </c>
    </row>
    <row r="352" spans="1:2" ht="13.9" x14ac:dyDescent="0.35">
      <c r="A352" s="2">
        <v>44334</v>
      </c>
      <c r="B352" s="3">
        <v>69.87</v>
      </c>
    </row>
    <row r="353" spans="1:2" ht="13.9" x14ac:dyDescent="0.35">
      <c r="A353" s="2">
        <v>44335</v>
      </c>
      <c r="B353" s="3">
        <v>66.62</v>
      </c>
    </row>
    <row r="354" spans="1:2" ht="13.9" x14ac:dyDescent="0.35">
      <c r="A354" s="2">
        <v>44336</v>
      </c>
      <c r="B354" s="3">
        <v>66.73</v>
      </c>
    </row>
    <row r="355" spans="1:2" ht="13.9" x14ac:dyDescent="0.35">
      <c r="A355" s="2">
        <v>44337</v>
      </c>
      <c r="B355" s="3">
        <v>67.11</v>
      </c>
    </row>
    <row r="356" spans="1:2" ht="13.9" x14ac:dyDescent="0.35">
      <c r="A356" s="2">
        <v>44340</v>
      </c>
      <c r="B356" s="3">
        <v>68.53</v>
      </c>
    </row>
    <row r="357" spans="1:2" ht="13.9" x14ac:dyDescent="0.35">
      <c r="A357" s="2">
        <v>44341</v>
      </c>
      <c r="B357" s="3">
        <v>68.83</v>
      </c>
    </row>
    <row r="358" spans="1:2" ht="13.9" x14ac:dyDescent="0.35">
      <c r="A358" s="2">
        <v>44342</v>
      </c>
      <c r="B358" s="3">
        <v>69.09</v>
      </c>
    </row>
    <row r="359" spans="1:2" ht="13.9" x14ac:dyDescent="0.35">
      <c r="A359" s="2">
        <v>44343</v>
      </c>
      <c r="B359" s="3">
        <v>69.34</v>
      </c>
    </row>
    <row r="360" spans="1:2" ht="13.9" x14ac:dyDescent="0.35">
      <c r="A360" s="2">
        <v>44344</v>
      </c>
      <c r="B360" s="3">
        <v>69.75</v>
      </c>
    </row>
    <row r="361" spans="1:2" ht="13.9" x14ac:dyDescent="0.35">
      <c r="A361" s="2">
        <v>44348</v>
      </c>
      <c r="B361" s="3">
        <v>69.42</v>
      </c>
    </row>
    <row r="362" spans="1:2" ht="13.9" x14ac:dyDescent="0.35">
      <c r="A362" s="2">
        <v>44349</v>
      </c>
      <c r="B362" s="3">
        <v>69.900000000000006</v>
      </c>
    </row>
    <row r="363" spans="1:2" ht="13.9" x14ac:dyDescent="0.35">
      <c r="A363" s="2">
        <v>44350</v>
      </c>
      <c r="B363" s="3">
        <v>70.13</v>
      </c>
    </row>
    <row r="364" spans="1:2" ht="13.9" x14ac:dyDescent="0.35">
      <c r="A364" s="2">
        <v>44351</v>
      </c>
      <c r="B364" s="3">
        <v>70.72</v>
      </c>
    </row>
    <row r="365" spans="1:2" x14ac:dyDescent="0.3">
      <c r="A365" s="4">
        <v>44354</v>
      </c>
      <c r="B365" s="5">
        <v>70.599999999999994</v>
      </c>
    </row>
    <row r="366" spans="1:2" x14ac:dyDescent="0.3">
      <c r="A366" s="4">
        <v>44355</v>
      </c>
      <c r="B366" s="5">
        <v>71.14</v>
      </c>
    </row>
    <row r="367" spans="1:2" x14ac:dyDescent="0.3">
      <c r="A367" s="4">
        <v>44356</v>
      </c>
      <c r="B367" s="5">
        <v>71.42</v>
      </c>
    </row>
    <row r="368" spans="1:2" x14ac:dyDescent="0.3">
      <c r="A368" s="4">
        <v>44357</v>
      </c>
      <c r="B368" s="5">
        <v>71.84</v>
      </c>
    </row>
    <row r="369" spans="1:2" x14ac:dyDescent="0.3">
      <c r="A369" s="4">
        <v>44358</v>
      </c>
      <c r="B369" s="5">
        <v>72.3</v>
      </c>
    </row>
    <row r="370" spans="1:2" x14ac:dyDescent="0.3">
      <c r="A370" s="4">
        <v>44361</v>
      </c>
      <c r="B370" s="5">
        <v>72.75</v>
      </c>
    </row>
    <row r="371" spans="1:2" x14ac:dyDescent="0.3">
      <c r="A371" s="4">
        <v>44362</v>
      </c>
      <c r="B371" s="5">
        <v>73.260000000000005</v>
      </c>
    </row>
    <row r="372" spans="1:2" x14ac:dyDescent="0.3">
      <c r="A372" s="4">
        <v>44363</v>
      </c>
      <c r="B372" s="5">
        <v>74.709999999999994</v>
      </c>
    </row>
    <row r="373" spans="1:2" x14ac:dyDescent="0.3">
      <c r="A373" s="4">
        <v>44364</v>
      </c>
      <c r="B373" s="5">
        <v>72.73</v>
      </c>
    </row>
    <row r="374" spans="1:2" x14ac:dyDescent="0.3">
      <c r="A374" s="4">
        <v>44365</v>
      </c>
      <c r="B374" s="5">
        <v>73.44</v>
      </c>
    </row>
    <row r="375" spans="1:2" x14ac:dyDescent="0.3">
      <c r="A375" s="4">
        <v>44368</v>
      </c>
      <c r="B375" s="5">
        <v>74.42</v>
      </c>
    </row>
    <row r="376" spans="1:2" x14ac:dyDescent="0.3">
      <c r="A376" s="4">
        <v>44369</v>
      </c>
      <c r="B376" s="5">
        <v>75.11</v>
      </c>
    </row>
    <row r="377" spans="1:2" x14ac:dyDescent="0.3">
      <c r="A377" s="4">
        <v>44370</v>
      </c>
      <c r="B377" s="5">
        <v>75.95</v>
      </c>
    </row>
    <row r="378" spans="1:2" x14ac:dyDescent="0.3">
      <c r="A378" s="4">
        <v>44371</v>
      </c>
      <c r="B378" s="5">
        <v>75.790000000000006</v>
      </c>
    </row>
    <row r="379" spans="1:2" x14ac:dyDescent="0.3">
      <c r="A379" s="4">
        <v>44372</v>
      </c>
      <c r="B379" s="5">
        <v>76.650000000000006</v>
      </c>
    </row>
    <row r="380" spans="1:2" x14ac:dyDescent="0.3">
      <c r="A380" s="4">
        <v>44375</v>
      </c>
      <c r="B380" s="5">
        <v>75.3</v>
      </c>
    </row>
    <row r="381" spans="1:2" x14ac:dyDescent="0.3">
      <c r="A381" s="4">
        <v>44376</v>
      </c>
      <c r="B381" s="5">
        <v>76.010000000000005</v>
      </c>
    </row>
    <row r="382" spans="1:2" x14ac:dyDescent="0.3">
      <c r="A382" s="4">
        <v>44377</v>
      </c>
      <c r="B382" s="5">
        <v>76.260000000000005</v>
      </c>
    </row>
    <row r="383" spans="1:2" x14ac:dyDescent="0.3">
      <c r="A383" s="4">
        <v>44378</v>
      </c>
      <c r="B383" s="5">
        <v>77.39</v>
      </c>
    </row>
    <row r="384" spans="1:2" x14ac:dyDescent="0.3">
      <c r="A384" s="4">
        <v>44379</v>
      </c>
      <c r="B384" s="5">
        <v>77.77</v>
      </c>
    </row>
    <row r="385" spans="1:2" x14ac:dyDescent="0.3">
      <c r="A385" s="4">
        <v>44382</v>
      </c>
      <c r="B385" s="5">
        <v>78.53</v>
      </c>
    </row>
    <row r="386" spans="1:2" x14ac:dyDescent="0.3">
      <c r="A386" s="4">
        <v>44383</v>
      </c>
      <c r="B386" s="5">
        <v>76.2</v>
      </c>
    </row>
    <row r="387" spans="1:2" x14ac:dyDescent="0.3">
      <c r="A387" s="4">
        <v>44384</v>
      </c>
      <c r="B387" s="5">
        <v>74.400000000000006</v>
      </c>
    </row>
    <row r="388" spans="1:2" x14ac:dyDescent="0.3">
      <c r="A388" s="4">
        <v>44385</v>
      </c>
      <c r="B388" s="5">
        <v>75.180000000000007</v>
      </c>
    </row>
    <row r="389" spans="1:2" x14ac:dyDescent="0.3">
      <c r="A389" s="4">
        <v>44386</v>
      </c>
      <c r="B389" s="5">
        <v>77.290000000000006</v>
      </c>
    </row>
    <row r="390" spans="1:2" x14ac:dyDescent="0.3">
      <c r="A390" s="4">
        <v>44389</v>
      </c>
      <c r="B390" s="5">
        <v>76.37</v>
      </c>
    </row>
    <row r="391" spans="1:2" x14ac:dyDescent="0.3">
      <c r="A391" s="4">
        <v>44390</v>
      </c>
      <c r="B391" s="5">
        <v>76.790000000000006</v>
      </c>
    </row>
    <row r="392" spans="1:2" x14ac:dyDescent="0.3">
      <c r="A392" s="4">
        <v>44391</v>
      </c>
      <c r="B392" s="5">
        <v>77.180000000000007</v>
      </c>
    </row>
    <row r="393" spans="1:2" x14ac:dyDescent="0.3">
      <c r="A393" s="4">
        <v>44392</v>
      </c>
      <c r="B393" s="5">
        <v>75.680000000000007</v>
      </c>
    </row>
    <row r="394" spans="1:2" x14ac:dyDescent="0.3">
      <c r="A394" s="4">
        <v>44393</v>
      </c>
      <c r="B394" s="5">
        <v>74.63</v>
      </c>
    </row>
    <row r="395" spans="1:2" x14ac:dyDescent="0.3">
      <c r="A395" s="4">
        <v>44396</v>
      </c>
      <c r="B395" s="5">
        <v>69.91</v>
      </c>
    </row>
    <row r="396" spans="1:2" x14ac:dyDescent="0.3">
      <c r="A396" s="4">
        <v>44397</v>
      </c>
      <c r="B396" s="5">
        <v>69.760000000000005</v>
      </c>
    </row>
    <row r="397" spans="1:2" x14ac:dyDescent="0.3">
      <c r="A397" s="4">
        <v>44398</v>
      </c>
      <c r="B397" s="5">
        <v>72.34</v>
      </c>
    </row>
    <row r="398" spans="1:2" x14ac:dyDescent="0.3">
      <c r="A398" s="4">
        <v>44399</v>
      </c>
      <c r="B398" s="5">
        <v>73.459999999999994</v>
      </c>
    </row>
    <row r="399" spans="1:2" x14ac:dyDescent="0.3">
      <c r="A399" s="4">
        <v>44400</v>
      </c>
      <c r="B399" s="5">
        <v>74.45</v>
      </c>
    </row>
    <row r="400" spans="1:2" x14ac:dyDescent="0.3">
      <c r="A400" s="4">
        <v>44403</v>
      </c>
      <c r="B400" s="5">
        <v>74.930000000000007</v>
      </c>
    </row>
    <row r="401" spans="1:2" x14ac:dyDescent="0.3">
      <c r="A401" s="4">
        <v>44404</v>
      </c>
      <c r="B401" s="5">
        <v>75</v>
      </c>
    </row>
    <row r="402" spans="1:2" x14ac:dyDescent="0.3">
      <c r="A402" s="4">
        <v>44405</v>
      </c>
      <c r="B402" s="5">
        <v>74.849999999999994</v>
      </c>
    </row>
    <row r="403" spans="1:2" x14ac:dyDescent="0.3">
      <c r="A403" s="4">
        <v>44406</v>
      </c>
      <c r="B403" s="5">
        <v>75.77</v>
      </c>
    </row>
    <row r="404" spans="1:2" x14ac:dyDescent="0.3">
      <c r="A404" s="4">
        <v>44407</v>
      </c>
      <c r="B404" s="5">
        <v>76.319999999999993</v>
      </c>
    </row>
    <row r="405" spans="1:2" x14ac:dyDescent="0.3">
      <c r="A405" s="4">
        <v>44410</v>
      </c>
      <c r="B405" s="5">
        <v>73.97</v>
      </c>
    </row>
    <row r="406" spans="1:2" x14ac:dyDescent="0.3">
      <c r="A406" s="4">
        <v>44411</v>
      </c>
      <c r="B406" s="5">
        <v>73.66</v>
      </c>
    </row>
    <row r="407" spans="1:2" x14ac:dyDescent="0.3">
      <c r="A407" s="4">
        <v>44412</v>
      </c>
      <c r="B407" s="5">
        <v>72.040000000000006</v>
      </c>
    </row>
    <row r="408" spans="1:2" x14ac:dyDescent="0.3">
      <c r="A408" s="4">
        <v>44413</v>
      </c>
      <c r="B408" s="5">
        <v>72.150000000000006</v>
      </c>
    </row>
    <row r="409" spans="1:2" x14ac:dyDescent="0.3">
      <c r="A409" s="4">
        <v>44414</v>
      </c>
      <c r="B409" s="5">
        <v>71.3</v>
      </c>
    </row>
    <row r="410" spans="1:2" x14ac:dyDescent="0.3">
      <c r="A410" s="6">
        <v>44417</v>
      </c>
      <c r="B410" s="16">
        <v>69.819999999999993</v>
      </c>
    </row>
    <row r="411" spans="1:2" x14ac:dyDescent="0.3">
      <c r="A411" s="6">
        <v>44418</v>
      </c>
      <c r="B411" s="16">
        <v>71.98</v>
      </c>
    </row>
    <row r="412" spans="1:2" x14ac:dyDescent="0.3">
      <c r="A412" s="6">
        <v>44419</v>
      </c>
      <c r="B412" s="16">
        <v>70.87</v>
      </c>
    </row>
    <row r="413" spans="1:2" x14ac:dyDescent="0.3">
      <c r="A413" s="6">
        <v>44420</v>
      </c>
      <c r="B413" s="16">
        <v>71.739999999999995</v>
      </c>
    </row>
    <row r="414" spans="1:2" x14ac:dyDescent="0.3">
      <c r="A414" s="6">
        <v>44421</v>
      </c>
      <c r="B414" s="16">
        <v>71.67</v>
      </c>
    </row>
    <row r="415" spans="1:2" x14ac:dyDescent="0.3">
      <c r="A415" s="4">
        <v>44424</v>
      </c>
      <c r="B415" s="5">
        <v>70.2</v>
      </c>
    </row>
    <row r="416" spans="1:2" x14ac:dyDescent="0.3">
      <c r="A416" s="4">
        <v>44425</v>
      </c>
      <c r="B416" s="5">
        <v>70.650000000000006</v>
      </c>
    </row>
    <row r="417" spans="1:2" x14ac:dyDescent="0.3">
      <c r="A417" s="4">
        <v>44426</v>
      </c>
      <c r="B417" s="5">
        <v>69.849999999999994</v>
      </c>
    </row>
    <row r="418" spans="1:2" x14ac:dyDescent="0.3">
      <c r="A418" s="4">
        <v>44427</v>
      </c>
      <c r="B418" s="5">
        <v>66.19</v>
      </c>
    </row>
    <row r="419" spans="1:2" x14ac:dyDescent="0.3">
      <c r="A419" s="4">
        <v>44428</v>
      </c>
      <c r="B419" s="5">
        <v>66.73</v>
      </c>
    </row>
    <row r="420" spans="1:2" x14ac:dyDescent="0.3">
      <c r="A420" s="4">
        <v>44431</v>
      </c>
      <c r="B420" s="5">
        <v>69.13</v>
      </c>
    </row>
    <row r="421" spans="1:2" x14ac:dyDescent="0.3">
      <c r="A421" s="4">
        <v>44432</v>
      </c>
      <c r="B421" s="5">
        <v>71.12</v>
      </c>
    </row>
    <row r="422" spans="1:2" x14ac:dyDescent="0.3">
      <c r="A422" s="4">
        <v>44433</v>
      </c>
      <c r="B422" s="5">
        <v>71.41</v>
      </c>
    </row>
    <row r="423" spans="1:2" x14ac:dyDescent="0.3">
      <c r="A423" s="4">
        <v>44434</v>
      </c>
      <c r="B423" s="5">
        <v>71.03</v>
      </c>
    </row>
    <row r="424" spans="1:2" x14ac:dyDescent="0.3">
      <c r="A424" s="4">
        <v>44435</v>
      </c>
      <c r="B424" s="5">
        <v>72.03</v>
      </c>
    </row>
    <row r="425" spans="1:2" x14ac:dyDescent="0.3">
      <c r="A425" s="4">
        <v>44439</v>
      </c>
      <c r="B425" s="5">
        <v>72.63</v>
      </c>
    </row>
    <row r="426" spans="1:2" x14ac:dyDescent="0.3">
      <c r="A426" s="4">
        <v>44440</v>
      </c>
      <c r="B426" s="5">
        <v>71.569999999999993</v>
      </c>
    </row>
    <row r="427" spans="1:2" x14ac:dyDescent="0.3">
      <c r="A427" s="4">
        <v>44441</v>
      </c>
      <c r="B427" s="5">
        <v>74.13</v>
      </c>
    </row>
    <row r="428" spans="1:2" x14ac:dyDescent="0.3">
      <c r="A428" s="4">
        <v>44442</v>
      </c>
      <c r="B428" s="5">
        <v>73.569999999999993</v>
      </c>
    </row>
    <row r="429" spans="1:2" x14ac:dyDescent="0.3">
      <c r="A429" s="4">
        <v>44445</v>
      </c>
      <c r="B429" s="5">
        <v>72.36</v>
      </c>
    </row>
    <row r="430" spans="1:2" x14ac:dyDescent="0.3">
      <c r="A430" s="4">
        <v>44446</v>
      </c>
      <c r="B430" s="5">
        <v>71.78</v>
      </c>
    </row>
    <row r="431" spans="1:2" x14ac:dyDescent="0.3">
      <c r="A431" s="4">
        <v>44447</v>
      </c>
      <c r="B431" s="5">
        <v>72.400000000000006</v>
      </c>
    </row>
    <row r="432" spans="1:2" x14ac:dyDescent="0.3">
      <c r="A432" s="4">
        <v>44448</v>
      </c>
      <c r="B432" s="5">
        <v>72.739999999999995</v>
      </c>
    </row>
    <row r="433" spans="1:2" x14ac:dyDescent="0.3">
      <c r="A433" s="4">
        <v>44449</v>
      </c>
      <c r="B433" s="5">
        <v>72.56</v>
      </c>
    </row>
    <row r="434" spans="1:2" x14ac:dyDescent="0.3">
      <c r="A434" s="4">
        <v>44452</v>
      </c>
      <c r="B434" s="5">
        <v>73.06</v>
      </c>
    </row>
    <row r="435" spans="1:2" x14ac:dyDescent="0.3">
      <c r="A435" s="4">
        <v>44453</v>
      </c>
      <c r="B435" s="5">
        <v>73.239999999999995</v>
      </c>
    </row>
    <row r="436" spans="1:2" x14ac:dyDescent="0.3">
      <c r="A436" s="4">
        <v>44454</v>
      </c>
      <c r="B436" s="5">
        <v>75.47</v>
      </c>
    </row>
    <row r="437" spans="1:2" x14ac:dyDescent="0.3">
      <c r="A437" s="4">
        <v>44455</v>
      </c>
      <c r="B437" s="5">
        <v>74.31</v>
      </c>
    </row>
    <row r="438" spans="1:2" x14ac:dyDescent="0.3">
      <c r="A438" s="4">
        <v>44456</v>
      </c>
      <c r="B438" s="5">
        <v>74.510000000000005</v>
      </c>
    </row>
    <row r="439" spans="1:2" x14ac:dyDescent="0.3">
      <c r="A439" s="4">
        <v>44459</v>
      </c>
      <c r="B439" s="5">
        <v>74.38</v>
      </c>
    </row>
    <row r="440" spans="1:2" x14ac:dyDescent="0.3">
      <c r="A440" s="4">
        <v>44460</v>
      </c>
      <c r="B440" s="5">
        <v>73.33</v>
      </c>
    </row>
    <row r="441" spans="1:2" x14ac:dyDescent="0.3">
      <c r="A441" s="4">
        <v>44461</v>
      </c>
      <c r="B441" s="5">
        <v>75.2</v>
      </c>
    </row>
    <row r="442" spans="1:2" x14ac:dyDescent="0.3">
      <c r="A442" s="4">
        <v>44462</v>
      </c>
      <c r="B442" s="5">
        <v>76.84</v>
      </c>
    </row>
    <row r="443" spans="1:2" x14ac:dyDescent="0.3">
      <c r="A443" s="4">
        <v>44463</v>
      </c>
      <c r="B443" s="5">
        <v>77.62</v>
      </c>
    </row>
    <row r="444" spans="1:2" x14ac:dyDescent="0.3">
      <c r="A444" s="4">
        <v>44466</v>
      </c>
      <c r="B444" s="5">
        <v>79.37</v>
      </c>
    </row>
    <row r="445" spans="1:2" x14ac:dyDescent="0.3">
      <c r="A445" s="4">
        <v>44467</v>
      </c>
      <c r="B445" s="5">
        <v>78.73</v>
      </c>
    </row>
    <row r="446" spans="1:2" x14ac:dyDescent="0.3">
      <c r="A446" s="4">
        <v>44468</v>
      </c>
      <c r="B446" s="5">
        <v>78.599999999999994</v>
      </c>
    </row>
    <row r="447" spans="1:2" x14ac:dyDescent="0.3">
      <c r="A447" s="4">
        <v>44469</v>
      </c>
      <c r="B447" s="5">
        <v>79.11</v>
      </c>
    </row>
    <row r="448" spans="1:2" x14ac:dyDescent="0.3">
      <c r="A448" s="4">
        <v>44470</v>
      </c>
      <c r="B448" s="5">
        <v>78.91</v>
      </c>
    </row>
    <row r="449" spans="1:2" x14ac:dyDescent="0.3">
      <c r="A449" s="4">
        <v>44473</v>
      </c>
      <c r="B449" s="5">
        <v>82.06</v>
      </c>
    </row>
    <row r="450" spans="1:2" x14ac:dyDescent="0.3">
      <c r="A450" s="4">
        <v>44474</v>
      </c>
      <c r="B450" s="5">
        <v>83.55</v>
      </c>
    </row>
    <row r="451" spans="1:2" x14ac:dyDescent="0.3">
      <c r="A451" s="4">
        <v>44475</v>
      </c>
      <c r="B451" s="5">
        <v>81.680000000000007</v>
      </c>
    </row>
    <row r="452" spans="1:2" x14ac:dyDescent="0.3">
      <c r="A452" s="4">
        <v>44476</v>
      </c>
      <c r="B452" s="5">
        <v>82.08</v>
      </c>
    </row>
    <row r="453" spans="1:2" x14ac:dyDescent="0.3">
      <c r="A453" s="4">
        <v>44477</v>
      </c>
      <c r="B453" s="5">
        <v>83.24</v>
      </c>
    </row>
    <row r="454" spans="1:2" x14ac:dyDescent="0.3">
      <c r="A454" s="4">
        <v>44480</v>
      </c>
      <c r="B454" s="5">
        <v>84.59</v>
      </c>
    </row>
    <row r="455" spans="1:2" x14ac:dyDescent="0.3">
      <c r="A455" s="4">
        <v>44481</v>
      </c>
      <c r="B455" s="5">
        <v>83.76</v>
      </c>
    </row>
    <row r="456" spans="1:2" x14ac:dyDescent="0.3">
      <c r="A456" s="4">
        <v>44482</v>
      </c>
      <c r="B456" s="5">
        <v>83.55</v>
      </c>
    </row>
    <row r="457" spans="1:2" x14ac:dyDescent="0.3">
      <c r="A457" s="4">
        <v>44483</v>
      </c>
      <c r="B457" s="5">
        <v>83.39</v>
      </c>
    </row>
    <row r="458" spans="1:2" x14ac:dyDescent="0.3">
      <c r="A458" s="4">
        <v>44484</v>
      </c>
      <c r="B458" s="5">
        <v>85.16</v>
      </c>
    </row>
    <row r="459" spans="1:2" x14ac:dyDescent="0.3">
      <c r="A459" s="4">
        <v>44487</v>
      </c>
      <c r="B459" s="5">
        <v>84.71</v>
      </c>
    </row>
    <row r="460" spans="1:2" x14ac:dyDescent="0.3">
      <c r="A460" s="4">
        <v>44488</v>
      </c>
      <c r="B460" s="5">
        <v>85.08</v>
      </c>
    </row>
    <row r="461" spans="1:2" x14ac:dyDescent="0.3">
      <c r="A461" s="4">
        <v>44489</v>
      </c>
      <c r="B461" s="5">
        <v>85.28</v>
      </c>
    </row>
    <row r="462" spans="1:2" x14ac:dyDescent="0.3">
      <c r="A462" s="4">
        <v>44490</v>
      </c>
      <c r="B462" s="5">
        <v>83.98</v>
      </c>
    </row>
    <row r="463" spans="1:2" x14ac:dyDescent="0.3">
      <c r="A463" s="4">
        <v>44491</v>
      </c>
      <c r="B463" s="5">
        <v>84.98</v>
      </c>
    </row>
    <row r="464" spans="1:2" x14ac:dyDescent="0.3">
      <c r="A464" s="4">
        <v>44494</v>
      </c>
      <c r="B464" s="5">
        <v>86.16</v>
      </c>
    </row>
    <row r="465" spans="1:2" x14ac:dyDescent="0.3">
      <c r="A465" s="4">
        <v>44495</v>
      </c>
      <c r="B465" s="5">
        <v>85.91</v>
      </c>
    </row>
    <row r="466" spans="1:2" x14ac:dyDescent="0.3">
      <c r="A466" s="4">
        <v>44496</v>
      </c>
      <c r="B466" s="5">
        <v>84.71</v>
      </c>
    </row>
    <row r="467" spans="1:2" x14ac:dyDescent="0.3">
      <c r="A467" s="4">
        <v>44497</v>
      </c>
      <c r="B467" s="5">
        <v>83.45</v>
      </c>
    </row>
    <row r="468" spans="1:2" x14ac:dyDescent="0.3">
      <c r="A468" s="4">
        <v>44498</v>
      </c>
      <c r="B468" s="5">
        <v>83.74</v>
      </c>
    </row>
    <row r="469" spans="1:2" x14ac:dyDescent="0.3">
      <c r="A469" s="4">
        <v>44501</v>
      </c>
      <c r="B469" s="5">
        <v>84.79</v>
      </c>
    </row>
    <row r="470" spans="1:2" x14ac:dyDescent="0.3">
      <c r="A470" s="4">
        <v>44502</v>
      </c>
      <c r="B470" s="5">
        <v>84.55</v>
      </c>
    </row>
    <row r="471" spans="1:2" x14ac:dyDescent="0.3">
      <c r="A471" s="4">
        <v>44503</v>
      </c>
      <c r="B471" s="5">
        <v>82.44</v>
      </c>
    </row>
    <row r="472" spans="1:2" x14ac:dyDescent="0.3">
      <c r="A472" s="4">
        <v>44504</v>
      </c>
      <c r="B472" s="5">
        <v>82.13</v>
      </c>
    </row>
    <row r="473" spans="1:2" x14ac:dyDescent="0.3">
      <c r="A473" s="4">
        <v>44505</v>
      </c>
      <c r="B473" s="5">
        <v>82.98</v>
      </c>
    </row>
    <row r="474" spans="1:2" x14ac:dyDescent="0.3">
      <c r="A474" s="4">
        <v>44508</v>
      </c>
      <c r="B474" s="5">
        <v>84.15</v>
      </c>
    </row>
    <row r="475" spans="1:2" x14ac:dyDescent="0.3">
      <c r="A475" s="4">
        <v>44509</v>
      </c>
      <c r="B475" s="5">
        <v>84.6</v>
      </c>
    </row>
    <row r="476" spans="1:2" x14ac:dyDescent="0.3">
      <c r="A476" s="4">
        <v>44510</v>
      </c>
      <c r="B476" s="5">
        <v>84.36</v>
      </c>
    </row>
    <row r="477" spans="1:2" x14ac:dyDescent="0.3">
      <c r="A477" s="4">
        <v>44511</v>
      </c>
      <c r="B477" s="5">
        <v>83.32</v>
      </c>
    </row>
    <row r="478" spans="1:2" x14ac:dyDescent="0.3">
      <c r="A478" s="4">
        <v>44512</v>
      </c>
      <c r="B478" s="5">
        <v>82.91</v>
      </c>
    </row>
    <row r="479" spans="1:2" x14ac:dyDescent="0.3">
      <c r="A479" s="4">
        <v>44515</v>
      </c>
      <c r="B479" s="5">
        <v>81.67</v>
      </c>
    </row>
    <row r="480" spans="1:2" x14ac:dyDescent="0.3">
      <c r="A480" s="4">
        <v>44516</v>
      </c>
      <c r="B480" s="5">
        <v>82.83</v>
      </c>
    </row>
    <row r="481" spans="1:2" x14ac:dyDescent="0.3">
      <c r="A481" s="4">
        <v>44517</v>
      </c>
      <c r="B481" s="5">
        <v>82.62</v>
      </c>
    </row>
    <row r="482" spans="1:2" x14ac:dyDescent="0.3">
      <c r="A482" s="4">
        <v>44518</v>
      </c>
      <c r="B482" s="5">
        <v>82.37</v>
      </c>
    </row>
    <row r="483" spans="1:2" x14ac:dyDescent="0.3">
      <c r="A483" s="4">
        <v>44519</v>
      </c>
      <c r="B483" s="5">
        <v>79.94</v>
      </c>
    </row>
    <row r="484" spans="1:2" x14ac:dyDescent="0.3">
      <c r="A484" s="4">
        <v>44522</v>
      </c>
      <c r="B484" s="5">
        <v>81.180000000000007</v>
      </c>
    </row>
    <row r="485" spans="1:2" x14ac:dyDescent="0.3">
      <c r="A485" s="4">
        <v>44523</v>
      </c>
      <c r="B485" s="5">
        <v>83.09</v>
      </c>
    </row>
    <row r="486" spans="1:2" x14ac:dyDescent="0.3">
      <c r="A486" s="4">
        <v>44524</v>
      </c>
      <c r="B486" s="5">
        <v>83.18</v>
      </c>
    </row>
    <row r="487" spans="1:2" x14ac:dyDescent="0.3">
      <c r="A487" s="4">
        <v>44525</v>
      </c>
      <c r="B487" s="5">
        <v>82.52</v>
      </c>
    </row>
    <row r="488" spans="1:2" x14ac:dyDescent="0.3">
      <c r="A488" s="4">
        <v>44526</v>
      </c>
      <c r="B488" s="5">
        <v>73.36</v>
      </c>
    </row>
    <row r="489" spans="1:2" x14ac:dyDescent="0.3">
      <c r="A489" s="4">
        <v>44529</v>
      </c>
      <c r="B489" s="5">
        <v>75.2</v>
      </c>
    </row>
    <row r="490" spans="1:2" x14ac:dyDescent="0.3">
      <c r="A490" s="4">
        <v>44530</v>
      </c>
      <c r="B490" s="5">
        <v>70.989999999999995</v>
      </c>
    </row>
    <row r="491" spans="1:2" x14ac:dyDescent="0.3">
      <c r="A491" s="4">
        <v>44531</v>
      </c>
      <c r="B491" s="5">
        <v>71.97</v>
      </c>
    </row>
    <row r="492" spans="1:2" x14ac:dyDescent="0.3">
      <c r="A492" s="4">
        <v>44532</v>
      </c>
      <c r="B492" s="5">
        <v>70.94</v>
      </c>
    </row>
    <row r="493" spans="1:2" x14ac:dyDescent="0.3">
      <c r="A493" s="4">
        <v>44533</v>
      </c>
      <c r="B493" s="5">
        <v>72.14</v>
      </c>
    </row>
    <row r="494" spans="1:2" x14ac:dyDescent="0.3">
      <c r="A494" s="4">
        <v>44536</v>
      </c>
      <c r="B494" s="5">
        <v>72.42</v>
      </c>
    </row>
    <row r="495" spans="1:2" x14ac:dyDescent="0.3">
      <c r="A495" s="4">
        <v>44537</v>
      </c>
      <c r="B495" s="5">
        <v>72.430000000000007</v>
      </c>
    </row>
    <row r="496" spans="1:2" x14ac:dyDescent="0.3">
      <c r="A496" s="4">
        <v>44538</v>
      </c>
      <c r="B496" s="5">
        <v>75.88</v>
      </c>
    </row>
    <row r="497" spans="1:2" x14ac:dyDescent="0.3">
      <c r="A497" s="4">
        <v>44539</v>
      </c>
      <c r="B497" s="5">
        <v>75.31</v>
      </c>
    </row>
    <row r="498" spans="1:2" x14ac:dyDescent="0.3">
      <c r="A498" s="4">
        <v>44540</v>
      </c>
      <c r="B498" s="5">
        <v>74.59</v>
      </c>
    </row>
    <row r="499" spans="1:2" x14ac:dyDescent="0.3">
      <c r="A499" s="4">
        <v>44543</v>
      </c>
      <c r="B499" s="5">
        <v>74.400000000000006</v>
      </c>
    </row>
    <row r="500" spans="1:2" x14ac:dyDescent="0.3">
      <c r="A500" s="4">
        <v>44544</v>
      </c>
      <c r="B500" s="5">
        <v>73.83</v>
      </c>
    </row>
    <row r="501" spans="1:2" x14ac:dyDescent="0.3">
      <c r="A501" s="4">
        <v>44545</v>
      </c>
      <c r="B501" s="5">
        <v>72.930000000000007</v>
      </c>
    </row>
    <row r="502" spans="1:2" x14ac:dyDescent="0.3">
      <c r="A502" s="4">
        <v>44546</v>
      </c>
      <c r="B502" s="5">
        <v>74.92</v>
      </c>
    </row>
    <row r="503" spans="1:2" x14ac:dyDescent="0.3">
      <c r="A503" s="4">
        <v>44547</v>
      </c>
      <c r="B503" s="5">
        <v>73.22</v>
      </c>
    </row>
    <row r="504" spans="1:2" x14ac:dyDescent="0.3">
      <c r="A504" s="4">
        <v>44550</v>
      </c>
      <c r="B504" s="5">
        <v>69.05</v>
      </c>
    </row>
    <row r="505" spans="1:2" x14ac:dyDescent="0.3">
      <c r="A505" s="4">
        <v>44551</v>
      </c>
      <c r="B505" s="5">
        <v>73.02</v>
      </c>
    </row>
    <row r="506" spans="1:2" x14ac:dyDescent="0.3">
      <c r="A506" s="4">
        <v>44552</v>
      </c>
      <c r="B506" s="5">
        <v>74.319999999999993</v>
      </c>
    </row>
    <row r="507" spans="1:2" x14ac:dyDescent="0.3">
      <c r="A507" s="4">
        <v>44553</v>
      </c>
      <c r="B507" s="5">
        <v>75.69</v>
      </c>
    </row>
    <row r="508" spans="1:2" x14ac:dyDescent="0.3">
      <c r="A508" s="4">
        <v>44554</v>
      </c>
      <c r="B508" s="5">
        <v>75.48</v>
      </c>
    </row>
    <row r="509" spans="1:2" x14ac:dyDescent="0.3">
      <c r="A509" s="4">
        <v>44559</v>
      </c>
      <c r="B509" s="5">
        <v>77.55</v>
      </c>
    </row>
    <row r="510" spans="1:2" x14ac:dyDescent="0.3">
      <c r="A510" s="4">
        <v>44560</v>
      </c>
      <c r="B510" s="5">
        <v>78.34</v>
      </c>
    </row>
    <row r="511" spans="1:2" x14ac:dyDescent="0.3">
      <c r="A511" s="4">
        <v>44561</v>
      </c>
      <c r="B511" s="5">
        <v>77.260000000000005</v>
      </c>
    </row>
    <row r="512" spans="1:2" x14ac:dyDescent="0.3">
      <c r="A512" s="4">
        <v>44565</v>
      </c>
      <c r="B512" s="5">
        <v>79.209999999999994</v>
      </c>
    </row>
    <row r="513" spans="1:2" x14ac:dyDescent="0.3">
      <c r="A513" s="4">
        <v>44566</v>
      </c>
      <c r="B513" s="5">
        <v>81.19</v>
      </c>
    </row>
    <row r="514" spans="1:2" x14ac:dyDescent="0.3">
      <c r="A514" s="4">
        <v>44567</v>
      </c>
      <c r="B514" s="5">
        <v>82.41</v>
      </c>
    </row>
    <row r="515" spans="1:2" x14ac:dyDescent="0.3">
      <c r="A515" s="4">
        <v>44568</v>
      </c>
      <c r="B515" s="5">
        <v>82.65</v>
      </c>
    </row>
    <row r="516" spans="1:2" x14ac:dyDescent="0.3">
      <c r="A516" s="4">
        <v>44571</v>
      </c>
      <c r="B516" s="5">
        <v>82.5</v>
      </c>
    </row>
    <row r="517" spans="1:2" x14ac:dyDescent="0.3">
      <c r="A517" s="4">
        <v>44572</v>
      </c>
      <c r="B517" s="5">
        <v>84.82</v>
      </c>
    </row>
    <row r="518" spans="1:2" x14ac:dyDescent="0.3">
      <c r="A518" s="4">
        <v>44573</v>
      </c>
      <c r="B518" s="5">
        <v>86.7</v>
      </c>
    </row>
    <row r="519" spans="1:2" x14ac:dyDescent="0.3">
      <c r="A519" s="4">
        <v>44574</v>
      </c>
      <c r="B519" s="5">
        <v>86.31</v>
      </c>
    </row>
    <row r="520" spans="1:2" x14ac:dyDescent="0.3">
      <c r="A520" s="4">
        <v>44575</v>
      </c>
      <c r="B520" s="5">
        <v>87.09</v>
      </c>
    </row>
    <row r="521" spans="1:2" x14ac:dyDescent="0.3">
      <c r="A521" s="4">
        <v>44578</v>
      </c>
      <c r="B521" s="5">
        <v>87.78</v>
      </c>
    </row>
    <row r="522" spans="1:2" x14ac:dyDescent="0.3">
      <c r="A522" s="4">
        <v>44579</v>
      </c>
      <c r="B522" s="5">
        <v>88.79</v>
      </c>
    </row>
    <row r="523" spans="1:2" x14ac:dyDescent="0.3">
      <c r="A523" s="4">
        <v>44580</v>
      </c>
      <c r="B523" s="5">
        <v>90.64</v>
      </c>
    </row>
    <row r="524" spans="1:2" x14ac:dyDescent="0.3">
      <c r="A524" s="4">
        <v>44581</v>
      </c>
      <c r="B524" s="5">
        <v>90.96</v>
      </c>
    </row>
    <row r="525" spans="1:2" x14ac:dyDescent="0.3">
      <c r="A525" s="4">
        <v>44582</v>
      </c>
      <c r="B525" s="5">
        <v>89.89</v>
      </c>
    </row>
    <row r="526" spans="1:2" x14ac:dyDescent="0.3">
      <c r="A526" s="4">
        <v>44585</v>
      </c>
      <c r="B526" s="5">
        <v>87.57</v>
      </c>
    </row>
    <row r="527" spans="1:2" x14ac:dyDescent="0.3">
      <c r="A527" s="4">
        <v>44586</v>
      </c>
      <c r="B527" s="5">
        <v>89.6</v>
      </c>
    </row>
    <row r="528" spans="1:2" x14ac:dyDescent="0.3">
      <c r="A528" s="4">
        <v>44587</v>
      </c>
      <c r="B528" s="5">
        <v>92.15</v>
      </c>
    </row>
    <row r="529" spans="1:2" x14ac:dyDescent="0.3">
      <c r="A529" s="4">
        <v>44588</v>
      </c>
      <c r="B529" s="5">
        <v>91.39</v>
      </c>
    </row>
    <row r="530" spans="1:2" x14ac:dyDescent="0.3">
      <c r="A530" s="4">
        <v>44589</v>
      </c>
      <c r="B530" s="5">
        <v>93.07</v>
      </c>
    </row>
    <row r="531" spans="1:2" x14ac:dyDescent="0.3">
      <c r="A531" s="4">
        <v>44592</v>
      </c>
      <c r="B531" s="5">
        <v>92.66</v>
      </c>
    </row>
    <row r="532" spans="1:2" x14ac:dyDescent="0.3">
      <c r="A532" s="4">
        <v>44593</v>
      </c>
      <c r="B532" s="5">
        <v>93.44</v>
      </c>
    </row>
    <row r="533" spans="1:2" x14ac:dyDescent="0.3">
      <c r="A533" s="4">
        <v>44594</v>
      </c>
      <c r="B533" s="5">
        <v>92.23</v>
      </c>
    </row>
    <row r="534" spans="1:2" x14ac:dyDescent="0.3">
      <c r="A534" s="4">
        <v>44595</v>
      </c>
      <c r="B534" s="5">
        <v>93.64</v>
      </c>
    </row>
    <row r="535" spans="1:2" x14ac:dyDescent="0.3">
      <c r="A535" s="4">
        <v>44596</v>
      </c>
      <c r="B535" s="5">
        <v>97.74</v>
      </c>
    </row>
    <row r="536" spans="1:2" x14ac:dyDescent="0.3">
      <c r="A536" s="4">
        <v>44599</v>
      </c>
      <c r="B536" s="5">
        <v>98.39</v>
      </c>
    </row>
    <row r="537" spans="1:2" x14ac:dyDescent="0.3">
      <c r="A537" s="4">
        <v>44600</v>
      </c>
      <c r="B537" s="5">
        <v>95.42</v>
      </c>
    </row>
    <row r="538" spans="1:2" x14ac:dyDescent="0.3">
      <c r="A538" s="4">
        <v>44601</v>
      </c>
      <c r="B538" s="5">
        <v>96.81</v>
      </c>
    </row>
    <row r="539" spans="1:2" x14ac:dyDescent="0.3">
      <c r="A539" s="4">
        <v>44602</v>
      </c>
      <c r="B539" s="5">
        <v>97.59</v>
      </c>
    </row>
    <row r="540" spans="1:2" x14ac:dyDescent="0.3">
      <c r="A540" s="4">
        <v>44603</v>
      </c>
      <c r="B540" s="5">
        <v>98.07</v>
      </c>
    </row>
    <row r="541" spans="1:2" x14ac:dyDescent="0.3">
      <c r="A541" s="4">
        <v>44606</v>
      </c>
      <c r="B541" s="5">
        <v>99.97</v>
      </c>
    </row>
    <row r="542" spans="1:2" x14ac:dyDescent="0.3">
      <c r="A542" s="4">
        <v>44607</v>
      </c>
      <c r="B542" s="5">
        <v>97.79</v>
      </c>
    </row>
    <row r="543" spans="1:2" x14ac:dyDescent="0.3">
      <c r="A543" s="4">
        <v>44608</v>
      </c>
      <c r="B543" s="5">
        <v>100.87</v>
      </c>
    </row>
    <row r="544" spans="1:2" x14ac:dyDescent="0.3">
      <c r="A544" s="4">
        <v>44609</v>
      </c>
      <c r="B544" s="5">
        <v>97.53</v>
      </c>
    </row>
    <row r="545" spans="1:2" x14ac:dyDescent="0.3">
      <c r="A545" s="4">
        <v>44610</v>
      </c>
      <c r="B545" s="5">
        <v>97.61</v>
      </c>
    </row>
    <row r="546" spans="1:2" x14ac:dyDescent="0.3">
      <c r="A546" s="4">
        <v>44613</v>
      </c>
      <c r="B546" s="5">
        <v>99.05</v>
      </c>
    </row>
    <row r="547" spans="1:2" x14ac:dyDescent="0.3">
      <c r="A547" s="4">
        <v>44614</v>
      </c>
      <c r="B547" s="5">
        <v>100.43</v>
      </c>
    </row>
    <row r="548" spans="1:2" x14ac:dyDescent="0.3">
      <c r="A548" s="4">
        <v>44615</v>
      </c>
      <c r="B548" s="5">
        <v>100.58</v>
      </c>
    </row>
    <row r="549" spans="1:2" x14ac:dyDescent="0.3">
      <c r="A549" s="4">
        <v>44616</v>
      </c>
      <c r="B549" s="5">
        <v>106.57</v>
      </c>
    </row>
    <row r="550" spans="1:2" x14ac:dyDescent="0.3">
      <c r="A550" s="4">
        <v>44617</v>
      </c>
      <c r="B550" s="5">
        <v>99.64</v>
      </c>
    </row>
    <row r="551" spans="1:2" x14ac:dyDescent="0.3">
      <c r="A551" s="4">
        <v>44620</v>
      </c>
      <c r="B551" s="5">
        <v>103.32</v>
      </c>
    </row>
    <row r="552" spans="1:2" x14ac:dyDescent="0.3">
      <c r="A552" s="4">
        <v>44621</v>
      </c>
      <c r="B552" s="5">
        <v>113.11</v>
      </c>
    </row>
    <row r="553" spans="1:2" x14ac:dyDescent="0.3">
      <c r="A553" s="4">
        <v>44622</v>
      </c>
      <c r="B553" s="5">
        <v>117.52</v>
      </c>
    </row>
    <row r="554" spans="1:2" x14ac:dyDescent="0.3">
      <c r="A554" s="4">
        <v>44623</v>
      </c>
      <c r="B554" s="5">
        <v>119.88</v>
      </c>
    </row>
    <row r="555" spans="1:2" x14ac:dyDescent="0.3">
      <c r="A555" s="4">
        <v>44624</v>
      </c>
      <c r="B555" s="5">
        <v>120.33</v>
      </c>
    </row>
    <row r="556" spans="1:2" x14ac:dyDescent="0.3">
      <c r="A556" s="4">
        <v>44627</v>
      </c>
      <c r="B556" s="5">
        <v>130.32</v>
      </c>
    </row>
    <row r="557" spans="1:2" x14ac:dyDescent="0.3">
      <c r="A557" s="4">
        <v>44628</v>
      </c>
      <c r="B557" s="5">
        <v>137.71</v>
      </c>
    </row>
    <row r="558" spans="1:2" x14ac:dyDescent="0.3">
      <c r="A558" s="4">
        <v>44629</v>
      </c>
      <c r="B558" s="5">
        <v>129.74</v>
      </c>
    </row>
    <row r="559" spans="1:2" x14ac:dyDescent="0.3">
      <c r="A559" s="4">
        <v>44630</v>
      </c>
      <c r="B559" s="5">
        <v>121.31</v>
      </c>
    </row>
    <row r="560" spans="1:2" x14ac:dyDescent="0.3">
      <c r="A560" s="4">
        <v>44631</v>
      </c>
      <c r="B560" s="5">
        <v>119.23</v>
      </c>
    </row>
    <row r="561" spans="1:2" x14ac:dyDescent="0.3">
      <c r="A561" s="4">
        <v>44634</v>
      </c>
      <c r="B561" s="5">
        <v>111.7</v>
      </c>
    </row>
    <row r="562" spans="1:2" x14ac:dyDescent="0.3">
      <c r="A562" s="4">
        <v>44635</v>
      </c>
      <c r="B562" s="5">
        <v>108.21</v>
      </c>
    </row>
    <row r="563" spans="1:2" x14ac:dyDescent="0.3">
      <c r="A563" s="4">
        <v>44636</v>
      </c>
      <c r="B563" s="5">
        <v>106.77</v>
      </c>
    </row>
    <row r="564" spans="1:2" x14ac:dyDescent="0.3">
      <c r="A564" s="4">
        <v>44637</v>
      </c>
      <c r="B564" s="5">
        <v>113.74</v>
      </c>
    </row>
    <row r="565" spans="1:2" x14ac:dyDescent="0.3">
      <c r="A565" s="4">
        <v>44638</v>
      </c>
      <c r="B565" s="5">
        <v>113.4</v>
      </c>
    </row>
    <row r="566" spans="1:2" x14ac:dyDescent="0.3">
      <c r="A566" s="4">
        <v>44641</v>
      </c>
      <c r="B566" s="5">
        <v>121.08</v>
      </c>
    </row>
    <row r="567" spans="1:2" x14ac:dyDescent="0.3">
      <c r="A567" s="4">
        <v>44642</v>
      </c>
      <c r="B567" s="5">
        <v>120.53</v>
      </c>
    </row>
    <row r="568" spans="1:2" x14ac:dyDescent="0.3">
      <c r="A568" s="4">
        <v>44643</v>
      </c>
      <c r="B568" s="5">
        <v>126.51</v>
      </c>
    </row>
    <row r="569" spans="1:2" x14ac:dyDescent="0.3">
      <c r="A569" s="4">
        <v>44644</v>
      </c>
      <c r="B569" s="5">
        <v>124.33</v>
      </c>
    </row>
    <row r="570" spans="1:2" x14ac:dyDescent="0.3">
      <c r="A570" s="4">
        <v>44645</v>
      </c>
      <c r="B570" s="5">
        <v>124.6</v>
      </c>
    </row>
    <row r="571" spans="1:2" x14ac:dyDescent="0.3">
      <c r="A571" s="4">
        <v>44648</v>
      </c>
      <c r="B571" s="5">
        <v>117.7</v>
      </c>
    </row>
    <row r="572" spans="1:2" x14ac:dyDescent="0.3">
      <c r="A572" s="4">
        <v>44649</v>
      </c>
      <c r="B572" s="5">
        <v>112.45</v>
      </c>
    </row>
    <row r="573" spans="1:2" x14ac:dyDescent="0.3">
      <c r="A573" s="4">
        <v>44650</v>
      </c>
      <c r="B573" s="5">
        <v>115.97</v>
      </c>
    </row>
    <row r="574" spans="1:2" x14ac:dyDescent="0.3">
      <c r="A574" s="4">
        <v>44651</v>
      </c>
      <c r="B574" s="5">
        <v>110.3</v>
      </c>
    </row>
    <row r="575" spans="1:2" x14ac:dyDescent="0.3">
      <c r="A575" s="4">
        <v>44652</v>
      </c>
      <c r="B575" s="5">
        <v>107.66</v>
      </c>
    </row>
    <row r="576" spans="1:2" x14ac:dyDescent="0.3">
      <c r="A576" s="4">
        <v>44655</v>
      </c>
      <c r="B576" s="5">
        <v>108.89</v>
      </c>
    </row>
    <row r="577" spans="1:2" x14ac:dyDescent="0.3">
      <c r="A577" s="4">
        <v>44656</v>
      </c>
      <c r="B577" s="5">
        <v>107.85</v>
      </c>
    </row>
    <row r="578" spans="1:2" x14ac:dyDescent="0.3">
      <c r="A578" s="4">
        <v>44657</v>
      </c>
      <c r="B578" s="5">
        <v>104.72</v>
      </c>
    </row>
    <row r="579" spans="1:2" x14ac:dyDescent="0.3">
      <c r="A579" s="4">
        <v>44658</v>
      </c>
      <c r="B579" s="5">
        <v>98.39</v>
      </c>
    </row>
    <row r="580" spans="1:2" x14ac:dyDescent="0.3">
      <c r="A580" s="4">
        <v>44659</v>
      </c>
      <c r="B580" s="5">
        <v>100.7</v>
      </c>
    </row>
    <row r="581" spans="1:2" x14ac:dyDescent="0.3">
      <c r="A581" s="4">
        <v>44662</v>
      </c>
      <c r="B581" s="5">
        <v>98.69</v>
      </c>
    </row>
    <row r="582" spans="1:2" x14ac:dyDescent="0.3">
      <c r="A582" s="4">
        <v>44663</v>
      </c>
      <c r="B582" s="5">
        <v>105.6</v>
      </c>
    </row>
    <row r="583" spans="1:2" x14ac:dyDescent="0.3">
      <c r="A583" s="4">
        <v>44664</v>
      </c>
      <c r="B583" s="5">
        <v>106.65</v>
      </c>
    </row>
    <row r="584" spans="1:2" x14ac:dyDescent="0.3">
      <c r="A584" s="4">
        <v>44665</v>
      </c>
      <c r="B584" s="5">
        <v>106.8</v>
      </c>
    </row>
    <row r="585" spans="1:2" x14ac:dyDescent="0.3">
      <c r="A585" s="4">
        <v>44670</v>
      </c>
      <c r="B585" s="5">
        <v>105.76</v>
      </c>
    </row>
    <row r="586" spans="1:2" x14ac:dyDescent="0.3">
      <c r="A586" s="4">
        <v>44671</v>
      </c>
      <c r="B586" s="5">
        <v>105.64</v>
      </c>
    </row>
    <row r="587" spans="1:2" x14ac:dyDescent="0.3">
      <c r="A587" s="4">
        <v>44672</v>
      </c>
      <c r="B587" s="5">
        <v>106.4</v>
      </c>
    </row>
    <row r="588" spans="1:2" x14ac:dyDescent="0.3">
      <c r="A588" s="4">
        <v>44673</v>
      </c>
      <c r="B588" s="5">
        <v>105.42</v>
      </c>
    </row>
    <row r="589" spans="1:2" x14ac:dyDescent="0.3">
      <c r="A589" s="4">
        <v>44676</v>
      </c>
      <c r="B589" s="5">
        <v>97.63</v>
      </c>
    </row>
    <row r="590" spans="1:2" x14ac:dyDescent="0.3">
      <c r="A590" s="4">
        <v>44677</v>
      </c>
      <c r="B590" s="5">
        <v>102.33</v>
      </c>
    </row>
    <row r="591" spans="1:2" x14ac:dyDescent="0.3">
      <c r="A591" s="4">
        <v>44678</v>
      </c>
      <c r="B591" s="5">
        <v>103.15</v>
      </c>
    </row>
    <row r="592" spans="1:2" x14ac:dyDescent="0.3">
      <c r="A592" s="4">
        <v>44679</v>
      </c>
      <c r="B592" s="5">
        <v>105.79</v>
      </c>
    </row>
    <row r="593" spans="1:2" x14ac:dyDescent="0.3">
      <c r="A593" s="4">
        <v>44680</v>
      </c>
      <c r="B593" s="5">
        <v>108.25</v>
      </c>
    </row>
    <row r="594" spans="1:2" x14ac:dyDescent="0.3">
      <c r="A594" s="4">
        <v>44684</v>
      </c>
      <c r="B594" s="5">
        <v>106.21</v>
      </c>
    </row>
    <row r="595" spans="1:2" x14ac:dyDescent="0.3">
      <c r="A595" s="4">
        <v>44685</v>
      </c>
      <c r="B595" s="5">
        <v>109.04</v>
      </c>
    </row>
    <row r="596" spans="1:2" x14ac:dyDescent="0.3">
      <c r="A596" s="4">
        <v>44686</v>
      </c>
      <c r="B596" s="5">
        <v>112.42</v>
      </c>
    </row>
    <row r="597" spans="1:2" x14ac:dyDescent="0.3">
      <c r="A597" s="4">
        <v>44687</v>
      </c>
      <c r="B597" s="5">
        <v>114.6</v>
      </c>
    </row>
    <row r="598" spans="1:2" x14ac:dyDescent="0.3">
      <c r="A598" s="4">
        <v>44690</v>
      </c>
      <c r="B598" s="5">
        <v>106.93</v>
      </c>
    </row>
    <row r="599" spans="1:2" x14ac:dyDescent="0.3">
      <c r="A599" s="4">
        <v>44691</v>
      </c>
      <c r="B599" s="5">
        <v>104.06</v>
      </c>
    </row>
    <row r="600" spans="1:2" x14ac:dyDescent="0.3">
      <c r="A600" s="4">
        <v>44692</v>
      </c>
      <c r="B600" s="5">
        <v>107.78</v>
      </c>
    </row>
    <row r="601" spans="1:2" x14ac:dyDescent="0.3">
      <c r="A601" s="4">
        <v>44693</v>
      </c>
      <c r="B601" s="5">
        <v>108.9</v>
      </c>
    </row>
    <row r="602" spans="1:2" x14ac:dyDescent="0.3">
      <c r="A602" s="4">
        <v>44694</v>
      </c>
      <c r="B602" s="5">
        <v>111.53</v>
      </c>
    </row>
    <row r="603" spans="1:2" x14ac:dyDescent="0.3">
      <c r="A603" s="4">
        <v>44697</v>
      </c>
      <c r="B603" s="5">
        <v>113.43</v>
      </c>
    </row>
    <row r="604" spans="1:2" x14ac:dyDescent="0.3">
      <c r="A604" s="4">
        <v>44698</v>
      </c>
      <c r="B604" s="5">
        <v>116.6</v>
      </c>
    </row>
    <row r="605" spans="1:2" x14ac:dyDescent="0.3">
      <c r="A605" s="4">
        <v>44699</v>
      </c>
      <c r="B605" s="5">
        <v>111.39</v>
      </c>
    </row>
    <row r="606" spans="1:2" x14ac:dyDescent="0.3">
      <c r="A606" s="4">
        <v>44700</v>
      </c>
      <c r="B606" s="5">
        <v>111.37</v>
      </c>
    </row>
    <row r="607" spans="1:2" x14ac:dyDescent="0.3">
      <c r="A607" s="4">
        <v>44701</v>
      </c>
      <c r="B607" s="5">
        <v>114.1</v>
      </c>
    </row>
    <row r="608" spans="1:2" x14ac:dyDescent="0.3">
      <c r="A608" s="4">
        <v>44704</v>
      </c>
      <c r="B608" s="5">
        <v>115.77</v>
      </c>
    </row>
    <row r="609" spans="1:2" x14ac:dyDescent="0.3">
      <c r="A609" s="4">
        <v>44705</v>
      </c>
      <c r="B609" s="5">
        <v>115.93</v>
      </c>
    </row>
    <row r="610" spans="1:2" x14ac:dyDescent="0.3">
      <c r="A610" s="4">
        <v>44706</v>
      </c>
      <c r="B610" s="5">
        <v>115.75</v>
      </c>
    </row>
    <row r="611" spans="1:2" x14ac:dyDescent="0.3">
      <c r="A611" s="4">
        <v>44707</v>
      </c>
      <c r="B611" s="5">
        <v>118.9</v>
      </c>
    </row>
    <row r="612" spans="1:2" x14ac:dyDescent="0.3">
      <c r="A612" s="4">
        <v>44708</v>
      </c>
      <c r="B612" s="5">
        <v>119.87</v>
      </c>
    </row>
    <row r="613" spans="1:2" x14ac:dyDescent="0.3">
      <c r="A613" s="4">
        <v>44711</v>
      </c>
      <c r="B613" s="5">
        <v>122.63</v>
      </c>
    </row>
    <row r="614" spans="1:2" x14ac:dyDescent="0.3">
      <c r="A614" s="4">
        <v>44712</v>
      </c>
      <c r="B614" s="5">
        <v>124.52</v>
      </c>
    </row>
    <row r="615" spans="1:2" x14ac:dyDescent="0.3">
      <c r="A615" s="4">
        <v>44713</v>
      </c>
      <c r="B615" s="5">
        <v>123.19</v>
      </c>
    </row>
    <row r="616" spans="1:2" x14ac:dyDescent="0.3">
      <c r="A616" s="4">
        <v>44718</v>
      </c>
      <c r="B616" s="5">
        <v>124.89</v>
      </c>
    </row>
    <row r="617" spans="1:2" x14ac:dyDescent="0.3">
      <c r="A617" s="4">
        <v>44719</v>
      </c>
      <c r="B617" s="5">
        <v>125.91</v>
      </c>
    </row>
    <row r="618" spans="1:2" x14ac:dyDescent="0.3">
      <c r="A618" s="4">
        <v>44720</v>
      </c>
      <c r="B618" s="5">
        <v>128.49</v>
      </c>
    </row>
    <row r="619" spans="1:2" x14ac:dyDescent="0.3">
      <c r="A619" s="4">
        <v>44721</v>
      </c>
      <c r="B619" s="5">
        <v>128.99</v>
      </c>
    </row>
    <row r="620" spans="1:2" x14ac:dyDescent="0.3">
      <c r="A620" s="4">
        <v>44722</v>
      </c>
      <c r="B620" s="5">
        <v>127.58</v>
      </c>
    </row>
    <row r="621" spans="1:2" x14ac:dyDescent="0.3">
      <c r="A621" s="4">
        <v>44725</v>
      </c>
      <c r="B621" s="5">
        <v>127.99</v>
      </c>
    </row>
    <row r="622" spans="1:2" x14ac:dyDescent="0.3">
      <c r="A622" s="4">
        <v>44726</v>
      </c>
      <c r="B622" s="5">
        <v>132.15</v>
      </c>
    </row>
    <row r="623" spans="1:2" x14ac:dyDescent="0.3">
      <c r="A623" s="4">
        <v>44727</v>
      </c>
      <c r="B623" s="5">
        <v>128.19999999999999</v>
      </c>
    </row>
    <row r="624" spans="1:2" x14ac:dyDescent="0.3">
      <c r="A624" s="4">
        <v>44728</v>
      </c>
      <c r="B624" s="5">
        <v>124.34</v>
      </c>
    </row>
    <row r="625" spans="1:2" x14ac:dyDescent="0.3">
      <c r="A625" s="4">
        <v>44729</v>
      </c>
      <c r="B625" s="5">
        <v>120.59</v>
      </c>
    </row>
    <row r="626" spans="1:2" x14ac:dyDescent="0.3">
      <c r="A626" s="4">
        <v>44732</v>
      </c>
      <c r="B626" s="5">
        <v>120.03</v>
      </c>
    </row>
    <row r="627" spans="1:2" x14ac:dyDescent="0.3">
      <c r="A627" s="4">
        <v>44733</v>
      </c>
      <c r="B627" s="5">
        <v>120.83</v>
      </c>
    </row>
    <row r="628" spans="1:2" x14ac:dyDescent="0.3">
      <c r="A628" s="4">
        <v>44734</v>
      </c>
      <c r="B628" s="5">
        <v>116.61</v>
      </c>
    </row>
    <row r="629" spans="1:2" x14ac:dyDescent="0.3">
      <c r="A629" s="4">
        <v>44735</v>
      </c>
      <c r="B629" s="5">
        <v>117.45</v>
      </c>
    </row>
    <row r="630" spans="1:2" x14ac:dyDescent="0.3">
      <c r="A630" s="4">
        <v>44736</v>
      </c>
      <c r="B630" s="5">
        <v>120.17</v>
      </c>
    </row>
    <row r="631" spans="1:2" x14ac:dyDescent="0.3">
      <c r="A631" s="4">
        <v>44739</v>
      </c>
      <c r="B631" s="5">
        <v>120.92</v>
      </c>
    </row>
    <row r="632" spans="1:2" x14ac:dyDescent="0.3">
      <c r="A632" s="4">
        <v>44740</v>
      </c>
      <c r="B632" s="5">
        <v>123.04</v>
      </c>
    </row>
    <row r="633" spans="1:2" x14ac:dyDescent="0.3">
      <c r="A633" s="4">
        <v>44741</v>
      </c>
      <c r="B633" s="5">
        <v>124.82</v>
      </c>
    </row>
    <row r="634" spans="1:2" x14ac:dyDescent="0.3">
      <c r="A634" s="4">
        <v>44742</v>
      </c>
      <c r="B634" s="5">
        <v>120.54</v>
      </c>
    </row>
    <row r="635" spans="1:2" x14ac:dyDescent="0.3">
      <c r="A635" s="4">
        <v>44743</v>
      </c>
      <c r="B635" s="5">
        <v>121.58</v>
      </c>
    </row>
    <row r="636" spans="1:2" x14ac:dyDescent="0.3">
      <c r="A636" s="4">
        <v>44746</v>
      </c>
      <c r="B636" s="5">
        <v>125.06</v>
      </c>
    </row>
    <row r="637" spans="1:2" x14ac:dyDescent="0.3">
      <c r="A637" s="4">
        <v>44747</v>
      </c>
      <c r="B637" s="5">
        <v>113.43</v>
      </c>
    </row>
    <row r="638" spans="1:2" x14ac:dyDescent="0.3">
      <c r="A638" s="4">
        <v>44748</v>
      </c>
      <c r="B638" s="5">
        <v>109.96</v>
      </c>
    </row>
    <row r="639" spans="1:2" x14ac:dyDescent="0.3">
      <c r="A639" s="4">
        <v>44749</v>
      </c>
      <c r="B639" s="5">
        <v>114.65</v>
      </c>
    </row>
    <row r="640" spans="1:2" x14ac:dyDescent="0.3">
      <c r="A640" s="4">
        <v>44750</v>
      </c>
      <c r="B640" s="5">
        <v>115.76</v>
      </c>
    </row>
    <row r="641" spans="1:2" x14ac:dyDescent="0.3">
      <c r="A641" s="4">
        <v>44753</v>
      </c>
      <c r="B641" s="5">
        <v>114.66</v>
      </c>
    </row>
    <row r="642" spans="1:2" x14ac:dyDescent="0.3">
      <c r="A642" s="4">
        <v>44754</v>
      </c>
      <c r="B642" s="5">
        <v>109.19</v>
      </c>
    </row>
    <row r="643" spans="1:2" x14ac:dyDescent="0.3">
      <c r="A643" s="4">
        <v>44755</v>
      </c>
      <c r="B643" s="5">
        <v>108.73</v>
      </c>
    </row>
    <row r="644" spans="1:2" x14ac:dyDescent="0.3">
      <c r="A644" s="4">
        <v>44756</v>
      </c>
      <c r="B644" s="5">
        <v>106.17</v>
      </c>
    </row>
    <row r="645" spans="1:2" x14ac:dyDescent="0.3">
      <c r="A645" s="4">
        <v>44757</v>
      </c>
      <c r="B645" s="5">
        <v>111.08</v>
      </c>
    </row>
    <row r="646" spans="1:2" x14ac:dyDescent="0.3">
      <c r="A646" s="4">
        <v>44760</v>
      </c>
      <c r="B646" s="5">
        <v>115.31</v>
      </c>
    </row>
    <row r="647" spans="1:2" x14ac:dyDescent="0.3">
      <c r="A647" s="4">
        <v>44761</v>
      </c>
      <c r="B647" s="5">
        <v>113.51</v>
      </c>
    </row>
    <row r="648" spans="1:2" x14ac:dyDescent="0.3">
      <c r="A648" s="4">
        <v>44762</v>
      </c>
      <c r="B648" s="5">
        <v>113.99</v>
      </c>
    </row>
    <row r="649" spans="1:2" x14ac:dyDescent="0.3">
      <c r="A649" s="4">
        <v>44763</v>
      </c>
      <c r="B649" s="5">
        <v>110.66</v>
      </c>
    </row>
    <row r="650" spans="1:2" x14ac:dyDescent="0.3">
      <c r="A650" s="4">
        <v>44764</v>
      </c>
      <c r="B650" s="5">
        <v>110.26</v>
      </c>
    </row>
    <row r="651" spans="1:2" x14ac:dyDescent="0.3">
      <c r="A651" s="4">
        <v>44767</v>
      </c>
      <c r="B651" s="5">
        <v>108.82</v>
      </c>
    </row>
    <row r="652" spans="1:2" x14ac:dyDescent="0.3">
      <c r="A652" s="4">
        <v>44768</v>
      </c>
      <c r="B652" s="5">
        <v>109.57</v>
      </c>
    </row>
    <row r="653" spans="1:2" x14ac:dyDescent="0.3">
      <c r="A653" s="4">
        <v>44769</v>
      </c>
      <c r="B653" s="5">
        <v>110.74</v>
      </c>
    </row>
    <row r="654" spans="1:2" x14ac:dyDescent="0.3">
      <c r="A654" s="4">
        <v>44770</v>
      </c>
      <c r="B654" s="5">
        <v>111.91</v>
      </c>
    </row>
    <row r="655" spans="1:2" x14ac:dyDescent="0.3">
      <c r="A655" s="4">
        <v>44771</v>
      </c>
      <c r="B655" s="5">
        <v>114.31</v>
      </c>
    </row>
    <row r="656" spans="1:2" x14ac:dyDescent="0.3">
      <c r="A656" s="4">
        <v>44774</v>
      </c>
      <c r="B656" s="5">
        <v>107.3</v>
      </c>
    </row>
    <row r="657" spans="1:2" x14ac:dyDescent="0.3">
      <c r="A657" s="4">
        <v>44775</v>
      </c>
      <c r="B657" s="5">
        <v>107.02</v>
      </c>
    </row>
    <row r="658" spans="1:2" x14ac:dyDescent="0.3">
      <c r="A658" s="4">
        <v>44776</v>
      </c>
      <c r="B658" s="5">
        <v>103.3</v>
      </c>
    </row>
    <row r="659" spans="1:2" x14ac:dyDescent="0.3">
      <c r="A659" s="4">
        <v>44777</v>
      </c>
      <c r="B659" s="5">
        <v>97.93</v>
      </c>
    </row>
    <row r="660" spans="1:2" x14ac:dyDescent="0.3">
      <c r="A660" s="4">
        <v>44778</v>
      </c>
      <c r="B660" s="5">
        <v>101.51</v>
      </c>
    </row>
    <row r="661" spans="1:2" x14ac:dyDescent="0.3">
      <c r="A661" s="4">
        <v>44781</v>
      </c>
      <c r="B661" s="5">
        <v>103.75</v>
      </c>
    </row>
    <row r="662" spans="1:2" x14ac:dyDescent="0.3">
      <c r="A662" s="4">
        <v>44782</v>
      </c>
      <c r="B662" s="5">
        <v>103.96</v>
      </c>
    </row>
    <row r="663" spans="1:2" x14ac:dyDescent="0.3">
      <c r="A663" s="4">
        <v>44783</v>
      </c>
      <c r="B663" s="5">
        <v>101.56</v>
      </c>
    </row>
    <row r="664" spans="1:2" x14ac:dyDescent="0.3">
      <c r="A664" s="4">
        <v>44784</v>
      </c>
      <c r="B664" s="5">
        <v>104.76</v>
      </c>
    </row>
    <row r="665" spans="1:2" x14ac:dyDescent="0.3">
      <c r="A665" s="4">
        <v>44785</v>
      </c>
      <c r="B665" s="5">
        <v>103.17</v>
      </c>
    </row>
    <row r="666" spans="1:2" x14ac:dyDescent="0.3">
      <c r="A666" s="4">
        <v>44788</v>
      </c>
      <c r="B666" s="5">
        <v>97.91</v>
      </c>
    </row>
    <row r="667" spans="1:2" x14ac:dyDescent="0.3">
      <c r="A667" s="4">
        <v>44789</v>
      </c>
      <c r="B667" s="5">
        <v>96.44</v>
      </c>
    </row>
    <row r="668" spans="1:2" x14ac:dyDescent="0.3">
      <c r="A668" s="4">
        <v>44790</v>
      </c>
      <c r="B668" s="5">
        <v>93.34</v>
      </c>
    </row>
    <row r="669" spans="1:2" x14ac:dyDescent="0.3">
      <c r="A669" s="4">
        <v>44791</v>
      </c>
      <c r="B669" s="5">
        <v>96.58</v>
      </c>
    </row>
    <row r="670" spans="1:2" x14ac:dyDescent="0.3">
      <c r="A670" s="4">
        <v>44792</v>
      </c>
      <c r="B670" s="5">
        <v>97.28</v>
      </c>
    </row>
    <row r="671" spans="1:2" x14ac:dyDescent="0.3">
      <c r="A671" s="4">
        <v>44795</v>
      </c>
      <c r="B671" s="5">
        <v>93.93</v>
      </c>
    </row>
    <row r="672" spans="1:2" x14ac:dyDescent="0.3">
      <c r="A672" s="4">
        <v>44796</v>
      </c>
      <c r="B672" s="5">
        <v>98.62</v>
      </c>
    </row>
    <row r="673" spans="1:2" x14ac:dyDescent="0.3">
      <c r="A673" s="4">
        <v>44797</v>
      </c>
      <c r="B673" s="5">
        <v>99.03</v>
      </c>
    </row>
    <row r="674" spans="1:2" x14ac:dyDescent="0.3">
      <c r="A674" s="4">
        <v>44798</v>
      </c>
      <c r="B674" s="5">
        <v>100.1</v>
      </c>
    </row>
    <row r="675" spans="1:2" x14ac:dyDescent="0.3">
      <c r="A675" s="4">
        <v>44799</v>
      </c>
      <c r="B675" s="5">
        <v>99.66</v>
      </c>
    </row>
    <row r="676" spans="1:2" x14ac:dyDescent="0.3">
      <c r="A676" s="4">
        <v>44803</v>
      </c>
      <c r="B676" s="5">
        <v>99.81</v>
      </c>
    </row>
    <row r="677" spans="1:2" x14ac:dyDescent="0.3">
      <c r="A677" s="4">
        <v>44804</v>
      </c>
      <c r="B677" s="5">
        <v>96.69</v>
      </c>
    </row>
    <row r="678" spans="1:2" x14ac:dyDescent="0.3">
      <c r="A678" s="4">
        <v>44805</v>
      </c>
      <c r="B678" s="5">
        <v>92.61</v>
      </c>
    </row>
    <row r="679" spans="1:2" x14ac:dyDescent="0.3">
      <c r="A679" s="4">
        <v>44806</v>
      </c>
      <c r="B679" s="5">
        <v>94.4</v>
      </c>
    </row>
    <row r="680" spans="1:2" x14ac:dyDescent="0.3">
      <c r="A680" s="4">
        <v>44809</v>
      </c>
      <c r="B680" s="5">
        <v>94.9</v>
      </c>
    </row>
    <row r="681" spans="1:2" x14ac:dyDescent="0.3">
      <c r="A681" s="4">
        <v>44810</v>
      </c>
      <c r="B681" s="5">
        <v>92.37</v>
      </c>
    </row>
    <row r="682" spans="1:2" x14ac:dyDescent="0.3">
      <c r="A682" s="4">
        <v>44811</v>
      </c>
      <c r="B682" s="5">
        <v>88.28</v>
      </c>
    </row>
    <row r="683" spans="1:2" x14ac:dyDescent="0.3">
      <c r="A683" s="4">
        <v>44812</v>
      </c>
      <c r="B683" s="5">
        <v>87.83</v>
      </c>
    </row>
    <row r="684" spans="1:2" x14ac:dyDescent="0.3">
      <c r="A684" s="4">
        <v>44813</v>
      </c>
      <c r="B684" s="5">
        <v>90.72</v>
      </c>
    </row>
    <row r="685" spans="1:2" x14ac:dyDescent="0.3">
      <c r="A685" s="4">
        <v>44816</v>
      </c>
      <c r="B685" s="5">
        <v>93.28</v>
      </c>
    </row>
    <row r="686" spans="1:2" x14ac:dyDescent="0.3">
      <c r="A686" s="4">
        <v>44817</v>
      </c>
      <c r="B686" s="5">
        <v>91.7</v>
      </c>
    </row>
    <row r="687" spans="1:2" x14ac:dyDescent="0.3">
      <c r="A687" s="4">
        <v>44818</v>
      </c>
      <c r="B687" s="5">
        <v>93.37</v>
      </c>
    </row>
    <row r="688" spans="1:2" x14ac:dyDescent="0.3">
      <c r="A688" s="4">
        <v>44819</v>
      </c>
      <c r="B688" s="5">
        <v>91.08</v>
      </c>
    </row>
    <row r="689" spans="1:2" x14ac:dyDescent="0.3">
      <c r="A689" s="4">
        <v>44820</v>
      </c>
      <c r="B689" s="5">
        <v>91.08</v>
      </c>
    </row>
    <row r="690" spans="1:2" x14ac:dyDescent="0.3">
      <c r="A690" s="4">
        <v>44824</v>
      </c>
      <c r="B690" s="5">
        <v>89.51</v>
      </c>
    </row>
    <row r="691" spans="1:2" x14ac:dyDescent="0.3">
      <c r="A691" s="4">
        <v>44825</v>
      </c>
      <c r="B691" s="5">
        <v>88.22</v>
      </c>
    </row>
    <row r="692" spans="1:2" x14ac:dyDescent="0.3">
      <c r="A692" s="4">
        <v>44826</v>
      </c>
      <c r="B692" s="5">
        <v>89.39</v>
      </c>
    </row>
    <row r="693" spans="1:2" x14ac:dyDescent="0.3">
      <c r="A693" s="4">
        <v>44827</v>
      </c>
      <c r="B693" s="5">
        <v>85.54</v>
      </c>
    </row>
    <row r="694" spans="1:2" x14ac:dyDescent="0.3">
      <c r="A694" s="4">
        <v>44830</v>
      </c>
      <c r="B694" s="5">
        <v>84.73</v>
      </c>
    </row>
    <row r="695" spans="1:2" x14ac:dyDescent="0.3">
      <c r="A695" s="4">
        <v>44831</v>
      </c>
      <c r="B695" s="5">
        <v>86.67</v>
      </c>
    </row>
    <row r="696" spans="1:2" x14ac:dyDescent="0.3">
      <c r="A696" s="4">
        <v>44832</v>
      </c>
      <c r="B696" s="5">
        <v>88.45</v>
      </c>
    </row>
    <row r="697" spans="1:2" x14ac:dyDescent="0.3">
      <c r="A697" s="4">
        <v>44833</v>
      </c>
      <c r="B697" s="5">
        <v>90.08</v>
      </c>
    </row>
    <row r="698" spans="1:2" x14ac:dyDescent="0.3">
      <c r="A698" s="4">
        <v>44834</v>
      </c>
      <c r="B698" s="5">
        <v>87.99</v>
      </c>
    </row>
    <row r="699" spans="1:2" x14ac:dyDescent="0.3">
      <c r="A699" s="4">
        <v>44837</v>
      </c>
      <c r="B699" s="5">
        <v>90.38</v>
      </c>
    </row>
    <row r="700" spans="1:2" x14ac:dyDescent="0.3">
      <c r="A700" s="4">
        <v>44838</v>
      </c>
      <c r="B700" s="5">
        <v>93.79</v>
      </c>
    </row>
    <row r="701" spans="1:2" x14ac:dyDescent="0.3">
      <c r="A701" s="4">
        <v>44839</v>
      </c>
      <c r="B701" s="5">
        <v>95.28</v>
      </c>
    </row>
    <row r="702" spans="1:2" x14ac:dyDescent="0.3">
      <c r="A702" s="4">
        <v>44840</v>
      </c>
      <c r="B702" s="5">
        <v>96.27</v>
      </c>
    </row>
    <row r="703" spans="1:2" x14ac:dyDescent="0.3">
      <c r="A703" s="4">
        <v>44841</v>
      </c>
      <c r="B703" s="5">
        <v>98.97</v>
      </c>
    </row>
    <row r="704" spans="1:2" x14ac:dyDescent="0.3">
      <c r="A704" s="4">
        <v>44844</v>
      </c>
      <c r="B704" s="5">
        <v>98.54</v>
      </c>
    </row>
    <row r="705" spans="1:2" x14ac:dyDescent="0.3">
      <c r="A705" s="4">
        <v>44845</v>
      </c>
      <c r="B705" s="5">
        <v>95.45</v>
      </c>
    </row>
    <row r="706" spans="1:2" x14ac:dyDescent="0.3">
      <c r="A706" s="4">
        <v>44846</v>
      </c>
      <c r="B706" s="5">
        <v>93.22</v>
      </c>
    </row>
    <row r="707" spans="1:2" x14ac:dyDescent="0.3">
      <c r="A707" s="4">
        <v>44847</v>
      </c>
      <c r="B707" s="5">
        <v>94.07</v>
      </c>
    </row>
    <row r="708" spans="1:2" x14ac:dyDescent="0.3">
      <c r="A708" s="4">
        <v>44848</v>
      </c>
      <c r="B708" s="5">
        <v>93.17</v>
      </c>
    </row>
    <row r="709" spans="1:2" x14ac:dyDescent="0.3">
      <c r="A709" s="4">
        <v>44851</v>
      </c>
      <c r="B709" s="5">
        <v>91.5</v>
      </c>
    </row>
    <row r="710" spans="1:2" x14ac:dyDescent="0.3">
      <c r="A710" s="4">
        <v>44852</v>
      </c>
      <c r="B710" s="5">
        <v>88.49</v>
      </c>
    </row>
    <row r="711" spans="1:2" x14ac:dyDescent="0.3">
      <c r="A711" s="4">
        <v>44853</v>
      </c>
      <c r="B711" s="5">
        <v>90.19</v>
      </c>
    </row>
    <row r="712" spans="1:2" x14ac:dyDescent="0.3">
      <c r="A712" s="4">
        <v>44854</v>
      </c>
      <c r="B712" s="5">
        <v>92.73</v>
      </c>
    </row>
    <row r="713" spans="1:2" x14ac:dyDescent="0.3">
      <c r="A713" s="4">
        <v>44855</v>
      </c>
      <c r="B713" s="5">
        <v>91.59</v>
      </c>
    </row>
    <row r="714" spans="1:2" x14ac:dyDescent="0.3">
      <c r="A714" s="4">
        <v>44858</v>
      </c>
      <c r="B714" s="5">
        <v>91.56</v>
      </c>
    </row>
    <row r="715" spans="1:2" x14ac:dyDescent="0.3">
      <c r="A715" s="4">
        <v>44859</v>
      </c>
      <c r="B715" s="5">
        <v>91.79</v>
      </c>
    </row>
    <row r="716" spans="1:2" x14ac:dyDescent="0.3">
      <c r="A716" s="4">
        <v>44860</v>
      </c>
      <c r="B716" s="5">
        <v>94</v>
      </c>
    </row>
    <row r="717" spans="1:2" x14ac:dyDescent="0.3">
      <c r="A717" s="4">
        <v>44861</v>
      </c>
      <c r="B717" s="5">
        <v>95.13</v>
      </c>
    </row>
    <row r="718" spans="1:2" x14ac:dyDescent="0.3">
      <c r="A718" s="4">
        <v>44862</v>
      </c>
      <c r="B718" s="5">
        <v>94.08</v>
      </c>
    </row>
    <row r="719" spans="1:2" x14ac:dyDescent="0.3">
      <c r="A719" s="4">
        <v>44865</v>
      </c>
      <c r="B719" s="5">
        <v>92.97</v>
      </c>
    </row>
    <row r="720" spans="1:2" x14ac:dyDescent="0.3">
      <c r="A720" s="4">
        <v>44866</v>
      </c>
      <c r="B720" s="5">
        <v>95.12</v>
      </c>
    </row>
    <row r="721" spans="1:2" x14ac:dyDescent="0.3">
      <c r="A721" s="4">
        <v>44867</v>
      </c>
      <c r="B721" s="5">
        <v>97.06</v>
      </c>
    </row>
    <row r="722" spans="1:2" x14ac:dyDescent="0.3">
      <c r="A722" s="4">
        <v>44868</v>
      </c>
      <c r="B722" s="5">
        <v>96.1</v>
      </c>
    </row>
    <row r="723" spans="1:2" x14ac:dyDescent="0.3">
      <c r="A723" s="4">
        <v>44869</v>
      </c>
      <c r="B723" s="5">
        <v>98.92</v>
      </c>
    </row>
    <row r="724" spans="1:2" x14ac:dyDescent="0.3">
      <c r="A724" s="4">
        <v>44872</v>
      </c>
      <c r="B724" s="5">
        <v>101.8</v>
      </c>
    </row>
    <row r="725" spans="1:2" x14ac:dyDescent="0.3">
      <c r="A725" s="4">
        <v>44873</v>
      </c>
      <c r="B725" s="5">
        <v>99.07</v>
      </c>
    </row>
    <row r="726" spans="1:2" x14ac:dyDescent="0.3">
      <c r="A726" s="4">
        <v>44874</v>
      </c>
      <c r="B726" s="5">
        <v>95.06</v>
      </c>
    </row>
    <row r="727" spans="1:2" x14ac:dyDescent="0.3">
      <c r="A727" s="4">
        <v>44875</v>
      </c>
      <c r="B727" s="5">
        <v>94.78</v>
      </c>
    </row>
    <row r="728" spans="1:2" x14ac:dyDescent="0.3">
      <c r="A728" s="4">
        <v>44876</v>
      </c>
      <c r="B728" s="5">
        <v>96.89</v>
      </c>
    </row>
    <row r="729" spans="1:2" x14ac:dyDescent="0.3">
      <c r="A729" s="4">
        <v>44879</v>
      </c>
      <c r="B729" s="5">
        <v>95.65</v>
      </c>
    </row>
    <row r="730" spans="1:2" x14ac:dyDescent="0.3">
      <c r="A730" s="4">
        <v>44880</v>
      </c>
      <c r="B730" s="5">
        <v>94.18</v>
      </c>
    </row>
    <row r="731" spans="1:2" x14ac:dyDescent="0.3">
      <c r="A731" s="4">
        <v>44881</v>
      </c>
      <c r="B731" s="5">
        <v>92.42</v>
      </c>
    </row>
    <row r="732" spans="1:2" x14ac:dyDescent="0.3">
      <c r="A732" s="4">
        <v>44882</v>
      </c>
      <c r="B732" s="5">
        <v>91.41</v>
      </c>
    </row>
    <row r="733" spans="1:2" x14ac:dyDescent="0.3">
      <c r="A733" s="4">
        <v>44883</v>
      </c>
      <c r="B733" s="5">
        <v>88.42</v>
      </c>
    </row>
    <row r="734" spans="1:2" x14ac:dyDescent="0.3">
      <c r="A734" s="4">
        <v>44886</v>
      </c>
      <c r="B734" s="5">
        <v>83.31</v>
      </c>
    </row>
    <row r="735" spans="1:2" x14ac:dyDescent="0.3">
      <c r="A735" s="4">
        <v>44887</v>
      </c>
      <c r="B735" s="5">
        <v>89.6</v>
      </c>
    </row>
    <row r="736" spans="1:2" x14ac:dyDescent="0.3">
      <c r="A736" s="4">
        <v>44888</v>
      </c>
      <c r="B736" s="5">
        <v>85.35</v>
      </c>
    </row>
    <row r="737" spans="1:2" x14ac:dyDescent="0.3">
      <c r="A737" s="4">
        <v>44889</v>
      </c>
      <c r="B737" s="5">
        <v>85.73</v>
      </c>
    </row>
    <row r="738" spans="1:2" x14ac:dyDescent="0.3">
      <c r="A738" s="4">
        <v>44890</v>
      </c>
      <c r="B738" s="5">
        <v>85.59</v>
      </c>
    </row>
    <row r="739" spans="1:2" x14ac:dyDescent="0.3">
      <c r="A739" s="4">
        <v>44893</v>
      </c>
      <c r="B739" s="5">
        <v>82.73</v>
      </c>
    </row>
    <row r="740" spans="1:2" x14ac:dyDescent="0.3">
      <c r="A740" s="4">
        <v>44894</v>
      </c>
      <c r="B740" s="5">
        <v>84.14</v>
      </c>
    </row>
    <row r="741" spans="1:2" x14ac:dyDescent="0.3">
      <c r="A741" s="4">
        <v>44895</v>
      </c>
      <c r="B741" s="5">
        <v>86.62</v>
      </c>
    </row>
    <row r="742" spans="1:2" x14ac:dyDescent="0.3">
      <c r="A742" s="4">
        <v>44896</v>
      </c>
      <c r="B742" s="5">
        <v>89.32</v>
      </c>
    </row>
    <row r="743" spans="1:2" x14ac:dyDescent="0.3">
      <c r="A743" s="4">
        <v>44897</v>
      </c>
      <c r="B743" s="5">
        <v>87.02</v>
      </c>
    </row>
    <row r="744" spans="1:2" x14ac:dyDescent="0.3">
      <c r="A744" s="4">
        <v>44900</v>
      </c>
      <c r="B744" s="5">
        <v>85.7</v>
      </c>
    </row>
    <row r="745" spans="1:2" x14ac:dyDescent="0.3">
      <c r="A745" s="4">
        <v>44901</v>
      </c>
      <c r="B745" s="5">
        <v>80.59</v>
      </c>
    </row>
    <row r="746" spans="1:2" x14ac:dyDescent="0.3">
      <c r="A746" s="4">
        <v>44902</v>
      </c>
      <c r="B746" s="5">
        <v>78.760000000000005</v>
      </c>
    </row>
    <row r="747" spans="1:2" x14ac:dyDescent="0.3">
      <c r="A747" s="4">
        <v>44903</v>
      </c>
      <c r="B747" s="5">
        <v>76.599999999999994</v>
      </c>
    </row>
    <row r="748" spans="1:2" x14ac:dyDescent="0.3">
      <c r="A748" s="4">
        <v>44904</v>
      </c>
      <c r="B748" s="5">
        <v>77.64</v>
      </c>
    </row>
    <row r="749" spans="1:2" x14ac:dyDescent="0.3">
      <c r="A749" s="4">
        <v>44907</v>
      </c>
      <c r="B749" s="5">
        <v>78.790000000000006</v>
      </c>
    </row>
    <row r="750" spans="1:2" x14ac:dyDescent="0.3">
      <c r="A750" s="4">
        <v>44908</v>
      </c>
      <c r="B750" s="5">
        <v>81.150000000000006</v>
      </c>
    </row>
    <row r="751" spans="1:2" x14ac:dyDescent="0.3">
      <c r="A751" s="4">
        <v>44909</v>
      </c>
      <c r="B751" s="5">
        <v>83.63</v>
      </c>
    </row>
    <row r="752" spans="1:2" x14ac:dyDescent="0.3">
      <c r="A752" s="4">
        <v>44910</v>
      </c>
      <c r="B752" s="5">
        <v>81.98</v>
      </c>
    </row>
    <row r="753" spans="1:2" x14ac:dyDescent="0.3">
      <c r="A753" s="4">
        <v>44911</v>
      </c>
      <c r="B753" s="5">
        <v>79.16</v>
      </c>
    </row>
    <row r="754" spans="1:2" x14ac:dyDescent="0.3">
      <c r="A754" s="4">
        <v>44914</v>
      </c>
      <c r="B754" s="5">
        <v>79.72</v>
      </c>
    </row>
    <row r="755" spans="1:2" x14ac:dyDescent="0.3">
      <c r="A755" s="4">
        <v>44915</v>
      </c>
      <c r="B755" s="5">
        <v>78.63</v>
      </c>
    </row>
    <row r="756" spans="1:2" x14ac:dyDescent="0.3">
      <c r="A756" s="4">
        <v>44916</v>
      </c>
      <c r="B756" s="5">
        <v>80.45</v>
      </c>
    </row>
    <row r="757" spans="1:2" x14ac:dyDescent="0.3">
      <c r="A757" s="4">
        <v>44917</v>
      </c>
      <c r="B757" s="5">
        <v>80.88</v>
      </c>
    </row>
    <row r="758" spans="1:2" x14ac:dyDescent="0.3">
      <c r="A758" s="4">
        <v>44918</v>
      </c>
      <c r="B758" s="5">
        <v>80.91</v>
      </c>
    </row>
    <row r="759" spans="1:2" x14ac:dyDescent="0.3">
      <c r="A759" s="4">
        <v>44923</v>
      </c>
      <c r="B759" s="5">
        <v>81.34</v>
      </c>
    </row>
    <row r="760" spans="1:2" x14ac:dyDescent="0.3">
      <c r="A760" s="4">
        <v>44924</v>
      </c>
      <c r="B760" s="5">
        <v>80.94</v>
      </c>
    </row>
    <row r="761" spans="1:2" x14ac:dyDescent="0.3">
      <c r="A761" s="4">
        <v>44925</v>
      </c>
      <c r="B761" s="5">
        <v>81.41</v>
      </c>
    </row>
    <row r="762" spans="1:2" x14ac:dyDescent="0.3">
      <c r="A762" s="4">
        <v>44929</v>
      </c>
      <c r="B762" s="5">
        <v>81.47</v>
      </c>
    </row>
    <row r="763" spans="1:2" x14ac:dyDescent="0.3">
      <c r="A763" s="4">
        <v>44930</v>
      </c>
      <c r="B763" s="5">
        <v>75.62</v>
      </c>
    </row>
    <row r="764" spans="1:2" x14ac:dyDescent="0.3">
      <c r="A764" s="4">
        <v>44931</v>
      </c>
      <c r="B764" s="5">
        <v>77.13</v>
      </c>
    </row>
    <row r="765" spans="1:2" x14ac:dyDescent="0.3">
      <c r="A765" s="4">
        <v>44932</v>
      </c>
      <c r="B765" s="5">
        <v>77.45</v>
      </c>
    </row>
    <row r="766" spans="1:2" x14ac:dyDescent="0.3">
      <c r="A766" s="4">
        <v>44935</v>
      </c>
      <c r="B766" s="5">
        <v>77.53</v>
      </c>
    </row>
    <row r="767" spans="1:2" x14ac:dyDescent="0.3">
      <c r="A767" s="4">
        <v>44936</v>
      </c>
      <c r="B767" s="5">
        <v>78.09</v>
      </c>
    </row>
    <row r="768" spans="1:2" x14ac:dyDescent="0.3">
      <c r="A768" s="4">
        <v>44937</v>
      </c>
      <c r="B768" s="5">
        <v>80.709999999999994</v>
      </c>
    </row>
    <row r="769" spans="1:2" x14ac:dyDescent="0.3">
      <c r="A769" s="4">
        <v>44938</v>
      </c>
      <c r="B769" s="5">
        <v>82.91</v>
      </c>
    </row>
    <row r="770" spans="1:2" x14ac:dyDescent="0.3">
      <c r="A770" s="4">
        <v>44939</v>
      </c>
      <c r="B770" s="5">
        <v>83.35</v>
      </c>
    </row>
    <row r="771" spans="1:2" x14ac:dyDescent="0.3">
      <c r="A771" s="4">
        <v>44942</v>
      </c>
      <c r="B771" s="5">
        <v>83.04</v>
      </c>
    </row>
    <row r="772" spans="1:2" x14ac:dyDescent="0.3">
      <c r="A772" s="4">
        <v>44943</v>
      </c>
      <c r="B772" s="5">
        <v>84.47</v>
      </c>
    </row>
    <row r="773" spans="1:2" x14ac:dyDescent="0.3">
      <c r="A773" s="4">
        <v>44944</v>
      </c>
      <c r="B773" s="5">
        <v>86.08</v>
      </c>
    </row>
    <row r="774" spans="1:2" x14ac:dyDescent="0.3">
      <c r="A774" s="4">
        <v>44945</v>
      </c>
      <c r="B774" s="5">
        <v>84.62</v>
      </c>
    </row>
    <row r="775" spans="1:2" x14ac:dyDescent="0.3">
      <c r="A775" s="4">
        <v>44946</v>
      </c>
      <c r="B775" s="5">
        <v>85.95</v>
      </c>
    </row>
    <row r="776" spans="1:2" x14ac:dyDescent="0.3">
      <c r="A776" s="4">
        <v>44949</v>
      </c>
      <c r="B776" s="5">
        <v>88.42</v>
      </c>
    </row>
    <row r="777" spans="1:2" x14ac:dyDescent="0.3">
      <c r="A777" s="4">
        <v>44950</v>
      </c>
      <c r="B777" s="5">
        <v>86.24</v>
      </c>
    </row>
    <row r="778" spans="1:2" x14ac:dyDescent="0.3">
      <c r="A778" s="4">
        <v>44951</v>
      </c>
      <c r="B778" s="5">
        <v>86.14</v>
      </c>
    </row>
    <row r="779" spans="1:2" x14ac:dyDescent="0.3">
      <c r="A779" s="4">
        <v>44952</v>
      </c>
      <c r="B779" s="5">
        <v>86.96</v>
      </c>
    </row>
    <row r="780" spans="1:2" x14ac:dyDescent="0.3">
      <c r="A780" s="4">
        <v>44953</v>
      </c>
      <c r="B780" s="5">
        <v>86.27</v>
      </c>
    </row>
    <row r="781" spans="1:2" x14ac:dyDescent="0.3">
      <c r="A781" s="4">
        <v>44956</v>
      </c>
      <c r="B781" s="5">
        <v>84.89</v>
      </c>
    </row>
    <row r="782" spans="1:2" x14ac:dyDescent="0.3">
      <c r="A782" s="4">
        <v>44957</v>
      </c>
      <c r="B782" s="5">
        <v>84.29</v>
      </c>
    </row>
    <row r="783" spans="1:2" x14ac:dyDescent="0.3">
      <c r="A783" s="4">
        <v>44958</v>
      </c>
      <c r="B783" s="5">
        <v>83.26</v>
      </c>
    </row>
    <row r="784" spans="1:2" x14ac:dyDescent="0.3">
      <c r="A784" s="4">
        <v>44959</v>
      </c>
      <c r="B784" s="5">
        <v>80.900000000000006</v>
      </c>
    </row>
    <row r="785" spans="1:2" x14ac:dyDescent="0.3">
      <c r="A785" s="4">
        <v>44960</v>
      </c>
      <c r="B785" s="5">
        <v>80.69</v>
      </c>
    </row>
    <row r="786" spans="1:2" x14ac:dyDescent="0.3">
      <c r="A786" s="4">
        <v>44963</v>
      </c>
      <c r="B786" s="5">
        <v>79.680000000000007</v>
      </c>
    </row>
    <row r="787" spans="1:2" x14ac:dyDescent="0.3">
      <c r="A787" s="4">
        <v>44964</v>
      </c>
      <c r="B787" s="5">
        <v>82.39</v>
      </c>
    </row>
    <row r="788" spans="1:2" x14ac:dyDescent="0.3">
      <c r="A788" s="4">
        <v>44965</v>
      </c>
      <c r="B788" s="5">
        <v>83.22</v>
      </c>
    </row>
    <row r="789" spans="1:2" x14ac:dyDescent="0.3">
      <c r="A789" s="4">
        <v>44966</v>
      </c>
      <c r="B789" s="5">
        <v>83.44</v>
      </c>
    </row>
    <row r="790" spans="1:2" x14ac:dyDescent="0.3">
      <c r="A790" s="4">
        <v>44967</v>
      </c>
      <c r="B790" s="5">
        <v>85.68</v>
      </c>
    </row>
    <row r="791" spans="1:2" x14ac:dyDescent="0.3">
      <c r="A791" s="4">
        <v>44970</v>
      </c>
      <c r="B791" s="5">
        <v>85.64</v>
      </c>
    </row>
    <row r="792" spans="1:2" x14ac:dyDescent="0.3">
      <c r="A792" s="4">
        <v>44971</v>
      </c>
      <c r="B792" s="5">
        <v>84.73</v>
      </c>
    </row>
    <row r="793" spans="1:2" x14ac:dyDescent="0.3">
      <c r="A793" s="4">
        <v>44972</v>
      </c>
      <c r="B793" s="5">
        <v>83.64</v>
      </c>
    </row>
    <row r="794" spans="1:2" x14ac:dyDescent="0.3">
      <c r="A794" s="4">
        <v>44973</v>
      </c>
      <c r="B794" s="5">
        <v>84.25</v>
      </c>
    </row>
    <row r="795" spans="1:2" x14ac:dyDescent="0.3">
      <c r="A795" s="4">
        <v>44974</v>
      </c>
      <c r="B795" s="5">
        <v>82.35</v>
      </c>
    </row>
    <row r="796" spans="1:2" x14ac:dyDescent="0.3">
      <c r="A796" s="4">
        <v>44977</v>
      </c>
      <c r="B796" s="5">
        <v>82.6</v>
      </c>
    </row>
    <row r="797" spans="1:2" x14ac:dyDescent="0.3">
      <c r="A797" s="4">
        <v>44978</v>
      </c>
      <c r="B797" s="5">
        <v>82.29</v>
      </c>
    </row>
    <row r="798" spans="1:2" x14ac:dyDescent="0.3">
      <c r="A798" s="4">
        <v>44979</v>
      </c>
      <c r="B798" s="5">
        <v>80.540000000000006</v>
      </c>
    </row>
    <row r="799" spans="1:2" x14ac:dyDescent="0.3">
      <c r="A799" s="4">
        <v>44980</v>
      </c>
      <c r="B799" s="5">
        <v>81.02</v>
      </c>
    </row>
    <row r="800" spans="1:2" x14ac:dyDescent="0.3">
      <c r="A800" s="4">
        <v>44981</v>
      </c>
      <c r="B800" s="5">
        <v>82.04</v>
      </c>
    </row>
    <row r="801" spans="1:2" x14ac:dyDescent="0.3">
      <c r="A801" s="4">
        <v>44984</v>
      </c>
      <c r="B801" s="5">
        <v>81.59</v>
      </c>
    </row>
    <row r="802" spans="1:2" x14ac:dyDescent="0.3">
      <c r="A802" s="4">
        <v>44985</v>
      </c>
      <c r="B802" s="5">
        <v>83.29</v>
      </c>
    </row>
    <row r="803" spans="1:2" x14ac:dyDescent="0.3">
      <c r="A803" s="4">
        <v>44986</v>
      </c>
      <c r="B803" s="5">
        <v>83.76</v>
      </c>
    </row>
    <row r="804" spans="1:2" x14ac:dyDescent="0.3">
      <c r="A804" s="4">
        <v>44987</v>
      </c>
      <c r="B804" s="5">
        <v>85.23</v>
      </c>
    </row>
    <row r="805" spans="1:2" x14ac:dyDescent="0.3">
      <c r="A805" s="4">
        <v>44988</v>
      </c>
      <c r="B805" s="5">
        <v>85.33</v>
      </c>
    </row>
    <row r="806" spans="1:2" x14ac:dyDescent="0.3">
      <c r="A806" s="4">
        <v>44991</v>
      </c>
      <c r="B806" s="5">
        <v>85.9</v>
      </c>
    </row>
    <row r="807" spans="1:2" x14ac:dyDescent="0.3">
      <c r="A807" s="4">
        <v>44992</v>
      </c>
      <c r="B807" s="5">
        <v>84.25</v>
      </c>
    </row>
    <row r="808" spans="1:2" x14ac:dyDescent="0.3">
      <c r="A808" s="4">
        <v>44993</v>
      </c>
      <c r="B808" s="5">
        <v>82.57</v>
      </c>
    </row>
    <row r="809" spans="1:2" x14ac:dyDescent="0.3">
      <c r="A809" s="4">
        <v>44994</v>
      </c>
      <c r="B809" s="5">
        <v>83.34</v>
      </c>
    </row>
    <row r="810" spans="1:2" x14ac:dyDescent="0.3">
      <c r="A810" s="4">
        <v>44995</v>
      </c>
      <c r="B810" s="5">
        <v>82.43</v>
      </c>
    </row>
    <row r="811" spans="1:2" x14ac:dyDescent="0.3">
      <c r="A811" s="4">
        <v>44998</v>
      </c>
      <c r="B811" s="5">
        <v>81.39</v>
      </c>
    </row>
    <row r="812" spans="1:2" x14ac:dyDescent="0.3">
      <c r="A812" s="4">
        <v>44999</v>
      </c>
      <c r="B812" s="5">
        <v>79.12</v>
      </c>
    </row>
    <row r="813" spans="1:2" x14ac:dyDescent="0.3">
      <c r="A813" s="4">
        <v>45000</v>
      </c>
      <c r="B813" s="5">
        <v>71.86</v>
      </c>
    </row>
    <row r="814" spans="1:2" x14ac:dyDescent="0.3">
      <c r="A814" s="4">
        <v>45001</v>
      </c>
      <c r="B814" s="5">
        <v>73.430000000000007</v>
      </c>
    </row>
    <row r="815" spans="1:2" x14ac:dyDescent="0.3">
      <c r="A815" s="4">
        <v>45002</v>
      </c>
      <c r="B815" s="5">
        <v>72.31</v>
      </c>
    </row>
    <row r="816" spans="1:2" x14ac:dyDescent="0.3">
      <c r="A816" s="4">
        <v>45005</v>
      </c>
      <c r="B816" s="5">
        <v>71.97</v>
      </c>
    </row>
    <row r="817" spans="1:2" x14ac:dyDescent="0.3">
      <c r="A817" s="4">
        <v>45006</v>
      </c>
      <c r="B817" s="5">
        <v>74.05</v>
      </c>
    </row>
    <row r="818" spans="1:2" x14ac:dyDescent="0.3">
      <c r="A818" s="4">
        <v>45007</v>
      </c>
      <c r="B818" s="5">
        <v>75.53</v>
      </c>
    </row>
    <row r="819" spans="1:2" x14ac:dyDescent="0.3">
      <c r="A819" s="4">
        <v>45008</v>
      </c>
      <c r="B819" s="5">
        <v>76.09</v>
      </c>
    </row>
    <row r="820" spans="1:2" x14ac:dyDescent="0.3">
      <c r="A820" s="4">
        <v>45009</v>
      </c>
      <c r="B820" s="5">
        <v>73.44</v>
      </c>
    </row>
    <row r="821" spans="1:2" x14ac:dyDescent="0.3">
      <c r="A821" s="4">
        <v>45012</v>
      </c>
      <c r="B821" s="5">
        <v>75.55</v>
      </c>
    </row>
    <row r="822" spans="1:2" x14ac:dyDescent="0.3">
      <c r="A822" s="4">
        <v>45013</v>
      </c>
      <c r="B822" s="5">
        <v>77.94</v>
      </c>
    </row>
    <row r="823" spans="1:2" x14ac:dyDescent="0.3">
      <c r="A823" s="4">
        <v>45014</v>
      </c>
      <c r="B823" s="5">
        <v>78.17</v>
      </c>
    </row>
    <row r="824" spans="1:2" x14ac:dyDescent="0.3">
      <c r="A824" s="4">
        <v>45015</v>
      </c>
      <c r="B824" s="5">
        <v>78.09</v>
      </c>
    </row>
    <row r="825" spans="1:2" x14ac:dyDescent="0.3">
      <c r="A825" s="4">
        <v>45016</v>
      </c>
      <c r="B825" s="5">
        <v>79.180000000000007</v>
      </c>
    </row>
    <row r="826" spans="1:2" x14ac:dyDescent="0.3">
      <c r="A826" s="4">
        <v>45019</v>
      </c>
      <c r="B826" s="5">
        <v>85.64</v>
      </c>
    </row>
    <row r="827" spans="1:2" x14ac:dyDescent="0.3">
      <c r="A827" s="4">
        <v>45020</v>
      </c>
      <c r="B827" s="5">
        <v>85.37</v>
      </c>
    </row>
    <row r="828" spans="1:2" x14ac:dyDescent="0.3">
      <c r="A828" s="4">
        <v>45021</v>
      </c>
      <c r="B828" s="5">
        <v>85.7</v>
      </c>
    </row>
    <row r="829" spans="1:2" x14ac:dyDescent="0.3">
      <c r="A829" s="4">
        <v>45022</v>
      </c>
      <c r="B829" s="5">
        <v>86.31</v>
      </c>
    </row>
    <row r="830" spans="1:2" x14ac:dyDescent="0.3">
      <c r="A830" s="4">
        <v>45027</v>
      </c>
      <c r="B830" s="5">
        <v>86.16</v>
      </c>
    </row>
    <row r="831" spans="1:2" x14ac:dyDescent="0.3">
      <c r="A831" s="4">
        <v>45028</v>
      </c>
      <c r="B831" s="5">
        <v>88.41</v>
      </c>
    </row>
    <row r="832" spans="1:2" x14ac:dyDescent="0.3">
      <c r="A832" s="4">
        <v>45029</v>
      </c>
      <c r="B832" s="5">
        <v>88.11</v>
      </c>
    </row>
    <row r="833" spans="1:2" x14ac:dyDescent="0.3">
      <c r="A833" s="4">
        <v>45030</v>
      </c>
      <c r="B833" s="5">
        <v>87.93</v>
      </c>
    </row>
    <row r="834" spans="1:2" x14ac:dyDescent="0.3">
      <c r="A834" s="4">
        <v>45033</v>
      </c>
      <c r="B834" s="5">
        <v>86.74</v>
      </c>
    </row>
    <row r="835" spans="1:2" x14ac:dyDescent="0.3">
      <c r="A835" s="4">
        <v>45034</v>
      </c>
      <c r="B835" s="5">
        <v>86.77</v>
      </c>
    </row>
    <row r="836" spans="1:2" x14ac:dyDescent="0.3">
      <c r="A836" s="4">
        <v>45035</v>
      </c>
      <c r="B836" s="5">
        <v>85.62</v>
      </c>
    </row>
    <row r="837" spans="1:2" x14ac:dyDescent="0.3">
      <c r="A837" s="4">
        <v>45036</v>
      </c>
      <c r="B837" s="5">
        <v>83.26</v>
      </c>
    </row>
    <row r="838" spans="1:2" x14ac:dyDescent="0.3">
      <c r="A838" s="4">
        <v>45037</v>
      </c>
      <c r="B838" s="5">
        <v>83.65</v>
      </c>
    </row>
    <row r="839" spans="1:2" x14ac:dyDescent="0.3">
      <c r="A839" s="4">
        <v>45040</v>
      </c>
      <c r="B839" s="5">
        <v>84.54</v>
      </c>
    </row>
    <row r="840" spans="1:2" x14ac:dyDescent="0.3">
      <c r="A840" s="4">
        <v>45041</v>
      </c>
      <c r="B840" s="5">
        <v>82.68</v>
      </c>
    </row>
    <row r="841" spans="1:2" x14ac:dyDescent="0.3">
      <c r="A841" s="4">
        <v>45042</v>
      </c>
      <c r="B841" s="5">
        <v>82.25</v>
      </c>
    </row>
    <row r="842" spans="1:2" x14ac:dyDescent="0.3">
      <c r="A842" s="4">
        <v>45043</v>
      </c>
      <c r="B842" s="5">
        <v>80.22</v>
      </c>
    </row>
    <row r="843" spans="1:2" x14ac:dyDescent="0.3">
      <c r="A843" s="4">
        <v>45044</v>
      </c>
      <c r="B843" s="5">
        <v>82.03</v>
      </c>
    </row>
    <row r="844" spans="1:2" x14ac:dyDescent="0.3">
      <c r="A844" s="4">
        <v>45048</v>
      </c>
      <c r="B844" s="5">
        <v>77.47</v>
      </c>
    </row>
    <row r="845" spans="1:2" x14ac:dyDescent="0.3">
      <c r="A845" s="4">
        <v>45049</v>
      </c>
      <c r="B845" s="5">
        <v>72.52</v>
      </c>
    </row>
    <row r="846" spans="1:2" x14ac:dyDescent="0.3">
      <c r="A846" s="4">
        <v>45050</v>
      </c>
      <c r="B846" s="5">
        <v>73.14</v>
      </c>
    </row>
    <row r="847" spans="1:2" x14ac:dyDescent="0.3">
      <c r="A847" s="4">
        <v>45051</v>
      </c>
      <c r="B847" s="5">
        <v>75.900000000000006</v>
      </c>
    </row>
    <row r="848" spans="1:2" x14ac:dyDescent="0.3">
      <c r="A848" s="4">
        <v>45055</v>
      </c>
      <c r="B848" s="5">
        <v>75.86</v>
      </c>
    </row>
    <row r="849" spans="1:2" x14ac:dyDescent="0.3">
      <c r="A849" s="4">
        <v>45056</v>
      </c>
      <c r="B849" s="5">
        <v>77.42</v>
      </c>
    </row>
    <row r="850" spans="1:2" x14ac:dyDescent="0.3">
      <c r="A850" s="4">
        <v>45057</v>
      </c>
      <c r="B850" s="5">
        <v>76.33</v>
      </c>
    </row>
    <row r="851" spans="1:2" x14ac:dyDescent="0.3">
      <c r="A851" s="4">
        <v>45058</v>
      </c>
      <c r="B851" s="5">
        <v>75.569999999999993</v>
      </c>
    </row>
    <row r="852" spans="1:2" x14ac:dyDescent="0.3">
      <c r="A852" s="4">
        <v>45061</v>
      </c>
      <c r="B852" s="5">
        <v>75.5</v>
      </c>
    </row>
    <row r="853" spans="1:2" x14ac:dyDescent="0.3">
      <c r="A853" s="4">
        <v>45062</v>
      </c>
      <c r="B853" s="5">
        <v>75.180000000000007</v>
      </c>
    </row>
    <row r="854" spans="1:2" x14ac:dyDescent="0.3">
      <c r="A854" s="4">
        <v>45063</v>
      </c>
      <c r="B854" s="5">
        <v>76.599999999999994</v>
      </c>
    </row>
    <row r="855" spans="1:2" x14ac:dyDescent="0.3">
      <c r="A855" s="4">
        <v>45064</v>
      </c>
      <c r="B855" s="5">
        <v>76.239999999999995</v>
      </c>
    </row>
    <row r="856" spans="1:2" x14ac:dyDescent="0.3">
      <c r="A856" s="4">
        <v>45065</v>
      </c>
      <c r="B856" s="5">
        <v>76.13</v>
      </c>
    </row>
    <row r="857" spans="1:2" x14ac:dyDescent="0.3">
      <c r="A857" s="4">
        <v>45068</v>
      </c>
      <c r="B857" s="5">
        <v>75.91</v>
      </c>
    </row>
    <row r="858" spans="1:2" x14ac:dyDescent="0.3">
      <c r="A858" s="4">
        <v>45069</v>
      </c>
      <c r="B858" s="5">
        <v>77.09</v>
      </c>
    </row>
    <row r="859" spans="1:2" x14ac:dyDescent="0.3">
      <c r="A859" s="4">
        <v>45070</v>
      </c>
      <c r="B859" s="5">
        <v>77.599999999999994</v>
      </c>
    </row>
    <row r="860" spans="1:2" x14ac:dyDescent="0.3">
      <c r="A860" s="4">
        <v>45071</v>
      </c>
      <c r="B860" s="5">
        <v>75.84</v>
      </c>
    </row>
    <row r="861" spans="1:2" x14ac:dyDescent="0.3">
      <c r="A861" s="4">
        <v>45072</v>
      </c>
      <c r="B861" s="5">
        <v>76.62</v>
      </c>
    </row>
    <row r="862" spans="1:2" x14ac:dyDescent="0.3">
      <c r="A862" s="4">
        <v>45076</v>
      </c>
      <c r="B862" s="5">
        <v>74.25</v>
      </c>
    </row>
    <row r="863" spans="1:2" x14ac:dyDescent="0.3">
      <c r="A863" s="4">
        <v>45077</v>
      </c>
      <c r="B863" s="5">
        <v>72.97</v>
      </c>
    </row>
    <row r="864" spans="1:2" x14ac:dyDescent="0.3">
      <c r="A864" s="4">
        <v>45078</v>
      </c>
      <c r="B864" s="5">
        <v>74.72</v>
      </c>
    </row>
    <row r="865" spans="1:2" x14ac:dyDescent="0.3">
      <c r="A865" s="4">
        <v>45079</v>
      </c>
      <c r="B865" s="5">
        <v>76.2</v>
      </c>
    </row>
    <row r="866" spans="1:2" x14ac:dyDescent="0.3">
      <c r="A866" s="4">
        <v>45082</v>
      </c>
      <c r="B866" s="5">
        <v>77.53</v>
      </c>
    </row>
    <row r="867" spans="1:2" x14ac:dyDescent="0.3">
      <c r="A867" s="4">
        <v>45083</v>
      </c>
      <c r="B867" s="5">
        <v>76.53</v>
      </c>
    </row>
    <row r="868" spans="1:2" x14ac:dyDescent="0.3">
      <c r="A868" s="4">
        <v>45084</v>
      </c>
      <c r="B868" s="5">
        <v>76.78</v>
      </c>
    </row>
    <row r="869" spans="1:2" x14ac:dyDescent="0.3">
      <c r="A869" s="4">
        <v>45085</v>
      </c>
      <c r="B869" s="5">
        <v>75.790000000000006</v>
      </c>
    </row>
    <row r="870" spans="1:2" x14ac:dyDescent="0.3">
      <c r="A870" s="4">
        <v>45086</v>
      </c>
      <c r="B870" s="5">
        <v>75.81</v>
      </c>
    </row>
    <row r="871" spans="1:2" x14ac:dyDescent="0.3">
      <c r="A871" s="4">
        <v>45089</v>
      </c>
      <c r="B871" s="5">
        <v>72.599999999999994</v>
      </c>
    </row>
    <row r="872" spans="1:2" x14ac:dyDescent="0.3">
      <c r="A872" s="4">
        <v>45090</v>
      </c>
      <c r="B872" s="5">
        <v>74.099999999999994</v>
      </c>
    </row>
    <row r="873" spans="1:2" x14ac:dyDescent="0.3">
      <c r="A873" s="4">
        <v>45091</v>
      </c>
      <c r="B873" s="5">
        <v>73.97</v>
      </c>
    </row>
    <row r="874" spans="1:2" x14ac:dyDescent="0.3">
      <c r="A874" s="4">
        <v>45092</v>
      </c>
      <c r="B874" s="5">
        <v>74.569999999999993</v>
      </c>
    </row>
    <row r="875" spans="1:2" x14ac:dyDescent="0.3">
      <c r="A875" s="4">
        <v>45093</v>
      </c>
      <c r="B875" s="5">
        <v>75.349999999999994</v>
      </c>
    </row>
    <row r="876" spans="1:2" x14ac:dyDescent="0.3">
      <c r="A876" s="4">
        <v>45096</v>
      </c>
      <c r="B876" s="5">
        <v>75.73</v>
      </c>
    </row>
    <row r="877" spans="1:2" x14ac:dyDescent="0.3">
      <c r="A877" s="4">
        <v>45097</v>
      </c>
      <c r="B877" s="5">
        <v>74.569999999999993</v>
      </c>
    </row>
    <row r="878" spans="1:2" x14ac:dyDescent="0.3">
      <c r="A878" s="4">
        <v>45098</v>
      </c>
      <c r="B878" s="5">
        <v>76.56</v>
      </c>
    </row>
    <row r="879" spans="1:2" x14ac:dyDescent="0.3">
      <c r="A879" s="4">
        <v>45099</v>
      </c>
      <c r="B879" s="5">
        <v>74.03</v>
      </c>
    </row>
    <row r="880" spans="1:2" x14ac:dyDescent="0.3">
      <c r="A880" s="4">
        <v>45100</v>
      </c>
      <c r="B880" s="5">
        <v>73.34</v>
      </c>
    </row>
    <row r="881" spans="1:2" x14ac:dyDescent="0.3">
      <c r="A881" s="4">
        <v>45103</v>
      </c>
      <c r="B881" s="5">
        <v>73.819999999999993</v>
      </c>
    </row>
    <row r="882" spans="1:2" x14ac:dyDescent="0.3">
      <c r="A882" s="4">
        <v>45104</v>
      </c>
      <c r="B882" s="5">
        <v>72.89</v>
      </c>
    </row>
    <row r="883" spans="1:2" x14ac:dyDescent="0.3">
      <c r="A883" s="4">
        <v>45105</v>
      </c>
      <c r="B883" s="5">
        <v>73.61</v>
      </c>
    </row>
    <row r="884" spans="1:2" x14ac:dyDescent="0.3">
      <c r="A884" s="4">
        <v>45106</v>
      </c>
      <c r="B884" s="5">
        <v>73.069999999999993</v>
      </c>
    </row>
    <row r="885" spans="1:2" x14ac:dyDescent="0.3">
      <c r="A885" s="4">
        <v>45107</v>
      </c>
      <c r="B885" s="5">
        <v>75.23</v>
      </c>
    </row>
    <row r="886" spans="1:2" x14ac:dyDescent="0.3">
      <c r="A886" s="4">
        <v>45110</v>
      </c>
      <c r="B886" s="5">
        <v>75.790000000000006</v>
      </c>
    </row>
    <row r="887" spans="1:2" x14ac:dyDescent="0.3">
      <c r="A887" s="4">
        <v>45111</v>
      </c>
      <c r="B887" s="5">
        <v>76.08</v>
      </c>
    </row>
    <row r="888" spans="1:2" x14ac:dyDescent="0.3">
      <c r="A888" s="4">
        <v>45112</v>
      </c>
      <c r="B888" s="5">
        <v>77.08</v>
      </c>
    </row>
    <row r="889" spans="1:2" x14ac:dyDescent="0.3">
      <c r="A889" s="4">
        <v>45113</v>
      </c>
      <c r="B889" s="5">
        <v>75.709999999999994</v>
      </c>
    </row>
    <row r="890" spans="1:2" x14ac:dyDescent="0.3">
      <c r="A890" s="4">
        <v>45114</v>
      </c>
      <c r="B890" s="5">
        <v>78.17</v>
      </c>
    </row>
    <row r="891" spans="1:2" x14ac:dyDescent="0.3">
      <c r="A891" s="4">
        <v>45117</v>
      </c>
      <c r="B891" s="5">
        <v>78.86</v>
      </c>
    </row>
    <row r="892" spans="1:2" x14ac:dyDescent="0.3">
      <c r="A892" s="4">
        <v>45118</v>
      </c>
      <c r="B892" s="5">
        <v>79.760000000000005</v>
      </c>
    </row>
    <row r="893" spans="1:2" x14ac:dyDescent="0.3">
      <c r="A893" s="4">
        <v>45119</v>
      </c>
      <c r="B893" s="5">
        <v>80.47</v>
      </c>
    </row>
    <row r="894" spans="1:2" x14ac:dyDescent="0.3">
      <c r="A894" s="4">
        <v>45120</v>
      </c>
      <c r="B894" s="5">
        <v>80.61</v>
      </c>
    </row>
    <row r="895" spans="1:2" x14ac:dyDescent="0.3">
      <c r="A895" s="4">
        <v>45121</v>
      </c>
      <c r="B895" s="5">
        <v>79.89</v>
      </c>
    </row>
    <row r="896" spans="1:2" x14ac:dyDescent="0.3">
      <c r="A896" s="4">
        <v>45124</v>
      </c>
      <c r="B896" s="5">
        <v>78.77</v>
      </c>
    </row>
    <row r="897" spans="1:2" x14ac:dyDescent="0.3">
      <c r="A897" s="4">
        <v>45125</v>
      </c>
      <c r="B897" s="5">
        <v>79.540000000000006</v>
      </c>
    </row>
    <row r="898" spans="1:2" x14ac:dyDescent="0.3">
      <c r="A898" s="4">
        <v>45126</v>
      </c>
      <c r="B898" s="5">
        <v>80.28</v>
      </c>
    </row>
    <row r="899" spans="1:2" x14ac:dyDescent="0.3">
      <c r="A899" s="4">
        <v>45127</v>
      </c>
      <c r="B899" s="5">
        <v>79.37</v>
      </c>
    </row>
    <row r="900" spans="1:2" x14ac:dyDescent="0.3">
      <c r="A900" s="4">
        <v>45128</v>
      </c>
      <c r="B900" s="5">
        <v>80.48</v>
      </c>
    </row>
    <row r="901" spans="1:2" x14ac:dyDescent="0.3">
      <c r="A901" s="4">
        <v>45131</v>
      </c>
      <c r="B901" s="5">
        <v>82.51</v>
      </c>
    </row>
    <row r="902" spans="1:2" x14ac:dyDescent="0.3">
      <c r="A902" s="4">
        <v>45132</v>
      </c>
      <c r="B902" s="5">
        <v>83.05</v>
      </c>
    </row>
    <row r="903" spans="1:2" x14ac:dyDescent="0.3">
      <c r="A903" s="4">
        <v>45133</v>
      </c>
      <c r="B903" s="5">
        <v>84.04</v>
      </c>
    </row>
    <row r="904" spans="1:2" x14ac:dyDescent="0.3">
      <c r="A904" s="4">
        <v>45134</v>
      </c>
      <c r="B904" s="5">
        <v>84.04</v>
      </c>
    </row>
    <row r="905" spans="1:2" x14ac:dyDescent="0.3">
      <c r="A905" s="4">
        <v>45135</v>
      </c>
      <c r="B905" s="5">
        <v>84.28</v>
      </c>
    </row>
    <row r="906" spans="1:2" x14ac:dyDescent="0.3">
      <c r="A906" s="4">
        <v>45138</v>
      </c>
      <c r="B906" s="5">
        <v>85.89</v>
      </c>
    </row>
    <row r="907" spans="1:2" x14ac:dyDescent="0.3">
      <c r="A907" s="4">
        <v>45139</v>
      </c>
      <c r="B907" s="5">
        <v>85.54</v>
      </c>
    </row>
    <row r="908" spans="1:2" x14ac:dyDescent="0.3">
      <c r="A908" s="4">
        <v>45140</v>
      </c>
      <c r="B908" s="5">
        <v>84.32</v>
      </c>
    </row>
    <row r="909" spans="1:2" x14ac:dyDescent="0.3">
      <c r="A909" s="4">
        <v>45141</v>
      </c>
      <c r="B909" s="5">
        <v>86.09</v>
      </c>
    </row>
    <row r="910" spans="1:2" x14ac:dyDescent="0.3">
      <c r="A910" s="4">
        <v>45142</v>
      </c>
      <c r="B910" s="5">
        <v>86.88</v>
      </c>
    </row>
    <row r="911" spans="1:2" x14ac:dyDescent="0.3">
      <c r="A911" s="4">
        <v>45145</v>
      </c>
      <c r="B911" s="5">
        <v>86.57</v>
      </c>
    </row>
    <row r="912" spans="1:2" x14ac:dyDescent="0.3">
      <c r="A912" s="4">
        <v>45146</v>
      </c>
      <c r="B912" s="5">
        <v>86.91</v>
      </c>
    </row>
    <row r="913" spans="1:2" x14ac:dyDescent="0.3">
      <c r="A913" s="4">
        <v>45147</v>
      </c>
      <c r="B913" s="5">
        <v>88.56</v>
      </c>
    </row>
    <row r="914" spans="1:2" x14ac:dyDescent="0.3">
      <c r="A914" s="4">
        <v>45148</v>
      </c>
      <c r="B914" s="5">
        <v>88.48</v>
      </c>
    </row>
    <row r="915" spans="1:2" x14ac:dyDescent="0.3">
      <c r="A915" s="4">
        <v>45149</v>
      </c>
      <c r="B915" s="5">
        <v>88.61</v>
      </c>
    </row>
    <row r="916" spans="1:2" x14ac:dyDescent="0.3">
      <c r="A916" s="4">
        <v>45152</v>
      </c>
      <c r="B916" s="5">
        <v>87.88</v>
      </c>
    </row>
    <row r="917" spans="1:2" x14ac:dyDescent="0.3">
      <c r="A917" s="4">
        <v>45153</v>
      </c>
      <c r="B917" s="5">
        <v>86.43</v>
      </c>
    </row>
    <row r="918" spans="1:2" x14ac:dyDescent="0.3">
      <c r="A918" s="4">
        <v>45154</v>
      </c>
      <c r="B918" s="5">
        <v>86.36</v>
      </c>
    </row>
    <row r="919" spans="1:2" x14ac:dyDescent="0.3">
      <c r="A919" s="4">
        <v>45155</v>
      </c>
      <c r="B919" s="5">
        <v>86.18</v>
      </c>
    </row>
    <row r="920" spans="1:2" x14ac:dyDescent="0.3">
      <c r="A920" s="4">
        <v>45156</v>
      </c>
      <c r="B920" s="5">
        <v>85.94</v>
      </c>
    </row>
    <row r="921" spans="1:2" x14ac:dyDescent="0.3">
      <c r="A921" s="4">
        <v>45159</v>
      </c>
      <c r="B921" s="5">
        <v>86.59</v>
      </c>
    </row>
    <row r="922" spans="1:2" x14ac:dyDescent="0.3">
      <c r="A922" s="4">
        <v>45160</v>
      </c>
      <c r="B922" s="5">
        <v>85.56</v>
      </c>
    </row>
    <row r="923" spans="1:2" x14ac:dyDescent="0.3">
      <c r="A923" s="4">
        <v>45161</v>
      </c>
      <c r="B923" s="5">
        <v>84.27</v>
      </c>
    </row>
    <row r="924" spans="1:2" x14ac:dyDescent="0.3">
      <c r="A924" s="4">
        <v>45162</v>
      </c>
      <c r="B924" s="5">
        <v>84.04</v>
      </c>
    </row>
    <row r="925" spans="1:2" x14ac:dyDescent="0.3">
      <c r="A925" s="4">
        <v>45163</v>
      </c>
      <c r="B925" s="5">
        <v>85.3</v>
      </c>
    </row>
    <row r="926" spans="1:2" x14ac:dyDescent="0.3">
      <c r="A926" s="4">
        <v>45167</v>
      </c>
      <c r="B926" s="5">
        <v>86.16</v>
      </c>
    </row>
    <row r="927" spans="1:2" x14ac:dyDescent="0.3">
      <c r="A927" s="4">
        <v>45168</v>
      </c>
      <c r="B927" s="5">
        <v>86.25</v>
      </c>
    </row>
    <row r="928" spans="1:2" x14ac:dyDescent="0.3">
      <c r="A928" s="4">
        <v>45169</v>
      </c>
      <c r="B928" s="5">
        <v>87.6</v>
      </c>
    </row>
    <row r="929" spans="1:2" x14ac:dyDescent="0.3">
      <c r="A929" s="4">
        <v>45170</v>
      </c>
      <c r="B929" s="5">
        <v>89.61</v>
      </c>
    </row>
    <row r="930" spans="1:2" x14ac:dyDescent="0.3">
      <c r="A930" s="4">
        <v>45173</v>
      </c>
      <c r="B930" s="5">
        <v>90.78</v>
      </c>
    </row>
    <row r="931" spans="1:2" x14ac:dyDescent="0.3">
      <c r="A931" s="4">
        <v>45174</v>
      </c>
      <c r="B931" s="5">
        <v>92</v>
      </c>
    </row>
    <row r="932" spans="1:2" x14ac:dyDescent="0.3">
      <c r="A932" s="4">
        <v>45175</v>
      </c>
      <c r="B932" s="5">
        <v>91.49</v>
      </c>
    </row>
    <row r="933" spans="1:2" x14ac:dyDescent="0.3">
      <c r="A933" s="4">
        <v>45176</v>
      </c>
      <c r="B933" s="5">
        <v>92.58</v>
      </c>
    </row>
    <row r="934" spans="1:2" x14ac:dyDescent="0.3">
      <c r="A934" s="4">
        <v>45177</v>
      </c>
      <c r="B934" s="5">
        <v>92.46</v>
      </c>
    </row>
    <row r="935" spans="1:2" x14ac:dyDescent="0.3">
      <c r="A935" s="4">
        <v>45180</v>
      </c>
      <c r="B935" s="5">
        <v>92.25</v>
      </c>
    </row>
    <row r="936" spans="1:2" x14ac:dyDescent="0.3">
      <c r="A936" s="4">
        <v>45181</v>
      </c>
      <c r="B936" s="5">
        <v>93.86</v>
      </c>
    </row>
    <row r="937" spans="1:2" x14ac:dyDescent="0.3">
      <c r="A937" s="4">
        <v>45182</v>
      </c>
      <c r="B937" s="5">
        <v>93.67</v>
      </c>
    </row>
    <row r="938" spans="1:2" x14ac:dyDescent="0.3">
      <c r="A938" s="4">
        <v>45183</v>
      </c>
      <c r="B938" s="5">
        <v>95.14</v>
      </c>
    </row>
    <row r="939" spans="1:2" x14ac:dyDescent="0.3">
      <c r="A939" s="4">
        <v>45184</v>
      </c>
      <c r="B939" s="5">
        <v>95.16</v>
      </c>
    </row>
    <row r="940" spans="1:2" x14ac:dyDescent="0.3">
      <c r="A940" s="4">
        <v>45187</v>
      </c>
      <c r="B940" s="5">
        <v>96.38</v>
      </c>
    </row>
    <row r="941" spans="1:2" x14ac:dyDescent="0.3">
      <c r="A941" s="4">
        <v>45188</v>
      </c>
      <c r="B941" s="5">
        <v>97.14</v>
      </c>
    </row>
    <row r="942" spans="1:2" x14ac:dyDescent="0.3">
      <c r="A942" s="4">
        <v>45189</v>
      </c>
      <c r="B942" s="5">
        <v>95.89</v>
      </c>
    </row>
    <row r="943" spans="1:2" x14ac:dyDescent="0.3">
      <c r="A943" s="4">
        <v>45190</v>
      </c>
      <c r="B943" s="5">
        <v>94.74</v>
      </c>
    </row>
    <row r="944" spans="1:2" x14ac:dyDescent="0.3">
      <c r="A944" s="4">
        <v>45191</v>
      </c>
      <c r="B944" s="5">
        <v>94.32</v>
      </c>
    </row>
    <row r="945" spans="1:2" x14ac:dyDescent="0.3">
      <c r="A945" s="4">
        <v>45194</v>
      </c>
      <c r="B945" s="5">
        <v>93.59</v>
      </c>
    </row>
    <row r="946" spans="1:2" x14ac:dyDescent="0.3">
      <c r="A946" s="4">
        <v>45195</v>
      </c>
      <c r="B946" s="5">
        <v>94.41</v>
      </c>
    </row>
    <row r="947" spans="1:2" x14ac:dyDescent="0.3">
      <c r="A947" s="4">
        <v>45196</v>
      </c>
      <c r="B947" s="5">
        <v>98.06</v>
      </c>
    </row>
    <row r="948" spans="1:2" x14ac:dyDescent="0.3">
      <c r="A948" s="4">
        <v>45197</v>
      </c>
      <c r="B948" s="5">
        <v>98.01</v>
      </c>
    </row>
    <row r="949" spans="1:2" x14ac:dyDescent="0.3">
      <c r="A949" s="4">
        <v>45198</v>
      </c>
      <c r="B949" s="5">
        <v>96.41</v>
      </c>
    </row>
    <row r="950" spans="1:2" x14ac:dyDescent="0.3">
      <c r="A950" s="4">
        <v>45201</v>
      </c>
      <c r="B950" s="5">
        <v>94.64</v>
      </c>
    </row>
    <row r="951" spans="1:2" x14ac:dyDescent="0.3">
      <c r="A951" s="4">
        <v>45202</v>
      </c>
      <c r="B951" s="5">
        <v>94.96</v>
      </c>
    </row>
    <row r="952" spans="1:2" x14ac:dyDescent="0.3">
      <c r="A952" s="4">
        <v>45203</v>
      </c>
      <c r="B952" s="5">
        <v>91.96</v>
      </c>
    </row>
    <row r="953" spans="1:2" x14ac:dyDescent="0.3">
      <c r="A953" s="4">
        <v>45204</v>
      </c>
      <c r="B953" s="5">
        <v>88.77</v>
      </c>
    </row>
    <row r="954" spans="1:2" x14ac:dyDescent="0.3">
      <c r="A954" s="4">
        <v>45205</v>
      </c>
      <c r="B954" s="5">
        <v>88.26</v>
      </c>
    </row>
    <row r="955" spans="1:2" x14ac:dyDescent="0.3">
      <c r="A955" s="4">
        <v>45208</v>
      </c>
      <c r="B955" s="5">
        <v>91.35</v>
      </c>
    </row>
    <row r="956" spans="1:2" x14ac:dyDescent="0.3">
      <c r="A956" s="4">
        <v>45209</v>
      </c>
      <c r="B956" s="5">
        <v>90.82</v>
      </c>
    </row>
    <row r="957" spans="1:2" x14ac:dyDescent="0.3">
      <c r="A957" s="4">
        <v>45210</v>
      </c>
      <c r="B957" s="5">
        <v>88.3</v>
      </c>
    </row>
    <row r="958" spans="1:2" x14ac:dyDescent="0.3">
      <c r="A958" s="4">
        <v>45211</v>
      </c>
      <c r="B958" s="5">
        <v>89.4</v>
      </c>
    </row>
    <row r="959" spans="1:2" x14ac:dyDescent="0.3">
      <c r="A959" s="4">
        <v>45212</v>
      </c>
      <c r="B959" s="5">
        <v>92.85</v>
      </c>
    </row>
    <row r="960" spans="1:2" x14ac:dyDescent="0.3">
      <c r="A960" s="4">
        <v>45215</v>
      </c>
      <c r="B960" s="5">
        <v>93.23</v>
      </c>
    </row>
    <row r="961" spans="1:2" x14ac:dyDescent="0.3">
      <c r="A961" s="4">
        <v>45216</v>
      </c>
      <c r="B961" s="5">
        <v>91.96</v>
      </c>
    </row>
    <row r="962" spans="1:2" x14ac:dyDescent="0.3">
      <c r="A962" s="4">
        <v>45217</v>
      </c>
      <c r="B962" s="5">
        <v>93.2</v>
      </c>
    </row>
    <row r="963" spans="1:2" x14ac:dyDescent="0.3">
      <c r="A963" s="4">
        <v>45218</v>
      </c>
      <c r="B963" s="5">
        <v>93.22</v>
      </c>
    </row>
    <row r="964" spans="1:2" x14ac:dyDescent="0.3">
      <c r="A964" s="4">
        <v>45219</v>
      </c>
      <c r="B964" s="5">
        <v>95.23</v>
      </c>
    </row>
    <row r="965" spans="1:2" x14ac:dyDescent="0.3">
      <c r="A965" s="4">
        <v>45222</v>
      </c>
      <c r="B965" s="5">
        <v>93.25</v>
      </c>
    </row>
    <row r="966" spans="1:2" x14ac:dyDescent="0.3">
      <c r="A966" s="4">
        <v>45223</v>
      </c>
      <c r="B966" s="5">
        <v>88.73</v>
      </c>
    </row>
    <row r="967" spans="1:2" x14ac:dyDescent="0.3">
      <c r="A967" s="4">
        <v>45224</v>
      </c>
      <c r="B967" s="5">
        <v>89.31</v>
      </c>
    </row>
    <row r="968" spans="1:2" x14ac:dyDescent="0.3">
      <c r="A968" s="4">
        <v>45225</v>
      </c>
      <c r="B968" s="5">
        <v>89.94</v>
      </c>
    </row>
    <row r="969" spans="1:2" x14ac:dyDescent="0.3">
      <c r="A969" s="4">
        <v>45226</v>
      </c>
      <c r="B969" s="5">
        <v>89.26</v>
      </c>
    </row>
    <row r="970" spans="1:2" x14ac:dyDescent="0.3">
      <c r="A970" s="4">
        <v>45229</v>
      </c>
      <c r="B970" s="5">
        <v>89.19</v>
      </c>
    </row>
    <row r="971" spans="1:2" x14ac:dyDescent="0.3">
      <c r="A971" s="4">
        <v>45230</v>
      </c>
      <c r="B971" s="5">
        <v>88.79</v>
      </c>
    </row>
    <row r="972" spans="1:2" x14ac:dyDescent="0.3">
      <c r="A972" s="4">
        <v>45231</v>
      </c>
      <c r="B972" s="5">
        <v>88.88</v>
      </c>
    </row>
    <row r="973" spans="1:2" x14ac:dyDescent="0.3">
      <c r="A973" s="4">
        <v>45232</v>
      </c>
      <c r="B973" s="5">
        <v>88.6</v>
      </c>
    </row>
    <row r="974" spans="1:2" x14ac:dyDescent="0.3">
      <c r="A974" s="4">
        <v>45233</v>
      </c>
      <c r="B974" s="5">
        <v>88.06</v>
      </c>
    </row>
    <row r="975" spans="1:2" x14ac:dyDescent="0.3">
      <c r="A975" s="4">
        <v>45236</v>
      </c>
      <c r="B975" s="5">
        <v>88.17</v>
      </c>
    </row>
    <row r="976" spans="1:2" x14ac:dyDescent="0.3">
      <c r="A976" s="4">
        <v>45237</v>
      </c>
      <c r="B976" s="5">
        <v>84.8</v>
      </c>
    </row>
    <row r="977" spans="1:2" x14ac:dyDescent="0.3">
      <c r="A977" s="4">
        <v>45238</v>
      </c>
      <c r="B977" s="5">
        <v>82.55</v>
      </c>
    </row>
    <row r="978" spans="1:2" x14ac:dyDescent="0.3">
      <c r="A978" s="4">
        <v>45239</v>
      </c>
      <c r="B978" s="5">
        <v>82.79</v>
      </c>
    </row>
    <row r="979" spans="1:2" x14ac:dyDescent="0.3">
      <c r="A979" s="4">
        <v>45240</v>
      </c>
      <c r="B979" s="5">
        <v>83.73</v>
      </c>
    </row>
    <row r="980" spans="1:2" x14ac:dyDescent="0.3">
      <c r="A980" s="4">
        <v>45243</v>
      </c>
      <c r="B980" s="5">
        <v>84.6</v>
      </c>
    </row>
    <row r="981" spans="1:2" x14ac:dyDescent="0.3">
      <c r="A981" s="4">
        <v>45244</v>
      </c>
      <c r="B981" s="5">
        <v>85.4</v>
      </c>
    </row>
    <row r="982" spans="1:2" x14ac:dyDescent="0.3">
      <c r="A982" s="4">
        <v>45245</v>
      </c>
      <c r="B982" s="5">
        <v>82.67</v>
      </c>
    </row>
    <row r="983" spans="1:2" x14ac:dyDescent="0.3">
      <c r="A983" s="4">
        <v>45246</v>
      </c>
      <c r="B983" s="5">
        <v>78.37</v>
      </c>
    </row>
    <row r="984" spans="1:2" x14ac:dyDescent="0.3">
      <c r="A984" s="4">
        <v>45247</v>
      </c>
      <c r="B984" s="5">
        <v>80.37</v>
      </c>
    </row>
    <row r="985" spans="1:2" x14ac:dyDescent="0.3">
      <c r="A985" s="4">
        <v>45250</v>
      </c>
      <c r="B985" s="5">
        <v>83.61</v>
      </c>
    </row>
    <row r="986" spans="1:2" x14ac:dyDescent="0.3">
      <c r="A986" s="4">
        <v>45251</v>
      </c>
      <c r="B986" s="5">
        <v>82.25</v>
      </c>
    </row>
    <row r="987" spans="1:2" x14ac:dyDescent="0.3">
      <c r="A987" s="4">
        <v>45252</v>
      </c>
      <c r="B987" s="5">
        <v>79.63</v>
      </c>
    </row>
    <row r="988" spans="1:2" x14ac:dyDescent="0.3">
      <c r="A988" s="4">
        <v>45253</v>
      </c>
      <c r="B988" s="5">
        <v>81.05</v>
      </c>
    </row>
    <row r="989" spans="1:2" x14ac:dyDescent="0.3">
      <c r="A989" s="4">
        <v>45254</v>
      </c>
      <c r="B989" s="5">
        <v>82.11</v>
      </c>
    </row>
    <row r="990" spans="1:2" x14ac:dyDescent="0.3">
      <c r="A990" s="4">
        <v>45257</v>
      </c>
      <c r="B990" s="5">
        <v>80.16</v>
      </c>
    </row>
    <row r="991" spans="1:2" x14ac:dyDescent="0.3">
      <c r="A991" s="4">
        <v>45258</v>
      </c>
      <c r="B991" s="5">
        <v>82.28</v>
      </c>
    </row>
    <row r="992" spans="1:2" x14ac:dyDescent="0.3">
      <c r="A992" s="4">
        <v>45259</v>
      </c>
      <c r="B992" s="5">
        <v>82.46</v>
      </c>
    </row>
    <row r="993" spans="1:2" x14ac:dyDescent="0.3">
      <c r="A993" s="4">
        <v>45260</v>
      </c>
      <c r="B993" s="5">
        <v>80.63</v>
      </c>
    </row>
    <row r="994" spans="1:2" x14ac:dyDescent="0.3">
      <c r="A994" s="4">
        <v>45261</v>
      </c>
      <c r="B994" s="5">
        <v>81.239999999999995</v>
      </c>
    </row>
    <row r="995" spans="1:2" x14ac:dyDescent="0.3">
      <c r="A995" s="4">
        <v>45264</v>
      </c>
      <c r="B995" s="5">
        <v>78.41</v>
      </c>
    </row>
    <row r="996" spans="1:2" x14ac:dyDescent="0.3">
      <c r="A996" s="4">
        <v>45265</v>
      </c>
      <c r="B996" s="5">
        <v>78.150000000000006</v>
      </c>
    </row>
    <row r="997" spans="1:2" x14ac:dyDescent="0.3">
      <c r="A997" s="4">
        <v>45266</v>
      </c>
      <c r="B997" s="5">
        <v>74.819999999999993</v>
      </c>
    </row>
    <row r="998" spans="1:2" x14ac:dyDescent="0.3">
      <c r="A998" s="4">
        <v>45267</v>
      </c>
      <c r="B998" s="5">
        <v>74.489999999999995</v>
      </c>
    </row>
    <row r="999" spans="1:2" x14ac:dyDescent="0.3">
      <c r="A999" s="4">
        <v>45268</v>
      </c>
      <c r="B999" s="5">
        <v>75.83</v>
      </c>
    </row>
    <row r="1000" spans="1:2" x14ac:dyDescent="0.3">
      <c r="A1000" s="4">
        <v>45271</v>
      </c>
      <c r="B1000" s="5">
        <v>76.06</v>
      </c>
    </row>
    <row r="1001" spans="1:2" x14ac:dyDescent="0.3">
      <c r="A1001" s="4">
        <v>45272</v>
      </c>
      <c r="B1001" s="5">
        <v>73.75</v>
      </c>
    </row>
    <row r="1002" spans="1:2" x14ac:dyDescent="0.3">
      <c r="A1002" s="4">
        <v>45273</v>
      </c>
      <c r="B1002" s="5">
        <v>74.16</v>
      </c>
    </row>
    <row r="1003" spans="1:2" x14ac:dyDescent="0.3">
      <c r="A1003" s="4">
        <v>45274</v>
      </c>
      <c r="B1003" s="5">
        <v>77.349999999999994</v>
      </c>
    </row>
    <row r="1004" spans="1:2" x14ac:dyDescent="0.3">
      <c r="A1004" s="4">
        <v>45275</v>
      </c>
      <c r="B1004" s="5">
        <v>77.3</v>
      </c>
    </row>
    <row r="1005" spans="1:2" x14ac:dyDescent="0.3">
      <c r="A1005" s="4">
        <v>45278</v>
      </c>
      <c r="B1005" s="5">
        <v>79.42</v>
      </c>
    </row>
    <row r="1006" spans="1:2" x14ac:dyDescent="0.3">
      <c r="A1006" s="4">
        <v>45279</v>
      </c>
      <c r="B1006" s="5">
        <v>80.44</v>
      </c>
    </row>
    <row r="1007" spans="1:2" x14ac:dyDescent="0.3">
      <c r="A1007" s="4">
        <v>45280</v>
      </c>
      <c r="B1007" s="5">
        <v>82.11</v>
      </c>
    </row>
    <row r="1008" spans="1:2" x14ac:dyDescent="0.3">
      <c r="A1008" s="4">
        <v>45281</v>
      </c>
      <c r="B1008" s="5">
        <v>80.650000000000006</v>
      </c>
    </row>
    <row r="1009" spans="1:2" x14ac:dyDescent="0.3">
      <c r="A1009" s="4">
        <v>45282</v>
      </c>
      <c r="B1009" s="5">
        <v>80.92</v>
      </c>
    </row>
    <row r="1010" spans="1:2" x14ac:dyDescent="0.3">
      <c r="A1010" s="4">
        <v>45287</v>
      </c>
      <c r="B1010" s="5">
        <v>81.11</v>
      </c>
    </row>
    <row r="1011" spans="1:2" x14ac:dyDescent="0.3">
      <c r="A1011" s="4">
        <v>45288</v>
      </c>
      <c r="B1011" s="5">
        <v>79.31</v>
      </c>
    </row>
    <row r="1012" spans="1:2" x14ac:dyDescent="0.3">
      <c r="A1012" s="4">
        <v>45289</v>
      </c>
      <c r="B1012" s="5">
        <v>77.8</v>
      </c>
    </row>
    <row r="1013" spans="1:2" x14ac:dyDescent="0.3">
      <c r="A1013" s="4">
        <v>45293</v>
      </c>
      <c r="B1013" s="5">
        <v>75.95</v>
      </c>
    </row>
    <row r="1014" spans="1:2" x14ac:dyDescent="0.3">
      <c r="A1014" s="4">
        <v>45294</v>
      </c>
      <c r="B1014" s="5">
        <v>77.37</v>
      </c>
    </row>
    <row r="1015" spans="1:2" x14ac:dyDescent="0.3">
      <c r="A1015" s="4">
        <v>45295</v>
      </c>
      <c r="B1015" s="5">
        <v>76.180000000000007</v>
      </c>
    </row>
    <row r="1016" spans="1:2" x14ac:dyDescent="0.3">
      <c r="A1016" s="4">
        <v>45296</v>
      </c>
      <c r="B1016" s="5">
        <v>78.81</v>
      </c>
    </row>
    <row r="1017" spans="1:2" x14ac:dyDescent="0.3">
      <c r="A1017" s="4">
        <v>45299</v>
      </c>
      <c r="B1017" s="5">
        <v>75.98</v>
      </c>
    </row>
    <row r="1018" spans="1:2" x14ac:dyDescent="0.3">
      <c r="A1018" s="4">
        <v>45300</v>
      </c>
      <c r="B1018" s="5">
        <v>78.95</v>
      </c>
    </row>
    <row r="1019" spans="1:2" x14ac:dyDescent="0.3">
      <c r="A1019" s="4">
        <v>45301</v>
      </c>
      <c r="B1019" s="5">
        <v>79</v>
      </c>
    </row>
    <row r="1020" spans="1:2" x14ac:dyDescent="0.3">
      <c r="A1020" s="4">
        <v>45302</v>
      </c>
      <c r="B1020" s="5">
        <v>80.83</v>
      </c>
    </row>
    <row r="1021" spans="1:2" x14ac:dyDescent="0.3">
      <c r="A1021" s="4">
        <v>45303</v>
      </c>
      <c r="B1021" s="5">
        <v>80.12</v>
      </c>
    </row>
    <row r="1022" spans="1:2" x14ac:dyDescent="0.3">
      <c r="A1022" s="4">
        <v>45306</v>
      </c>
      <c r="B1022" s="5">
        <v>79.739999999999995</v>
      </c>
    </row>
    <row r="1023" spans="1:2" x14ac:dyDescent="0.3">
      <c r="A1023" s="4">
        <v>45307</v>
      </c>
      <c r="B1023" s="5">
        <v>79.959999999999994</v>
      </c>
    </row>
    <row r="1024" spans="1:2" x14ac:dyDescent="0.3">
      <c r="A1024" s="4">
        <v>45308</v>
      </c>
      <c r="B1024" s="5">
        <v>79.66</v>
      </c>
    </row>
    <row r="1025" spans="1:2" x14ac:dyDescent="0.3">
      <c r="A1025" s="4">
        <v>45309</v>
      </c>
      <c r="B1025" s="5">
        <v>81.13</v>
      </c>
    </row>
    <row r="1026" spans="1:2" x14ac:dyDescent="0.3">
      <c r="A1026" s="4">
        <v>45310</v>
      </c>
      <c r="B1026" s="5">
        <v>85.83</v>
      </c>
    </row>
    <row r="1027" spans="1:2" x14ac:dyDescent="0.3">
      <c r="A1027" s="4">
        <v>45313</v>
      </c>
      <c r="B1027" s="5">
        <v>82.46</v>
      </c>
    </row>
    <row r="1028" spans="1:2" x14ac:dyDescent="0.3">
      <c r="A1028" s="4">
        <v>45314</v>
      </c>
      <c r="B1028" s="5">
        <v>82.39</v>
      </c>
    </row>
    <row r="1029" spans="1:2" x14ac:dyDescent="0.3">
      <c r="A1029" s="4">
        <v>45315</v>
      </c>
      <c r="B1029" s="5">
        <v>82.37</v>
      </c>
    </row>
    <row r="1030" spans="1:2" x14ac:dyDescent="0.3">
      <c r="A1030" s="4">
        <v>45316</v>
      </c>
      <c r="B1030" s="5">
        <v>83.33</v>
      </c>
    </row>
    <row r="1031" spans="1:2" x14ac:dyDescent="0.3">
      <c r="A1031" s="4">
        <v>45317</v>
      </c>
      <c r="B1031" s="5">
        <v>83.49</v>
      </c>
    </row>
    <row r="1032" spans="1:2" x14ac:dyDescent="0.3">
      <c r="A1032" s="4">
        <v>45320</v>
      </c>
      <c r="B1032" s="5">
        <v>84.22</v>
      </c>
    </row>
    <row r="1033" spans="1:2" x14ac:dyDescent="0.3">
      <c r="A1033" s="4">
        <v>45321</v>
      </c>
      <c r="B1033" s="5">
        <v>84.38</v>
      </c>
    </row>
    <row r="1034" spans="1:2" x14ac:dyDescent="0.3">
      <c r="A1034" s="4">
        <v>45322</v>
      </c>
      <c r="B1034" s="5">
        <v>82.94</v>
      </c>
    </row>
    <row r="1035" spans="1:2" x14ac:dyDescent="0.3">
      <c r="A1035" s="4">
        <v>45323</v>
      </c>
      <c r="B1035" s="5">
        <v>83.58</v>
      </c>
    </row>
    <row r="1036" spans="1:2" x14ac:dyDescent="0.3">
      <c r="A1036" s="4">
        <v>45324</v>
      </c>
      <c r="B1036" s="5">
        <v>79.349999999999994</v>
      </c>
    </row>
    <row r="1037" spans="1:2" x14ac:dyDescent="0.3">
      <c r="A1037" s="4">
        <v>45327</v>
      </c>
      <c r="B1037" s="5">
        <v>79.319999999999993</v>
      </c>
    </row>
    <row r="1038" spans="1:2" x14ac:dyDescent="0.3">
      <c r="A1038" s="4">
        <v>45328</v>
      </c>
      <c r="B1038" s="5">
        <v>81.16</v>
      </c>
    </row>
    <row r="1039" spans="1:2" x14ac:dyDescent="0.3">
      <c r="A1039" s="4">
        <v>45329</v>
      </c>
      <c r="B1039" s="5">
        <v>81.96</v>
      </c>
    </row>
    <row r="1040" spans="1:2" x14ac:dyDescent="0.3">
      <c r="A1040" s="4">
        <v>45330</v>
      </c>
      <c r="B1040" s="5">
        <v>84.5</v>
      </c>
    </row>
    <row r="1041" spans="1:2" x14ac:dyDescent="0.3">
      <c r="A1041" s="4">
        <v>45331</v>
      </c>
      <c r="B1041" s="5">
        <v>84.78</v>
      </c>
    </row>
    <row r="1042" spans="1:2" x14ac:dyDescent="0.3">
      <c r="A1042" s="4">
        <v>45335</v>
      </c>
      <c r="B1042" s="5">
        <v>86.22</v>
      </c>
    </row>
    <row r="1043" spans="1:2" x14ac:dyDescent="0.3">
      <c r="A1043" s="4">
        <v>45336</v>
      </c>
      <c r="B1043" s="5">
        <v>85.16</v>
      </c>
    </row>
    <row r="1044" spans="1:2" x14ac:dyDescent="0.3">
      <c r="A1044" s="4">
        <v>45337</v>
      </c>
      <c r="B1044" s="5">
        <v>85.83</v>
      </c>
    </row>
    <row r="1045" spans="1:2" x14ac:dyDescent="0.3">
      <c r="A1045" s="4">
        <v>45338</v>
      </c>
      <c r="B1045" s="5">
        <v>86.3</v>
      </c>
    </row>
    <row r="1046" spans="1:2" x14ac:dyDescent="0.3">
      <c r="A1046" s="4">
        <v>45341</v>
      </c>
      <c r="B1046" s="5">
        <v>86.72</v>
      </c>
    </row>
    <row r="1047" spans="1:2" x14ac:dyDescent="0.3">
      <c r="A1047" s="4">
        <v>45342</v>
      </c>
      <c r="B1047" s="5">
        <v>85.03</v>
      </c>
    </row>
    <row r="1048" spans="1:2" x14ac:dyDescent="0.3">
      <c r="A1048" s="4">
        <v>45343</v>
      </c>
      <c r="B1048" s="5">
        <v>85.5</v>
      </c>
    </row>
    <row r="1049" spans="1:2" x14ac:dyDescent="0.3">
      <c r="A1049" s="4">
        <v>45344</v>
      </c>
      <c r="B1049" s="5">
        <v>85.63</v>
      </c>
    </row>
    <row r="1050" spans="1:2" x14ac:dyDescent="0.3">
      <c r="A1050" s="4">
        <v>45345</v>
      </c>
      <c r="B1050" s="5">
        <v>85.81</v>
      </c>
    </row>
    <row r="1051" spans="1:2" x14ac:dyDescent="0.3">
      <c r="A1051" s="4">
        <v>45348</v>
      </c>
      <c r="B1051" s="5">
        <v>83.33</v>
      </c>
    </row>
    <row r="1052" spans="1:2" x14ac:dyDescent="0.3">
      <c r="A1052" s="4">
        <v>45349</v>
      </c>
      <c r="B1052" s="5">
        <v>84.31</v>
      </c>
    </row>
    <row r="1053" spans="1:2" x14ac:dyDescent="0.3">
      <c r="A1053" s="4">
        <v>45350</v>
      </c>
      <c r="B1053" s="5">
        <v>83.74</v>
      </c>
    </row>
    <row r="1054" spans="1:2" x14ac:dyDescent="0.3">
      <c r="A1054" s="4">
        <v>45351</v>
      </c>
      <c r="B1054" s="5">
        <v>84.83</v>
      </c>
    </row>
    <row r="1055" spans="1:2" x14ac:dyDescent="0.3">
      <c r="A1055" s="4">
        <v>45352</v>
      </c>
      <c r="B1055" s="5">
        <v>87.59</v>
      </c>
    </row>
    <row r="1056" spans="1:2" x14ac:dyDescent="0.3">
      <c r="A1056" s="4">
        <v>45355</v>
      </c>
      <c r="B1056" s="5">
        <v>86.3</v>
      </c>
    </row>
    <row r="1057" spans="1:2" x14ac:dyDescent="0.3">
      <c r="A1057" s="4">
        <v>45356</v>
      </c>
      <c r="B1057" s="5">
        <v>85.37</v>
      </c>
    </row>
    <row r="1058" spans="1:2" x14ac:dyDescent="0.3">
      <c r="A1058" s="4">
        <v>45357</v>
      </c>
      <c r="B1058" s="5">
        <v>86.48</v>
      </c>
    </row>
    <row r="1059" spans="1:2" x14ac:dyDescent="0.3">
      <c r="A1059" s="4">
        <v>45358</v>
      </c>
      <c r="B1059" s="5">
        <v>84.95</v>
      </c>
    </row>
    <row r="1060" spans="1:2" x14ac:dyDescent="0.3">
      <c r="A1060" s="4">
        <v>45359</v>
      </c>
      <c r="B1060" s="5">
        <v>83.77</v>
      </c>
    </row>
    <row r="1061" spans="1:2" x14ac:dyDescent="0.3">
      <c r="A1061" s="4">
        <v>45362</v>
      </c>
      <c r="B1061" s="5">
        <v>83.81</v>
      </c>
    </row>
    <row r="1062" spans="1:2" x14ac:dyDescent="0.3">
      <c r="A1062" s="4">
        <v>45363</v>
      </c>
      <c r="B1062" s="5">
        <v>83.38</v>
      </c>
    </row>
    <row r="1063" spans="1:2" x14ac:dyDescent="0.3">
      <c r="A1063" s="4">
        <v>45364</v>
      </c>
      <c r="B1063" s="5">
        <v>84.35</v>
      </c>
    </row>
    <row r="1064" spans="1:2" x14ac:dyDescent="0.3">
      <c r="A1064" s="4">
        <v>45365</v>
      </c>
      <c r="B1064" s="5">
        <v>85.57</v>
      </c>
    </row>
    <row r="1065" spans="1:2" x14ac:dyDescent="0.3">
      <c r="A1065" s="4">
        <v>45366</v>
      </c>
      <c r="B1065" s="5">
        <v>85.42</v>
      </c>
    </row>
    <row r="1066" spans="1:2" x14ac:dyDescent="0.3">
      <c r="A1066" s="4">
        <v>45369</v>
      </c>
      <c r="B1066" s="5">
        <v>86.43</v>
      </c>
    </row>
    <row r="1067" spans="1:2" x14ac:dyDescent="0.3">
      <c r="A1067" s="4">
        <v>45370</v>
      </c>
      <c r="B1067" s="5">
        <v>87.46</v>
      </c>
    </row>
    <row r="1068" spans="1:2" x14ac:dyDescent="0.3">
      <c r="A1068" s="4">
        <v>45371</v>
      </c>
      <c r="B1068" s="5">
        <v>85.79</v>
      </c>
    </row>
    <row r="1069" spans="1:2" x14ac:dyDescent="0.3">
      <c r="A1069" s="4">
        <v>45372</v>
      </c>
      <c r="B1069" s="5">
        <v>85.31</v>
      </c>
    </row>
    <row r="1070" spans="1:2" x14ac:dyDescent="0.3">
      <c r="A1070" s="4">
        <v>45373</v>
      </c>
      <c r="B1070" s="5">
        <v>85.18</v>
      </c>
    </row>
    <row r="1071" spans="1:2" x14ac:dyDescent="0.3">
      <c r="A1071" s="4">
        <v>45376</v>
      </c>
      <c r="B1071" s="5">
        <v>86.52</v>
      </c>
    </row>
    <row r="1072" spans="1:2" x14ac:dyDescent="0.3">
      <c r="A1072" s="4">
        <v>45377</v>
      </c>
      <c r="B1072" s="5">
        <v>86.11</v>
      </c>
    </row>
    <row r="1073" spans="1:2" x14ac:dyDescent="0.3">
      <c r="A1073" s="4">
        <v>45378</v>
      </c>
      <c r="B1073" s="5">
        <v>85.21</v>
      </c>
    </row>
    <row r="1074" spans="1:2" x14ac:dyDescent="0.3">
      <c r="A1074" s="4">
        <v>45379</v>
      </c>
      <c r="B1074" s="5">
        <v>87.14</v>
      </c>
    </row>
    <row r="1075" spans="1:2" x14ac:dyDescent="0.3">
      <c r="A1075" s="4">
        <v>45384</v>
      </c>
      <c r="B1075" s="5">
        <v>90.23</v>
      </c>
    </row>
    <row r="1076" spans="1:2" x14ac:dyDescent="0.3">
      <c r="A1076" s="4">
        <v>45385</v>
      </c>
      <c r="B1076" s="5">
        <v>91.29</v>
      </c>
    </row>
    <row r="1077" spans="1:2" x14ac:dyDescent="0.3">
      <c r="A1077" s="4">
        <v>45386</v>
      </c>
      <c r="B1077" s="5">
        <v>90.62</v>
      </c>
    </row>
    <row r="1078" spans="1:2" x14ac:dyDescent="0.3">
      <c r="A1078" s="4">
        <v>45387</v>
      </c>
      <c r="B1078" s="5">
        <v>93.52</v>
      </c>
    </row>
    <row r="1079" spans="1:2" x14ac:dyDescent="0.3">
      <c r="A1079" s="4">
        <v>45390</v>
      </c>
      <c r="B1079" s="5">
        <v>92.4</v>
      </c>
    </row>
    <row r="1080" spans="1:2" x14ac:dyDescent="0.3">
      <c r="A1080" s="4">
        <v>45391</v>
      </c>
      <c r="B1080" s="5">
        <v>92.1</v>
      </c>
    </row>
    <row r="1081" spans="1:2" x14ac:dyDescent="0.3">
      <c r="A1081" s="4">
        <v>45392</v>
      </c>
      <c r="B1081" s="5">
        <v>91.45</v>
      </c>
    </row>
    <row r="1082" spans="1:2" x14ac:dyDescent="0.3">
      <c r="A1082" s="4">
        <v>45393</v>
      </c>
      <c r="B1082" s="5">
        <v>91.87</v>
      </c>
    </row>
    <row r="1083" spans="1:2" x14ac:dyDescent="0.3">
      <c r="A1083" s="4">
        <v>45394</v>
      </c>
      <c r="B1083" s="5">
        <v>93.57</v>
      </c>
    </row>
    <row r="1084" spans="1:2" x14ac:dyDescent="0.3">
      <c r="A1084" s="4">
        <v>45397</v>
      </c>
      <c r="B1084" s="5">
        <v>90.72</v>
      </c>
    </row>
    <row r="1085" spans="1:2" x14ac:dyDescent="0.3">
      <c r="A1085" s="4">
        <v>45398</v>
      </c>
      <c r="B1085" s="5">
        <v>91.49</v>
      </c>
    </row>
    <row r="1086" spans="1:2" x14ac:dyDescent="0.3">
      <c r="A1086" s="4">
        <v>45399</v>
      </c>
      <c r="B1086" s="5">
        <v>89.79</v>
      </c>
    </row>
    <row r="1087" spans="1:2" x14ac:dyDescent="0.3">
      <c r="A1087" s="4">
        <v>45400</v>
      </c>
      <c r="B1087" s="5">
        <v>88.37</v>
      </c>
    </row>
    <row r="1088" spans="1:2" x14ac:dyDescent="0.3">
      <c r="A1088" s="4">
        <v>45401</v>
      </c>
      <c r="B1088" s="5">
        <v>88.25</v>
      </c>
    </row>
    <row r="1089" spans="1:2" x14ac:dyDescent="0.3">
      <c r="A1089" s="4">
        <v>45404</v>
      </c>
      <c r="B1089" s="5">
        <v>87.63</v>
      </c>
    </row>
    <row r="1090" spans="1:2" x14ac:dyDescent="0.3">
      <c r="A1090" s="4">
        <v>45405</v>
      </c>
      <c r="B1090" s="5">
        <v>88.97</v>
      </c>
    </row>
    <row r="1091" spans="1:2" x14ac:dyDescent="0.3">
      <c r="A1091" s="4">
        <v>45406</v>
      </c>
      <c r="B1091" s="5">
        <v>89.13</v>
      </c>
    </row>
    <row r="1092" spans="1:2" x14ac:dyDescent="0.3">
      <c r="A1092" s="4">
        <v>45407</v>
      </c>
      <c r="B1092" s="5">
        <v>88.42</v>
      </c>
    </row>
    <row r="1093" spans="1:2" x14ac:dyDescent="0.3">
      <c r="A1093" s="4">
        <v>45408</v>
      </c>
      <c r="B1093" s="5">
        <v>90.19</v>
      </c>
    </row>
    <row r="1094" spans="1:2" x14ac:dyDescent="0.3">
      <c r="A1094" s="4">
        <v>45411</v>
      </c>
      <c r="B1094" s="5">
        <v>89.12</v>
      </c>
    </row>
    <row r="1095" spans="1:2" x14ac:dyDescent="0.3">
      <c r="A1095" s="4">
        <v>45412</v>
      </c>
      <c r="B1095" s="5">
        <v>88.15</v>
      </c>
    </row>
    <row r="1096" spans="1:2" x14ac:dyDescent="0.3">
      <c r="A1096" s="4">
        <v>45413</v>
      </c>
      <c r="B1096" s="5">
        <v>85.1</v>
      </c>
    </row>
    <row r="1097" spans="1:2" x14ac:dyDescent="0.3">
      <c r="A1097" s="4">
        <v>45414</v>
      </c>
      <c r="B1097" s="5">
        <v>84.15</v>
      </c>
    </row>
    <row r="1098" spans="1:2" x14ac:dyDescent="0.3">
      <c r="A1098" s="4">
        <v>45415</v>
      </c>
      <c r="B1098" s="5">
        <v>83.51</v>
      </c>
    </row>
    <row r="1099" spans="1:2" x14ac:dyDescent="0.3">
      <c r="A1099" s="4">
        <v>45419</v>
      </c>
      <c r="B1099" s="5">
        <v>82.14</v>
      </c>
    </row>
    <row r="1100" spans="1:2" x14ac:dyDescent="0.3">
      <c r="A1100" s="4">
        <v>45420</v>
      </c>
      <c r="B1100" s="5">
        <v>83.42</v>
      </c>
    </row>
    <row r="1101" spans="1:2" x14ac:dyDescent="0.3">
      <c r="A1101" s="4">
        <v>45421</v>
      </c>
      <c r="B1101" s="5">
        <v>83.48</v>
      </c>
    </row>
    <row r="1102" spans="1:2" x14ac:dyDescent="0.3">
      <c r="A1102" s="4">
        <v>45422</v>
      </c>
      <c r="B1102" s="5">
        <v>83.26</v>
      </c>
    </row>
    <row r="1103" spans="1:2" x14ac:dyDescent="0.3">
      <c r="A1103" s="4">
        <v>45425</v>
      </c>
      <c r="B1103" s="5">
        <v>82.39</v>
      </c>
    </row>
    <row r="1104" spans="1:2" x14ac:dyDescent="0.3">
      <c r="A1104" s="4">
        <v>45426</v>
      </c>
      <c r="B1104" s="5">
        <v>80.569999999999993</v>
      </c>
    </row>
    <row r="1105" spans="1:2" x14ac:dyDescent="0.3">
      <c r="A1105" s="4">
        <v>45427</v>
      </c>
      <c r="B1105" s="5">
        <v>81.75</v>
      </c>
    </row>
    <row r="1106" spans="1:2" x14ac:dyDescent="0.3">
      <c r="A1106" s="4">
        <v>45428</v>
      </c>
      <c r="B1106" s="5">
        <v>81.96</v>
      </c>
    </row>
    <row r="1107" spans="1:2" x14ac:dyDescent="0.3">
      <c r="A1107" s="4">
        <v>45429</v>
      </c>
      <c r="B1107" s="5">
        <v>82.52</v>
      </c>
    </row>
    <row r="1108" spans="1:2" x14ac:dyDescent="0.3">
      <c r="A1108" s="4">
        <v>45432</v>
      </c>
      <c r="B1108" s="5">
        <v>82.52</v>
      </c>
    </row>
    <row r="1109" spans="1:2" x14ac:dyDescent="0.3">
      <c r="A1109" s="4">
        <v>45433</v>
      </c>
      <c r="B1109" s="5">
        <v>81.56</v>
      </c>
    </row>
    <row r="1110" spans="1:2" x14ac:dyDescent="0.3">
      <c r="A1110" s="4">
        <v>45434</v>
      </c>
      <c r="B1110" s="5">
        <v>80.91</v>
      </c>
    </row>
    <row r="1111" spans="1:2" x14ac:dyDescent="0.3">
      <c r="A1111" s="4">
        <v>45435</v>
      </c>
      <c r="B1111" s="5">
        <v>79.900000000000006</v>
      </c>
    </row>
    <row r="1112" spans="1:2" x14ac:dyDescent="0.3">
      <c r="A1112" s="4">
        <v>45436</v>
      </c>
      <c r="B1112" s="5">
        <v>80.19</v>
      </c>
    </row>
    <row r="1113" spans="1:2" x14ac:dyDescent="0.3">
      <c r="A1113" s="4">
        <v>45440</v>
      </c>
      <c r="B1113" s="5">
        <v>82.68</v>
      </c>
    </row>
    <row r="1114" spans="1:2" x14ac:dyDescent="0.3">
      <c r="A1114" s="4">
        <v>45441</v>
      </c>
      <c r="B1114" s="5">
        <v>82.61</v>
      </c>
    </row>
    <row r="1115" spans="1:2" x14ac:dyDescent="0.3">
      <c r="A1115" s="4">
        <v>45442</v>
      </c>
      <c r="B1115" s="5">
        <v>81.209999999999994</v>
      </c>
    </row>
    <row r="1116" spans="1:2" x14ac:dyDescent="0.3">
      <c r="A1116" s="4">
        <v>45443</v>
      </c>
      <c r="B1116" s="5">
        <v>80.47</v>
      </c>
    </row>
    <row r="1117" spans="1:2" x14ac:dyDescent="0.3">
      <c r="A1117" s="4">
        <v>45446</v>
      </c>
      <c r="B1117" s="5">
        <v>77.069999999999993</v>
      </c>
    </row>
    <row r="1118" spans="1:2" x14ac:dyDescent="0.3">
      <c r="A1118" s="4">
        <v>45447</v>
      </c>
      <c r="B1118" s="5">
        <v>76.319999999999993</v>
      </c>
    </row>
    <row r="1119" spans="1:2" x14ac:dyDescent="0.3">
      <c r="A1119" s="4">
        <v>45448</v>
      </c>
      <c r="B1119" s="5">
        <v>76.180000000000007</v>
      </c>
    </row>
    <row r="1120" spans="1:2" x14ac:dyDescent="0.3">
      <c r="A1120" s="4">
        <v>45449</v>
      </c>
      <c r="B1120" s="5">
        <v>78.67</v>
      </c>
    </row>
    <row r="1121" spans="1:2" x14ac:dyDescent="0.3">
      <c r="A1121" s="4">
        <v>45450</v>
      </c>
      <c r="B1121" s="5">
        <v>78.36</v>
      </c>
    </row>
    <row r="1122" spans="1:2" x14ac:dyDescent="0.3">
      <c r="A1122" s="4">
        <v>45453</v>
      </c>
      <c r="B1122" s="5">
        <v>80.17</v>
      </c>
    </row>
    <row r="1123" spans="1:2" x14ac:dyDescent="0.3">
      <c r="A1123" s="4">
        <v>45454</v>
      </c>
      <c r="B1123" s="5">
        <v>80.930000000000007</v>
      </c>
    </row>
    <row r="1124" spans="1:2" x14ac:dyDescent="0.3">
      <c r="A1124" s="4">
        <v>45455</v>
      </c>
      <c r="B1124" s="5">
        <v>81.52</v>
      </c>
    </row>
    <row r="1125" spans="1:2" x14ac:dyDescent="0.3">
      <c r="A1125" s="4">
        <v>45456</v>
      </c>
      <c r="B1125" s="5">
        <v>81.77</v>
      </c>
    </row>
    <row r="1126" spans="1:2" x14ac:dyDescent="0.3">
      <c r="A1126" s="4">
        <v>45457</v>
      </c>
      <c r="B1126" s="5">
        <v>81.95</v>
      </c>
    </row>
    <row r="1127" spans="1:2" x14ac:dyDescent="0.3">
      <c r="A1127" s="4">
        <v>45460</v>
      </c>
      <c r="B1127" s="5">
        <v>83.46</v>
      </c>
    </row>
    <row r="1128" spans="1:2" x14ac:dyDescent="0.3">
      <c r="A1128" s="4">
        <v>45461</v>
      </c>
      <c r="B1128" s="5">
        <v>85.51</v>
      </c>
    </row>
    <row r="1129" spans="1:2" x14ac:dyDescent="0.3">
      <c r="A1129" s="4">
        <v>45462</v>
      </c>
      <c r="B1129" s="5">
        <v>86.44</v>
      </c>
    </row>
    <row r="1130" spans="1:2" x14ac:dyDescent="0.3">
      <c r="A1130" s="4">
        <v>45463</v>
      </c>
      <c r="B1130" s="5">
        <v>86.35</v>
      </c>
    </row>
    <row r="1131" spans="1:2" x14ac:dyDescent="0.3">
      <c r="A1131" s="4">
        <v>45464</v>
      </c>
      <c r="B1131" s="5">
        <v>87.14</v>
      </c>
    </row>
    <row r="1132" spans="1:2" x14ac:dyDescent="0.3">
      <c r="A1132" s="4">
        <v>45467</v>
      </c>
      <c r="B1132" s="5">
        <v>87.38</v>
      </c>
    </row>
    <row r="1133" spans="1:2" x14ac:dyDescent="0.3">
      <c r="A1133" s="4">
        <v>45468</v>
      </c>
      <c r="B1133" s="5">
        <v>86.82</v>
      </c>
    </row>
    <row r="1134" spans="1:2" x14ac:dyDescent="0.3">
      <c r="A1134" s="4">
        <v>45469</v>
      </c>
      <c r="B1134" s="5">
        <v>85.57</v>
      </c>
    </row>
    <row r="1135" spans="1:2" x14ac:dyDescent="0.3">
      <c r="A1135" s="4">
        <v>45470</v>
      </c>
      <c r="B1135" s="5">
        <v>87.46</v>
      </c>
    </row>
    <row r="1136" spans="1:2" x14ac:dyDescent="0.3">
      <c r="A1136" s="4">
        <v>45471</v>
      </c>
      <c r="B1136" s="5">
        <v>86.94</v>
      </c>
    </row>
    <row r="1137" spans="1:2" x14ac:dyDescent="0.3">
      <c r="A1137" s="4">
        <v>45474</v>
      </c>
      <c r="B1137" s="5">
        <v>88.16</v>
      </c>
    </row>
    <row r="1138" spans="1:2" x14ac:dyDescent="0.3">
      <c r="A1138" s="4">
        <v>45475</v>
      </c>
      <c r="B1138" s="5">
        <v>88.6</v>
      </c>
    </row>
    <row r="1139" spans="1:2" x14ac:dyDescent="0.3">
      <c r="A1139" s="4">
        <v>45476</v>
      </c>
      <c r="B1139" s="5">
        <v>87.84</v>
      </c>
    </row>
    <row r="1140" spans="1:2" x14ac:dyDescent="0.3">
      <c r="A1140" s="4">
        <v>45477</v>
      </c>
      <c r="B1140" s="5">
        <v>89</v>
      </c>
    </row>
    <row r="1141" spans="1:2" x14ac:dyDescent="0.3">
      <c r="A1141" s="4">
        <v>45478</v>
      </c>
      <c r="B1141" s="5">
        <v>89.22</v>
      </c>
    </row>
    <row r="1142" spans="1:2" x14ac:dyDescent="0.3">
      <c r="A1142" s="4">
        <v>45481</v>
      </c>
      <c r="B1142" s="5">
        <v>87.88</v>
      </c>
    </row>
    <row r="1143" spans="1:2" x14ac:dyDescent="0.3">
      <c r="A1143" s="4">
        <v>45482</v>
      </c>
      <c r="B1143" s="5">
        <v>86.39</v>
      </c>
    </row>
    <row r="1144" spans="1:2" x14ac:dyDescent="0.3">
      <c r="A1144" s="4">
        <v>45483</v>
      </c>
      <c r="B1144" s="5">
        <v>87.35</v>
      </c>
    </row>
    <row r="1145" spans="1:2" x14ac:dyDescent="0.3">
      <c r="A1145" s="4">
        <v>45484</v>
      </c>
      <c r="B1145" s="5">
        <v>87.51</v>
      </c>
    </row>
    <row r="1146" spans="1:2" x14ac:dyDescent="0.3">
      <c r="A1146" s="4">
        <v>45485</v>
      </c>
      <c r="B1146" s="5">
        <v>87.96</v>
      </c>
    </row>
    <row r="1147" spans="1:2" x14ac:dyDescent="0.3">
      <c r="A1147" s="4">
        <v>45488</v>
      </c>
      <c r="B1147" s="5">
        <v>86.69</v>
      </c>
    </row>
    <row r="1148" spans="1:2" x14ac:dyDescent="0.3">
      <c r="A1148" s="4">
        <v>45489</v>
      </c>
      <c r="B1148" s="5">
        <v>85.83</v>
      </c>
    </row>
    <row r="1149" spans="1:2" x14ac:dyDescent="0.3">
      <c r="A1149" s="4">
        <v>45490</v>
      </c>
      <c r="B1149" s="5">
        <v>86.43</v>
      </c>
    </row>
    <row r="1150" spans="1:2" x14ac:dyDescent="0.3">
      <c r="A1150" s="4">
        <v>45491</v>
      </c>
      <c r="B1150" s="5">
        <v>86.63</v>
      </c>
    </row>
    <row r="1151" spans="1:2" x14ac:dyDescent="0.3">
      <c r="A1151" s="4">
        <v>45492</v>
      </c>
      <c r="B1151" s="5">
        <v>85.35</v>
      </c>
    </row>
    <row r="1152" spans="1:2" x14ac:dyDescent="0.3">
      <c r="A1152" s="4">
        <v>45495</v>
      </c>
      <c r="B1152" s="5">
        <v>83.08</v>
      </c>
    </row>
    <row r="1153" spans="1:2" x14ac:dyDescent="0.3">
      <c r="A1153" s="4">
        <v>45496</v>
      </c>
      <c r="B1153" s="5">
        <v>82.11</v>
      </c>
    </row>
    <row r="1154" spans="1:2" x14ac:dyDescent="0.3">
      <c r="A1154" s="4">
        <v>45497</v>
      </c>
      <c r="B1154" s="5">
        <v>83.15</v>
      </c>
    </row>
    <row r="1155" spans="1:2" x14ac:dyDescent="0.3">
      <c r="A1155" s="4">
        <v>45498</v>
      </c>
      <c r="B1155" s="5">
        <v>82.81</v>
      </c>
    </row>
    <row r="1156" spans="1:2" x14ac:dyDescent="0.3">
      <c r="A1156" s="4">
        <v>45499</v>
      </c>
      <c r="B1156" s="5">
        <v>81.349999999999994</v>
      </c>
    </row>
    <row r="1157" spans="1:2" x14ac:dyDescent="0.3">
      <c r="A1157" s="4">
        <v>45502</v>
      </c>
      <c r="B1157" s="5">
        <v>80.959999999999994</v>
      </c>
    </row>
    <row r="1158" spans="1:2" x14ac:dyDescent="0.3">
      <c r="A1158" s="4">
        <v>45503</v>
      </c>
      <c r="B1158" s="5">
        <v>79.33</v>
      </c>
    </row>
    <row r="1159" spans="1:2" x14ac:dyDescent="0.3">
      <c r="A1159" s="4">
        <v>45504</v>
      </c>
      <c r="B1159" s="5">
        <v>81.599999999999994</v>
      </c>
    </row>
    <row r="1160" spans="1:2" x14ac:dyDescent="0.3">
      <c r="A1160" s="4">
        <v>45505</v>
      </c>
      <c r="B1160" s="5">
        <v>82.06</v>
      </c>
    </row>
    <row r="1161" spans="1:2" x14ac:dyDescent="0.3">
      <c r="A1161" s="4">
        <v>45506</v>
      </c>
      <c r="B1161" s="5">
        <v>78.39</v>
      </c>
    </row>
    <row r="1162" spans="1:2" x14ac:dyDescent="0.3">
      <c r="A1162" s="4">
        <v>45509</v>
      </c>
      <c r="B1162" s="5">
        <v>76.819999999999993</v>
      </c>
    </row>
    <row r="1163" spans="1:2" x14ac:dyDescent="0.3">
      <c r="A1163" s="4">
        <v>45510</v>
      </c>
      <c r="B1163" s="5">
        <v>76.400000000000006</v>
      </c>
    </row>
    <row r="1164" spans="1:2" x14ac:dyDescent="0.3">
      <c r="A1164" s="4">
        <v>45511</v>
      </c>
      <c r="B1164" s="5">
        <v>80.099999999999994</v>
      </c>
    </row>
    <row r="1165" spans="1:2" x14ac:dyDescent="0.3">
      <c r="A1165" s="4">
        <v>45512</v>
      </c>
      <c r="B1165" s="5">
        <v>81.39</v>
      </c>
    </row>
    <row r="1166" spans="1:2" x14ac:dyDescent="0.3">
      <c r="A1166" s="4">
        <v>45513</v>
      </c>
      <c r="B1166" s="5">
        <v>81.78</v>
      </c>
    </row>
    <row r="1167" spans="1:2" x14ac:dyDescent="0.3">
      <c r="A1167" s="4">
        <v>45516</v>
      </c>
      <c r="B1167" s="5">
        <v>83.47</v>
      </c>
    </row>
    <row r="1168" spans="1:2" x14ac:dyDescent="0.3">
      <c r="A1168" s="4">
        <v>45517</v>
      </c>
      <c r="B1168" s="5">
        <v>83.48</v>
      </c>
    </row>
    <row r="1169" spans="1:2" x14ac:dyDescent="0.3">
      <c r="A1169" s="4">
        <v>45518</v>
      </c>
      <c r="B1169" s="5">
        <v>83.16</v>
      </c>
    </row>
    <row r="1170" spans="1:2" x14ac:dyDescent="0.3">
      <c r="A1170" s="4">
        <v>45519</v>
      </c>
      <c r="B1170" s="5">
        <v>84.39</v>
      </c>
    </row>
    <row r="1171" spans="1:2" x14ac:dyDescent="0.3">
      <c r="A1171" s="4">
        <v>45520</v>
      </c>
      <c r="B1171" s="5">
        <v>82.28</v>
      </c>
    </row>
    <row r="1172" spans="1:2" x14ac:dyDescent="0.3">
      <c r="A1172" s="4">
        <v>45523</v>
      </c>
      <c r="B1172" s="5">
        <v>81.81</v>
      </c>
    </row>
    <row r="1173" spans="1:2" x14ac:dyDescent="0.3">
      <c r="A1173" s="4">
        <v>45524</v>
      </c>
      <c r="B1173" s="5">
        <v>79.63</v>
      </c>
    </row>
    <row r="1174" spans="1:2" x14ac:dyDescent="0.3">
      <c r="A1174" s="4">
        <v>45525</v>
      </c>
      <c r="B1174" s="5">
        <v>79.89</v>
      </c>
    </row>
    <row r="1175" spans="1:2" x14ac:dyDescent="0.3">
      <c r="A1175" s="4">
        <v>45526</v>
      </c>
      <c r="B1175" s="5">
        <v>79.66</v>
      </c>
    </row>
    <row r="1176" spans="1:2" x14ac:dyDescent="0.3">
      <c r="A1176" s="4">
        <v>45527</v>
      </c>
      <c r="B1176" s="5">
        <v>81.14</v>
      </c>
    </row>
    <row r="1177" spans="1:2" x14ac:dyDescent="0.3">
      <c r="A1177" s="4">
        <v>45531</v>
      </c>
      <c r="B1177" s="5">
        <v>82.56</v>
      </c>
    </row>
    <row r="1178" spans="1:2" x14ac:dyDescent="0.3">
      <c r="A1178" s="4">
        <v>45532</v>
      </c>
      <c r="B1178" s="5">
        <v>81.290000000000006</v>
      </c>
    </row>
    <row r="1179" spans="1:2" x14ac:dyDescent="0.3">
      <c r="A1179" s="4">
        <v>45533</v>
      </c>
      <c r="B1179" s="5">
        <v>82.71</v>
      </c>
    </row>
    <row r="1180" spans="1:2" x14ac:dyDescent="0.3">
      <c r="A1180" s="4">
        <v>45534</v>
      </c>
      <c r="B1180" s="5">
        <v>80.22</v>
      </c>
    </row>
    <row r="1181" spans="1:2" x14ac:dyDescent="0.3">
      <c r="A1181" s="4">
        <v>45537</v>
      </c>
      <c r="B1181" s="5">
        <v>79.69</v>
      </c>
    </row>
    <row r="1182" spans="1:2" x14ac:dyDescent="0.3">
      <c r="A1182" s="4">
        <v>45538</v>
      </c>
      <c r="B1182" s="5">
        <v>76.099999999999994</v>
      </c>
    </row>
    <row r="1183" spans="1:2" x14ac:dyDescent="0.3">
      <c r="A1183" s="4">
        <v>45539</v>
      </c>
      <c r="B1183" s="5">
        <v>75.3</v>
      </c>
    </row>
    <row r="1184" spans="1:2" x14ac:dyDescent="0.3">
      <c r="A1184" s="4">
        <v>45540</v>
      </c>
      <c r="B1184" s="5">
        <v>75.25</v>
      </c>
    </row>
    <row r="1185" spans="1:2" x14ac:dyDescent="0.3">
      <c r="A1185" s="4">
        <v>45541</v>
      </c>
      <c r="B1185" s="5">
        <v>73.19</v>
      </c>
    </row>
    <row r="1186" spans="1:2" x14ac:dyDescent="0.3">
      <c r="A1186" s="4">
        <v>45544</v>
      </c>
      <c r="B1186" s="5">
        <v>72.33</v>
      </c>
    </row>
    <row r="1187" spans="1:2" x14ac:dyDescent="0.3">
      <c r="A1187" s="4">
        <v>45545</v>
      </c>
      <c r="B1187" s="5">
        <v>70.83</v>
      </c>
    </row>
    <row r="1188" spans="1:2" x14ac:dyDescent="0.3">
      <c r="A1188" s="4">
        <v>45546</v>
      </c>
      <c r="B1188" s="5">
        <v>71.28</v>
      </c>
    </row>
    <row r="1189" spans="1:2" x14ac:dyDescent="0.3">
      <c r="A1189" s="4">
        <v>45547</v>
      </c>
      <c r="B1189" s="5">
        <v>74.75</v>
      </c>
    </row>
    <row r="1190" spans="1:2" x14ac:dyDescent="0.3">
      <c r="A1190" s="4">
        <v>45548</v>
      </c>
      <c r="B1190" s="5">
        <v>74.010000000000005</v>
      </c>
    </row>
    <row r="1191" spans="1:2" x14ac:dyDescent="0.3">
      <c r="A1191" s="4">
        <v>45551</v>
      </c>
      <c r="B1191" s="5">
        <v>73.91</v>
      </c>
    </row>
    <row r="1192" spans="1:2" x14ac:dyDescent="0.3">
      <c r="A1192" s="4">
        <v>45552</v>
      </c>
      <c r="B1192" s="5">
        <v>75</v>
      </c>
    </row>
    <row r="1193" spans="1:2" x14ac:dyDescent="0.3">
      <c r="A1193" s="4">
        <v>45553</v>
      </c>
      <c r="B1193" s="5">
        <v>75.099999999999994</v>
      </c>
    </row>
    <row r="1194" spans="1:2" x14ac:dyDescent="0.3">
      <c r="A1194" s="4">
        <v>45554</v>
      </c>
      <c r="B1194" s="5">
        <v>76.78</v>
      </c>
    </row>
    <row r="1195" spans="1:2" x14ac:dyDescent="0.3">
      <c r="A1195" s="4">
        <v>45555</v>
      </c>
      <c r="B1195" s="5">
        <v>76.12</v>
      </c>
    </row>
    <row r="1196" spans="1:2" x14ac:dyDescent="0.3">
      <c r="A1196" s="4">
        <v>45558</v>
      </c>
      <c r="B1196" s="5">
        <v>75.349999999999994</v>
      </c>
    </row>
    <row r="1197" spans="1:2" x14ac:dyDescent="0.3">
      <c r="A1197" s="4">
        <v>45559</v>
      </c>
      <c r="B1197" s="5">
        <v>75.95</v>
      </c>
    </row>
    <row r="1198" spans="1:2" x14ac:dyDescent="0.3">
      <c r="A1198" s="4">
        <v>45560</v>
      </c>
      <c r="B1198" s="5">
        <v>75.489999999999995</v>
      </c>
    </row>
    <row r="1199" spans="1:2" x14ac:dyDescent="0.3">
      <c r="A1199" s="4">
        <v>45561</v>
      </c>
      <c r="B1199" s="5">
        <v>72.75</v>
      </c>
    </row>
    <row r="1200" spans="1:2" x14ac:dyDescent="0.3">
      <c r="A1200" s="4">
        <v>45562</v>
      </c>
      <c r="B1200" s="5">
        <v>72.23</v>
      </c>
    </row>
    <row r="1201" spans="1:2" x14ac:dyDescent="0.3">
      <c r="A1201" s="4">
        <v>45565</v>
      </c>
      <c r="B1201" s="5">
        <v>73.09</v>
      </c>
    </row>
    <row r="1202" spans="1:2" x14ac:dyDescent="0.3">
      <c r="A1202" s="4">
        <v>45566</v>
      </c>
      <c r="B1202" s="5">
        <v>75.42</v>
      </c>
    </row>
    <row r="1203" spans="1:2" x14ac:dyDescent="0.3">
      <c r="A1203" s="4">
        <v>45567</v>
      </c>
      <c r="B1203" s="5">
        <v>75.069999999999993</v>
      </c>
    </row>
    <row r="1204" spans="1:2" x14ac:dyDescent="0.3">
      <c r="A1204" s="4">
        <v>45568</v>
      </c>
      <c r="B1204" s="5">
        <v>78.16</v>
      </c>
    </row>
    <row r="1205" spans="1:2" x14ac:dyDescent="0.3">
      <c r="A1205" s="4">
        <v>45569</v>
      </c>
      <c r="B1205" s="5">
        <v>79.67</v>
      </c>
    </row>
    <row r="1206" spans="1:2" x14ac:dyDescent="0.3">
      <c r="A1206" s="4">
        <v>45572</v>
      </c>
      <c r="B1206" s="5">
        <v>81.33</v>
      </c>
    </row>
    <row r="1207" spans="1:2" x14ac:dyDescent="0.3">
      <c r="A1207" s="4">
        <v>45573</v>
      </c>
      <c r="B1207" s="5">
        <v>78.010000000000005</v>
      </c>
    </row>
    <row r="1208" spans="1:2" x14ac:dyDescent="0.3">
      <c r="A1208" s="4">
        <v>45574</v>
      </c>
      <c r="B1208" s="5">
        <v>77.92</v>
      </c>
    </row>
    <row r="1209" spans="1:2" x14ac:dyDescent="0.3">
      <c r="A1209" s="4">
        <v>45575</v>
      </c>
      <c r="B1209" s="5">
        <v>79.52</v>
      </c>
    </row>
    <row r="1210" spans="1:2" x14ac:dyDescent="0.3">
      <c r="A1210" s="4">
        <v>45576</v>
      </c>
      <c r="B1210" s="5">
        <v>80.25</v>
      </c>
    </row>
    <row r="1211" spans="1:2" x14ac:dyDescent="0.3">
      <c r="A1211" s="4">
        <v>45579</v>
      </c>
      <c r="B1211" s="5">
        <v>77.87</v>
      </c>
    </row>
    <row r="1212" spans="1:2" x14ac:dyDescent="0.3">
      <c r="A1212" s="4">
        <v>45580</v>
      </c>
      <c r="B1212" s="5">
        <v>73.790000000000006</v>
      </c>
    </row>
    <row r="1213" spans="1:2" x14ac:dyDescent="0.3">
      <c r="A1213" s="4">
        <v>45581</v>
      </c>
      <c r="B1213" s="5">
        <v>73.95</v>
      </c>
    </row>
    <row r="1214" spans="1:2" x14ac:dyDescent="0.3">
      <c r="A1214" s="4">
        <v>45582</v>
      </c>
      <c r="B1214" s="5">
        <v>74.31</v>
      </c>
    </row>
    <row r="1215" spans="1:2" x14ac:dyDescent="0.3">
      <c r="A1215" s="4">
        <v>45583</v>
      </c>
      <c r="B1215" s="5">
        <v>72.77</v>
      </c>
    </row>
    <row r="1216" spans="1:2" x14ac:dyDescent="0.3">
      <c r="A1216" s="4">
        <v>45586</v>
      </c>
      <c r="B1216" s="5">
        <v>73.739999999999995</v>
      </c>
    </row>
    <row r="1217" spans="1:2" x14ac:dyDescent="0.3">
      <c r="A1217" s="4">
        <v>45587</v>
      </c>
      <c r="B1217" s="5">
        <v>75.78</v>
      </c>
    </row>
    <row r="1218" spans="1:2" x14ac:dyDescent="0.3">
      <c r="A1218" s="4">
        <v>45588</v>
      </c>
      <c r="B1218" s="5">
        <v>74.760000000000005</v>
      </c>
    </row>
    <row r="1219" spans="1:2" x14ac:dyDescent="0.3">
      <c r="A1219" s="4">
        <v>45589</v>
      </c>
      <c r="B1219" s="5">
        <v>74.55</v>
      </c>
    </row>
    <row r="1220" spans="1:2" x14ac:dyDescent="0.3">
      <c r="A1220" s="4">
        <v>45590</v>
      </c>
      <c r="B1220" s="5">
        <v>76.069999999999993</v>
      </c>
    </row>
    <row r="1221" spans="1:2" x14ac:dyDescent="0.3">
      <c r="A1221" s="4">
        <v>45593</v>
      </c>
      <c r="B1221" s="5">
        <v>72.36</v>
      </c>
    </row>
    <row r="1222" spans="1:2" x14ac:dyDescent="0.3">
      <c r="A1222" s="4">
        <v>45594</v>
      </c>
      <c r="B1222" s="5">
        <v>71.61</v>
      </c>
    </row>
    <row r="1223" spans="1:2" x14ac:dyDescent="0.3">
      <c r="A1223" s="4">
        <v>45595</v>
      </c>
      <c r="B1223" s="5">
        <v>73.430000000000007</v>
      </c>
    </row>
    <row r="1224" spans="1:2" x14ac:dyDescent="0.3">
      <c r="A1224" s="4">
        <v>45596</v>
      </c>
      <c r="B1224" s="5">
        <v>73.459999999999994</v>
      </c>
    </row>
    <row r="1225" spans="1:2" x14ac:dyDescent="0.3">
      <c r="A1225" s="4">
        <v>45597</v>
      </c>
      <c r="B1225" s="5">
        <v>74.33</v>
      </c>
    </row>
    <row r="1226" spans="1:2" x14ac:dyDescent="0.3">
      <c r="A1226" s="4">
        <v>45600</v>
      </c>
      <c r="B1226" s="5">
        <v>75.77</v>
      </c>
    </row>
    <row r="1227" spans="1:2" x14ac:dyDescent="0.3">
      <c r="A1227" s="4">
        <v>45601</v>
      </c>
      <c r="B1227" s="5">
        <v>77</v>
      </c>
    </row>
    <row r="1228" spans="1:2" x14ac:dyDescent="0.3">
      <c r="A1228" s="4">
        <v>45602</v>
      </c>
      <c r="B1228" s="5">
        <v>76.31</v>
      </c>
    </row>
    <row r="1229" spans="1:2" x14ac:dyDescent="0.3">
      <c r="A1229" s="4">
        <v>45603</v>
      </c>
      <c r="B1229" s="5">
        <v>75.83</v>
      </c>
    </row>
    <row r="1230" spans="1:2" x14ac:dyDescent="0.3">
      <c r="A1230" s="4">
        <v>45604</v>
      </c>
      <c r="B1230" s="5">
        <v>74.2</v>
      </c>
    </row>
    <row r="1231" spans="1:2" x14ac:dyDescent="0.3">
      <c r="A1231" s="4">
        <v>45607</v>
      </c>
      <c r="B1231" s="5">
        <v>72.5</v>
      </c>
    </row>
    <row r="1232" spans="1:2" x14ac:dyDescent="0.3">
      <c r="A1232" s="4">
        <v>45608</v>
      </c>
      <c r="B1232" s="5">
        <v>73.209999999999994</v>
      </c>
    </row>
    <row r="1233" spans="1:2" x14ac:dyDescent="0.3">
      <c r="A1233" s="4">
        <v>45609</v>
      </c>
      <c r="B1233" s="5">
        <v>73.59</v>
      </c>
    </row>
    <row r="1234" spans="1:2" x14ac:dyDescent="0.3">
      <c r="A1234" s="4">
        <v>45610</v>
      </c>
      <c r="B1234" s="5">
        <v>73.78</v>
      </c>
    </row>
    <row r="1235" spans="1:2" x14ac:dyDescent="0.3">
      <c r="A1235" s="4">
        <v>45611</v>
      </c>
      <c r="B1235" s="5">
        <v>73.760000000000005</v>
      </c>
    </row>
    <row r="1236" spans="1:2" x14ac:dyDescent="0.3">
      <c r="A1236" s="4">
        <v>45614</v>
      </c>
      <c r="B1236" s="5">
        <v>74.56</v>
      </c>
    </row>
    <row r="1237" spans="1:2" x14ac:dyDescent="0.3">
      <c r="A1237" s="4">
        <v>45615</v>
      </c>
      <c r="B1237" s="5">
        <v>74.069999999999993</v>
      </c>
    </row>
    <row r="1238" spans="1:2" x14ac:dyDescent="0.3">
      <c r="A1238" s="4">
        <v>45616</v>
      </c>
      <c r="B1238" s="5">
        <v>74.66</v>
      </c>
    </row>
    <row r="1239" spans="1:2" x14ac:dyDescent="0.3">
      <c r="A1239" s="4">
        <v>45617</v>
      </c>
      <c r="B1239" s="5">
        <v>75.38</v>
      </c>
    </row>
    <row r="1240" spans="1:2" x14ac:dyDescent="0.3">
      <c r="A1240" s="4">
        <v>45618</v>
      </c>
      <c r="B1240" s="5">
        <v>76.239999999999995</v>
      </c>
    </row>
    <row r="1241" spans="1:2" x14ac:dyDescent="0.3">
      <c r="A1241" s="4">
        <v>45621</v>
      </c>
      <c r="B1241" s="5">
        <v>74.349999999999994</v>
      </c>
    </row>
    <row r="1242" spans="1:2" x14ac:dyDescent="0.3">
      <c r="A1242" s="4">
        <v>45622</v>
      </c>
      <c r="B1242" s="5">
        <v>74.73</v>
      </c>
    </row>
    <row r="1243" spans="1:2" x14ac:dyDescent="0.3">
      <c r="A1243" s="4">
        <v>45623</v>
      </c>
      <c r="B1243" s="5">
        <v>74.11</v>
      </c>
    </row>
    <row r="1244" spans="1:2" x14ac:dyDescent="0.3">
      <c r="A1244" s="4">
        <v>45624</v>
      </c>
      <c r="B1244" s="5">
        <v>74.13</v>
      </c>
    </row>
    <row r="1245" spans="1:2" x14ac:dyDescent="0.3">
      <c r="A1245" s="4">
        <v>45625</v>
      </c>
      <c r="B1245" s="5">
        <v>74.34</v>
      </c>
    </row>
    <row r="1246" spans="1:2" x14ac:dyDescent="0.3">
      <c r="A1246" s="4">
        <v>45628</v>
      </c>
      <c r="B1246" s="5">
        <v>73.25</v>
      </c>
    </row>
    <row r="1247" spans="1:2" x14ac:dyDescent="0.3">
      <c r="A1247" s="4">
        <v>45629</v>
      </c>
      <c r="B1247" s="5">
        <v>75.16</v>
      </c>
    </row>
    <row r="1248" spans="1:2" x14ac:dyDescent="0.3">
      <c r="A1248" s="4">
        <v>45630</v>
      </c>
      <c r="B1248" s="5">
        <v>74.95</v>
      </c>
    </row>
    <row r="1249" spans="1:2" x14ac:dyDescent="0.3">
      <c r="A1249" s="4">
        <v>45631</v>
      </c>
      <c r="B1249" s="5">
        <v>73.97</v>
      </c>
    </row>
    <row r="1250" spans="1:2" x14ac:dyDescent="0.3">
      <c r="A1250" s="4">
        <v>45632</v>
      </c>
      <c r="B1250" s="5">
        <v>72.83</v>
      </c>
    </row>
    <row r="1251" spans="1:2" x14ac:dyDescent="0.3">
      <c r="A1251" s="4">
        <v>45635</v>
      </c>
      <c r="B1251" s="5">
        <v>74.03</v>
      </c>
    </row>
    <row r="1252" spans="1:2" x14ac:dyDescent="0.3">
      <c r="A1252" s="4">
        <v>45636</v>
      </c>
      <c r="B1252" s="5">
        <v>73.91</v>
      </c>
    </row>
    <row r="1253" spans="1:2" x14ac:dyDescent="0.3">
      <c r="A1253" s="4">
        <v>45637</v>
      </c>
      <c r="B1253" s="5">
        <v>74.44</v>
      </c>
    </row>
    <row r="1254" spans="1:2" x14ac:dyDescent="0.3">
      <c r="A1254" s="4">
        <v>45638</v>
      </c>
      <c r="B1254" s="5">
        <v>73.63</v>
      </c>
    </row>
    <row r="1255" spans="1:2" x14ac:dyDescent="0.3">
      <c r="A1255" s="4">
        <v>45639</v>
      </c>
      <c r="B1255" s="5">
        <v>75.239999999999995</v>
      </c>
    </row>
    <row r="1256" spans="1:2" x14ac:dyDescent="0.3">
      <c r="A1256" s="4">
        <v>45642</v>
      </c>
      <c r="B1256" s="5">
        <v>74.819999999999993</v>
      </c>
    </row>
    <row r="1257" spans="1:2" x14ac:dyDescent="0.3">
      <c r="A1257" s="4">
        <v>45643</v>
      </c>
      <c r="B1257" s="5">
        <v>73.89</v>
      </c>
    </row>
    <row r="1258" spans="1:2" x14ac:dyDescent="0.3">
      <c r="A1258" s="4">
        <v>45644</v>
      </c>
      <c r="B1258" s="5">
        <v>75.02</v>
      </c>
    </row>
    <row r="1259" spans="1:2" x14ac:dyDescent="0.3">
      <c r="A1259" s="4">
        <v>45645</v>
      </c>
      <c r="B1259" s="5">
        <v>73.819999999999993</v>
      </c>
    </row>
    <row r="1260" spans="1:2" x14ac:dyDescent="0.3">
      <c r="A1260" s="4">
        <v>45646</v>
      </c>
      <c r="B1260" s="5">
        <v>73.58</v>
      </c>
    </row>
    <row r="1261" spans="1:2" x14ac:dyDescent="0.3">
      <c r="A1261" s="4">
        <v>45649</v>
      </c>
      <c r="B1261" s="5">
        <v>72.16</v>
      </c>
    </row>
    <row r="1262" spans="1:2" x14ac:dyDescent="0.3">
      <c r="A1262" s="4">
        <v>45650</v>
      </c>
      <c r="B1262" s="5">
        <v>73.180000000000007</v>
      </c>
    </row>
    <row r="1263" spans="1:2" x14ac:dyDescent="0.3">
      <c r="A1263" s="4">
        <v>45653</v>
      </c>
      <c r="B1263" s="5">
        <v>74.25</v>
      </c>
    </row>
    <row r="1264" spans="1:2" x14ac:dyDescent="0.3">
      <c r="A1264" s="4">
        <v>45656</v>
      </c>
      <c r="B1264" s="5">
        <v>74.36</v>
      </c>
    </row>
    <row r="1265" spans="1:2" x14ac:dyDescent="0.3">
      <c r="A1265" s="4">
        <v>45657</v>
      </c>
      <c r="B1265" s="5">
        <v>74.67</v>
      </c>
    </row>
    <row r="1266" spans="1:2" x14ac:dyDescent="0.3">
      <c r="A1266" s="4">
        <v>45659</v>
      </c>
      <c r="B1266" s="5">
        <v>76.73</v>
      </c>
    </row>
    <row r="1267" spans="1:2" x14ac:dyDescent="0.3">
      <c r="A1267" s="4">
        <v>45660</v>
      </c>
      <c r="B1267" s="5">
        <v>76.8</v>
      </c>
    </row>
    <row r="1268" spans="1:2" x14ac:dyDescent="0.3">
      <c r="A1268" s="4">
        <v>45663</v>
      </c>
      <c r="B1268" s="5">
        <v>77.62</v>
      </c>
    </row>
    <row r="1269" spans="1:2" x14ac:dyDescent="0.3">
      <c r="A1269" s="4">
        <v>45664</v>
      </c>
      <c r="B1269" s="5">
        <v>77.97</v>
      </c>
    </row>
    <row r="1270" spans="1:2" x14ac:dyDescent="0.3">
      <c r="A1270" s="4">
        <v>45665</v>
      </c>
      <c r="B1270" s="5">
        <v>77.31</v>
      </c>
    </row>
    <row r="1271" spans="1:2" x14ac:dyDescent="0.3">
      <c r="A1271" s="4">
        <v>45666</v>
      </c>
      <c r="B1271" s="5">
        <v>78.12</v>
      </c>
    </row>
    <row r="1272" spans="1:2" x14ac:dyDescent="0.3">
      <c r="A1272" s="4">
        <v>45667</v>
      </c>
      <c r="B1272" s="5">
        <v>80.52</v>
      </c>
    </row>
    <row r="1273" spans="1:2" x14ac:dyDescent="0.3">
      <c r="A1273" s="4">
        <v>45670</v>
      </c>
      <c r="B1273" s="5">
        <v>83.03</v>
      </c>
    </row>
    <row r="1274" spans="1:2" x14ac:dyDescent="0.3">
      <c r="A1274" s="4">
        <v>45671</v>
      </c>
      <c r="B1274" s="5">
        <v>81.97</v>
      </c>
    </row>
    <row r="1275" spans="1:2" x14ac:dyDescent="0.3">
      <c r="A1275" s="4">
        <v>45672</v>
      </c>
      <c r="B1275" s="5">
        <v>83.2</v>
      </c>
    </row>
    <row r="1276" spans="1:2" x14ac:dyDescent="0.3">
      <c r="A1276" s="4">
        <v>45673</v>
      </c>
      <c r="B1276" s="5">
        <v>82.48</v>
      </c>
    </row>
    <row r="1277" spans="1:2" x14ac:dyDescent="0.3">
      <c r="A1277" s="4">
        <v>45674</v>
      </c>
      <c r="B1277" s="5">
        <v>82.41</v>
      </c>
    </row>
    <row r="1278" spans="1:2" x14ac:dyDescent="0.3">
      <c r="A1278" s="4">
        <v>45677</v>
      </c>
      <c r="B1278" s="5">
        <v>80.89</v>
      </c>
    </row>
    <row r="1279" spans="1:2" x14ac:dyDescent="0.3">
      <c r="A1279" s="4">
        <v>45678</v>
      </c>
      <c r="B1279" s="5">
        <v>80.569999999999993</v>
      </c>
    </row>
    <row r="1280" spans="1:2" x14ac:dyDescent="0.3">
      <c r="A1280" s="4">
        <v>45679</v>
      </c>
      <c r="B1280" s="5">
        <v>80.08</v>
      </c>
    </row>
    <row r="1281" spans="1:2" x14ac:dyDescent="0.3">
      <c r="A1281" s="4">
        <v>45680</v>
      </c>
      <c r="B1281" s="5">
        <v>78.819999999999993</v>
      </c>
    </row>
    <row r="1282" spans="1:2" x14ac:dyDescent="0.3">
      <c r="A1282" s="4">
        <v>45681</v>
      </c>
      <c r="B1282" s="5">
        <v>78.88</v>
      </c>
    </row>
    <row r="1283" spans="1:2" x14ac:dyDescent="0.3">
      <c r="A1283" s="4">
        <v>45684</v>
      </c>
      <c r="B1283" s="5">
        <v>78.099999999999994</v>
      </c>
    </row>
    <row r="1284" spans="1:2" x14ac:dyDescent="0.3">
      <c r="A1284" s="4">
        <v>45685</v>
      </c>
      <c r="B1284" s="5">
        <v>77.78</v>
      </c>
    </row>
    <row r="1285" spans="1:2" x14ac:dyDescent="0.3">
      <c r="A1285" s="4">
        <v>45688</v>
      </c>
      <c r="B1285" s="5">
        <v>77.290000000000006</v>
      </c>
    </row>
    <row r="1286" spans="1:2" x14ac:dyDescent="0.3">
      <c r="A1286" s="4">
        <v>45691</v>
      </c>
      <c r="B1286" s="5">
        <v>76.36</v>
      </c>
    </row>
    <row r="1287" spans="1:2" x14ac:dyDescent="0.3">
      <c r="A1287" s="4">
        <v>45692</v>
      </c>
      <c r="B1287" s="5">
        <v>76.47</v>
      </c>
    </row>
    <row r="1288" spans="1:2" x14ac:dyDescent="0.3">
      <c r="A1288" s="4">
        <v>45693</v>
      </c>
      <c r="B1288" s="5">
        <v>75.11</v>
      </c>
    </row>
    <row r="1289" spans="1:2" x14ac:dyDescent="0.3">
      <c r="A1289" s="4">
        <v>45694</v>
      </c>
      <c r="B1289" s="5">
        <v>75.290000000000006</v>
      </c>
    </row>
    <row r="1290" spans="1:2" x14ac:dyDescent="0.3">
      <c r="A1290" s="4">
        <v>45695</v>
      </c>
      <c r="B1290" s="5">
        <v>74.58</v>
      </c>
    </row>
    <row r="1291" spans="1:2" x14ac:dyDescent="0.3">
      <c r="A1291" s="4">
        <v>45698</v>
      </c>
      <c r="B1291" s="5">
        <v>76.2</v>
      </c>
    </row>
    <row r="1292" spans="1:2" x14ac:dyDescent="0.3">
      <c r="A1292" s="4">
        <v>45699</v>
      </c>
      <c r="B1292" s="5">
        <v>77.180000000000007</v>
      </c>
    </row>
    <row r="1293" spans="1:2" x14ac:dyDescent="0.3">
      <c r="A1293" s="4">
        <v>45700</v>
      </c>
      <c r="B1293" s="5">
        <v>75.900000000000006</v>
      </c>
    </row>
    <row r="1294" spans="1:2" x14ac:dyDescent="0.3">
      <c r="A1294" s="4">
        <v>45701</v>
      </c>
      <c r="B1294" s="5">
        <v>75.36</v>
      </c>
    </row>
    <row r="1295" spans="1:2" x14ac:dyDescent="0.3">
      <c r="A1295" s="4">
        <v>45702</v>
      </c>
      <c r="B1295" s="5">
        <v>75.14</v>
      </c>
    </row>
    <row r="1296" spans="1:2" x14ac:dyDescent="0.3">
      <c r="A1296" s="4">
        <v>45705</v>
      </c>
      <c r="B1296" s="5">
        <v>75.48</v>
      </c>
    </row>
    <row r="1297" spans="1:2" x14ac:dyDescent="0.3">
      <c r="A1297" s="4">
        <v>45706</v>
      </c>
      <c r="B1297" s="5">
        <v>75.81</v>
      </c>
    </row>
    <row r="1298" spans="1:2" x14ac:dyDescent="0.3">
      <c r="A1298" s="4">
        <v>45707</v>
      </c>
      <c r="B1298" s="5">
        <v>76.59</v>
      </c>
    </row>
    <row r="1299" spans="1:2" x14ac:dyDescent="0.3">
      <c r="A1299" s="4">
        <v>45708</v>
      </c>
      <c r="B1299" s="5">
        <v>77.010000000000005</v>
      </c>
    </row>
    <row r="1300" spans="1:2" x14ac:dyDescent="0.3">
      <c r="A1300" s="4">
        <v>45709</v>
      </c>
      <c r="B1300" s="5">
        <v>75.260000000000005</v>
      </c>
    </row>
    <row r="1301" spans="1:2" x14ac:dyDescent="0.3">
      <c r="A1301" s="4">
        <v>45712</v>
      </c>
      <c r="B1301" s="5">
        <v>74.63</v>
      </c>
    </row>
    <row r="1302" spans="1:2" x14ac:dyDescent="0.3">
      <c r="A1302" s="4">
        <v>45713</v>
      </c>
      <c r="B1302" s="5">
        <v>73.12</v>
      </c>
    </row>
    <row r="1303" spans="1:2" x14ac:dyDescent="0.3">
      <c r="A1303" s="4">
        <v>45714</v>
      </c>
      <c r="B1303" s="5">
        <v>72.930000000000007</v>
      </c>
    </row>
    <row r="1304" spans="1:2" x14ac:dyDescent="0.3">
      <c r="A1304" s="4">
        <v>45715</v>
      </c>
      <c r="B1304" s="5">
        <v>74.23</v>
      </c>
    </row>
    <row r="1305" spans="1:2" x14ac:dyDescent="0.3">
      <c r="A1305" s="4">
        <v>45716</v>
      </c>
      <c r="B1305" s="5">
        <v>73.55</v>
      </c>
    </row>
    <row r="1306" spans="1:2" x14ac:dyDescent="0.3">
      <c r="A1306" s="4">
        <v>45719</v>
      </c>
      <c r="B1306" s="5">
        <v>74.03</v>
      </c>
    </row>
    <row r="1307" spans="1:2" x14ac:dyDescent="0.3">
      <c r="A1307" s="4">
        <v>45720</v>
      </c>
      <c r="B1307" s="5">
        <v>71.8</v>
      </c>
    </row>
    <row r="1308" spans="1:2" x14ac:dyDescent="0.3">
      <c r="A1308" s="4">
        <v>45721</v>
      </c>
      <c r="B1308" s="5">
        <v>70.11</v>
      </c>
    </row>
    <row r="1309" spans="1:2" x14ac:dyDescent="0.3">
      <c r="A1309" s="4">
        <v>45722</v>
      </c>
      <c r="B1309" s="5">
        <v>70.39</v>
      </c>
    </row>
    <row r="1310" spans="1:2" x14ac:dyDescent="0.3">
      <c r="A1310" s="4">
        <v>45723</v>
      </c>
      <c r="B1310" s="5">
        <v>72.19</v>
      </c>
    </row>
    <row r="1311" spans="1:2" x14ac:dyDescent="0.3">
      <c r="A1311" s="4">
        <v>45726</v>
      </c>
      <c r="B1311" s="5">
        <v>71.11</v>
      </c>
    </row>
    <row r="1312" spans="1:2" x14ac:dyDescent="0.3">
      <c r="A1312" s="4">
        <v>45727</v>
      </c>
      <c r="B1312" s="5">
        <v>71.430000000000007</v>
      </c>
    </row>
    <row r="1313" spans="1:2" x14ac:dyDescent="0.3">
      <c r="A1313" s="4">
        <v>45728</v>
      </c>
      <c r="B1313" s="5">
        <v>72.48</v>
      </c>
    </row>
    <row r="1314" spans="1:2" x14ac:dyDescent="0.3">
      <c r="A1314" s="4">
        <v>45729</v>
      </c>
      <c r="B1314" s="5">
        <v>71.430000000000007</v>
      </c>
    </row>
    <row r="1315" spans="1:2" x14ac:dyDescent="0.3">
      <c r="A1315" s="4">
        <v>45730</v>
      </c>
      <c r="B1315" s="5">
        <v>71.67</v>
      </c>
    </row>
    <row r="1316" spans="1:2" x14ac:dyDescent="0.3">
      <c r="A1316" s="4">
        <v>45733</v>
      </c>
      <c r="B1316" s="5">
        <v>72.42</v>
      </c>
    </row>
    <row r="1317" spans="1:2" x14ac:dyDescent="0.3">
      <c r="A1317" s="4">
        <v>45734</v>
      </c>
      <c r="B1317" s="5">
        <v>71.81</v>
      </c>
    </row>
    <row r="1318" spans="1:2" x14ac:dyDescent="0.3">
      <c r="A1318" s="4">
        <v>45735</v>
      </c>
      <c r="B1318" s="5">
        <v>71.540000000000006</v>
      </c>
    </row>
    <row r="1319" spans="1:2" x14ac:dyDescent="0.3">
      <c r="A1319" s="4">
        <v>45736</v>
      </c>
      <c r="B1319" s="5">
        <v>72.760000000000005</v>
      </c>
    </row>
    <row r="1320" spans="1:2" x14ac:dyDescent="0.3">
      <c r="A1320" s="4">
        <v>45737</v>
      </c>
      <c r="B1320" s="5">
        <v>72.84</v>
      </c>
    </row>
    <row r="1321" spans="1:2" x14ac:dyDescent="0.3">
      <c r="A1321" s="4">
        <v>45740</v>
      </c>
      <c r="B1321" s="5">
        <v>73.94</v>
      </c>
    </row>
    <row r="1322" spans="1:2" x14ac:dyDescent="0.3">
      <c r="A1322" s="4">
        <v>45741</v>
      </c>
      <c r="B1322" s="5">
        <v>73.900000000000006</v>
      </c>
    </row>
    <row r="1323" spans="1:2" x14ac:dyDescent="0.3">
      <c r="A1323" s="4">
        <v>45742</v>
      </c>
      <c r="B1323" s="5">
        <v>75.06</v>
      </c>
    </row>
    <row r="1324" spans="1:2" x14ac:dyDescent="0.3">
      <c r="A1324" s="4">
        <v>45743</v>
      </c>
      <c r="B1324" s="5">
        <v>74.55</v>
      </c>
    </row>
    <row r="1325" spans="1:2" x14ac:dyDescent="0.3">
      <c r="A1325" s="4">
        <v>45744</v>
      </c>
      <c r="B1325" s="5">
        <v>74.64</v>
      </c>
    </row>
    <row r="1326" spans="1:2" x14ac:dyDescent="0.3">
      <c r="A1326" s="4">
        <v>45747</v>
      </c>
      <c r="B1326" s="5">
        <v>77.349999999999994</v>
      </c>
    </row>
    <row r="1327" spans="1:2" x14ac:dyDescent="0.3">
      <c r="A1327" s="4">
        <v>45748</v>
      </c>
      <c r="B1327" s="5">
        <v>77.73</v>
      </c>
    </row>
    <row r="1328" spans="1:2" x14ac:dyDescent="0.3">
      <c r="A1328" s="4">
        <v>45749</v>
      </c>
      <c r="B1328" s="5">
        <v>77.56</v>
      </c>
    </row>
    <row r="1329" spans="1:2" x14ac:dyDescent="0.3">
      <c r="A1329" s="4">
        <v>45750</v>
      </c>
      <c r="B1329" s="5">
        <v>72.599999999999994</v>
      </c>
    </row>
    <row r="1330" spans="1:2" x14ac:dyDescent="0.3">
      <c r="A1330" s="4">
        <v>45751</v>
      </c>
      <c r="B1330" s="5">
        <v>68.17</v>
      </c>
    </row>
    <row r="1331" spans="1:2" x14ac:dyDescent="0.3">
      <c r="A1331" s="4">
        <v>45754</v>
      </c>
      <c r="B1331" s="5">
        <v>66.88</v>
      </c>
    </row>
    <row r="1332" spans="1:2" x14ac:dyDescent="0.3">
      <c r="A1332" s="4">
        <v>45755</v>
      </c>
      <c r="B1332" s="5">
        <v>66.39</v>
      </c>
    </row>
    <row r="1333" spans="1:2" x14ac:dyDescent="0.3">
      <c r="A1333" s="4">
        <v>45756</v>
      </c>
      <c r="B1333" s="5">
        <v>62.8</v>
      </c>
    </row>
    <row r="1334" spans="1:2" x14ac:dyDescent="0.3">
      <c r="A1334" s="4">
        <v>45757</v>
      </c>
      <c r="B1334" s="5">
        <v>65.459999999999994</v>
      </c>
    </row>
    <row r="1335" spans="1:2" x14ac:dyDescent="0.3">
      <c r="A1335" s="4">
        <v>45758</v>
      </c>
      <c r="B1335" s="5">
        <v>66.16</v>
      </c>
    </row>
    <row r="1336" spans="1:2" x14ac:dyDescent="0.3">
      <c r="A1336" s="4">
        <v>45761</v>
      </c>
      <c r="B1336" s="5">
        <v>67.06</v>
      </c>
    </row>
    <row r="1337" spans="1:2" x14ac:dyDescent="0.3">
      <c r="A1337" s="4">
        <v>45762</v>
      </c>
      <c r="B1337" s="5">
        <v>66.59</v>
      </c>
    </row>
    <row r="1338" spans="1:2" x14ac:dyDescent="0.3">
      <c r="A1338" s="4">
        <v>45763</v>
      </c>
      <c r="B1338" s="5">
        <v>67.930000000000007</v>
      </c>
    </row>
    <row r="1339" spans="1:2" x14ac:dyDescent="0.3">
      <c r="A1339" s="4">
        <v>45764</v>
      </c>
      <c r="B1339" s="5">
        <v>68.67</v>
      </c>
    </row>
    <row r="1340" spans="1:2" x14ac:dyDescent="0.3">
      <c r="A1340" s="4">
        <v>45769</v>
      </c>
      <c r="B1340" s="5">
        <v>69.209999999999994</v>
      </c>
    </row>
    <row r="1341" spans="1:2" x14ac:dyDescent="0.3">
      <c r="A1341" s="4">
        <v>45770</v>
      </c>
      <c r="B1341" s="5">
        <v>67.14</v>
      </c>
    </row>
    <row r="1342" spans="1:2" x14ac:dyDescent="0.3">
      <c r="A1342" s="4">
        <v>45771</v>
      </c>
      <c r="B1342" s="5">
        <v>67.33</v>
      </c>
    </row>
    <row r="1343" spans="1:2" x14ac:dyDescent="0.3">
      <c r="A1343" s="4">
        <v>45772</v>
      </c>
      <c r="B1343" s="5">
        <v>67.53</v>
      </c>
    </row>
    <row r="1344" spans="1:2" x14ac:dyDescent="0.3">
      <c r="A1344" s="4">
        <v>45775</v>
      </c>
      <c r="B1344" s="5">
        <v>65.72</v>
      </c>
    </row>
    <row r="1345" spans="1:2" x14ac:dyDescent="0.3">
      <c r="A1345" s="4">
        <v>45776</v>
      </c>
      <c r="B1345" s="5">
        <v>64.37</v>
      </c>
    </row>
    <row r="1346" spans="1:2" x14ac:dyDescent="0.3">
      <c r="A1346" s="4">
        <v>45777</v>
      </c>
      <c r="B1346" s="5">
        <v>63.49</v>
      </c>
    </row>
    <row r="1347" spans="1:2" x14ac:dyDescent="0.3">
      <c r="A1347" s="4">
        <v>45778</v>
      </c>
      <c r="B1347" s="5">
        <v>61.83</v>
      </c>
    </row>
    <row r="1348" spans="1:2" x14ac:dyDescent="0.3">
      <c r="A1348" s="4">
        <v>45779</v>
      </c>
      <c r="B1348" s="5">
        <v>61.47</v>
      </c>
    </row>
    <row r="1349" spans="1:2" x14ac:dyDescent="0.3">
      <c r="A1349" s="4">
        <v>45783</v>
      </c>
      <c r="B1349" s="5">
        <v>62.9</v>
      </c>
    </row>
    <row r="1350" spans="1:2" x14ac:dyDescent="0.3">
      <c r="A1350" s="4">
        <v>45784</v>
      </c>
      <c r="B1350" s="5">
        <v>61.18</v>
      </c>
    </row>
    <row r="1351" spans="1:2" x14ac:dyDescent="0.3">
      <c r="A1351" s="4">
        <v>45785</v>
      </c>
      <c r="B1351" s="5">
        <v>62.53</v>
      </c>
    </row>
    <row r="1352" spans="1:2" x14ac:dyDescent="0.3">
      <c r="A1352" s="4">
        <v>45786</v>
      </c>
      <c r="B1352" s="5">
        <v>63.8</v>
      </c>
    </row>
    <row r="1353" spans="1:2" x14ac:dyDescent="0.3">
      <c r="A1353" s="4">
        <v>45789</v>
      </c>
      <c r="B1353" s="5">
        <v>65.34</v>
      </c>
    </row>
    <row r="1354" spans="1:2" x14ac:dyDescent="0.3">
      <c r="A1354" s="4">
        <v>45790</v>
      </c>
      <c r="B1354" s="5">
        <v>66.19</v>
      </c>
    </row>
    <row r="1355" spans="1:2" x14ac:dyDescent="0.3">
      <c r="A1355" s="4">
        <v>45791</v>
      </c>
      <c r="B1355" s="5">
        <v>66.06</v>
      </c>
    </row>
    <row r="1356" spans="1:2" x14ac:dyDescent="0.3">
      <c r="A1356" s="4">
        <v>45792</v>
      </c>
      <c r="B1356" s="5">
        <v>64.239999999999995</v>
      </c>
    </row>
    <row r="1357" spans="1:2" x14ac:dyDescent="0.3">
      <c r="A1357" s="4">
        <v>45793</v>
      </c>
      <c r="B1357" s="5">
        <v>65.180000000000007</v>
      </c>
    </row>
    <row r="1358" spans="1:2" x14ac:dyDescent="0.3">
      <c r="A1358" s="4">
        <v>45796</v>
      </c>
      <c r="B1358" s="5">
        <v>66.19</v>
      </c>
    </row>
    <row r="1359" spans="1:2" x14ac:dyDescent="0.3">
      <c r="A1359" s="4">
        <v>45797</v>
      </c>
      <c r="B1359" s="5">
        <v>65.75</v>
      </c>
    </row>
    <row r="1360" spans="1:2" x14ac:dyDescent="0.3">
      <c r="A1360" s="4">
        <v>45798</v>
      </c>
      <c r="B1360" s="5">
        <v>65.45</v>
      </c>
    </row>
    <row r="1361" spans="1:2" x14ac:dyDescent="0.3">
      <c r="A1361" s="4">
        <v>45799</v>
      </c>
      <c r="B1361" s="5">
        <v>64.790000000000006</v>
      </c>
    </row>
    <row r="1362" spans="1:2" x14ac:dyDescent="0.3">
      <c r="A1362" s="4">
        <v>45800</v>
      </c>
      <c r="B1362" s="5">
        <v>65.62</v>
      </c>
    </row>
    <row r="1363" spans="1:2" x14ac:dyDescent="0.3">
      <c r="A1363" s="4">
        <v>45804</v>
      </c>
      <c r="B1363" s="5">
        <v>64.430000000000007</v>
      </c>
    </row>
    <row r="1364" spans="1:2" x14ac:dyDescent="0.3">
      <c r="A1364" s="4">
        <v>45805</v>
      </c>
      <c r="B1364" s="5">
        <v>65.52</v>
      </c>
    </row>
    <row r="1365" spans="1:2" x14ac:dyDescent="0.3">
      <c r="A1365" s="4">
        <v>45806</v>
      </c>
      <c r="B1365" s="5">
        <v>64.709999999999994</v>
      </c>
    </row>
    <row r="1366" spans="1:2" x14ac:dyDescent="0.3">
      <c r="A1366" s="4">
        <v>45807</v>
      </c>
      <c r="B1366" s="5">
        <v>63.99</v>
      </c>
    </row>
    <row r="1367" spans="1:2" x14ac:dyDescent="0.3">
      <c r="A1367" s="4">
        <v>45810</v>
      </c>
      <c r="B1367" s="5">
        <v>67.06</v>
      </c>
    </row>
    <row r="1368" spans="1:2" x14ac:dyDescent="0.3">
      <c r="A1368" s="4">
        <v>45811</v>
      </c>
      <c r="B1368" s="5">
        <v>68.099999999999994</v>
      </c>
    </row>
    <row r="1369" spans="1:2" x14ac:dyDescent="0.3">
      <c r="A1369" s="4">
        <v>45812</v>
      </c>
      <c r="B1369" s="5">
        <v>66.61</v>
      </c>
    </row>
    <row r="1370" spans="1:2" x14ac:dyDescent="0.3">
      <c r="A1370" s="4">
        <v>45813</v>
      </c>
      <c r="B1370" s="5">
        <v>67.260000000000005</v>
      </c>
    </row>
    <row r="1371" spans="1:2" x14ac:dyDescent="0.3">
      <c r="A1371" s="4">
        <v>45814</v>
      </c>
      <c r="B1371" s="5">
        <v>68.34</v>
      </c>
    </row>
    <row r="1372" spans="1:2" x14ac:dyDescent="0.3">
      <c r="A1372" s="4">
        <v>45817</v>
      </c>
      <c r="B1372" s="5">
        <v>68.92</v>
      </c>
    </row>
    <row r="1373" spans="1:2" x14ac:dyDescent="0.3">
      <c r="A1373" s="4">
        <v>45818</v>
      </c>
      <c r="B1373" s="5">
        <v>69.87</v>
      </c>
    </row>
    <row r="1374" spans="1:2" x14ac:dyDescent="0.3">
      <c r="A1374" s="4">
        <v>45819</v>
      </c>
      <c r="B1374" s="5">
        <v>69.73</v>
      </c>
    </row>
    <row r="1375" spans="1:2" x14ac:dyDescent="0.3">
      <c r="A1375" s="4">
        <v>45820</v>
      </c>
      <c r="B1375" s="5">
        <v>70.97</v>
      </c>
    </row>
    <row r="1376" spans="1:2" x14ac:dyDescent="0.3">
      <c r="A1376" s="4">
        <v>45821</v>
      </c>
      <c r="B1376" s="5">
        <v>75.290000000000006</v>
      </c>
    </row>
    <row r="1377" spans="1:2" x14ac:dyDescent="0.3">
      <c r="A1377" s="4">
        <v>45824</v>
      </c>
      <c r="B1377" s="5">
        <v>73.83</v>
      </c>
    </row>
    <row r="1378" spans="1:2" x14ac:dyDescent="0.3">
      <c r="A1378" s="4">
        <v>45825</v>
      </c>
      <c r="B1378" s="5">
        <v>77.64</v>
      </c>
    </row>
    <row r="1379" spans="1:2" x14ac:dyDescent="0.3">
      <c r="A1379" s="4">
        <v>45826</v>
      </c>
      <c r="B1379" s="5">
        <v>77.099999999999994</v>
      </c>
    </row>
    <row r="1380" spans="1:2" x14ac:dyDescent="0.3">
      <c r="A1380" s="4">
        <v>45827</v>
      </c>
      <c r="B1380" s="5">
        <v>80.459999999999994</v>
      </c>
    </row>
    <row r="1381" spans="1:2" x14ac:dyDescent="0.3">
      <c r="A1381" s="4">
        <v>45828</v>
      </c>
      <c r="B1381" s="5">
        <v>78.400000000000006</v>
      </c>
    </row>
    <row r="1382" spans="1:2" x14ac:dyDescent="0.3">
      <c r="A1382" s="4">
        <v>45831</v>
      </c>
      <c r="B1382" s="5">
        <v>77.78</v>
      </c>
    </row>
    <row r="1383" spans="1:2" x14ac:dyDescent="0.3">
      <c r="A1383" s="4">
        <v>45832</v>
      </c>
      <c r="B1383" s="5">
        <v>69.209999999999994</v>
      </c>
    </row>
    <row r="1384" spans="1:2" x14ac:dyDescent="0.3">
      <c r="A1384" s="4">
        <v>45833</v>
      </c>
      <c r="B1384" s="5">
        <v>69.42</v>
      </c>
    </row>
    <row r="1385" spans="1:2" x14ac:dyDescent="0.3">
      <c r="A1385" s="4">
        <v>45834</v>
      </c>
      <c r="B1385" s="5">
        <v>70.12</v>
      </c>
    </row>
    <row r="1386" spans="1:2" x14ac:dyDescent="0.3">
      <c r="A1386" s="4">
        <v>45835</v>
      </c>
      <c r="B1386" s="5">
        <v>69.34</v>
      </c>
    </row>
    <row r="1387" spans="1:2" x14ac:dyDescent="0.3">
      <c r="A1387" s="4">
        <v>45838</v>
      </c>
      <c r="B1387" s="5">
        <v>68.45</v>
      </c>
    </row>
    <row r="1388" spans="1:2" x14ac:dyDescent="0.3">
      <c r="A1388" s="4">
        <v>45839</v>
      </c>
      <c r="B1388" s="5">
        <v>68.78</v>
      </c>
    </row>
    <row r="1389" spans="1:2" x14ac:dyDescent="0.3">
      <c r="A1389" s="4">
        <v>45840</v>
      </c>
      <c r="B1389" s="5">
        <v>70.11</v>
      </c>
    </row>
    <row r="1390" spans="1:2" x14ac:dyDescent="0.3">
      <c r="A1390" s="4">
        <v>45841</v>
      </c>
      <c r="B1390" s="5">
        <v>71.28</v>
      </c>
    </row>
    <row r="1391" spans="1:2" x14ac:dyDescent="0.3">
      <c r="A1391" s="4">
        <v>45842</v>
      </c>
      <c r="B1391" s="5">
        <v>70.91</v>
      </c>
    </row>
    <row r="1392" spans="1:2" x14ac:dyDescent="0.3">
      <c r="A1392" s="4">
        <v>45845</v>
      </c>
      <c r="B1392" s="5">
        <v>71.400000000000006</v>
      </c>
    </row>
    <row r="1393" spans="1:2" x14ac:dyDescent="0.3">
      <c r="A1393" s="4">
        <v>45846</v>
      </c>
      <c r="B1393" s="5">
        <v>72.34</v>
      </c>
    </row>
    <row r="1394" spans="1:2" x14ac:dyDescent="0.3">
      <c r="A1394" s="4">
        <v>45847</v>
      </c>
      <c r="B1394" s="5">
        <v>72.81</v>
      </c>
    </row>
    <row r="1395" spans="1:2" x14ac:dyDescent="0.3">
      <c r="A1395" s="4">
        <v>45848</v>
      </c>
      <c r="B1395" s="5">
        <v>70.63</v>
      </c>
    </row>
    <row r="1396" spans="1:2" x14ac:dyDescent="0.3">
      <c r="A1396" s="4">
        <v>45849</v>
      </c>
      <c r="B1396" s="5">
        <v>72.67</v>
      </c>
    </row>
    <row r="1397" spans="1:2" x14ac:dyDescent="0.3">
      <c r="A1397" s="4">
        <v>45852</v>
      </c>
      <c r="B1397" s="5">
        <v>71.7</v>
      </c>
    </row>
    <row r="1398" spans="1:2" x14ac:dyDescent="0.3">
      <c r="A1398" s="4">
        <v>45853</v>
      </c>
      <c r="B1398" s="5">
        <v>71.16</v>
      </c>
    </row>
    <row r="1399" spans="1:2" x14ac:dyDescent="0.3">
      <c r="A1399" s="4">
        <v>45854</v>
      </c>
      <c r="B1399" s="5">
        <v>70.25</v>
      </c>
    </row>
    <row r="1400" spans="1:2" x14ac:dyDescent="0.3">
      <c r="A1400" s="4">
        <v>45855</v>
      </c>
      <c r="B1400" s="5">
        <v>71.22</v>
      </c>
    </row>
    <row r="1401" spans="1:2" x14ac:dyDescent="0.3">
      <c r="A1401" s="4">
        <v>45856</v>
      </c>
      <c r="B1401" s="5">
        <v>71.33</v>
      </c>
    </row>
    <row r="1402" spans="1:2" x14ac:dyDescent="0.3">
      <c r="A1402" s="4">
        <v>45859</v>
      </c>
      <c r="B1402" s="5">
        <v>70.58</v>
      </c>
    </row>
    <row r="1403" spans="1:2" x14ac:dyDescent="0.3">
      <c r="A1403" s="4">
        <v>45860</v>
      </c>
      <c r="B1403" s="5">
        <v>70.02</v>
      </c>
    </row>
    <row r="1404" spans="1:2" x14ac:dyDescent="0.3">
      <c r="A1404" s="4">
        <v>45861</v>
      </c>
      <c r="B1404" s="5">
        <v>69.790000000000006</v>
      </c>
    </row>
    <row r="1405" spans="1:2" x14ac:dyDescent="0.3">
      <c r="A1405" s="4">
        <v>45862</v>
      </c>
      <c r="B1405" s="5">
        <v>71.02</v>
      </c>
    </row>
    <row r="1406" spans="1:2" x14ac:dyDescent="0.3">
      <c r="A1406" s="4">
        <v>45863</v>
      </c>
      <c r="B1406" s="5">
        <v>69.67</v>
      </c>
    </row>
    <row r="1407" spans="1:2" x14ac:dyDescent="0.3">
      <c r="A1407" s="4">
        <v>45866</v>
      </c>
      <c r="B1407" s="5">
        <v>70.41</v>
      </c>
    </row>
    <row r="1408" spans="1:2" x14ac:dyDescent="0.3">
      <c r="A1408" s="4">
        <v>45867</v>
      </c>
      <c r="B1408" s="5">
        <v>71.569999999999993</v>
      </c>
    </row>
    <row r="1409" spans="1:2" x14ac:dyDescent="0.3">
      <c r="A1409" s="4">
        <v>45868</v>
      </c>
      <c r="B1409" s="5">
        <v>73.63</v>
      </c>
    </row>
    <row r="1410" spans="1:2" x14ac:dyDescent="0.3">
      <c r="A1410" s="4">
        <v>45869</v>
      </c>
      <c r="B1410" s="5">
        <v>72.91</v>
      </c>
    </row>
    <row r="1411" spans="1:2" x14ac:dyDescent="0.3">
      <c r="A1411" s="4">
        <v>45870</v>
      </c>
      <c r="B1411" s="5">
        <v>71.55</v>
      </c>
    </row>
    <row r="1412" spans="1:2" x14ac:dyDescent="0.3">
      <c r="A1412" s="4">
        <v>45873</v>
      </c>
      <c r="B1412" s="5">
        <v>71.13</v>
      </c>
    </row>
    <row r="1413" spans="1:2" x14ac:dyDescent="0.3">
      <c r="A1413" s="4">
        <v>45874</v>
      </c>
      <c r="B1413" s="5">
        <v>69.61</v>
      </c>
    </row>
    <row r="1414" spans="1:2" x14ac:dyDescent="0.3">
      <c r="A1414" s="4">
        <v>45875</v>
      </c>
      <c r="B1414" s="5">
        <v>69.569999999999993</v>
      </c>
    </row>
    <row r="1415" spans="1:2" x14ac:dyDescent="0.3">
      <c r="A1415" s="4">
        <v>45876</v>
      </c>
      <c r="B1415" s="5">
        <v>67.97</v>
      </c>
    </row>
    <row r="1416" spans="1:2" x14ac:dyDescent="0.3">
      <c r="A1416" s="4">
        <v>45877</v>
      </c>
      <c r="B1416" s="5">
        <v>68.150000000000006</v>
      </c>
    </row>
    <row r="1417" spans="1:2" x14ac:dyDescent="0.3">
      <c r="A1417" s="4">
        <v>45880</v>
      </c>
      <c r="B1417" s="5">
        <v>68.3</v>
      </c>
    </row>
    <row r="1418" spans="1:2" x14ac:dyDescent="0.3">
      <c r="A1418" s="4">
        <v>45881</v>
      </c>
      <c r="B1418" s="5">
        <v>67.63</v>
      </c>
    </row>
    <row r="1419" spans="1:2" x14ac:dyDescent="0.3">
      <c r="A1419" s="4">
        <v>45882</v>
      </c>
      <c r="B1419" s="5">
        <v>66.98</v>
      </c>
    </row>
    <row r="1420" spans="1:2" x14ac:dyDescent="0.3">
      <c r="A1420" s="4">
        <v>45883</v>
      </c>
      <c r="B1420" s="5">
        <v>68.56</v>
      </c>
    </row>
    <row r="1421" spans="1:2" x14ac:dyDescent="0.3">
      <c r="A1421" s="4">
        <v>45884</v>
      </c>
      <c r="B1421" s="5">
        <v>67.98</v>
      </c>
    </row>
    <row r="1422" spans="1:2" x14ac:dyDescent="0.3">
      <c r="A1422" s="4">
        <v>45887</v>
      </c>
      <c r="B1422" s="5">
        <v>67.53</v>
      </c>
    </row>
    <row r="1423" spans="1:2" x14ac:dyDescent="0.3">
      <c r="A1423" s="4">
        <v>45888</v>
      </c>
      <c r="B1423" s="5">
        <v>67.62</v>
      </c>
    </row>
    <row r="1424" spans="1:2" x14ac:dyDescent="0.3">
      <c r="A1424" s="4">
        <v>45889</v>
      </c>
      <c r="B1424" s="5">
        <v>67.64</v>
      </c>
    </row>
    <row r="1425" spans="1:2" x14ac:dyDescent="0.3">
      <c r="A1425" s="4">
        <v>45890</v>
      </c>
      <c r="B1425" s="5">
        <v>68.290000000000006</v>
      </c>
    </row>
    <row r="1426" spans="1:2" x14ac:dyDescent="0.3">
      <c r="A1426" s="4">
        <v>45891</v>
      </c>
      <c r="B1426" s="5">
        <v>68.48</v>
      </c>
    </row>
    <row r="1427" spans="1:2" x14ac:dyDescent="0.3">
      <c r="A1427" s="4">
        <v>45895</v>
      </c>
      <c r="B1427" s="5">
        <v>67.5</v>
      </c>
    </row>
    <row r="1428" spans="1:2" x14ac:dyDescent="0.3">
      <c r="A1428" s="4">
        <v>45896</v>
      </c>
      <c r="B1428" s="5">
        <v>67.38</v>
      </c>
    </row>
    <row r="1429" spans="1:2" x14ac:dyDescent="0.3">
      <c r="A1429" s="4">
        <v>45897</v>
      </c>
      <c r="B1429" s="5">
        <v>67.510000000000005</v>
      </c>
    </row>
    <row r="1430" spans="1:2" x14ac:dyDescent="0.3">
      <c r="A1430" s="4">
        <v>45898</v>
      </c>
      <c r="B1430" s="5">
        <v>68.08</v>
      </c>
    </row>
    <row r="1431" spans="1:2" x14ac:dyDescent="0.3">
      <c r="A1431" s="4">
        <v>45901</v>
      </c>
      <c r="B1431" s="5">
        <v>69.12</v>
      </c>
    </row>
    <row r="1432" spans="1:2" x14ac:dyDescent="0.3">
      <c r="A1432" s="4">
        <v>45902</v>
      </c>
      <c r="B1432" s="5">
        <v>69.53</v>
      </c>
    </row>
    <row r="1433" spans="1:2" x14ac:dyDescent="0.3">
      <c r="A1433" s="4">
        <v>45903</v>
      </c>
      <c r="B1433" s="5">
        <v>67.86</v>
      </c>
    </row>
    <row r="1434" spans="1:2" x14ac:dyDescent="0.3">
      <c r="A1434" s="4">
        <v>45904</v>
      </c>
      <c r="B1434" s="5">
        <v>67.489999999999995</v>
      </c>
    </row>
    <row r="1435" spans="1:2" x14ac:dyDescent="0.3">
      <c r="A1435" s="4">
        <v>45905</v>
      </c>
      <c r="B1435" s="5">
        <v>65.400000000000006</v>
      </c>
    </row>
    <row r="1436" spans="1:2" x14ac:dyDescent="0.3">
      <c r="A1436" s="4">
        <v>45908</v>
      </c>
      <c r="B1436" s="5">
        <v>66.709999999999994</v>
      </c>
    </row>
    <row r="1437" spans="1:2" x14ac:dyDescent="0.3">
      <c r="A1437" s="4">
        <v>45909</v>
      </c>
      <c r="B1437" s="5">
        <v>66.930000000000007</v>
      </c>
    </row>
    <row r="1438" spans="1:2" x14ac:dyDescent="0.3">
      <c r="A1438" s="4">
        <v>45910</v>
      </c>
      <c r="B1438" s="5">
        <v>67.33</v>
      </c>
    </row>
    <row r="1439" spans="1:2" x14ac:dyDescent="0.3">
      <c r="A1439" s="4">
        <v>45911</v>
      </c>
      <c r="B1439" s="5">
        <v>66.41</v>
      </c>
    </row>
    <row r="1440" spans="1:2" x14ac:dyDescent="0.3">
      <c r="A1440" s="4">
        <v>45912</v>
      </c>
      <c r="B1440" s="5">
        <v>67.81</v>
      </c>
    </row>
    <row r="1441" spans="1:2" x14ac:dyDescent="0.3">
      <c r="A1441" s="4">
        <v>45915</v>
      </c>
      <c r="B1441" s="5">
        <v>67.709999999999994</v>
      </c>
    </row>
    <row r="1442" spans="1:2" x14ac:dyDescent="0.3">
      <c r="A1442" s="4">
        <v>45916</v>
      </c>
      <c r="B1442" s="5">
        <v>68.66</v>
      </c>
    </row>
    <row r="1443" spans="1:2" x14ac:dyDescent="0.3">
      <c r="A1443" s="4">
        <v>45917</v>
      </c>
      <c r="B1443" s="5">
        <v>68.53</v>
      </c>
    </row>
    <row r="1444" spans="1:2" x14ac:dyDescent="0.3">
      <c r="A1444" s="4">
        <v>45918</v>
      </c>
      <c r="B1444" s="5">
        <v>67.8</v>
      </c>
    </row>
    <row r="1445" spans="1:2" x14ac:dyDescent="0.3">
      <c r="A1445" s="4">
        <v>45919</v>
      </c>
      <c r="B1445" s="5">
        <v>67.150000000000006</v>
      </c>
    </row>
    <row r="1446" spans="1:2" x14ac:dyDescent="0.3">
      <c r="A1446" s="4">
        <v>45922</v>
      </c>
      <c r="B1446" s="5">
        <v>66.900000000000006</v>
      </c>
    </row>
    <row r="1447" spans="1:2" x14ac:dyDescent="0.3">
      <c r="A1447" s="4">
        <v>45923</v>
      </c>
      <c r="B1447" s="5">
        <v>68.64</v>
      </c>
    </row>
    <row r="1448" spans="1:2" x14ac:dyDescent="0.3">
      <c r="A1448" s="4">
        <v>45924</v>
      </c>
      <c r="B1448" s="5">
        <v>70.02</v>
      </c>
    </row>
    <row r="1449" spans="1:2" x14ac:dyDescent="0.3">
      <c r="A1449" s="4">
        <v>45925</v>
      </c>
      <c r="B1449" s="5">
        <v>70.59</v>
      </c>
    </row>
    <row r="1450" spans="1:2" x14ac:dyDescent="0.3">
      <c r="A1450" s="4">
        <v>45926</v>
      </c>
      <c r="B1450" s="5">
        <v>72.09</v>
      </c>
    </row>
    <row r="1451" spans="1:2" x14ac:dyDescent="0.3">
      <c r="A1451" s="4">
        <v>45929</v>
      </c>
      <c r="B1451" s="5">
        <v>69.11</v>
      </c>
    </row>
    <row r="1452" spans="1:2" x14ac:dyDescent="0.3">
      <c r="A1452" s="4">
        <v>45930</v>
      </c>
      <c r="B1452" s="5">
        <v>68.12</v>
      </c>
    </row>
    <row r="1453" spans="1:2" x14ac:dyDescent="0.3">
      <c r="A1453" s="4">
        <v>45931</v>
      </c>
      <c r="B1453" s="5">
        <v>67.63</v>
      </c>
    </row>
    <row r="1454" spans="1:2" x14ac:dyDescent="0.3">
      <c r="A1454" s="4">
        <v>45932</v>
      </c>
      <c r="B1454" s="5">
        <v>66.22</v>
      </c>
    </row>
    <row r="1455" spans="1:2" x14ac:dyDescent="0.3">
      <c r="A1455" s="4">
        <v>45933</v>
      </c>
      <c r="B1455" s="5">
        <v>66.760000000000005</v>
      </c>
    </row>
    <row r="1456" spans="1:2" x14ac:dyDescent="0.3">
      <c r="A1456" s="4">
        <v>45936</v>
      </c>
      <c r="B1456" s="5">
        <v>67.47</v>
      </c>
    </row>
    <row r="1457" spans="1:2" x14ac:dyDescent="0.3">
      <c r="A1457" s="4">
        <v>45937</v>
      </c>
      <c r="B1457" s="5">
        <v>67.319999999999993</v>
      </c>
    </row>
    <row r="1458" spans="1:2" x14ac:dyDescent="0.3">
      <c r="A1458" s="4">
        <v>45938</v>
      </c>
      <c r="B1458" s="5">
        <v>68.39</v>
      </c>
    </row>
    <row r="1459" spans="1:2" x14ac:dyDescent="0.3">
      <c r="A1459" s="4">
        <v>45939</v>
      </c>
      <c r="B1459" s="5">
        <v>67.67</v>
      </c>
    </row>
    <row r="1460" spans="1:2" x14ac:dyDescent="0.3">
      <c r="A1460" s="4">
        <v>45940</v>
      </c>
      <c r="B1460" s="5">
        <v>65.05</v>
      </c>
    </row>
    <row r="1461" spans="1:2" x14ac:dyDescent="0.3">
      <c r="A1461" s="4">
        <v>45943</v>
      </c>
      <c r="B1461" s="5">
        <v>64.349999999999994</v>
      </c>
    </row>
    <row r="1462" spans="1:2" x14ac:dyDescent="0.3">
      <c r="A1462" s="4">
        <v>45944</v>
      </c>
      <c r="B1462" s="5">
        <v>62.82</v>
      </c>
    </row>
    <row r="1463" spans="1:2" x14ac:dyDescent="0.3">
      <c r="A1463" s="4">
        <v>45945</v>
      </c>
      <c r="B1463" s="5">
        <v>63.13</v>
      </c>
    </row>
    <row r="1464" spans="1:2" x14ac:dyDescent="0.3">
      <c r="A1464" s="4">
        <v>45946</v>
      </c>
      <c r="B1464" s="5">
        <v>62.08</v>
      </c>
    </row>
    <row r="1465" spans="1:2" x14ac:dyDescent="0.3">
      <c r="A1465" s="4">
        <v>45947</v>
      </c>
      <c r="B1465" s="5">
        <v>61.08</v>
      </c>
    </row>
    <row r="1466" spans="1:2" x14ac:dyDescent="0.3">
      <c r="A1466" s="4">
        <v>45950</v>
      </c>
      <c r="B1466" s="5">
        <v>60.66</v>
      </c>
    </row>
    <row r="1467" spans="1:2" x14ac:dyDescent="0.3">
      <c r="A1467" s="4">
        <v>45951</v>
      </c>
      <c r="B1467" s="5">
        <v>61.31</v>
      </c>
    </row>
    <row r="1468" spans="1:2" x14ac:dyDescent="0.3">
      <c r="A1468" s="4">
        <v>45952</v>
      </c>
      <c r="B1468" s="5">
        <v>62.39</v>
      </c>
    </row>
    <row r="1469" spans="1:2" x14ac:dyDescent="0.3">
      <c r="A1469" s="4">
        <v>45953</v>
      </c>
      <c r="B1469" s="5">
        <v>65.98</v>
      </c>
    </row>
    <row r="1470" spans="1:2" x14ac:dyDescent="0.3">
      <c r="A1470" s="4">
        <v>45954</v>
      </c>
      <c r="B1470" s="5">
        <v>67.040000000000006</v>
      </c>
    </row>
    <row r="1471" spans="1:2" x14ac:dyDescent="0.3">
      <c r="A1471" s="4">
        <v>45957</v>
      </c>
      <c r="B1471" s="5">
        <v>66.47</v>
      </c>
    </row>
    <row r="1472" spans="1:2" x14ac:dyDescent="0.3">
      <c r="A1472" s="4">
        <v>45958</v>
      </c>
      <c r="B1472" s="5">
        <v>64.47</v>
      </c>
    </row>
    <row r="1473" spans="1:2" x14ac:dyDescent="0.3">
      <c r="A1473" s="4">
        <v>45959</v>
      </c>
      <c r="B1473" s="5">
        <v>65.62</v>
      </c>
    </row>
    <row r="1474" spans="1:2" x14ac:dyDescent="0.3">
      <c r="A1474" s="4">
        <v>45960</v>
      </c>
      <c r="B1474" s="5">
        <v>65.5</v>
      </c>
    </row>
    <row r="1475" spans="1:2" x14ac:dyDescent="0.3">
      <c r="A1475" s="4">
        <v>45961</v>
      </c>
      <c r="B1475" s="5">
        <v>65.709999999999994</v>
      </c>
    </row>
    <row r="1476" spans="1:2" x14ac:dyDescent="0.3">
      <c r="A1476" s="4">
        <v>45964</v>
      </c>
      <c r="B1476" s="5">
        <v>66.16</v>
      </c>
    </row>
    <row r="1477" spans="1:2" x14ac:dyDescent="0.3">
      <c r="A1477" s="4">
        <v>45965</v>
      </c>
      <c r="B1477" s="5">
        <v>65.48</v>
      </c>
    </row>
    <row r="1478" spans="1:2" x14ac:dyDescent="0.3">
      <c r="A1478" s="4">
        <v>45966</v>
      </c>
      <c r="B1478" s="5">
        <v>64.650000000000006</v>
      </c>
    </row>
    <row r="1479" spans="1:2" x14ac:dyDescent="0.3">
      <c r="A1479" s="4">
        <v>45967</v>
      </c>
      <c r="B1479" s="5">
        <v>64.03</v>
      </c>
    </row>
    <row r="1480" spans="1:2" x14ac:dyDescent="0.3">
      <c r="A1480" s="4">
        <v>45968</v>
      </c>
      <c r="B1480" s="5">
        <v>63.67</v>
      </c>
    </row>
    <row r="1481" spans="1:2" x14ac:dyDescent="0.3">
      <c r="A1481" s="4">
        <v>45971</v>
      </c>
      <c r="B1481" s="5">
        <v>62.6</v>
      </c>
    </row>
    <row r="1482" spans="1:2" x14ac:dyDescent="0.3">
      <c r="A1482" s="4">
        <v>45972</v>
      </c>
      <c r="B1482" s="5">
        <v>64.39</v>
      </c>
    </row>
    <row r="1483" spans="1:2" x14ac:dyDescent="0.3">
      <c r="A1483" s="4">
        <v>45973</v>
      </c>
      <c r="B1483" s="5">
        <v>62.54</v>
      </c>
    </row>
    <row r="1484" spans="1:2" x14ac:dyDescent="0.3">
      <c r="A1484" s="4">
        <v>45974</v>
      </c>
      <c r="B1484" s="5">
        <v>62.34</v>
      </c>
    </row>
    <row r="1485" spans="1:2" x14ac:dyDescent="0.3">
      <c r="A1485" s="4">
        <v>45975</v>
      </c>
      <c r="B1485" s="5">
        <v>63.81</v>
      </c>
    </row>
    <row r="1486" spans="1:2" x14ac:dyDescent="0.3">
      <c r="A1486" s="4">
        <v>45978</v>
      </c>
      <c r="B1486" s="5">
        <v>64.14</v>
      </c>
    </row>
    <row r="1487" spans="1:2" x14ac:dyDescent="0.3">
      <c r="A1487" s="4">
        <v>45979</v>
      </c>
      <c r="B1487" s="5">
        <v>63.56</v>
      </c>
    </row>
    <row r="1488" spans="1:2" x14ac:dyDescent="0.3">
      <c r="A1488" s="4">
        <v>45980</v>
      </c>
      <c r="B1488" s="5">
        <v>63.64</v>
      </c>
    </row>
    <row r="1489" spans="1:2" x14ac:dyDescent="0.3">
      <c r="A1489" s="4">
        <v>45981</v>
      </c>
      <c r="B1489" s="5">
        <v>63.84</v>
      </c>
    </row>
    <row r="1490" spans="1:2" x14ac:dyDescent="0.3">
      <c r="A1490" s="4">
        <v>45982</v>
      </c>
      <c r="B1490" s="5">
        <v>62.5</v>
      </c>
    </row>
    <row r="1491" spans="1:2" x14ac:dyDescent="0.3">
      <c r="A1491" s="4">
        <v>45985</v>
      </c>
      <c r="B1491" s="5">
        <v>64.099999999999994</v>
      </c>
    </row>
    <row r="1492" spans="1:2" x14ac:dyDescent="0.3">
      <c r="A1492" s="4">
        <v>45986</v>
      </c>
      <c r="B1492" s="5">
        <v>63.17</v>
      </c>
    </row>
    <row r="1493" spans="1:2" x14ac:dyDescent="0.3">
      <c r="A1493" s="4">
        <v>45987</v>
      </c>
      <c r="B1493" s="5">
        <v>63.56</v>
      </c>
    </row>
    <row r="1494" spans="1:2" x14ac:dyDescent="0.3">
      <c r="A1494" s="4">
        <v>45988</v>
      </c>
      <c r="B1494" s="5">
        <v>64.5</v>
      </c>
    </row>
    <row r="1495" spans="1:2" x14ac:dyDescent="0.3">
      <c r="A1495" s="4">
        <v>45989</v>
      </c>
      <c r="B1495" s="5">
        <v>64.81</v>
      </c>
    </row>
    <row r="1496" spans="1:2" x14ac:dyDescent="0.3">
      <c r="A1496" s="4">
        <v>45992</v>
      </c>
      <c r="B1496" s="5">
        <v>64.44</v>
      </c>
    </row>
    <row r="1497" spans="1:2" x14ac:dyDescent="0.3">
      <c r="A1497" s="4">
        <v>45993</v>
      </c>
      <c r="B1497" s="5">
        <v>64.28</v>
      </c>
    </row>
    <row r="1498" spans="1:2" x14ac:dyDescent="0.3">
      <c r="A1498" s="4">
        <v>45994</v>
      </c>
      <c r="B1498" s="5">
        <v>64.680000000000007</v>
      </c>
    </row>
    <row r="1499" spans="1:2" x14ac:dyDescent="0.3">
      <c r="A1499" s="4">
        <v>45995</v>
      </c>
      <c r="B1499" s="5">
        <v>64.73</v>
      </c>
    </row>
    <row r="1500" spans="1:2" x14ac:dyDescent="0.3">
      <c r="A1500" s="4">
        <v>45996</v>
      </c>
      <c r="B1500" s="5">
        <v>64.78</v>
      </c>
    </row>
    <row r="1501" spans="1:2" x14ac:dyDescent="0.3">
      <c r="A1501" s="4">
        <v>45999</v>
      </c>
      <c r="B1501" s="5">
        <v>64.02</v>
      </c>
    </row>
    <row r="1502" spans="1:2" x14ac:dyDescent="0.3">
      <c r="A1502" s="4">
        <v>46000</v>
      </c>
      <c r="B1502" s="5">
        <v>62.84</v>
      </c>
    </row>
    <row r="1503" spans="1:2" x14ac:dyDescent="0.3">
      <c r="A1503" s="4">
        <v>46001</v>
      </c>
      <c r="B1503" s="5">
        <v>62.99</v>
      </c>
    </row>
    <row r="1504" spans="1:2" x14ac:dyDescent="0.3">
      <c r="A1504" s="4">
        <v>46002</v>
      </c>
      <c r="B1504" s="5">
        <v>62.38</v>
      </c>
    </row>
    <row r="1505" spans="1:2" x14ac:dyDescent="0.3">
      <c r="A1505" s="4">
        <v>46003</v>
      </c>
      <c r="B1505" s="5">
        <v>62.55</v>
      </c>
    </row>
    <row r="1506" spans="1:2" x14ac:dyDescent="0.3">
      <c r="A1506" s="4">
        <v>46006</v>
      </c>
      <c r="B1506" s="5">
        <v>61.44</v>
      </c>
    </row>
    <row r="1507" spans="1:2" x14ac:dyDescent="0.3">
      <c r="A1507" s="4">
        <v>46007</v>
      </c>
      <c r="B1507" s="5">
        <v>60.65</v>
      </c>
    </row>
    <row r="1508" spans="1:2" x14ac:dyDescent="0.3">
      <c r="A1508" s="4">
        <v>46008</v>
      </c>
      <c r="B1508" s="5">
        <v>61.3</v>
      </c>
    </row>
    <row r="1509" spans="1:2" x14ac:dyDescent="0.3">
      <c r="A1509" s="4">
        <v>46009</v>
      </c>
      <c r="B1509" s="5">
        <v>61.43</v>
      </c>
    </row>
    <row r="1510" spans="1:2" x14ac:dyDescent="0.3">
      <c r="A1510" s="4">
        <v>46010</v>
      </c>
      <c r="B1510" s="5">
        <v>61.27</v>
      </c>
    </row>
    <row r="1511" spans="1:2" x14ac:dyDescent="0.3">
      <c r="A1511" s="4">
        <v>46013</v>
      </c>
      <c r="B1511" s="5">
        <v>62.81</v>
      </c>
    </row>
    <row r="1512" spans="1:2" x14ac:dyDescent="0.3">
      <c r="A1512" s="4">
        <v>46014</v>
      </c>
      <c r="B1512" s="5">
        <v>63.23</v>
      </c>
    </row>
    <row r="1513" spans="1:2" x14ac:dyDescent="0.3">
      <c r="A1513" s="4">
        <v>46015</v>
      </c>
      <c r="B1513" s="5">
        <v>63.73</v>
      </c>
    </row>
    <row r="1514" spans="1:2" x14ac:dyDescent="0.3">
      <c r="A1514" s="4">
        <v>46020</v>
      </c>
      <c r="B1514" s="5">
        <v>62.71</v>
      </c>
    </row>
    <row r="1515" spans="1:2" x14ac:dyDescent="0.3">
      <c r="A1515" s="4">
        <v>46021</v>
      </c>
      <c r="B1515" s="5">
        <v>62.67</v>
      </c>
    </row>
    <row r="1516" spans="1:2" x14ac:dyDescent="0.3">
      <c r="A1516" s="4">
        <v>46022</v>
      </c>
      <c r="B1516" s="5">
        <v>62.9</v>
      </c>
    </row>
    <row r="1517" spans="1:2" x14ac:dyDescent="0.3">
      <c r="A1517" s="4">
        <v>46024</v>
      </c>
      <c r="B1517" s="5">
        <v>61.31</v>
      </c>
    </row>
    <row r="1518" spans="1:2" x14ac:dyDescent="0.3">
      <c r="A1518" s="4">
        <v>46027</v>
      </c>
      <c r="B1518" s="5">
        <v>63.12</v>
      </c>
    </row>
    <row r="1519" spans="1:2" x14ac:dyDescent="0.3">
      <c r="A1519" s="4">
        <v>46028</v>
      </c>
      <c r="B1519" s="5">
        <v>63.42</v>
      </c>
    </row>
    <row r="1520" spans="1:2" x14ac:dyDescent="0.3">
      <c r="A1520" s="4">
        <v>46029</v>
      </c>
      <c r="B1520" s="5">
        <v>62.13</v>
      </c>
    </row>
    <row r="1521" spans="1:2" x14ac:dyDescent="0.3">
      <c r="A1521" s="4">
        <v>46030</v>
      </c>
      <c r="B1521" s="5">
        <v>63.26</v>
      </c>
    </row>
    <row r="1522" spans="1:2" x14ac:dyDescent="0.3">
      <c r="A1522" s="4">
        <v>46031</v>
      </c>
      <c r="B1522" s="5">
        <v>66.010000000000005</v>
      </c>
    </row>
    <row r="1523" spans="1:2" x14ac:dyDescent="0.3">
      <c r="A1523" s="4">
        <v>46034</v>
      </c>
      <c r="B1523" s="5">
        <v>65.790000000000006</v>
      </c>
    </row>
    <row r="1524" spans="1:2" x14ac:dyDescent="0.3">
      <c r="A1524" s="4">
        <v>46035</v>
      </c>
      <c r="B1524" s="5">
        <v>68.760000000000005</v>
      </c>
    </row>
    <row r="1525" spans="1:2" x14ac:dyDescent="0.3">
      <c r="A1525" s="4">
        <v>46036</v>
      </c>
      <c r="B1525" s="5">
        <v>68.900000000000006</v>
      </c>
    </row>
    <row r="1526" spans="1:2" x14ac:dyDescent="0.3">
      <c r="A1526" s="4">
        <v>46037</v>
      </c>
      <c r="B1526" s="5">
        <v>66.63</v>
      </c>
    </row>
    <row r="1527" spans="1:2" x14ac:dyDescent="0.3">
      <c r="A1527" s="4">
        <v>46038</v>
      </c>
      <c r="B1527" s="5">
        <v>67.78</v>
      </c>
    </row>
    <row r="1528" spans="1:2" x14ac:dyDescent="0.3">
      <c r="A1528" s="4">
        <v>46041</v>
      </c>
      <c r="B1528" s="5">
        <v>67.819999999999993</v>
      </c>
    </row>
    <row r="1529" spans="1:2" x14ac:dyDescent="0.3">
      <c r="A1529" s="4">
        <v>46042</v>
      </c>
      <c r="B1529" s="5">
        <v>68.14</v>
      </c>
    </row>
    <row r="1530" spans="1:2" x14ac:dyDescent="0.3">
      <c r="A1530" s="4">
        <v>46043</v>
      </c>
      <c r="B1530" s="5">
        <v>67.959999999999994</v>
      </c>
    </row>
    <row r="1531" spans="1:2" x14ac:dyDescent="0.3">
      <c r="A1531" s="4">
        <v>46044</v>
      </c>
      <c r="B1531" s="5">
        <v>65.97</v>
      </c>
    </row>
    <row r="1532" spans="1:2" x14ac:dyDescent="0.3">
      <c r="A1532" s="4">
        <v>46045</v>
      </c>
      <c r="B1532" s="5">
        <v>68.73</v>
      </c>
    </row>
    <row r="1533" spans="1:2" x14ac:dyDescent="0.3">
      <c r="A1533" s="4">
        <v>46048</v>
      </c>
      <c r="B1533" s="5">
        <v>68.34</v>
      </c>
    </row>
    <row r="1534" spans="1:2" x14ac:dyDescent="0.3">
      <c r="A1534" s="4">
        <v>46049</v>
      </c>
      <c r="B1534" s="5">
        <v>69.510000000000005</v>
      </c>
    </row>
    <row r="1535" spans="1:2" x14ac:dyDescent="0.3">
      <c r="A1535" s="4">
        <v>46050</v>
      </c>
      <c r="B1535" s="5">
        <v>70.53</v>
      </c>
    </row>
    <row r="1536" spans="1:2" x14ac:dyDescent="0.3">
      <c r="A1536" s="4">
        <v>46051</v>
      </c>
      <c r="B1536" s="5">
        <v>72.569999999999993</v>
      </c>
    </row>
    <row r="1537" spans="1:2" x14ac:dyDescent="0.3">
      <c r="A1537" s="4">
        <v>46052</v>
      </c>
      <c r="B1537" s="5">
        <v>73.03</v>
      </c>
    </row>
    <row r="1538" spans="1:2" x14ac:dyDescent="0.3">
      <c r="A1538" s="4">
        <v>46055</v>
      </c>
      <c r="B1538" s="5">
        <v>69.2</v>
      </c>
    </row>
    <row r="1539" spans="1:2" x14ac:dyDescent="0.3">
      <c r="A1539" s="4">
        <v>46056</v>
      </c>
      <c r="B1539" s="5">
        <v>69.89</v>
      </c>
    </row>
    <row r="1540" spans="1:2" x14ac:dyDescent="0.3">
      <c r="A1540" s="4">
        <v>46057</v>
      </c>
      <c r="B1540" s="5">
        <v>69.92</v>
      </c>
    </row>
    <row r="1541" spans="1:2" x14ac:dyDescent="0.3">
      <c r="A1541" s="4">
        <v>46058</v>
      </c>
      <c r="B1541" s="5">
        <v>70.05</v>
      </c>
    </row>
    <row r="1542" spans="1:2" x14ac:dyDescent="0.3">
      <c r="A1542" s="4">
        <v>46059</v>
      </c>
      <c r="B1542" s="5">
        <v>71.42</v>
      </c>
    </row>
    <row r="1543" spans="1:2" x14ac:dyDescent="0.3">
      <c r="A1543" s="4">
        <v>46062</v>
      </c>
      <c r="B1543" s="5">
        <v>72.290000000000006</v>
      </c>
    </row>
    <row r="1544" spans="1:2" x14ac:dyDescent="0.3">
      <c r="A1544" s="4">
        <v>46063</v>
      </c>
      <c r="B1544" s="5">
        <v>72.41</v>
      </c>
    </row>
    <row r="1545" spans="1:2" x14ac:dyDescent="0.3">
      <c r="A1545" s="4">
        <v>46064</v>
      </c>
      <c r="B1545" s="5">
        <v>73.150000000000006</v>
      </c>
    </row>
    <row r="1546" spans="1:2" x14ac:dyDescent="0.3">
      <c r="A1546" s="4">
        <v>46065</v>
      </c>
      <c r="B1546" s="5">
        <v>71.36</v>
      </c>
    </row>
    <row r="1547" spans="1:2" x14ac:dyDescent="0.3">
      <c r="A1547" s="4">
        <v>46066</v>
      </c>
      <c r="B1547" s="5">
        <v>70.510000000000005</v>
      </c>
    </row>
    <row r="1548" spans="1:2" x14ac:dyDescent="0.3">
      <c r="A1548" s="4">
        <v>46069</v>
      </c>
      <c r="B1548" s="5">
        <v>71.25</v>
      </c>
    </row>
    <row r="1549" spans="1:2" x14ac:dyDescent="0.3">
      <c r="A1549" s="4">
        <v>46070</v>
      </c>
      <c r="B1549" s="5">
        <v>70.17</v>
      </c>
    </row>
    <row r="1550" spans="1:2" x14ac:dyDescent="0.3">
      <c r="A1550" s="4">
        <v>46071</v>
      </c>
      <c r="B1550" s="5">
        <v>71.81</v>
      </c>
    </row>
    <row r="1551" spans="1:2" x14ac:dyDescent="0.3">
      <c r="A1551" s="4">
        <v>46072</v>
      </c>
      <c r="B1551" s="5">
        <v>73.28</v>
      </c>
    </row>
    <row r="1552" spans="1:2" x14ac:dyDescent="0.3">
      <c r="A1552" s="4">
        <v>46073</v>
      </c>
      <c r="B1552" s="5">
        <v>72.66</v>
      </c>
    </row>
    <row r="1553" spans="1:2" x14ac:dyDescent="0.3">
      <c r="A1553" s="4">
        <v>46076</v>
      </c>
      <c r="B1553" s="5">
        <v>72.95</v>
      </c>
    </row>
    <row r="1554" spans="1:2" x14ac:dyDescent="0.3">
      <c r="A1554" s="4">
        <v>46077</v>
      </c>
      <c r="B1554" s="5">
        <v>71.400000000000006</v>
      </c>
    </row>
    <row r="1555" spans="1:2" x14ac:dyDescent="0.3">
      <c r="A1555" s="4">
        <v>46078</v>
      </c>
      <c r="B1555" s="5">
        <v>71.2</v>
      </c>
    </row>
    <row r="1556" spans="1:2" x14ac:dyDescent="0.3">
      <c r="A1556" s="4">
        <v>46079</v>
      </c>
      <c r="B1556" s="5">
        <v>72.55</v>
      </c>
    </row>
    <row r="1557" spans="1:2" x14ac:dyDescent="0.3">
      <c r="A1557" s="4">
        <v>46080</v>
      </c>
      <c r="B1557" s="5">
        <v>71.099999999999994</v>
      </c>
    </row>
    <row r="1558" spans="1:2" x14ac:dyDescent="0.3">
      <c r="A1558" s="4">
        <v>46083</v>
      </c>
      <c r="B1558" s="5">
        <v>78.319999999999993</v>
      </c>
    </row>
    <row r="1559" spans="1:2" x14ac:dyDescent="0.3">
      <c r="A1559" s="4">
        <v>46084</v>
      </c>
      <c r="B1559" s="5">
        <v>85</v>
      </c>
    </row>
    <row r="1560" spans="1:2" x14ac:dyDescent="0.3">
      <c r="A1560" s="4">
        <v>46085</v>
      </c>
      <c r="B1560" s="5">
        <v>81.25</v>
      </c>
    </row>
    <row r="1561" spans="1:2" x14ac:dyDescent="0.3">
      <c r="A1561" s="4">
        <v>46086</v>
      </c>
      <c r="B1561" s="5">
        <v>88.12</v>
      </c>
    </row>
    <row r="1562" spans="1:2" x14ac:dyDescent="0.3">
      <c r="A1562" s="4">
        <v>46087</v>
      </c>
      <c r="B1562" s="5">
        <v>94.35</v>
      </c>
    </row>
    <row r="1563" spans="1:2" x14ac:dyDescent="0.3">
      <c r="A1563" s="4">
        <v>46090</v>
      </c>
      <c r="B1563" s="5">
        <v>103.24</v>
      </c>
    </row>
    <row r="1564" spans="1:2" x14ac:dyDescent="0.3">
      <c r="A1564" s="4">
        <v>46091</v>
      </c>
      <c r="B1564" s="5">
        <v>88.32</v>
      </c>
    </row>
    <row r="1565" spans="1:2" x14ac:dyDescent="0.3">
      <c r="A1565" s="4">
        <v>46092</v>
      </c>
      <c r="B1565" s="5">
        <v>91.74</v>
      </c>
    </row>
    <row r="1566" spans="1:2" x14ac:dyDescent="0.3">
      <c r="A1566" s="4">
        <v>46093</v>
      </c>
      <c r="B1566" s="5">
        <v>101.08</v>
      </c>
    </row>
    <row r="1567" spans="1:2" x14ac:dyDescent="0.3">
      <c r="A1567" s="4">
        <v>46094</v>
      </c>
      <c r="B1567" s="5">
        <v>103.68</v>
      </c>
    </row>
    <row r="1568" spans="1:2" x14ac:dyDescent="0.3">
      <c r="A1568" s="4">
        <v>46097</v>
      </c>
      <c r="B1568" s="5">
        <v>104.16</v>
      </c>
    </row>
    <row r="1569" spans="1:2" x14ac:dyDescent="0.3">
      <c r="A1569" s="4">
        <v>46098</v>
      </c>
      <c r="B1569" s="5">
        <v>103.47</v>
      </c>
    </row>
    <row r="1570" spans="1:2" x14ac:dyDescent="0.3">
      <c r="A1570" s="4">
        <v>46099</v>
      </c>
      <c r="B1570" s="5">
        <v>112.85</v>
      </c>
    </row>
    <row r="1571" spans="1:2" x14ac:dyDescent="0.3">
      <c r="A1571" s="4">
        <v>46100</v>
      </c>
      <c r="B1571" s="5">
        <v>117.49</v>
      </c>
    </row>
    <row r="1572" spans="1:2" x14ac:dyDescent="0.3">
      <c r="A1572" s="4">
        <v>46101</v>
      </c>
      <c r="B1572" s="5">
        <v>117.08</v>
      </c>
    </row>
    <row r="1573" spans="1:2" x14ac:dyDescent="0.3">
      <c r="A1573" s="4">
        <v>46104</v>
      </c>
      <c r="B1573" s="5">
        <v>110.07</v>
      </c>
    </row>
    <row r="1574" spans="1:2" x14ac:dyDescent="0.3">
      <c r="A1574" s="4">
        <v>46105</v>
      </c>
      <c r="B1574" s="5">
        <v>111.28</v>
      </c>
    </row>
    <row r="1575" spans="1:2" x14ac:dyDescent="0.3">
      <c r="A1575" s="4">
        <v>46106</v>
      </c>
      <c r="B1575" s="5">
        <v>110.11</v>
      </c>
    </row>
    <row r="1576" spans="1:2" x14ac:dyDescent="0.3">
      <c r="A1576" s="4">
        <v>46107</v>
      </c>
      <c r="B1576" s="5">
        <v>117.87</v>
      </c>
    </row>
    <row r="1577" spans="1:2" x14ac:dyDescent="0.3">
      <c r="A1577" s="4">
        <v>46108</v>
      </c>
      <c r="B1577" s="5">
        <v>120.93</v>
      </c>
    </row>
    <row r="1578" spans="1:2" x14ac:dyDescent="0.3">
      <c r="A1578" s="4">
        <v>46111</v>
      </c>
      <c r="B1578" s="5">
        <v>123.88</v>
      </c>
    </row>
    <row r="1579" spans="1:2" x14ac:dyDescent="0.3">
      <c r="A1579" s="4">
        <v>46112</v>
      </c>
      <c r="B1579" s="5">
        <v>127.48</v>
      </c>
    </row>
    <row r="1580" spans="1:2" x14ac:dyDescent="0.3">
      <c r="A1580" s="4">
        <v>46113</v>
      </c>
      <c r="B1580" s="5">
        <v>128.69</v>
      </c>
    </row>
    <row r="1581" spans="1:2" x14ac:dyDescent="0.3">
      <c r="A1581" s="4">
        <v>46114</v>
      </c>
      <c r="B1581" s="5">
        <v>141.61000000000001</v>
      </c>
    </row>
    <row r="1582" spans="1:2" x14ac:dyDescent="0.3">
      <c r="A1582" s="4">
        <v>46119</v>
      </c>
      <c r="B1582" s="5">
        <v>144.59</v>
      </c>
    </row>
    <row r="1583" spans="1:2" x14ac:dyDescent="0.3">
      <c r="A1583" s="4">
        <v>46120</v>
      </c>
      <c r="B1583" s="5">
        <v>124.87</v>
      </c>
    </row>
    <row r="1584" spans="1:2" x14ac:dyDescent="0.3">
      <c r="A1584" s="4">
        <v>46121</v>
      </c>
      <c r="B1584" s="5">
        <v>132.44999999999999</v>
      </c>
    </row>
    <row r="1585" spans="1:2" x14ac:dyDescent="0.3">
      <c r="A1585" s="4">
        <v>46122</v>
      </c>
      <c r="B1585" s="5">
        <v>126.59</v>
      </c>
    </row>
    <row r="1586" spans="1:2" x14ac:dyDescent="0.3">
      <c r="A1586" s="4">
        <v>46125</v>
      </c>
      <c r="B1586" s="5">
        <v>133.1</v>
      </c>
    </row>
    <row r="1587" spans="1:2" x14ac:dyDescent="0.3">
      <c r="A1587" s="4">
        <v>46126</v>
      </c>
      <c r="B1587" s="5">
        <v>125.19</v>
      </c>
    </row>
    <row r="1588" spans="1:2" x14ac:dyDescent="0.3">
      <c r="A1588" s="4">
        <v>46127</v>
      </c>
      <c r="B1588" s="5">
        <v>116.83</v>
      </c>
    </row>
    <row r="1589" spans="1:2" x14ac:dyDescent="0.3">
      <c r="A1589" s="4">
        <v>46128</v>
      </c>
      <c r="B1589" s="5">
        <v>116.63</v>
      </c>
    </row>
    <row r="1590" spans="1:2" x14ac:dyDescent="0.3">
      <c r="A1590" s="4">
        <v>46129</v>
      </c>
      <c r="B1590" s="5">
        <v>99.41</v>
      </c>
    </row>
    <row r="1591" spans="1:2" x14ac:dyDescent="0.3">
      <c r="A1591" s="4">
        <v>46132</v>
      </c>
      <c r="B1591" s="5">
        <v>106.43</v>
      </c>
    </row>
    <row r="1592" spans="1:2" x14ac:dyDescent="0.3">
      <c r="A1592" s="4">
        <v>46133</v>
      </c>
      <c r="B1592" s="5">
        <v>107.97</v>
      </c>
    </row>
    <row r="1593" spans="1:2" x14ac:dyDescent="0.3">
      <c r="A1593" s="4">
        <v>46134</v>
      </c>
      <c r="B1593" s="5">
        <v>112.43</v>
      </c>
    </row>
    <row r="1594" spans="1:2" x14ac:dyDescent="0.3">
      <c r="A1594" s="4">
        <v>46135</v>
      </c>
      <c r="B1594" s="5">
        <v>110.95</v>
      </c>
    </row>
    <row r="1595" spans="1:2" x14ac:dyDescent="0.3">
      <c r="A1595" s="4">
        <v>46136</v>
      </c>
      <c r="B1595" s="5">
        <v>112</v>
      </c>
    </row>
    <row r="1596" spans="1:2" x14ac:dyDescent="0.3">
      <c r="A1596" s="4">
        <v>46139</v>
      </c>
      <c r="B1596" s="5">
        <v>114.27</v>
      </c>
    </row>
    <row r="1597" spans="1:2" x14ac:dyDescent="0.3">
      <c r="A1597" s="4">
        <v>46140</v>
      </c>
      <c r="B1597" s="5">
        <v>116.55</v>
      </c>
    </row>
    <row r="1598" spans="1:2" x14ac:dyDescent="0.3">
      <c r="A1598" s="4">
        <v>46141</v>
      </c>
      <c r="B1598" s="5">
        <v>123.02</v>
      </c>
    </row>
    <row r="1599" spans="1:2" x14ac:dyDescent="0.3">
      <c r="A1599" s="4">
        <v>46142</v>
      </c>
      <c r="B1599" s="5">
        <v>123.35</v>
      </c>
    </row>
    <row r="1600" spans="1:2" x14ac:dyDescent="0.3">
      <c r="A1600" s="4">
        <v>46143</v>
      </c>
      <c r="B1600" s="5">
        <v>118.24</v>
      </c>
    </row>
    <row r="1601" spans="1:2" x14ac:dyDescent="0.3">
      <c r="A1601" s="4">
        <v>46146</v>
      </c>
      <c r="B1601" s="5">
        <v>118.24</v>
      </c>
    </row>
    <row r="1602" spans="1:2" x14ac:dyDescent="0.3">
      <c r="A1602" s="4">
        <v>46147</v>
      </c>
      <c r="B1602" s="5">
        <v>115.3</v>
      </c>
    </row>
    <row r="1603" spans="1:2" x14ac:dyDescent="0.3">
      <c r="A1603" s="4">
        <v>46148</v>
      </c>
      <c r="B1603" s="5">
        <v>104.39</v>
      </c>
    </row>
    <row r="1604" spans="1:2" x14ac:dyDescent="0.3">
      <c r="A1604" s="4">
        <v>46149</v>
      </c>
      <c r="B1604" s="5">
        <v>101.06</v>
      </c>
    </row>
    <row r="1605" spans="1:2" x14ac:dyDescent="0.3">
      <c r="A1605" s="4">
        <v>46150</v>
      </c>
      <c r="B1605" s="5">
        <v>104.77</v>
      </c>
    </row>
    <row r="1606" spans="1:2" x14ac:dyDescent="0.3">
      <c r="A1606" s="4">
        <v>46153</v>
      </c>
      <c r="B1606" s="5">
        <v>105.62</v>
      </c>
    </row>
    <row r="1607" spans="1:2" x14ac:dyDescent="0.3">
      <c r="A1607" s="4">
        <v>46154</v>
      </c>
      <c r="B1607" s="5">
        <v>111.26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1607"/>
  <sheetViews>
    <sheetView workbookViewId="0">
      <pane xSplit="1" ySplit="4" topLeftCell="B1593" activePane="bottomRight" state="frozen"/>
      <selection pane="topRight" activeCell="B1" sqref="B1"/>
      <selection pane="bottomLeft" activeCell="A5" sqref="A5"/>
      <selection pane="bottomRight" activeCell="B1603" sqref="B1603"/>
    </sheetView>
  </sheetViews>
  <sheetFormatPr defaultColWidth="9" defaultRowHeight="13.5" x14ac:dyDescent="0.3"/>
  <cols>
    <col min="1" max="1" width="11.6640625" customWidth="1"/>
    <col min="2" max="2" width="23.46484375" customWidth="1"/>
  </cols>
  <sheetData>
    <row r="1" spans="1:2" ht="13.9" x14ac:dyDescent="0.35">
      <c r="B1" s="1" t="s">
        <v>19</v>
      </c>
    </row>
    <row r="2" spans="1:2" ht="13.9" x14ac:dyDescent="0.35">
      <c r="B2" s="1" t="s">
        <v>20</v>
      </c>
    </row>
    <row r="3" spans="1:2" ht="13.9" x14ac:dyDescent="0.35">
      <c r="A3" s="1" t="s">
        <v>12</v>
      </c>
      <c r="B3" s="1" t="s">
        <v>128</v>
      </c>
    </row>
    <row r="4" spans="1:2" ht="13.9" x14ac:dyDescent="0.35">
      <c r="A4" s="1" t="s">
        <v>13</v>
      </c>
      <c r="B4" s="1" t="s">
        <v>131</v>
      </c>
    </row>
    <row r="5" spans="1:2" ht="13.9" x14ac:dyDescent="0.35">
      <c r="A5" s="2">
        <v>43832</v>
      </c>
      <c r="B5" s="3">
        <f>[1]!WSD(B2,B4:B4,"2020-01-01","","TradingCalendar=SSE","rptType=1","ShowParams=Y","cols=1;rows=1603")</f>
        <v>1527.1</v>
      </c>
    </row>
    <row r="6" spans="1:2" ht="13.9" x14ac:dyDescent="0.35">
      <c r="A6" s="2">
        <v>43833</v>
      </c>
      <c r="B6" s="3">
        <v>1548.75</v>
      </c>
    </row>
    <row r="7" spans="1:2" ht="13.9" x14ac:dyDescent="0.35">
      <c r="A7" s="2">
        <v>43836</v>
      </c>
      <c r="B7" s="3">
        <v>1573.1</v>
      </c>
    </row>
    <row r="8" spans="1:2" ht="13.9" x14ac:dyDescent="0.35">
      <c r="A8" s="2">
        <v>43837</v>
      </c>
      <c r="B8" s="3">
        <v>1567.85</v>
      </c>
    </row>
    <row r="9" spans="1:2" ht="13.9" x14ac:dyDescent="0.35">
      <c r="A9" s="2">
        <v>43838</v>
      </c>
      <c r="B9" s="3">
        <v>1571.95</v>
      </c>
    </row>
    <row r="10" spans="1:2" ht="13.9" x14ac:dyDescent="0.35">
      <c r="A10" s="2">
        <v>43839</v>
      </c>
      <c r="B10" s="3">
        <v>1550.75</v>
      </c>
    </row>
    <row r="11" spans="1:2" ht="13.9" x14ac:dyDescent="0.35">
      <c r="A11" s="2">
        <v>43840</v>
      </c>
      <c r="B11" s="3">
        <v>1553.6</v>
      </c>
    </row>
    <row r="12" spans="1:2" ht="13.9" x14ac:dyDescent="0.35">
      <c r="A12" s="2">
        <v>43843</v>
      </c>
      <c r="B12" s="3">
        <v>1549.9</v>
      </c>
    </row>
    <row r="13" spans="1:2" ht="13.9" x14ac:dyDescent="0.35">
      <c r="A13" s="2">
        <v>43844</v>
      </c>
      <c r="B13" s="3">
        <v>1545.1</v>
      </c>
    </row>
    <row r="14" spans="1:2" ht="13.9" x14ac:dyDescent="0.35">
      <c r="A14" s="2">
        <v>43845</v>
      </c>
      <c r="B14" s="3">
        <v>1549</v>
      </c>
    </row>
    <row r="15" spans="1:2" ht="13.9" x14ac:dyDescent="0.35">
      <c r="A15" s="2">
        <v>43846</v>
      </c>
      <c r="B15" s="3">
        <v>1554.55</v>
      </c>
    </row>
    <row r="16" spans="1:2" ht="13.9" x14ac:dyDescent="0.35">
      <c r="A16" s="2">
        <v>43847</v>
      </c>
      <c r="B16" s="3">
        <v>1557.6</v>
      </c>
    </row>
    <row r="17" spans="1:2" ht="13.9" x14ac:dyDescent="0.35">
      <c r="A17" s="2">
        <v>43850</v>
      </c>
      <c r="B17" s="3">
        <v>1560.15</v>
      </c>
    </row>
    <row r="18" spans="1:2" ht="13.9" x14ac:dyDescent="0.35">
      <c r="A18" s="2">
        <v>43851</v>
      </c>
      <c r="B18" s="3">
        <v>1551.3</v>
      </c>
    </row>
    <row r="19" spans="1:2" ht="13.9" x14ac:dyDescent="0.35">
      <c r="A19" s="2">
        <v>43852</v>
      </c>
      <c r="B19" s="3">
        <v>1556.9</v>
      </c>
    </row>
    <row r="20" spans="1:2" ht="13.9" x14ac:dyDescent="0.35">
      <c r="A20" s="2">
        <v>43853</v>
      </c>
      <c r="B20" s="3">
        <v>1562.9</v>
      </c>
    </row>
    <row r="21" spans="1:2" ht="13.9" x14ac:dyDescent="0.35">
      <c r="A21" s="2">
        <v>43854</v>
      </c>
      <c r="B21" s="3">
        <v>1564.3</v>
      </c>
    </row>
    <row r="22" spans="1:2" ht="13.9" x14ac:dyDescent="0.35">
      <c r="A22" s="2">
        <v>43857</v>
      </c>
      <c r="B22" s="3">
        <v>1580.1</v>
      </c>
    </row>
    <row r="23" spans="1:2" ht="13.9" x14ac:dyDescent="0.35">
      <c r="A23" s="2">
        <v>43858</v>
      </c>
      <c r="B23" s="3">
        <v>1574</v>
      </c>
    </row>
    <row r="24" spans="1:2" ht="13.9" x14ac:dyDescent="0.35">
      <c r="A24" s="2">
        <v>43859</v>
      </c>
      <c r="B24" s="3">
        <v>1573.45</v>
      </c>
    </row>
    <row r="25" spans="1:2" ht="13.9" x14ac:dyDescent="0.35">
      <c r="A25" s="2">
        <v>43860</v>
      </c>
      <c r="B25" s="3">
        <v>1578.25</v>
      </c>
    </row>
    <row r="26" spans="1:2" ht="13.9" x14ac:dyDescent="0.35">
      <c r="A26" s="2">
        <v>43861</v>
      </c>
      <c r="B26" s="3">
        <v>1584.2</v>
      </c>
    </row>
    <row r="27" spans="1:2" ht="13.9" x14ac:dyDescent="0.35">
      <c r="A27" s="2">
        <v>43864</v>
      </c>
      <c r="B27" s="3">
        <v>1574.75</v>
      </c>
    </row>
    <row r="28" spans="1:2" ht="13.9" x14ac:dyDescent="0.35">
      <c r="A28" s="2">
        <v>43865</v>
      </c>
      <c r="B28" s="3">
        <v>1558.35</v>
      </c>
    </row>
    <row r="29" spans="1:2" ht="13.9" x14ac:dyDescent="0.35">
      <c r="A29" s="2">
        <v>43866</v>
      </c>
      <c r="B29" s="3">
        <v>1553.3</v>
      </c>
    </row>
    <row r="30" spans="1:2" ht="13.9" x14ac:dyDescent="0.35">
      <c r="A30" s="2">
        <v>43867</v>
      </c>
      <c r="B30" s="3">
        <v>1563.3</v>
      </c>
    </row>
    <row r="31" spans="1:2" ht="13.9" x14ac:dyDescent="0.35">
      <c r="A31" s="2">
        <v>43868</v>
      </c>
      <c r="B31" s="3">
        <v>1572.65</v>
      </c>
    </row>
    <row r="32" spans="1:2" ht="13.9" x14ac:dyDescent="0.35">
      <c r="A32" s="2">
        <v>43871</v>
      </c>
      <c r="B32" s="3">
        <v>1573.2</v>
      </c>
    </row>
    <row r="33" spans="1:2" ht="13.9" x14ac:dyDescent="0.35">
      <c r="A33" s="2">
        <v>43872</v>
      </c>
      <c r="B33" s="3">
        <v>1570.5</v>
      </c>
    </row>
    <row r="34" spans="1:2" ht="13.9" x14ac:dyDescent="0.35">
      <c r="A34" s="2">
        <v>43873</v>
      </c>
      <c r="B34" s="3">
        <v>1563.7</v>
      </c>
    </row>
    <row r="35" spans="1:2" ht="13.9" x14ac:dyDescent="0.35">
      <c r="A35" s="2">
        <v>43874</v>
      </c>
      <c r="B35" s="3">
        <v>1575.05</v>
      </c>
    </row>
    <row r="36" spans="1:2" ht="13.9" x14ac:dyDescent="0.35">
      <c r="A36" s="2">
        <v>43875</v>
      </c>
      <c r="B36" s="3">
        <v>1581.4</v>
      </c>
    </row>
    <row r="37" spans="1:2" ht="13.9" x14ac:dyDescent="0.35">
      <c r="A37" s="2">
        <v>43878</v>
      </c>
      <c r="B37" s="3">
        <v>1580.8</v>
      </c>
    </row>
    <row r="38" spans="1:2" ht="13.9" x14ac:dyDescent="0.35">
      <c r="A38" s="2">
        <v>43879</v>
      </c>
      <c r="B38" s="3">
        <v>1589.85</v>
      </c>
    </row>
    <row r="39" spans="1:2" ht="13.9" x14ac:dyDescent="0.35">
      <c r="A39" s="2">
        <v>43880</v>
      </c>
      <c r="B39" s="3">
        <v>1604.2</v>
      </c>
    </row>
    <row r="40" spans="1:2" ht="13.9" x14ac:dyDescent="0.35">
      <c r="A40" s="2">
        <v>43881</v>
      </c>
      <c r="B40" s="3">
        <v>1619</v>
      </c>
    </row>
    <row r="41" spans="1:2" ht="13.9" x14ac:dyDescent="0.35">
      <c r="A41" s="2">
        <v>43882</v>
      </c>
      <c r="B41" s="3">
        <v>1643.3</v>
      </c>
    </row>
    <row r="42" spans="1:2" ht="13.9" x14ac:dyDescent="0.35">
      <c r="A42" s="2">
        <v>43885</v>
      </c>
      <c r="B42" s="3">
        <v>1671.65</v>
      </c>
    </row>
    <row r="43" spans="1:2" ht="13.9" x14ac:dyDescent="0.35">
      <c r="A43" s="2">
        <v>43886</v>
      </c>
      <c r="B43" s="3">
        <v>1650.3</v>
      </c>
    </row>
    <row r="44" spans="1:2" ht="13.9" x14ac:dyDescent="0.35">
      <c r="A44" s="2">
        <v>43887</v>
      </c>
      <c r="B44" s="3">
        <v>1634.9</v>
      </c>
    </row>
    <row r="45" spans="1:2" ht="13.9" x14ac:dyDescent="0.35">
      <c r="A45" s="2">
        <v>43888</v>
      </c>
      <c r="B45" s="3">
        <v>1652</v>
      </c>
    </row>
    <row r="46" spans="1:2" ht="13.9" x14ac:dyDescent="0.35">
      <c r="A46" s="2">
        <v>43889</v>
      </c>
      <c r="B46" s="3">
        <v>1609.85</v>
      </c>
    </row>
    <row r="47" spans="1:2" ht="13.9" x14ac:dyDescent="0.35">
      <c r="A47" s="2">
        <v>43892</v>
      </c>
      <c r="B47" s="3">
        <v>1599.65</v>
      </c>
    </row>
    <row r="48" spans="1:2" ht="13.9" x14ac:dyDescent="0.35">
      <c r="A48" s="2">
        <v>43893</v>
      </c>
      <c r="B48" s="3">
        <v>1615.5</v>
      </c>
    </row>
    <row r="49" spans="1:2" ht="13.9" x14ac:dyDescent="0.35">
      <c r="A49" s="2">
        <v>43894</v>
      </c>
      <c r="B49" s="3">
        <v>1641.85</v>
      </c>
    </row>
    <row r="50" spans="1:2" ht="13.9" x14ac:dyDescent="0.35">
      <c r="A50" s="2">
        <v>43895</v>
      </c>
      <c r="B50" s="3">
        <v>1659.6</v>
      </c>
    </row>
    <row r="51" spans="1:2" ht="13.9" x14ac:dyDescent="0.35">
      <c r="A51" s="2">
        <v>43896</v>
      </c>
      <c r="B51" s="3">
        <v>1683.65</v>
      </c>
    </row>
    <row r="52" spans="1:2" ht="13.9" x14ac:dyDescent="0.35">
      <c r="A52" s="2">
        <v>43899</v>
      </c>
      <c r="B52" s="3">
        <v>1672.5</v>
      </c>
    </row>
    <row r="53" spans="1:2" ht="13.9" x14ac:dyDescent="0.35">
      <c r="A53" s="2">
        <v>43900</v>
      </c>
      <c r="B53" s="3">
        <v>1655.7</v>
      </c>
    </row>
    <row r="54" spans="1:2" ht="13.9" x14ac:dyDescent="0.35">
      <c r="A54" s="2">
        <v>43901</v>
      </c>
      <c r="B54" s="3">
        <v>1653.75</v>
      </c>
    </row>
    <row r="55" spans="1:2" ht="13.9" x14ac:dyDescent="0.35">
      <c r="A55" s="2">
        <v>43902</v>
      </c>
      <c r="B55" s="3">
        <v>1570.7</v>
      </c>
    </row>
    <row r="56" spans="1:2" ht="13.9" x14ac:dyDescent="0.35">
      <c r="A56" s="2">
        <v>43903</v>
      </c>
      <c r="B56" s="3">
        <v>1562.8</v>
      </c>
    </row>
    <row r="57" spans="1:2" ht="13.9" x14ac:dyDescent="0.35">
      <c r="A57" s="2">
        <v>43906</v>
      </c>
      <c r="B57" s="3">
        <v>1487.7</v>
      </c>
    </row>
    <row r="58" spans="1:2" ht="13.9" x14ac:dyDescent="0.35">
      <c r="A58" s="2">
        <v>43907</v>
      </c>
      <c r="B58" s="3">
        <v>1536.2</v>
      </c>
    </row>
    <row r="59" spans="1:2" ht="13.9" x14ac:dyDescent="0.35">
      <c r="A59" s="2">
        <v>43908</v>
      </c>
      <c r="B59" s="3">
        <v>1498.2</v>
      </c>
    </row>
    <row r="60" spans="1:2" ht="13.9" x14ac:dyDescent="0.35">
      <c r="A60" s="2">
        <v>43909</v>
      </c>
      <c r="B60" s="3">
        <v>1474.25</v>
      </c>
    </row>
    <row r="61" spans="1:2" ht="13.9" x14ac:dyDescent="0.35">
      <c r="A61" s="2">
        <v>43910</v>
      </c>
      <c r="B61" s="3">
        <v>1494.4</v>
      </c>
    </row>
    <row r="62" spans="1:2" ht="13.9" x14ac:dyDescent="0.35">
      <c r="A62" s="2">
        <v>43913</v>
      </c>
      <c r="B62" s="3">
        <v>1525.4</v>
      </c>
    </row>
    <row r="63" spans="1:2" ht="13.9" x14ac:dyDescent="0.35">
      <c r="A63" s="2">
        <v>43914</v>
      </c>
      <c r="B63" s="3">
        <v>1605.75</v>
      </c>
    </row>
    <row r="64" spans="1:2" ht="13.9" x14ac:dyDescent="0.35">
      <c r="A64" s="2">
        <v>43915</v>
      </c>
      <c r="B64" s="3">
        <v>1605.45</v>
      </c>
    </row>
    <row r="65" spans="1:2" ht="13.9" x14ac:dyDescent="0.35">
      <c r="A65" s="2">
        <v>43916</v>
      </c>
      <c r="B65" s="3">
        <v>1634.8</v>
      </c>
    </row>
    <row r="66" spans="1:2" ht="13.9" x14ac:dyDescent="0.35">
      <c r="A66" s="2">
        <v>43917</v>
      </c>
      <c r="B66" s="3">
        <v>1617.3</v>
      </c>
    </row>
    <row r="67" spans="1:2" ht="13.9" x14ac:dyDescent="0.35">
      <c r="A67" s="2">
        <v>43920</v>
      </c>
      <c r="B67" s="3">
        <v>1618.3</v>
      </c>
    </row>
    <row r="68" spans="1:2" ht="13.9" x14ac:dyDescent="0.35">
      <c r="A68" s="2">
        <v>43921</v>
      </c>
      <c r="B68" s="3">
        <v>1608.95</v>
      </c>
    </row>
    <row r="69" spans="1:2" ht="13.9" x14ac:dyDescent="0.35">
      <c r="A69" s="2">
        <v>43922</v>
      </c>
      <c r="B69" s="3">
        <v>1576.55</v>
      </c>
    </row>
    <row r="70" spans="1:2" ht="13.9" x14ac:dyDescent="0.35">
      <c r="A70" s="2">
        <v>43923</v>
      </c>
      <c r="B70" s="3">
        <v>1616.8</v>
      </c>
    </row>
    <row r="71" spans="1:2" ht="13.9" x14ac:dyDescent="0.35">
      <c r="A71" s="2">
        <v>43924</v>
      </c>
      <c r="B71" s="3">
        <v>1613.1</v>
      </c>
    </row>
    <row r="72" spans="1:2" ht="13.9" x14ac:dyDescent="0.35">
      <c r="A72" s="2">
        <v>43927</v>
      </c>
      <c r="B72" s="3">
        <v>1648.3</v>
      </c>
    </row>
    <row r="73" spans="1:2" ht="13.9" x14ac:dyDescent="0.35">
      <c r="A73" s="2">
        <v>43928</v>
      </c>
      <c r="B73" s="3">
        <v>1649.25</v>
      </c>
    </row>
    <row r="74" spans="1:2" ht="13.9" x14ac:dyDescent="0.35">
      <c r="A74" s="2">
        <v>43929</v>
      </c>
      <c r="B74" s="3">
        <v>1647.8</v>
      </c>
    </row>
    <row r="75" spans="1:2" ht="13.9" x14ac:dyDescent="0.35">
      <c r="A75" s="2">
        <v>43930</v>
      </c>
      <c r="B75" s="3">
        <v>1680.65</v>
      </c>
    </row>
    <row r="76" spans="1:2" ht="13.9" x14ac:dyDescent="0.35">
      <c r="A76" s="2">
        <v>43935</v>
      </c>
      <c r="B76" s="3">
        <v>1741.9</v>
      </c>
    </row>
    <row r="77" spans="1:2" ht="13.9" x14ac:dyDescent="0.35">
      <c r="A77" s="2">
        <v>43936</v>
      </c>
      <c r="B77" s="3">
        <v>1718.65</v>
      </c>
    </row>
    <row r="78" spans="1:2" ht="13.9" x14ac:dyDescent="0.35">
      <c r="A78" s="2">
        <v>43937</v>
      </c>
      <c r="B78" s="3">
        <v>1729.5</v>
      </c>
    </row>
    <row r="79" spans="1:2" ht="13.9" x14ac:dyDescent="0.35">
      <c r="A79" s="2">
        <v>43938</v>
      </c>
      <c r="B79" s="3">
        <v>1692.55</v>
      </c>
    </row>
    <row r="80" spans="1:2" ht="13.9" x14ac:dyDescent="0.35">
      <c r="A80" s="2">
        <v>43941</v>
      </c>
      <c r="B80" s="3">
        <v>1686.2</v>
      </c>
    </row>
    <row r="81" spans="1:2" ht="13.9" x14ac:dyDescent="0.35">
      <c r="A81" s="2">
        <v>43942</v>
      </c>
      <c r="B81" s="3">
        <v>1682.05</v>
      </c>
    </row>
    <row r="82" spans="1:2" ht="13.9" x14ac:dyDescent="0.35">
      <c r="A82" s="2">
        <v>43943</v>
      </c>
      <c r="B82" s="3">
        <v>1710.55</v>
      </c>
    </row>
    <row r="83" spans="1:2" ht="13.9" x14ac:dyDescent="0.35">
      <c r="A83" s="2">
        <v>43944</v>
      </c>
      <c r="B83" s="3">
        <v>1736.25</v>
      </c>
    </row>
    <row r="84" spans="1:2" ht="13.9" x14ac:dyDescent="0.35">
      <c r="A84" s="2">
        <v>43945</v>
      </c>
      <c r="B84" s="3">
        <v>1715.9</v>
      </c>
    </row>
    <row r="85" spans="1:2" ht="13.9" x14ac:dyDescent="0.35">
      <c r="A85" s="2">
        <v>43948</v>
      </c>
      <c r="B85" s="3">
        <v>1714.95</v>
      </c>
    </row>
    <row r="86" spans="1:2" ht="13.9" x14ac:dyDescent="0.35">
      <c r="A86" s="2">
        <v>43949</v>
      </c>
      <c r="B86" s="3">
        <v>1691.55</v>
      </c>
    </row>
    <row r="87" spans="1:2" ht="13.9" x14ac:dyDescent="0.35">
      <c r="A87" s="2">
        <v>43950</v>
      </c>
      <c r="B87" s="3">
        <v>1703.35</v>
      </c>
    </row>
    <row r="88" spans="1:2" ht="13.9" x14ac:dyDescent="0.35">
      <c r="A88" s="2">
        <v>43951</v>
      </c>
      <c r="B88" s="3">
        <v>1702.75</v>
      </c>
    </row>
    <row r="89" spans="1:2" ht="13.9" x14ac:dyDescent="0.35">
      <c r="A89" s="2">
        <v>43952</v>
      </c>
      <c r="B89" s="3">
        <v>1686.25</v>
      </c>
    </row>
    <row r="90" spans="1:2" ht="13.9" x14ac:dyDescent="0.35">
      <c r="A90" s="2">
        <v>43955</v>
      </c>
      <c r="B90" s="3">
        <v>1709.1</v>
      </c>
    </row>
    <row r="91" spans="1:2" ht="13.9" x14ac:dyDescent="0.35">
      <c r="A91" s="2">
        <v>43956</v>
      </c>
      <c r="B91" s="3">
        <v>1699.55</v>
      </c>
    </row>
    <row r="92" spans="1:2" ht="13.9" x14ac:dyDescent="0.35">
      <c r="A92" s="2">
        <v>43957</v>
      </c>
      <c r="B92" s="3">
        <v>1691.5</v>
      </c>
    </row>
    <row r="93" spans="1:2" ht="13.9" x14ac:dyDescent="0.35">
      <c r="A93" s="2">
        <v>43958</v>
      </c>
      <c r="B93" s="3">
        <v>1704.05</v>
      </c>
    </row>
    <row r="94" spans="1:2" ht="13.9" x14ac:dyDescent="0.35">
      <c r="A94" s="2">
        <v>43962</v>
      </c>
      <c r="B94" s="3">
        <v>1702.75</v>
      </c>
    </row>
    <row r="95" spans="1:2" ht="13.9" x14ac:dyDescent="0.35">
      <c r="A95" s="2">
        <v>43963</v>
      </c>
      <c r="B95" s="3">
        <v>1702.4</v>
      </c>
    </row>
    <row r="96" spans="1:2" ht="13.9" x14ac:dyDescent="0.35">
      <c r="A96" s="2">
        <v>43964</v>
      </c>
      <c r="B96" s="3">
        <v>1708.4</v>
      </c>
    </row>
    <row r="97" spans="1:2" ht="13.9" x14ac:dyDescent="0.35">
      <c r="A97" s="2">
        <v>43965</v>
      </c>
      <c r="B97" s="3">
        <v>1731.6</v>
      </c>
    </row>
    <row r="98" spans="1:2" ht="13.9" x14ac:dyDescent="0.35">
      <c r="A98" s="2">
        <v>43966</v>
      </c>
      <c r="B98" s="3">
        <v>1735.35</v>
      </c>
    </row>
    <row r="99" spans="1:2" ht="13.9" x14ac:dyDescent="0.35">
      <c r="A99" s="2">
        <v>43969</v>
      </c>
      <c r="B99" s="3">
        <v>1734.7</v>
      </c>
    </row>
    <row r="100" spans="1:2" ht="13.9" x14ac:dyDescent="0.35">
      <c r="A100" s="2">
        <v>43970</v>
      </c>
      <c r="B100" s="3">
        <v>1737.95</v>
      </c>
    </row>
    <row r="101" spans="1:2" ht="13.9" x14ac:dyDescent="0.35">
      <c r="A101" s="2">
        <v>43971</v>
      </c>
      <c r="B101" s="3">
        <v>1748.3</v>
      </c>
    </row>
    <row r="102" spans="1:2" ht="13.9" x14ac:dyDescent="0.35">
      <c r="A102" s="2">
        <v>43972</v>
      </c>
      <c r="B102" s="3">
        <v>1724.9</v>
      </c>
    </row>
    <row r="103" spans="1:2" ht="13.9" x14ac:dyDescent="0.35">
      <c r="A103" s="2">
        <v>43973</v>
      </c>
      <c r="B103" s="3">
        <v>1733.55</v>
      </c>
    </row>
    <row r="104" spans="1:2" ht="13.9" x14ac:dyDescent="0.35">
      <c r="A104" s="10">
        <v>43977</v>
      </c>
      <c r="B104" s="11">
        <v>1720.25</v>
      </c>
    </row>
    <row r="105" spans="1:2" ht="13.9" x14ac:dyDescent="0.35">
      <c r="A105" s="10">
        <v>43978</v>
      </c>
      <c r="B105" s="11">
        <v>1694.6</v>
      </c>
    </row>
    <row r="106" spans="1:2" ht="13.9" x14ac:dyDescent="0.35">
      <c r="A106" s="10">
        <v>43979</v>
      </c>
      <c r="B106" s="11">
        <v>1717.35</v>
      </c>
    </row>
    <row r="107" spans="1:2" ht="13.9" x14ac:dyDescent="0.35">
      <c r="A107" s="10">
        <v>43980</v>
      </c>
      <c r="B107" s="11">
        <v>1728.7</v>
      </c>
    </row>
    <row r="108" spans="1:2" ht="13.9" x14ac:dyDescent="0.35">
      <c r="A108" s="12">
        <v>43983</v>
      </c>
      <c r="B108" s="13">
        <v>1730.6</v>
      </c>
    </row>
    <row r="109" spans="1:2" ht="13.9" x14ac:dyDescent="0.35">
      <c r="A109" s="12">
        <v>43984</v>
      </c>
      <c r="B109" s="13">
        <v>1742.15</v>
      </c>
    </row>
    <row r="110" spans="1:2" ht="13.9" x14ac:dyDescent="0.35">
      <c r="A110" s="12">
        <v>43985</v>
      </c>
      <c r="B110" s="13">
        <v>1705.35</v>
      </c>
    </row>
    <row r="111" spans="1:2" ht="13.9" x14ac:dyDescent="0.35">
      <c r="A111" s="12">
        <v>43986</v>
      </c>
      <c r="B111" s="13">
        <v>1700.05</v>
      </c>
    </row>
    <row r="112" spans="1:2" ht="13.9" x14ac:dyDescent="0.35">
      <c r="A112" s="12">
        <v>43987</v>
      </c>
      <c r="B112" s="13">
        <v>1683.45</v>
      </c>
    </row>
    <row r="113" spans="1:2" ht="13.9" x14ac:dyDescent="0.35">
      <c r="A113" s="14">
        <v>43990</v>
      </c>
      <c r="B113" s="15">
        <v>1690.35</v>
      </c>
    </row>
    <row r="114" spans="1:2" ht="13.9" x14ac:dyDescent="0.35">
      <c r="A114" s="14">
        <v>43991</v>
      </c>
      <c r="B114" s="15">
        <v>1713.5</v>
      </c>
    </row>
    <row r="115" spans="1:2" ht="13.9" x14ac:dyDescent="0.35">
      <c r="A115" s="14">
        <v>43992</v>
      </c>
      <c r="B115" s="15">
        <v>1722.05</v>
      </c>
    </row>
    <row r="116" spans="1:2" ht="13.9" x14ac:dyDescent="0.35">
      <c r="A116" s="14">
        <v>43993</v>
      </c>
      <c r="B116" s="15">
        <v>1738.25</v>
      </c>
    </row>
    <row r="117" spans="1:2" ht="13.9" x14ac:dyDescent="0.35">
      <c r="A117" s="14">
        <v>43994</v>
      </c>
      <c r="B117" s="15">
        <v>1733.5</v>
      </c>
    </row>
    <row r="118" spans="1:2" ht="13.9" x14ac:dyDescent="0.35">
      <c r="A118" s="2">
        <v>43997</v>
      </c>
      <c r="B118" s="3">
        <v>1710.45</v>
      </c>
    </row>
    <row r="119" spans="1:2" ht="13.9" x14ac:dyDescent="0.35">
      <c r="A119" s="2">
        <v>43998</v>
      </c>
      <c r="B119" s="3">
        <v>1719.85</v>
      </c>
    </row>
    <row r="120" spans="1:2" ht="13.9" x14ac:dyDescent="0.35">
      <c r="A120" s="2">
        <v>43999</v>
      </c>
      <c r="B120" s="3">
        <v>1724.35</v>
      </c>
    </row>
    <row r="121" spans="1:2" ht="13.9" x14ac:dyDescent="0.35">
      <c r="A121" s="2">
        <v>44000</v>
      </c>
      <c r="B121" s="3">
        <v>1719.5</v>
      </c>
    </row>
    <row r="122" spans="1:2" ht="13.9" x14ac:dyDescent="0.35">
      <c r="A122" s="2">
        <v>44001</v>
      </c>
      <c r="B122" s="3">
        <v>1734.75</v>
      </c>
    </row>
    <row r="123" spans="1:2" ht="13.9" x14ac:dyDescent="0.35">
      <c r="A123" s="2">
        <v>44004</v>
      </c>
      <c r="B123" s="3">
        <v>1761.85</v>
      </c>
    </row>
    <row r="124" spans="1:2" ht="13.9" x14ac:dyDescent="0.35">
      <c r="A124" s="2">
        <v>44005</v>
      </c>
      <c r="B124" s="3">
        <v>1768.9</v>
      </c>
    </row>
    <row r="125" spans="1:2" ht="13.9" x14ac:dyDescent="0.35">
      <c r="A125" s="2">
        <v>44006</v>
      </c>
      <c r="B125" s="3">
        <v>1766.05</v>
      </c>
    </row>
    <row r="126" spans="1:2" ht="13.9" x14ac:dyDescent="0.35">
      <c r="A126" s="2">
        <v>44007</v>
      </c>
      <c r="B126" s="3">
        <v>1756.55</v>
      </c>
    </row>
    <row r="127" spans="1:2" ht="13.9" x14ac:dyDescent="0.35">
      <c r="A127" s="2">
        <v>44008</v>
      </c>
      <c r="B127" s="3">
        <v>1747.6</v>
      </c>
    </row>
    <row r="128" spans="1:2" ht="13.9" x14ac:dyDescent="0.35">
      <c r="A128" s="2">
        <v>44011</v>
      </c>
      <c r="B128" s="3">
        <v>1771.6</v>
      </c>
    </row>
    <row r="129" spans="1:2" ht="13.9" x14ac:dyDescent="0.35">
      <c r="A129" s="2">
        <v>44012</v>
      </c>
      <c r="B129" s="3">
        <v>1768.1</v>
      </c>
    </row>
    <row r="130" spans="1:2" ht="13.9" x14ac:dyDescent="0.35">
      <c r="A130" s="2">
        <v>44013</v>
      </c>
      <c r="B130" s="3">
        <v>1771.05</v>
      </c>
    </row>
    <row r="131" spans="1:2" ht="13.9" x14ac:dyDescent="0.35">
      <c r="A131" s="2">
        <v>44014</v>
      </c>
      <c r="B131" s="3">
        <v>1777.45</v>
      </c>
    </row>
    <row r="132" spans="1:2" ht="13.9" x14ac:dyDescent="0.35">
      <c r="A132" s="2">
        <v>44015</v>
      </c>
      <c r="B132" s="3">
        <v>1772.9</v>
      </c>
    </row>
    <row r="133" spans="1:2" ht="13.9" x14ac:dyDescent="0.35">
      <c r="A133" s="2">
        <v>44018</v>
      </c>
      <c r="B133" s="3">
        <v>1787.9</v>
      </c>
    </row>
    <row r="134" spans="1:2" ht="13.9" x14ac:dyDescent="0.35">
      <c r="A134" s="2">
        <v>44019</v>
      </c>
      <c r="B134" s="3">
        <v>1789.55</v>
      </c>
    </row>
    <row r="135" spans="1:2" ht="13.9" x14ac:dyDescent="0.35">
      <c r="A135" s="2">
        <v>44020</v>
      </c>
      <c r="B135" s="3">
        <v>1811.1</v>
      </c>
    </row>
    <row r="136" spans="1:2" ht="13.9" x14ac:dyDescent="0.35">
      <c r="A136" s="2">
        <v>44021</v>
      </c>
      <c r="B136" s="3">
        <v>1812.1</v>
      </c>
    </row>
    <row r="137" spans="1:2" ht="13.9" x14ac:dyDescent="0.35">
      <c r="A137" s="2">
        <v>44022</v>
      </c>
      <c r="B137" s="3">
        <v>1803.1</v>
      </c>
    </row>
    <row r="138" spans="1:2" ht="13.9" x14ac:dyDescent="0.35">
      <c r="A138" s="2">
        <v>44025</v>
      </c>
      <c r="B138" s="3">
        <v>1807.5</v>
      </c>
    </row>
    <row r="139" spans="1:2" ht="13.9" x14ac:dyDescent="0.35">
      <c r="A139" s="2">
        <v>44026</v>
      </c>
      <c r="B139" s="3">
        <v>1801.9</v>
      </c>
    </row>
    <row r="140" spans="1:2" ht="13.9" x14ac:dyDescent="0.35">
      <c r="A140" s="2">
        <v>44027</v>
      </c>
      <c r="B140" s="3">
        <v>1804.6</v>
      </c>
    </row>
    <row r="141" spans="1:2" ht="13.9" x14ac:dyDescent="0.35">
      <c r="A141" s="2">
        <v>44028</v>
      </c>
      <c r="B141" s="3">
        <v>1807.7</v>
      </c>
    </row>
    <row r="142" spans="1:2" ht="13.9" x14ac:dyDescent="0.35">
      <c r="A142" s="2">
        <v>44029</v>
      </c>
      <c r="B142" s="3">
        <v>1807.35</v>
      </c>
    </row>
    <row r="143" spans="1:2" ht="13.9" x14ac:dyDescent="0.35">
      <c r="A143" s="2">
        <v>44032</v>
      </c>
      <c r="B143" s="3">
        <v>1815.65</v>
      </c>
    </row>
    <row r="144" spans="1:2" ht="13.9" x14ac:dyDescent="0.35">
      <c r="A144" s="2">
        <v>44033</v>
      </c>
      <c r="B144" s="3">
        <v>1842.55</v>
      </c>
    </row>
    <row r="145" spans="1:2" ht="13.9" x14ac:dyDescent="0.35">
      <c r="A145" s="2">
        <v>44034</v>
      </c>
      <c r="B145" s="3">
        <v>1852.4</v>
      </c>
    </row>
    <row r="146" spans="1:2" ht="13.9" x14ac:dyDescent="0.35">
      <c r="A146" s="2">
        <v>44035</v>
      </c>
      <c r="B146" s="3">
        <v>1878.3</v>
      </c>
    </row>
    <row r="147" spans="1:2" ht="13.9" x14ac:dyDescent="0.35">
      <c r="A147" s="2">
        <v>44036</v>
      </c>
      <c r="B147" s="3">
        <v>1902.1</v>
      </c>
    </row>
    <row r="148" spans="1:2" ht="13.9" x14ac:dyDescent="0.35">
      <c r="A148" s="2">
        <v>44039</v>
      </c>
      <c r="B148" s="3">
        <v>1936.65</v>
      </c>
    </row>
    <row r="149" spans="1:2" ht="13.9" x14ac:dyDescent="0.35">
      <c r="A149" s="2">
        <v>44040</v>
      </c>
      <c r="B149" s="3">
        <v>1940.9</v>
      </c>
    </row>
    <row r="150" spans="1:2" ht="13.9" x14ac:dyDescent="0.35">
      <c r="A150" s="2">
        <v>44041</v>
      </c>
      <c r="B150" s="3">
        <v>1950.9</v>
      </c>
    </row>
    <row r="151" spans="1:2" ht="13.9" x14ac:dyDescent="0.35">
      <c r="A151" s="2">
        <v>44042</v>
      </c>
      <c r="B151" s="3">
        <v>1957.65</v>
      </c>
    </row>
    <row r="152" spans="1:2" ht="13.9" x14ac:dyDescent="0.35">
      <c r="A152" s="2">
        <v>44043</v>
      </c>
      <c r="B152" s="3">
        <v>1964.9</v>
      </c>
    </row>
    <row r="153" spans="1:2" ht="13.9" x14ac:dyDescent="0.35">
      <c r="A153" s="2">
        <v>44046</v>
      </c>
      <c r="B153" s="3">
        <v>1958.55</v>
      </c>
    </row>
    <row r="154" spans="1:2" ht="13.9" x14ac:dyDescent="0.35">
      <c r="A154" s="2">
        <v>44047</v>
      </c>
      <c r="B154" s="3">
        <v>1977.9</v>
      </c>
    </row>
    <row r="155" spans="1:2" ht="13.9" x14ac:dyDescent="0.35">
      <c r="A155" s="2">
        <v>44048</v>
      </c>
      <c r="B155" s="3">
        <v>2048.15</v>
      </c>
    </row>
    <row r="156" spans="1:2" ht="13.9" x14ac:dyDescent="0.35">
      <c r="A156" s="2">
        <v>44049</v>
      </c>
      <c r="B156" s="3">
        <v>2067.15</v>
      </c>
    </row>
    <row r="157" spans="1:2" ht="13.9" x14ac:dyDescent="0.35">
      <c r="A157" s="2">
        <v>44050</v>
      </c>
      <c r="B157" s="3">
        <v>2031.15</v>
      </c>
    </row>
    <row r="158" spans="1:2" ht="13.9" x14ac:dyDescent="0.35">
      <c r="A158" s="2">
        <v>44053</v>
      </c>
      <c r="B158" s="3">
        <v>2044.5</v>
      </c>
    </row>
    <row r="159" spans="1:2" ht="13.9" x14ac:dyDescent="0.35">
      <c r="A159" s="2">
        <v>44054</v>
      </c>
      <c r="B159" s="3">
        <v>1939.65</v>
      </c>
    </row>
    <row r="160" spans="1:2" ht="13.9" x14ac:dyDescent="0.35">
      <c r="A160" s="2">
        <v>44055</v>
      </c>
      <c r="B160" s="3">
        <v>1931.9</v>
      </c>
    </row>
    <row r="161" spans="1:2" ht="13.9" x14ac:dyDescent="0.35">
      <c r="A161" s="2">
        <v>44056</v>
      </c>
      <c r="B161" s="3">
        <v>1944.25</v>
      </c>
    </row>
    <row r="162" spans="1:2" ht="13.9" x14ac:dyDescent="0.35">
      <c r="A162" s="2">
        <v>44057</v>
      </c>
      <c r="B162" s="3">
        <v>1944.75</v>
      </c>
    </row>
    <row r="163" spans="1:2" ht="13.9" x14ac:dyDescent="0.35">
      <c r="A163" s="2">
        <v>44060</v>
      </c>
      <c r="B163" s="3">
        <v>1972.85</v>
      </c>
    </row>
    <row r="164" spans="1:2" ht="13.9" x14ac:dyDescent="0.35">
      <c r="A164" s="2">
        <v>44061</v>
      </c>
      <c r="B164" s="3">
        <v>2008.75</v>
      </c>
    </row>
    <row r="165" spans="1:2" ht="13.9" x14ac:dyDescent="0.35">
      <c r="A165" s="2">
        <v>44062</v>
      </c>
      <c r="B165" s="3">
        <v>1981</v>
      </c>
    </row>
    <row r="166" spans="1:2" ht="13.9" x14ac:dyDescent="0.35">
      <c r="A166" s="2">
        <v>44063</v>
      </c>
      <c r="B166" s="3">
        <v>1927.15</v>
      </c>
    </row>
    <row r="167" spans="1:2" ht="13.9" x14ac:dyDescent="0.35">
      <c r="A167" s="2">
        <v>44064</v>
      </c>
      <c r="B167" s="3">
        <v>1924.35</v>
      </c>
    </row>
    <row r="168" spans="1:2" ht="13.9" x14ac:dyDescent="0.35">
      <c r="A168" s="2">
        <v>44067</v>
      </c>
      <c r="B168" s="3">
        <v>1943.95</v>
      </c>
    </row>
    <row r="169" spans="1:2" ht="13.9" x14ac:dyDescent="0.35">
      <c r="A169" s="2">
        <v>44068</v>
      </c>
      <c r="B169" s="3">
        <v>1911.15</v>
      </c>
    </row>
    <row r="170" spans="1:2" ht="13.9" x14ac:dyDescent="0.35">
      <c r="A170" s="2">
        <v>44069</v>
      </c>
      <c r="B170" s="3">
        <v>1932.95</v>
      </c>
    </row>
    <row r="171" spans="1:2" ht="13.9" x14ac:dyDescent="0.35">
      <c r="A171" s="2">
        <v>44070</v>
      </c>
      <c r="B171" s="3">
        <v>1923.85</v>
      </c>
    </row>
    <row r="172" spans="1:2" ht="13.9" x14ac:dyDescent="0.35">
      <c r="A172" s="2">
        <v>44071</v>
      </c>
      <c r="B172" s="3">
        <v>1957.35</v>
      </c>
    </row>
    <row r="173" spans="1:2" ht="13.9" x14ac:dyDescent="0.35">
      <c r="A173" s="2">
        <v>44075</v>
      </c>
      <c r="B173" s="3">
        <v>1972.35</v>
      </c>
    </row>
    <row r="174" spans="1:2" ht="13.9" x14ac:dyDescent="0.35">
      <c r="A174" s="2">
        <v>44076</v>
      </c>
      <c r="B174" s="3">
        <v>1947.05</v>
      </c>
    </row>
    <row r="175" spans="1:2" ht="13.9" x14ac:dyDescent="0.35">
      <c r="A175" s="2">
        <v>44077</v>
      </c>
      <c r="B175" s="3">
        <v>1940.45</v>
      </c>
    </row>
    <row r="176" spans="1:2" ht="13.9" x14ac:dyDescent="0.35">
      <c r="A176" s="2">
        <v>44078</v>
      </c>
      <c r="B176" s="3">
        <v>1926.3</v>
      </c>
    </row>
    <row r="177" spans="1:2" ht="13.9" x14ac:dyDescent="0.35">
      <c r="A177" s="2">
        <v>44081</v>
      </c>
      <c r="B177" s="3">
        <v>1928.45</v>
      </c>
    </row>
    <row r="178" spans="1:2" ht="13.9" x14ac:dyDescent="0.35">
      <c r="A178" s="2">
        <v>44082</v>
      </c>
      <c r="B178" s="3">
        <v>1910.95</v>
      </c>
    </row>
    <row r="179" spans="1:2" ht="13.9" x14ac:dyDescent="0.35">
      <c r="A179" s="2">
        <v>44083</v>
      </c>
      <c r="B179" s="3">
        <v>1947.2</v>
      </c>
    </row>
    <row r="180" spans="1:2" ht="13.9" x14ac:dyDescent="0.35">
      <c r="A180" s="2">
        <v>44084</v>
      </c>
      <c r="B180" s="3">
        <v>1966.25</v>
      </c>
    </row>
    <row r="181" spans="1:2" ht="13.9" x14ac:dyDescent="0.35">
      <c r="A181" s="2">
        <v>44085</v>
      </c>
      <c r="B181" s="3">
        <v>1947.4</v>
      </c>
    </row>
    <row r="182" spans="1:2" ht="13.9" x14ac:dyDescent="0.35">
      <c r="A182" s="2">
        <v>44088</v>
      </c>
      <c r="B182" s="3">
        <v>1958.7</v>
      </c>
    </row>
    <row r="183" spans="1:2" ht="13.9" x14ac:dyDescent="0.35">
      <c r="A183" s="2">
        <v>44089</v>
      </c>
      <c r="B183" s="3">
        <v>1949.35</v>
      </c>
    </row>
    <row r="184" spans="1:2" ht="13.9" x14ac:dyDescent="0.35">
      <c r="A184" s="2">
        <v>44090</v>
      </c>
      <c r="B184" s="3">
        <v>1961.8</v>
      </c>
    </row>
    <row r="185" spans="1:2" ht="13.9" x14ac:dyDescent="0.35">
      <c r="A185" s="2">
        <v>44091</v>
      </c>
      <c r="B185" s="3">
        <v>1936.25</v>
      </c>
    </row>
    <row r="186" spans="1:2" ht="13.9" x14ac:dyDescent="0.35">
      <c r="A186" s="2">
        <v>44092</v>
      </c>
      <c r="B186" s="3">
        <v>1950.85</v>
      </c>
    </row>
    <row r="187" spans="1:2" ht="13.9" x14ac:dyDescent="0.35">
      <c r="A187" s="2">
        <v>44095</v>
      </c>
      <c r="B187" s="3">
        <v>1909.35</v>
      </c>
    </row>
    <row r="188" spans="1:2" ht="13.9" x14ac:dyDescent="0.35">
      <c r="A188" s="2">
        <v>44096</v>
      </c>
      <c r="B188" s="3">
        <v>1906</v>
      </c>
    </row>
    <row r="189" spans="1:2" ht="13.9" x14ac:dyDescent="0.35">
      <c r="A189" s="2">
        <v>44097</v>
      </c>
      <c r="B189" s="3">
        <v>1873.4</v>
      </c>
    </row>
    <row r="190" spans="1:2" ht="13.9" x14ac:dyDescent="0.35">
      <c r="A190" s="2">
        <v>44098</v>
      </c>
      <c r="B190" s="3">
        <v>1861.75</v>
      </c>
    </row>
    <row r="191" spans="1:2" ht="13.9" x14ac:dyDescent="0.35">
      <c r="A191" s="2">
        <v>44099</v>
      </c>
      <c r="B191" s="3">
        <v>1859.7</v>
      </c>
    </row>
    <row r="192" spans="1:2" ht="13.9" x14ac:dyDescent="0.35">
      <c r="A192" s="2">
        <v>44102</v>
      </c>
      <c r="B192" s="3">
        <v>1864.3</v>
      </c>
    </row>
    <row r="193" spans="1:2" ht="13.9" x14ac:dyDescent="0.35">
      <c r="A193" s="2">
        <v>44103</v>
      </c>
      <c r="B193" s="3">
        <v>1883.95</v>
      </c>
    </row>
    <row r="194" spans="1:2" ht="13.9" x14ac:dyDescent="0.35">
      <c r="A194" s="2">
        <v>44104</v>
      </c>
      <c r="B194" s="3">
        <v>1886.9</v>
      </c>
    </row>
    <row r="195" spans="1:2" ht="13.9" x14ac:dyDescent="0.35">
      <c r="A195" s="2">
        <v>44105</v>
      </c>
      <c r="B195" s="3">
        <v>1902</v>
      </c>
    </row>
    <row r="196" spans="1:2" ht="13.9" x14ac:dyDescent="0.35">
      <c r="A196" s="2">
        <v>44106</v>
      </c>
      <c r="B196" s="3">
        <v>1903.05</v>
      </c>
    </row>
    <row r="197" spans="1:2" ht="13.9" x14ac:dyDescent="0.35">
      <c r="A197" s="2">
        <v>44109</v>
      </c>
      <c r="B197" s="3">
        <v>1909.6</v>
      </c>
    </row>
    <row r="198" spans="1:2" ht="13.9" x14ac:dyDescent="0.35">
      <c r="A198" s="2">
        <v>44110</v>
      </c>
      <c r="B198" s="3">
        <v>1913.4</v>
      </c>
    </row>
    <row r="199" spans="1:2" ht="13.9" x14ac:dyDescent="0.35">
      <c r="A199" s="2">
        <v>44111</v>
      </c>
      <c r="B199" s="3">
        <v>1884.5</v>
      </c>
    </row>
    <row r="200" spans="1:2" ht="13.9" x14ac:dyDescent="0.35">
      <c r="A200" s="2">
        <v>44112</v>
      </c>
      <c r="B200" s="3">
        <v>1887.45</v>
      </c>
    </row>
    <row r="201" spans="1:2" ht="13.9" x14ac:dyDescent="0.35">
      <c r="A201" s="2">
        <v>44113</v>
      </c>
      <c r="B201" s="3">
        <v>1923.25</v>
      </c>
    </row>
    <row r="202" spans="1:2" ht="13.9" x14ac:dyDescent="0.35">
      <c r="A202" s="2">
        <v>44116</v>
      </c>
      <c r="B202" s="3">
        <v>1925.5</v>
      </c>
    </row>
    <row r="203" spans="1:2" ht="13.9" x14ac:dyDescent="0.35">
      <c r="A203" s="2">
        <v>44117</v>
      </c>
      <c r="B203" s="3">
        <v>1891.3</v>
      </c>
    </row>
    <row r="204" spans="1:2" ht="13.9" x14ac:dyDescent="0.35">
      <c r="A204" s="2">
        <v>44118</v>
      </c>
      <c r="B204" s="3">
        <v>1910.05</v>
      </c>
    </row>
    <row r="205" spans="1:2" ht="13.9" x14ac:dyDescent="0.35">
      <c r="A205" s="2">
        <v>44119</v>
      </c>
      <c r="B205" s="3">
        <v>1891.9</v>
      </c>
    </row>
    <row r="206" spans="1:2" ht="13.9" x14ac:dyDescent="0.35">
      <c r="A206" s="2">
        <v>44120</v>
      </c>
      <c r="B206" s="3">
        <v>1905.05</v>
      </c>
    </row>
    <row r="207" spans="1:2" ht="13.9" x14ac:dyDescent="0.35">
      <c r="A207" s="2">
        <v>44123</v>
      </c>
      <c r="B207" s="3">
        <v>1905.6</v>
      </c>
    </row>
    <row r="208" spans="1:2" ht="13.9" x14ac:dyDescent="0.35">
      <c r="A208" s="2">
        <v>44124</v>
      </c>
      <c r="B208" s="3">
        <v>1898.4</v>
      </c>
    </row>
    <row r="209" spans="1:2" ht="13.9" x14ac:dyDescent="0.35">
      <c r="A209" s="2">
        <v>44125</v>
      </c>
      <c r="B209" s="3">
        <v>1924.15</v>
      </c>
    </row>
    <row r="210" spans="1:2" ht="13.9" x14ac:dyDescent="0.35">
      <c r="A210" s="2">
        <v>44126</v>
      </c>
      <c r="B210" s="3">
        <v>1900.95</v>
      </c>
    </row>
    <row r="211" spans="1:2" ht="13.9" x14ac:dyDescent="0.35">
      <c r="A211" s="2">
        <v>44127</v>
      </c>
      <c r="B211" s="3">
        <v>1903.65</v>
      </c>
    </row>
    <row r="212" spans="1:2" ht="13.9" x14ac:dyDescent="0.35">
      <c r="A212" s="2">
        <v>44130</v>
      </c>
      <c r="B212" s="3">
        <v>1898.45</v>
      </c>
    </row>
    <row r="213" spans="1:2" ht="13.9" x14ac:dyDescent="0.35">
      <c r="A213" s="2">
        <v>44131</v>
      </c>
      <c r="B213" s="3">
        <v>1905.7</v>
      </c>
    </row>
    <row r="214" spans="1:2" ht="13.9" x14ac:dyDescent="0.35">
      <c r="A214" s="2">
        <v>44132</v>
      </c>
      <c r="B214" s="3">
        <v>1869.95</v>
      </c>
    </row>
    <row r="215" spans="1:2" ht="13.9" x14ac:dyDescent="0.35">
      <c r="A215" s="2">
        <v>44133</v>
      </c>
      <c r="B215" s="3">
        <v>1870.3</v>
      </c>
    </row>
    <row r="216" spans="1:2" ht="13.9" x14ac:dyDescent="0.35">
      <c r="A216" s="2">
        <v>44134</v>
      </c>
      <c r="B216" s="3">
        <v>1881.85</v>
      </c>
    </row>
    <row r="217" spans="1:2" ht="13.9" x14ac:dyDescent="0.35">
      <c r="A217" s="2">
        <v>44137</v>
      </c>
      <c r="B217" s="3">
        <v>1889.9</v>
      </c>
    </row>
    <row r="218" spans="1:2" ht="13.9" x14ac:dyDescent="0.35">
      <c r="A218" s="2">
        <v>44138</v>
      </c>
      <c r="B218" s="3">
        <v>1908.3</v>
      </c>
    </row>
    <row r="219" spans="1:2" ht="13.9" x14ac:dyDescent="0.35">
      <c r="A219" s="2">
        <v>44139</v>
      </c>
      <c r="B219" s="3">
        <v>1900.15</v>
      </c>
    </row>
    <row r="220" spans="1:2" ht="13.9" x14ac:dyDescent="0.35">
      <c r="A220" s="2">
        <v>44140</v>
      </c>
      <c r="B220" s="3">
        <v>1938.45</v>
      </c>
    </row>
    <row r="221" spans="1:2" ht="13.9" x14ac:dyDescent="0.35">
      <c r="A221" s="2">
        <v>44141</v>
      </c>
      <c r="B221" s="3">
        <v>1940.8</v>
      </c>
    </row>
    <row r="222" spans="1:2" ht="13.9" x14ac:dyDescent="0.35">
      <c r="A222" s="2">
        <v>44144</v>
      </c>
      <c r="B222" s="3">
        <v>1867.3</v>
      </c>
    </row>
    <row r="223" spans="1:2" ht="13.9" x14ac:dyDescent="0.35">
      <c r="A223" s="2">
        <v>44145</v>
      </c>
      <c r="B223" s="3">
        <v>1878.7</v>
      </c>
    </row>
    <row r="224" spans="1:2" ht="13.9" x14ac:dyDescent="0.35">
      <c r="A224" s="2">
        <v>44146</v>
      </c>
      <c r="B224" s="3">
        <v>1860.95</v>
      </c>
    </row>
    <row r="225" spans="1:2" ht="13.9" x14ac:dyDescent="0.35">
      <c r="A225" s="2">
        <v>44147</v>
      </c>
      <c r="B225" s="3">
        <v>1874.85</v>
      </c>
    </row>
    <row r="226" spans="1:2" ht="13.9" x14ac:dyDescent="0.35">
      <c r="A226" s="2">
        <v>44148</v>
      </c>
      <c r="B226" s="3">
        <v>1890.9</v>
      </c>
    </row>
    <row r="227" spans="1:2" ht="13.9" x14ac:dyDescent="0.35">
      <c r="A227" s="2">
        <v>44151</v>
      </c>
      <c r="B227" s="3">
        <v>1885.6</v>
      </c>
    </row>
    <row r="228" spans="1:2" ht="13.9" x14ac:dyDescent="0.35">
      <c r="A228" s="2">
        <v>44152</v>
      </c>
      <c r="B228" s="3">
        <v>1889.05</v>
      </c>
    </row>
    <row r="229" spans="1:2" ht="13.9" x14ac:dyDescent="0.35">
      <c r="A229" s="2">
        <v>44153</v>
      </c>
      <c r="B229" s="3">
        <v>1876.1</v>
      </c>
    </row>
    <row r="230" spans="1:2" ht="13.9" x14ac:dyDescent="0.35">
      <c r="A230" s="2">
        <v>44154</v>
      </c>
      <c r="B230" s="3">
        <v>1857.35</v>
      </c>
    </row>
    <row r="231" spans="1:2" ht="13.9" x14ac:dyDescent="0.35">
      <c r="A231" s="2">
        <v>44155</v>
      </c>
      <c r="B231" s="3">
        <v>1875.7</v>
      </c>
    </row>
    <row r="232" spans="1:2" ht="13.9" x14ac:dyDescent="0.35">
      <c r="A232" s="2">
        <v>44158</v>
      </c>
      <c r="B232" s="3">
        <v>1840.2</v>
      </c>
    </row>
    <row r="233" spans="1:2" ht="13.9" x14ac:dyDescent="0.35">
      <c r="A233" s="2">
        <v>44159</v>
      </c>
      <c r="B233" s="3">
        <v>1799.6</v>
      </c>
    </row>
    <row r="234" spans="1:2" ht="13.9" x14ac:dyDescent="0.35">
      <c r="A234" s="2">
        <v>44160</v>
      </c>
      <c r="B234" s="3">
        <v>1810.2</v>
      </c>
    </row>
    <row r="235" spans="1:2" ht="13.9" x14ac:dyDescent="0.35">
      <c r="A235" s="2">
        <v>44161</v>
      </c>
      <c r="B235" s="3">
        <v>1807.4</v>
      </c>
    </row>
    <row r="236" spans="1:2" ht="13.9" x14ac:dyDescent="0.35">
      <c r="A236" s="2">
        <v>44162</v>
      </c>
      <c r="B236" s="3">
        <v>1779.3</v>
      </c>
    </row>
    <row r="237" spans="1:2" ht="13.9" x14ac:dyDescent="0.35">
      <c r="A237" s="2">
        <v>44165</v>
      </c>
      <c r="B237" s="3">
        <v>1762.55</v>
      </c>
    </row>
    <row r="238" spans="1:2" ht="13.9" x14ac:dyDescent="0.35">
      <c r="A238" s="2">
        <v>44166</v>
      </c>
      <c r="B238" s="3">
        <v>1810.75</v>
      </c>
    </row>
    <row r="239" spans="1:2" ht="13.9" x14ac:dyDescent="0.35">
      <c r="A239" s="2">
        <v>44167</v>
      </c>
      <c r="B239" s="3">
        <v>1822.6</v>
      </c>
    </row>
    <row r="240" spans="1:2" ht="13.9" x14ac:dyDescent="0.35">
      <c r="A240" s="2">
        <v>44168</v>
      </c>
      <c r="B240" s="3">
        <v>1832.35</v>
      </c>
    </row>
    <row r="241" spans="1:2" ht="13.9" x14ac:dyDescent="0.35">
      <c r="A241" s="2">
        <v>44169</v>
      </c>
      <c r="B241" s="3">
        <v>1843</v>
      </c>
    </row>
    <row r="242" spans="1:2" ht="13.9" x14ac:dyDescent="0.35">
      <c r="A242" s="2">
        <v>44172</v>
      </c>
      <c r="B242" s="3">
        <v>1859.95</v>
      </c>
    </row>
    <row r="243" spans="1:2" ht="13.9" x14ac:dyDescent="0.35">
      <c r="A243" s="2">
        <v>44173</v>
      </c>
      <c r="B243" s="3">
        <v>1868.15</v>
      </c>
    </row>
    <row r="244" spans="1:2" ht="13.9" x14ac:dyDescent="0.35">
      <c r="A244" s="2">
        <v>44174</v>
      </c>
      <c r="B244" s="3">
        <v>1841.75</v>
      </c>
    </row>
    <row r="245" spans="1:2" ht="13.9" x14ac:dyDescent="0.35">
      <c r="A245" s="2">
        <v>44175</v>
      </c>
      <c r="B245" s="3">
        <v>1844.35</v>
      </c>
    </row>
    <row r="246" spans="1:2" ht="13.9" x14ac:dyDescent="0.35">
      <c r="A246" s="2">
        <v>44176</v>
      </c>
      <c r="B246" s="3">
        <v>1842</v>
      </c>
    </row>
    <row r="247" spans="1:2" ht="13.9" x14ac:dyDescent="0.35">
      <c r="A247" s="2">
        <v>44179</v>
      </c>
      <c r="B247" s="3">
        <v>1831.15</v>
      </c>
    </row>
    <row r="248" spans="1:2" ht="13.9" x14ac:dyDescent="0.35">
      <c r="A248" s="2">
        <v>44180</v>
      </c>
      <c r="B248" s="3">
        <v>1850.65</v>
      </c>
    </row>
    <row r="249" spans="1:2" ht="13.9" x14ac:dyDescent="0.35">
      <c r="A249" s="2">
        <v>44181</v>
      </c>
      <c r="B249" s="3">
        <v>1851.95</v>
      </c>
    </row>
    <row r="250" spans="1:2" ht="13.9" x14ac:dyDescent="0.35">
      <c r="A250" s="2">
        <v>44182</v>
      </c>
      <c r="B250" s="3">
        <v>1890.75</v>
      </c>
    </row>
    <row r="251" spans="1:2" ht="13.9" x14ac:dyDescent="0.35">
      <c r="A251" s="2">
        <v>44183</v>
      </c>
      <c r="B251" s="3">
        <v>1879.75</v>
      </c>
    </row>
    <row r="252" spans="1:2" ht="13.9" x14ac:dyDescent="0.35">
      <c r="A252" s="2">
        <v>44186</v>
      </c>
      <c r="B252" s="3">
        <v>1880</v>
      </c>
    </row>
    <row r="253" spans="1:2" ht="13.9" x14ac:dyDescent="0.35">
      <c r="A253" s="2">
        <v>44187</v>
      </c>
      <c r="B253" s="3">
        <v>1877.1</v>
      </c>
    </row>
    <row r="254" spans="1:2" ht="13.9" x14ac:dyDescent="0.35">
      <c r="A254" s="2">
        <v>44188</v>
      </c>
      <c r="B254" s="3">
        <v>1875</v>
      </c>
    </row>
    <row r="255" spans="1:2" ht="13.9" x14ac:dyDescent="0.35">
      <c r="A255" s="2">
        <v>44194</v>
      </c>
      <c r="B255" s="3">
        <v>1874.3</v>
      </c>
    </row>
    <row r="256" spans="1:2" ht="13.9" x14ac:dyDescent="0.35">
      <c r="A256" s="2">
        <v>44195</v>
      </c>
      <c r="B256" s="3">
        <v>1887.6</v>
      </c>
    </row>
    <row r="257" spans="1:2" ht="13.9" x14ac:dyDescent="0.35">
      <c r="A257" s="2">
        <v>44200</v>
      </c>
      <c r="B257" s="3">
        <v>1943.2</v>
      </c>
    </row>
    <row r="258" spans="1:2" ht="13.9" x14ac:dyDescent="0.35">
      <c r="A258" s="2">
        <v>44201</v>
      </c>
      <c r="B258" s="3">
        <v>1940.35</v>
      </c>
    </row>
    <row r="259" spans="1:2" ht="13.9" x14ac:dyDescent="0.35">
      <c r="A259" s="2">
        <v>44202</v>
      </c>
      <c r="B259" s="3">
        <v>1931.95</v>
      </c>
    </row>
    <row r="260" spans="1:2" ht="13.9" x14ac:dyDescent="0.35">
      <c r="A260" s="2">
        <v>44203</v>
      </c>
      <c r="B260" s="3">
        <v>1920.1</v>
      </c>
    </row>
    <row r="261" spans="1:2" ht="13.9" x14ac:dyDescent="0.35">
      <c r="A261" s="2">
        <v>44204</v>
      </c>
      <c r="B261" s="3">
        <v>1862.9</v>
      </c>
    </row>
    <row r="262" spans="1:2" ht="13.9" x14ac:dyDescent="0.35">
      <c r="A262" s="2">
        <v>44207</v>
      </c>
      <c r="B262" s="3">
        <v>1847.25</v>
      </c>
    </row>
    <row r="263" spans="1:2" ht="13.9" x14ac:dyDescent="0.35">
      <c r="A263" s="2">
        <v>44208</v>
      </c>
      <c r="B263" s="3">
        <v>1841.25</v>
      </c>
    </row>
    <row r="264" spans="1:2" ht="13.9" x14ac:dyDescent="0.35">
      <c r="A264" s="2">
        <v>44209</v>
      </c>
      <c r="B264" s="3">
        <v>1858.85</v>
      </c>
    </row>
    <row r="265" spans="1:2" ht="13.9" x14ac:dyDescent="0.35">
      <c r="A265" s="2">
        <v>44210</v>
      </c>
      <c r="B265" s="3">
        <v>1841.75</v>
      </c>
    </row>
    <row r="266" spans="1:2" ht="13.9" x14ac:dyDescent="0.35">
      <c r="A266" s="2">
        <v>44211</v>
      </c>
      <c r="B266" s="3">
        <v>1839</v>
      </c>
    </row>
    <row r="267" spans="1:2" ht="13.9" x14ac:dyDescent="0.35">
      <c r="A267" s="2">
        <v>44214</v>
      </c>
      <c r="B267" s="3">
        <v>1833.05</v>
      </c>
    </row>
    <row r="268" spans="1:2" ht="13.9" x14ac:dyDescent="0.35">
      <c r="A268" s="2">
        <v>44215</v>
      </c>
      <c r="B268" s="3">
        <v>1834.7</v>
      </c>
    </row>
    <row r="269" spans="1:2" ht="13.9" x14ac:dyDescent="0.35">
      <c r="A269" s="2">
        <v>44216</v>
      </c>
      <c r="B269" s="3">
        <v>1856.6</v>
      </c>
    </row>
    <row r="270" spans="1:2" ht="13.9" x14ac:dyDescent="0.35">
      <c r="A270" s="2">
        <v>44217</v>
      </c>
      <c r="B270" s="3">
        <v>1862.1</v>
      </c>
    </row>
    <row r="271" spans="1:2" ht="13.9" x14ac:dyDescent="0.35">
      <c r="A271" s="2">
        <v>44218</v>
      </c>
      <c r="B271" s="3">
        <v>1852.7</v>
      </c>
    </row>
    <row r="272" spans="1:2" ht="13.9" x14ac:dyDescent="0.35">
      <c r="A272" s="2">
        <v>44221</v>
      </c>
      <c r="B272" s="3">
        <v>1856.85</v>
      </c>
    </row>
    <row r="273" spans="1:2" ht="13.9" x14ac:dyDescent="0.35">
      <c r="A273" s="2">
        <v>44222</v>
      </c>
      <c r="B273" s="3">
        <v>1856.6</v>
      </c>
    </row>
    <row r="274" spans="1:2" ht="13.9" x14ac:dyDescent="0.35">
      <c r="A274" s="2">
        <v>44223</v>
      </c>
      <c r="B274" s="3">
        <v>1856.6</v>
      </c>
    </row>
    <row r="275" spans="1:2" ht="13.9" x14ac:dyDescent="0.35">
      <c r="A275" s="2">
        <v>44224</v>
      </c>
      <c r="B275" s="3">
        <v>1853.7</v>
      </c>
    </row>
    <row r="276" spans="1:2" ht="13.9" x14ac:dyDescent="0.35">
      <c r="A276" s="2">
        <v>44225</v>
      </c>
      <c r="B276" s="3">
        <v>1863.8</v>
      </c>
    </row>
    <row r="277" spans="1:2" ht="13.9" x14ac:dyDescent="0.35">
      <c r="A277" s="2">
        <v>44228</v>
      </c>
      <c r="B277" s="3">
        <v>1862.95</v>
      </c>
    </row>
    <row r="278" spans="1:2" ht="13.9" x14ac:dyDescent="0.35">
      <c r="A278" s="2">
        <v>44229</v>
      </c>
      <c r="B278" s="3">
        <v>1833.1</v>
      </c>
    </row>
    <row r="279" spans="1:2" ht="13.9" x14ac:dyDescent="0.35">
      <c r="A279" s="2">
        <v>44230</v>
      </c>
      <c r="B279" s="3">
        <v>1835.45</v>
      </c>
    </row>
    <row r="280" spans="1:2" ht="13.9" x14ac:dyDescent="0.35">
      <c r="A280" s="2">
        <v>44231</v>
      </c>
      <c r="B280" s="3">
        <v>1785.9</v>
      </c>
    </row>
    <row r="281" spans="1:2" ht="13.9" x14ac:dyDescent="0.35">
      <c r="A281" s="2">
        <v>44232</v>
      </c>
      <c r="B281" s="3">
        <v>1802.95</v>
      </c>
    </row>
    <row r="282" spans="1:2" ht="13.9" x14ac:dyDescent="0.35">
      <c r="A282" s="2">
        <v>44235</v>
      </c>
      <c r="B282" s="3">
        <v>1835.25</v>
      </c>
    </row>
    <row r="283" spans="1:2" ht="13.9" x14ac:dyDescent="0.35">
      <c r="A283" s="2">
        <v>44236</v>
      </c>
      <c r="B283" s="3">
        <v>1839.6</v>
      </c>
    </row>
    <row r="284" spans="1:2" ht="13.9" x14ac:dyDescent="0.35">
      <c r="A284" s="2">
        <v>44237</v>
      </c>
      <c r="B284" s="3">
        <v>1842.65</v>
      </c>
    </row>
    <row r="285" spans="1:2" ht="13.9" x14ac:dyDescent="0.35">
      <c r="A285" s="2">
        <v>44238</v>
      </c>
      <c r="B285" s="3">
        <v>1840.1</v>
      </c>
    </row>
    <row r="286" spans="1:2" ht="13.9" x14ac:dyDescent="0.35">
      <c r="A286" s="2">
        <v>44239</v>
      </c>
      <c r="B286" s="3">
        <v>1816.35</v>
      </c>
    </row>
    <row r="287" spans="1:2" ht="13.9" x14ac:dyDescent="0.35">
      <c r="A287" s="2">
        <v>44242</v>
      </c>
      <c r="B287" s="3">
        <v>1817.3</v>
      </c>
    </row>
    <row r="288" spans="1:2" ht="13.9" x14ac:dyDescent="0.35">
      <c r="A288" s="2">
        <v>44243</v>
      </c>
      <c r="B288" s="3">
        <v>1794.25</v>
      </c>
    </row>
    <row r="289" spans="1:2" ht="13.9" x14ac:dyDescent="0.35">
      <c r="A289" s="2">
        <v>44244</v>
      </c>
      <c r="B289" s="3">
        <v>1780.7</v>
      </c>
    </row>
    <row r="290" spans="1:2" ht="13.9" x14ac:dyDescent="0.35">
      <c r="A290" s="2">
        <v>44245</v>
      </c>
      <c r="B290" s="3">
        <v>1773.15</v>
      </c>
    </row>
    <row r="291" spans="1:2" ht="13.9" x14ac:dyDescent="0.35">
      <c r="A291" s="2">
        <v>44246</v>
      </c>
      <c r="B291" s="3">
        <v>1786.2</v>
      </c>
    </row>
    <row r="292" spans="1:2" ht="13.9" x14ac:dyDescent="0.35">
      <c r="A292" s="2">
        <v>44249</v>
      </c>
      <c r="B292" s="3">
        <v>1807.45</v>
      </c>
    </row>
    <row r="293" spans="1:2" ht="13.9" x14ac:dyDescent="0.35">
      <c r="A293" s="2">
        <v>44250</v>
      </c>
      <c r="B293" s="3">
        <v>1799.65</v>
      </c>
    </row>
    <row r="294" spans="1:2" ht="13.9" x14ac:dyDescent="0.35">
      <c r="A294" s="2">
        <v>44251</v>
      </c>
      <c r="B294" s="3">
        <v>1788</v>
      </c>
    </row>
    <row r="295" spans="1:2" ht="13.9" x14ac:dyDescent="0.35">
      <c r="A295" s="2">
        <v>44252</v>
      </c>
      <c r="B295" s="3">
        <v>1779.65</v>
      </c>
    </row>
    <row r="296" spans="1:2" ht="13.9" x14ac:dyDescent="0.35">
      <c r="A296" s="2">
        <v>44253</v>
      </c>
      <c r="B296" s="3">
        <v>1742.85</v>
      </c>
    </row>
    <row r="297" spans="1:2" ht="13.9" x14ac:dyDescent="0.35">
      <c r="A297" s="2">
        <v>44256</v>
      </c>
      <c r="B297" s="3">
        <v>1734.15</v>
      </c>
    </row>
    <row r="298" spans="1:2" ht="13.9" x14ac:dyDescent="0.35">
      <c r="A298" s="2">
        <v>44257</v>
      </c>
      <c r="B298" s="3">
        <v>1723.85</v>
      </c>
    </row>
    <row r="299" spans="1:2" ht="13.9" x14ac:dyDescent="0.35">
      <c r="A299" s="2">
        <v>44258</v>
      </c>
      <c r="B299" s="3">
        <v>1711.4</v>
      </c>
    </row>
    <row r="300" spans="1:2" ht="13.9" x14ac:dyDescent="0.35">
      <c r="A300" s="2">
        <v>44259</v>
      </c>
      <c r="B300" s="3">
        <v>1712.1</v>
      </c>
    </row>
    <row r="301" spans="1:2" ht="13.9" x14ac:dyDescent="0.35">
      <c r="A301" s="2">
        <v>44260</v>
      </c>
      <c r="B301" s="3">
        <v>1696.25</v>
      </c>
    </row>
    <row r="302" spans="1:2" ht="13.9" x14ac:dyDescent="0.35">
      <c r="A302" s="2">
        <v>44263</v>
      </c>
      <c r="B302" s="3">
        <v>1687.05</v>
      </c>
    </row>
    <row r="303" spans="1:2" ht="13.9" x14ac:dyDescent="0.35">
      <c r="A303" s="2">
        <v>44264</v>
      </c>
      <c r="B303" s="3">
        <v>1716.9</v>
      </c>
    </row>
    <row r="304" spans="1:2" ht="13.9" x14ac:dyDescent="0.35">
      <c r="A304" s="2">
        <v>44265</v>
      </c>
      <c r="B304" s="3">
        <v>1716.2</v>
      </c>
    </row>
    <row r="305" spans="1:2" ht="13.9" x14ac:dyDescent="0.35">
      <c r="A305" s="2">
        <v>44266</v>
      </c>
      <c r="B305" s="3">
        <v>1724.25</v>
      </c>
    </row>
    <row r="306" spans="1:2" ht="13.9" x14ac:dyDescent="0.35">
      <c r="A306" s="2">
        <v>44267</v>
      </c>
      <c r="B306" s="3">
        <v>1704.8</v>
      </c>
    </row>
    <row r="307" spans="1:2" ht="13.9" x14ac:dyDescent="0.35">
      <c r="A307" s="2">
        <v>44270</v>
      </c>
      <c r="B307" s="3">
        <v>1723.65</v>
      </c>
    </row>
    <row r="308" spans="1:2" ht="13.9" x14ac:dyDescent="0.35">
      <c r="A308" s="2">
        <v>44271</v>
      </c>
      <c r="B308" s="3">
        <v>1735</v>
      </c>
    </row>
    <row r="309" spans="1:2" ht="13.9" x14ac:dyDescent="0.35">
      <c r="A309" s="2">
        <v>44272</v>
      </c>
      <c r="B309" s="3">
        <v>1729.65</v>
      </c>
    </row>
    <row r="310" spans="1:2" ht="13.9" x14ac:dyDescent="0.35">
      <c r="A310" s="2">
        <v>44273</v>
      </c>
      <c r="B310" s="3">
        <v>1725.9</v>
      </c>
    </row>
    <row r="311" spans="1:2" ht="13.9" x14ac:dyDescent="0.35">
      <c r="A311" s="2">
        <v>44274</v>
      </c>
      <c r="B311" s="3">
        <v>1735.2</v>
      </c>
    </row>
    <row r="312" spans="1:2" ht="13.9" x14ac:dyDescent="0.35">
      <c r="A312" s="2">
        <v>44277</v>
      </c>
      <c r="B312" s="3">
        <v>1736.15</v>
      </c>
    </row>
    <row r="313" spans="1:2" ht="13.9" x14ac:dyDescent="0.35">
      <c r="A313" s="2">
        <v>44278</v>
      </c>
      <c r="B313" s="3">
        <v>1726.2</v>
      </c>
    </row>
    <row r="314" spans="1:2" ht="13.9" x14ac:dyDescent="0.35">
      <c r="A314" s="2">
        <v>44279</v>
      </c>
      <c r="B314" s="3">
        <v>1730.5</v>
      </c>
    </row>
    <row r="315" spans="1:2" ht="13.9" x14ac:dyDescent="0.35">
      <c r="A315" s="2">
        <v>44280</v>
      </c>
      <c r="B315" s="3">
        <v>1737.3</v>
      </c>
    </row>
    <row r="316" spans="1:2" ht="13.9" x14ac:dyDescent="0.35">
      <c r="A316" s="2">
        <v>44281</v>
      </c>
      <c r="B316" s="3">
        <v>1731.8</v>
      </c>
    </row>
    <row r="317" spans="1:2" ht="13.9" x14ac:dyDescent="0.35">
      <c r="A317" s="2">
        <v>44284</v>
      </c>
      <c r="B317" s="3">
        <v>1705.95</v>
      </c>
    </row>
    <row r="318" spans="1:2" ht="13.9" x14ac:dyDescent="0.35">
      <c r="A318" s="2">
        <v>44285</v>
      </c>
      <c r="B318" s="3">
        <v>1683.95</v>
      </c>
    </row>
    <row r="319" spans="1:2" ht="13.9" x14ac:dyDescent="0.35">
      <c r="A319" s="2">
        <v>44286</v>
      </c>
      <c r="B319" s="3">
        <v>1691.05</v>
      </c>
    </row>
    <row r="320" spans="1:2" ht="13.9" x14ac:dyDescent="0.35">
      <c r="A320" s="2">
        <v>44287</v>
      </c>
      <c r="B320" s="3">
        <v>1726.05</v>
      </c>
    </row>
    <row r="321" spans="1:2" ht="13.9" x14ac:dyDescent="0.35">
      <c r="A321" s="2">
        <v>44292</v>
      </c>
      <c r="B321" s="3">
        <v>1744.65</v>
      </c>
    </row>
    <row r="322" spans="1:2" ht="13.9" x14ac:dyDescent="0.35">
      <c r="A322" s="2">
        <v>44293</v>
      </c>
      <c r="B322" s="3">
        <v>1738.05</v>
      </c>
    </row>
    <row r="323" spans="1:2" ht="13.9" x14ac:dyDescent="0.35">
      <c r="A323" s="2">
        <v>44294</v>
      </c>
      <c r="B323" s="3">
        <v>1755.5</v>
      </c>
    </row>
    <row r="324" spans="1:2" ht="13.9" x14ac:dyDescent="0.35">
      <c r="A324" s="2">
        <v>44295</v>
      </c>
      <c r="B324" s="3">
        <v>1741.2</v>
      </c>
    </row>
    <row r="325" spans="1:2" ht="13.9" x14ac:dyDescent="0.35">
      <c r="A325" s="2">
        <v>44298</v>
      </c>
      <c r="B325" s="3">
        <v>1732.85</v>
      </c>
    </row>
    <row r="326" spans="1:2" ht="13.9" x14ac:dyDescent="0.35">
      <c r="A326" s="2">
        <v>44299</v>
      </c>
      <c r="B326" s="3">
        <v>1747.95</v>
      </c>
    </row>
    <row r="327" spans="1:2" ht="13.9" x14ac:dyDescent="0.35">
      <c r="A327" s="2">
        <v>44300</v>
      </c>
      <c r="B327" s="3">
        <v>1735.55</v>
      </c>
    </row>
    <row r="328" spans="1:2" ht="13.9" x14ac:dyDescent="0.35">
      <c r="A328" s="2">
        <v>44301</v>
      </c>
      <c r="B328" s="3">
        <v>1757.2</v>
      </c>
    </row>
    <row r="329" spans="1:2" ht="13.9" x14ac:dyDescent="0.35">
      <c r="A329" s="2">
        <v>44302</v>
      </c>
      <c r="B329" s="3">
        <v>1774.45</v>
      </c>
    </row>
    <row r="330" spans="1:2" ht="13.9" x14ac:dyDescent="0.35">
      <c r="A330" s="2">
        <v>44305</v>
      </c>
      <c r="B330" s="3">
        <v>1774.5</v>
      </c>
    </row>
    <row r="331" spans="1:2" ht="13.9" x14ac:dyDescent="0.35">
      <c r="A331" s="2">
        <v>44306</v>
      </c>
      <c r="B331" s="3">
        <v>1777.85</v>
      </c>
    </row>
    <row r="332" spans="1:2" ht="13.9" x14ac:dyDescent="0.35">
      <c r="A332" s="2">
        <v>44307</v>
      </c>
      <c r="B332" s="3">
        <v>1798.2</v>
      </c>
    </row>
    <row r="333" spans="1:2" ht="13.9" x14ac:dyDescent="0.35">
      <c r="A333" s="2">
        <v>44308</v>
      </c>
      <c r="B333" s="3">
        <v>1787.75</v>
      </c>
    </row>
    <row r="334" spans="1:2" ht="13.9" x14ac:dyDescent="0.35">
      <c r="A334" s="2">
        <v>44309</v>
      </c>
      <c r="B334" s="3">
        <v>1781.8</v>
      </c>
    </row>
    <row r="335" spans="1:2" ht="13.9" x14ac:dyDescent="0.35">
      <c r="A335" s="2">
        <v>44312</v>
      </c>
      <c r="B335" s="3">
        <v>1773.35</v>
      </c>
    </row>
    <row r="336" spans="1:2" ht="13.9" x14ac:dyDescent="0.35">
      <c r="A336" s="2">
        <v>44313</v>
      </c>
      <c r="B336" s="3">
        <v>1784.15</v>
      </c>
    </row>
    <row r="337" spans="1:2" ht="13.9" x14ac:dyDescent="0.35">
      <c r="A337" s="2">
        <v>44314</v>
      </c>
      <c r="B337" s="3">
        <v>1772.2</v>
      </c>
    </row>
    <row r="338" spans="1:2" ht="13.9" x14ac:dyDescent="0.35">
      <c r="A338" s="2">
        <v>44315</v>
      </c>
      <c r="B338" s="3">
        <v>1762.65</v>
      </c>
    </row>
    <row r="339" spans="1:2" ht="13.9" x14ac:dyDescent="0.35">
      <c r="A339" s="2">
        <v>44316</v>
      </c>
      <c r="B339" s="3">
        <v>1767.65</v>
      </c>
    </row>
    <row r="340" spans="1:2" ht="13.9" x14ac:dyDescent="0.35">
      <c r="A340" s="2">
        <v>44320</v>
      </c>
      <c r="B340" s="3">
        <v>1797.75</v>
      </c>
    </row>
    <row r="341" spans="1:2" ht="13.9" x14ac:dyDescent="0.35">
      <c r="A341" s="2">
        <v>44321</v>
      </c>
      <c r="B341" s="3">
        <v>1782.25</v>
      </c>
    </row>
    <row r="342" spans="1:2" ht="13.9" x14ac:dyDescent="0.35">
      <c r="A342" s="2">
        <v>44322</v>
      </c>
      <c r="B342" s="3">
        <v>1813.15</v>
      </c>
    </row>
    <row r="343" spans="1:2" ht="13.9" x14ac:dyDescent="0.35">
      <c r="A343" s="2">
        <v>44323</v>
      </c>
      <c r="B343" s="3">
        <v>1836.55</v>
      </c>
    </row>
    <row r="344" spans="1:2" ht="13.9" x14ac:dyDescent="0.35">
      <c r="A344" s="2">
        <v>44326</v>
      </c>
      <c r="B344" s="3">
        <v>1840.45</v>
      </c>
    </row>
    <row r="345" spans="1:2" ht="13.9" x14ac:dyDescent="0.35">
      <c r="A345" s="2">
        <v>44327</v>
      </c>
      <c r="B345" s="3">
        <v>1829.1</v>
      </c>
    </row>
    <row r="346" spans="1:2" ht="13.9" x14ac:dyDescent="0.35">
      <c r="A346" s="2">
        <v>44328</v>
      </c>
      <c r="B346" s="3">
        <v>1830.7</v>
      </c>
    </row>
    <row r="347" spans="1:2" ht="13.9" x14ac:dyDescent="0.35">
      <c r="A347" s="2">
        <v>44329</v>
      </c>
      <c r="B347" s="3">
        <v>1821.8</v>
      </c>
    </row>
    <row r="348" spans="1:2" ht="13.9" x14ac:dyDescent="0.35">
      <c r="A348" s="2">
        <v>44330</v>
      </c>
      <c r="B348" s="3">
        <v>1838.1</v>
      </c>
    </row>
    <row r="349" spans="1:2" ht="13.9" x14ac:dyDescent="0.35">
      <c r="A349" s="2">
        <v>44333</v>
      </c>
      <c r="B349" s="3">
        <v>1853.7</v>
      </c>
    </row>
    <row r="350" spans="1:2" ht="13.9" x14ac:dyDescent="0.35">
      <c r="A350" s="2">
        <v>44334</v>
      </c>
      <c r="B350" s="3">
        <v>1866.75</v>
      </c>
    </row>
    <row r="351" spans="1:2" ht="13.9" x14ac:dyDescent="0.35">
      <c r="A351" s="2">
        <v>44335</v>
      </c>
      <c r="B351" s="3">
        <v>1888.45</v>
      </c>
    </row>
    <row r="352" spans="1:2" ht="13.9" x14ac:dyDescent="0.35">
      <c r="A352" s="2">
        <v>44336</v>
      </c>
      <c r="B352" s="3">
        <v>1878.3</v>
      </c>
    </row>
    <row r="353" spans="1:2" ht="13.9" x14ac:dyDescent="0.35">
      <c r="A353" s="2">
        <v>44337</v>
      </c>
      <c r="B353" s="3">
        <v>1875.9</v>
      </c>
    </row>
    <row r="354" spans="1:2" ht="13.9" x14ac:dyDescent="0.35">
      <c r="A354" s="2">
        <v>44340</v>
      </c>
      <c r="B354" s="3">
        <v>1880.15</v>
      </c>
    </row>
    <row r="355" spans="1:2" ht="13.9" x14ac:dyDescent="0.35">
      <c r="A355" s="2">
        <v>44341</v>
      </c>
      <c r="B355" s="3">
        <v>1887</v>
      </c>
    </row>
    <row r="356" spans="1:2" ht="13.9" x14ac:dyDescent="0.35">
      <c r="A356" s="2">
        <v>44342</v>
      </c>
      <c r="B356" s="3">
        <v>1899.75</v>
      </c>
    </row>
    <row r="357" spans="1:2" ht="13.9" x14ac:dyDescent="0.35">
      <c r="A357" s="2">
        <v>44343</v>
      </c>
      <c r="B357" s="3">
        <v>1891.45</v>
      </c>
    </row>
    <row r="358" spans="1:2" ht="13.9" x14ac:dyDescent="0.35">
      <c r="A358" s="2">
        <v>44344</v>
      </c>
      <c r="B358" s="3">
        <v>1899.95</v>
      </c>
    </row>
    <row r="359" spans="1:2" ht="13.9" x14ac:dyDescent="0.35">
      <c r="A359" s="2">
        <v>44348</v>
      </c>
      <c r="B359" s="3">
        <v>1899.35</v>
      </c>
    </row>
    <row r="360" spans="1:2" ht="13.9" x14ac:dyDescent="0.35">
      <c r="A360" s="2">
        <v>44349</v>
      </c>
      <c r="B360" s="3">
        <v>1902.75</v>
      </c>
    </row>
    <row r="361" spans="1:2" ht="13.9" x14ac:dyDescent="0.35">
      <c r="A361" s="2">
        <v>44350</v>
      </c>
      <c r="B361" s="3">
        <v>1866.55</v>
      </c>
    </row>
    <row r="362" spans="1:2" ht="13.9" x14ac:dyDescent="0.35">
      <c r="A362" s="2">
        <v>44351</v>
      </c>
      <c r="B362" s="3">
        <v>1890.6</v>
      </c>
    </row>
    <row r="363" spans="1:2" x14ac:dyDescent="0.3">
      <c r="A363" s="4">
        <v>44354</v>
      </c>
      <c r="B363" s="5">
        <v>1888.4</v>
      </c>
    </row>
    <row r="364" spans="1:2" x14ac:dyDescent="0.3">
      <c r="A364" s="4">
        <v>44355</v>
      </c>
      <c r="B364" s="5">
        <v>1893.15</v>
      </c>
    </row>
    <row r="365" spans="1:2" x14ac:dyDescent="0.3">
      <c r="A365" s="4">
        <v>44356</v>
      </c>
      <c r="B365" s="5">
        <v>1894.6</v>
      </c>
    </row>
    <row r="366" spans="1:2" x14ac:dyDescent="0.3">
      <c r="A366" s="4">
        <v>44357</v>
      </c>
      <c r="B366" s="5">
        <v>1888.65</v>
      </c>
    </row>
    <row r="367" spans="1:2" x14ac:dyDescent="0.3">
      <c r="A367" s="4">
        <v>44358</v>
      </c>
      <c r="B367" s="5">
        <v>1881.05</v>
      </c>
    </row>
    <row r="368" spans="1:2" x14ac:dyDescent="0.3">
      <c r="A368" s="4">
        <v>44361</v>
      </c>
      <c r="B368" s="5">
        <v>1865.6</v>
      </c>
    </row>
    <row r="369" spans="1:2" x14ac:dyDescent="0.3">
      <c r="A369" s="4">
        <v>44362</v>
      </c>
      <c r="B369" s="5">
        <v>1865.1</v>
      </c>
    </row>
    <row r="370" spans="1:2" x14ac:dyDescent="0.3">
      <c r="A370" s="4">
        <v>44363</v>
      </c>
      <c r="B370" s="5">
        <v>1860.75</v>
      </c>
    </row>
    <row r="371" spans="1:2" x14ac:dyDescent="0.3">
      <c r="A371" s="4">
        <v>44364</v>
      </c>
      <c r="B371" s="5">
        <v>1778.7</v>
      </c>
    </row>
    <row r="372" spans="1:2" x14ac:dyDescent="0.3">
      <c r="A372" s="4">
        <v>44365</v>
      </c>
      <c r="B372" s="5">
        <v>1773.1</v>
      </c>
    </row>
    <row r="373" spans="1:2" x14ac:dyDescent="0.3">
      <c r="A373" s="4">
        <v>44368</v>
      </c>
      <c r="B373" s="5">
        <v>1775.05</v>
      </c>
    </row>
    <row r="374" spans="1:2" x14ac:dyDescent="0.3">
      <c r="A374" s="4">
        <v>44369</v>
      </c>
      <c r="B374" s="5">
        <v>1775.05</v>
      </c>
    </row>
    <row r="375" spans="1:2" x14ac:dyDescent="0.3">
      <c r="A375" s="4">
        <v>44370</v>
      </c>
      <c r="B375" s="5">
        <v>1791.6</v>
      </c>
    </row>
    <row r="376" spans="1:2" x14ac:dyDescent="0.3">
      <c r="A376" s="4">
        <v>44371</v>
      </c>
      <c r="B376" s="5">
        <v>1784.85</v>
      </c>
    </row>
    <row r="377" spans="1:2" x14ac:dyDescent="0.3">
      <c r="A377" s="4">
        <v>44372</v>
      </c>
      <c r="B377" s="5">
        <v>1786.65</v>
      </c>
    </row>
    <row r="378" spans="1:2" x14ac:dyDescent="0.3">
      <c r="A378" s="4">
        <v>44375</v>
      </c>
      <c r="B378" s="5">
        <v>1780.3</v>
      </c>
    </row>
    <row r="379" spans="1:2" x14ac:dyDescent="0.3">
      <c r="A379" s="4">
        <v>44376</v>
      </c>
      <c r="B379" s="5">
        <v>1755.45</v>
      </c>
    </row>
    <row r="380" spans="1:2" x14ac:dyDescent="0.3">
      <c r="A380" s="4">
        <v>44377</v>
      </c>
      <c r="B380" s="5">
        <v>1763.15</v>
      </c>
    </row>
    <row r="381" spans="1:2" x14ac:dyDescent="0.3">
      <c r="A381" s="4">
        <v>44378</v>
      </c>
      <c r="B381" s="5">
        <v>1781.5</v>
      </c>
    </row>
    <row r="382" spans="1:2" x14ac:dyDescent="0.3">
      <c r="A382" s="4">
        <v>44379</v>
      </c>
      <c r="B382" s="5">
        <v>1786.15</v>
      </c>
    </row>
    <row r="383" spans="1:2" x14ac:dyDescent="0.3">
      <c r="A383" s="4">
        <v>44382</v>
      </c>
      <c r="B383" s="5">
        <v>1791.35</v>
      </c>
    </row>
    <row r="384" spans="1:2" x14ac:dyDescent="0.3">
      <c r="A384" s="4">
        <v>44383</v>
      </c>
      <c r="B384" s="5">
        <v>1809.85</v>
      </c>
    </row>
    <row r="385" spans="1:2" x14ac:dyDescent="0.3">
      <c r="A385" s="4">
        <v>44384</v>
      </c>
      <c r="B385" s="5">
        <v>1804.65</v>
      </c>
    </row>
    <row r="386" spans="1:2" x14ac:dyDescent="0.3">
      <c r="A386" s="4">
        <v>44385</v>
      </c>
      <c r="B386" s="5">
        <v>1807.7</v>
      </c>
    </row>
    <row r="387" spans="1:2" x14ac:dyDescent="0.3">
      <c r="A387" s="4">
        <v>44386</v>
      </c>
      <c r="B387" s="5">
        <v>1806</v>
      </c>
    </row>
    <row r="388" spans="1:2" x14ac:dyDescent="0.3">
      <c r="A388" s="4">
        <v>44389</v>
      </c>
      <c r="B388" s="5">
        <v>1792.4</v>
      </c>
    </row>
    <row r="389" spans="1:2" x14ac:dyDescent="0.3">
      <c r="A389" s="4">
        <v>44390</v>
      </c>
      <c r="B389" s="5">
        <v>1813.85</v>
      </c>
    </row>
    <row r="390" spans="1:2" x14ac:dyDescent="0.3">
      <c r="A390" s="4">
        <v>44391</v>
      </c>
      <c r="B390" s="5">
        <v>1823.2</v>
      </c>
    </row>
    <row r="391" spans="1:2" x14ac:dyDescent="0.3">
      <c r="A391" s="4">
        <v>44392</v>
      </c>
      <c r="B391" s="5">
        <v>1823.75</v>
      </c>
    </row>
    <row r="392" spans="1:2" x14ac:dyDescent="0.3">
      <c r="A392" s="4">
        <v>44393</v>
      </c>
      <c r="B392" s="5">
        <v>1824.3</v>
      </c>
    </row>
    <row r="393" spans="1:2" x14ac:dyDescent="0.3">
      <c r="A393" s="4">
        <v>44396</v>
      </c>
      <c r="B393" s="5">
        <v>1814.9</v>
      </c>
    </row>
    <row r="394" spans="1:2" x14ac:dyDescent="0.3">
      <c r="A394" s="4">
        <v>44397</v>
      </c>
      <c r="B394" s="5">
        <v>1823.05</v>
      </c>
    </row>
    <row r="395" spans="1:2" x14ac:dyDescent="0.3">
      <c r="A395" s="4">
        <v>44398</v>
      </c>
      <c r="B395" s="5">
        <v>1802.15</v>
      </c>
    </row>
    <row r="396" spans="1:2" x14ac:dyDescent="0.3">
      <c r="A396" s="4">
        <v>44399</v>
      </c>
      <c r="B396" s="5">
        <v>1799.45</v>
      </c>
    </row>
    <row r="397" spans="1:2" x14ac:dyDescent="0.3">
      <c r="A397" s="4">
        <v>44400</v>
      </c>
      <c r="B397" s="5">
        <v>1799.6</v>
      </c>
    </row>
    <row r="398" spans="1:2" x14ac:dyDescent="0.3">
      <c r="A398" s="4">
        <v>44403</v>
      </c>
      <c r="B398" s="5">
        <v>1800.2</v>
      </c>
    </row>
    <row r="399" spans="1:2" x14ac:dyDescent="0.3">
      <c r="A399" s="4">
        <v>44404</v>
      </c>
      <c r="B399" s="5">
        <v>1800.35</v>
      </c>
    </row>
    <row r="400" spans="1:2" x14ac:dyDescent="0.3">
      <c r="A400" s="4">
        <v>44405</v>
      </c>
      <c r="B400" s="5">
        <v>1796.6</v>
      </c>
    </row>
    <row r="401" spans="1:2" x14ac:dyDescent="0.3">
      <c r="A401" s="4">
        <v>44406</v>
      </c>
      <c r="B401" s="5">
        <v>1829.3</v>
      </c>
    </row>
    <row r="402" spans="1:2" x14ac:dyDescent="0.3">
      <c r="A402" s="4">
        <v>44407</v>
      </c>
      <c r="B402" s="5">
        <v>1825.75</v>
      </c>
    </row>
    <row r="403" spans="1:2" x14ac:dyDescent="0.3">
      <c r="A403" s="4">
        <v>44410</v>
      </c>
      <c r="B403" s="5">
        <v>1811.45</v>
      </c>
    </row>
    <row r="404" spans="1:2" x14ac:dyDescent="0.3">
      <c r="A404" s="4">
        <v>44411</v>
      </c>
      <c r="B404" s="5">
        <v>1812.65</v>
      </c>
    </row>
    <row r="405" spans="1:2" x14ac:dyDescent="0.3">
      <c r="A405" s="4">
        <v>44412</v>
      </c>
      <c r="B405" s="5">
        <v>1829.1</v>
      </c>
    </row>
    <row r="406" spans="1:2" x14ac:dyDescent="0.3">
      <c r="A406" s="4">
        <v>44413</v>
      </c>
      <c r="B406" s="5">
        <v>1800.75</v>
      </c>
    </row>
    <row r="407" spans="1:2" x14ac:dyDescent="0.3">
      <c r="A407" s="4">
        <v>44414</v>
      </c>
      <c r="B407" s="5">
        <v>1762.9</v>
      </c>
    </row>
    <row r="408" spans="1:2" x14ac:dyDescent="0.3">
      <c r="A408" s="4">
        <v>44417</v>
      </c>
      <c r="B408" s="5">
        <v>1738.85</v>
      </c>
    </row>
    <row r="409" spans="1:2" x14ac:dyDescent="0.3">
      <c r="A409" s="4">
        <v>44418</v>
      </c>
      <c r="B409" s="5">
        <v>1723.35</v>
      </c>
    </row>
    <row r="410" spans="1:2" x14ac:dyDescent="0.3">
      <c r="A410" s="4">
        <v>44419</v>
      </c>
      <c r="B410" s="5">
        <v>1743.6</v>
      </c>
    </row>
    <row r="411" spans="1:2" x14ac:dyDescent="0.3">
      <c r="A411" s="4">
        <v>44420</v>
      </c>
      <c r="B411" s="5">
        <v>1747.4</v>
      </c>
    </row>
    <row r="412" spans="1:2" x14ac:dyDescent="0.3">
      <c r="A412" s="4">
        <v>44421</v>
      </c>
      <c r="B412" s="5">
        <v>1773.85</v>
      </c>
    </row>
    <row r="413" spans="1:2" x14ac:dyDescent="0.3">
      <c r="A413" s="4">
        <v>44424</v>
      </c>
      <c r="B413" s="5">
        <v>1786.35</v>
      </c>
    </row>
    <row r="414" spans="1:2" x14ac:dyDescent="0.3">
      <c r="A414" s="4">
        <v>44425</v>
      </c>
      <c r="B414" s="5">
        <v>1789.45</v>
      </c>
    </row>
    <row r="415" spans="1:2" x14ac:dyDescent="0.3">
      <c r="A415" s="4">
        <v>44426</v>
      </c>
      <c r="B415" s="5">
        <v>1783.45</v>
      </c>
    </row>
    <row r="416" spans="1:2" x14ac:dyDescent="0.3">
      <c r="A416" s="4">
        <v>44427</v>
      </c>
      <c r="B416" s="5">
        <v>1782.05</v>
      </c>
    </row>
    <row r="417" spans="1:2" x14ac:dyDescent="0.3">
      <c r="A417" s="4">
        <v>44428</v>
      </c>
      <c r="B417" s="5">
        <v>1779.05</v>
      </c>
    </row>
    <row r="418" spans="1:2" x14ac:dyDescent="0.3">
      <c r="A418" s="4">
        <v>44431</v>
      </c>
      <c r="B418" s="5">
        <v>1802</v>
      </c>
    </row>
    <row r="419" spans="1:2" x14ac:dyDescent="0.3">
      <c r="A419" s="4">
        <v>44432</v>
      </c>
      <c r="B419" s="5">
        <v>1808.45</v>
      </c>
    </row>
    <row r="420" spans="1:2" x14ac:dyDescent="0.3">
      <c r="A420" s="4">
        <v>44433</v>
      </c>
      <c r="B420" s="5">
        <v>1788.7</v>
      </c>
    </row>
    <row r="421" spans="1:2" x14ac:dyDescent="0.3">
      <c r="A421" s="4">
        <v>44434</v>
      </c>
      <c r="B421" s="5">
        <v>1786.6</v>
      </c>
    </row>
    <row r="422" spans="1:2" x14ac:dyDescent="0.3">
      <c r="A422" s="4">
        <v>44435</v>
      </c>
      <c r="B422" s="5">
        <v>1798.5</v>
      </c>
    </row>
    <row r="423" spans="1:2" x14ac:dyDescent="0.3">
      <c r="A423" s="4">
        <v>44439</v>
      </c>
      <c r="B423" s="5">
        <v>1814.85</v>
      </c>
    </row>
    <row r="424" spans="1:2" x14ac:dyDescent="0.3">
      <c r="A424" s="4">
        <v>44440</v>
      </c>
      <c r="B424" s="5">
        <v>1811.8</v>
      </c>
    </row>
    <row r="425" spans="1:2" x14ac:dyDescent="0.3">
      <c r="A425" s="4">
        <v>44441</v>
      </c>
      <c r="B425" s="5">
        <v>1812.55</v>
      </c>
    </row>
    <row r="426" spans="1:2" x14ac:dyDescent="0.3">
      <c r="A426" s="4">
        <v>44442</v>
      </c>
      <c r="B426" s="5">
        <v>1823.7</v>
      </c>
    </row>
    <row r="427" spans="1:2" x14ac:dyDescent="0.3">
      <c r="A427" s="4">
        <v>44445</v>
      </c>
      <c r="B427" s="5">
        <v>1821.6</v>
      </c>
    </row>
    <row r="428" spans="1:2" x14ac:dyDescent="0.3">
      <c r="A428" s="4">
        <v>44446</v>
      </c>
      <c r="B428" s="5">
        <v>1802.15</v>
      </c>
    </row>
    <row r="429" spans="1:2" x14ac:dyDescent="0.3">
      <c r="A429" s="4">
        <v>44447</v>
      </c>
      <c r="B429" s="5">
        <v>1786</v>
      </c>
    </row>
    <row r="430" spans="1:2" x14ac:dyDescent="0.3">
      <c r="A430" s="4">
        <v>44448</v>
      </c>
      <c r="B430" s="5">
        <v>1788.25</v>
      </c>
    </row>
    <row r="431" spans="1:2" x14ac:dyDescent="0.3">
      <c r="A431" s="4">
        <v>44449</v>
      </c>
      <c r="B431" s="5">
        <v>1794.6</v>
      </c>
    </row>
    <row r="432" spans="1:2" x14ac:dyDescent="0.3">
      <c r="A432" s="4">
        <v>44452</v>
      </c>
      <c r="B432" s="5">
        <v>1793.9</v>
      </c>
    </row>
    <row r="433" spans="1:2" x14ac:dyDescent="0.3">
      <c r="A433" s="4">
        <v>44453</v>
      </c>
      <c r="B433" s="5">
        <v>1792.75</v>
      </c>
    </row>
    <row r="434" spans="1:2" x14ac:dyDescent="0.3">
      <c r="A434" s="4">
        <v>44454</v>
      </c>
      <c r="B434" s="5">
        <v>1796.95</v>
      </c>
    </row>
    <row r="435" spans="1:2" x14ac:dyDescent="0.3">
      <c r="A435" s="4">
        <v>44455</v>
      </c>
      <c r="B435" s="5">
        <v>1747.95</v>
      </c>
    </row>
    <row r="436" spans="1:2" x14ac:dyDescent="0.3">
      <c r="A436" s="4">
        <v>44456</v>
      </c>
      <c r="B436" s="5">
        <v>1755.95</v>
      </c>
    </row>
    <row r="437" spans="1:2" x14ac:dyDescent="0.3">
      <c r="A437" s="4">
        <v>44459</v>
      </c>
      <c r="B437" s="5">
        <v>1757.75</v>
      </c>
    </row>
    <row r="438" spans="1:2" x14ac:dyDescent="0.3">
      <c r="A438" s="4">
        <v>44460</v>
      </c>
      <c r="B438" s="5">
        <v>1774.45</v>
      </c>
    </row>
    <row r="439" spans="1:2" x14ac:dyDescent="0.3">
      <c r="A439" s="4">
        <v>44461</v>
      </c>
      <c r="B439" s="5">
        <v>1773.4</v>
      </c>
    </row>
    <row r="440" spans="1:2" x14ac:dyDescent="0.3">
      <c r="A440" s="4">
        <v>44462</v>
      </c>
      <c r="B440" s="5">
        <v>1750</v>
      </c>
    </row>
    <row r="441" spans="1:2" x14ac:dyDescent="0.3">
      <c r="A441" s="4">
        <v>44463</v>
      </c>
      <c r="B441" s="5">
        <v>1746.8</v>
      </c>
    </row>
    <row r="442" spans="1:2" x14ac:dyDescent="0.3">
      <c r="A442" s="4">
        <v>44466</v>
      </c>
      <c r="B442" s="5">
        <v>1755.3</v>
      </c>
    </row>
    <row r="443" spans="1:2" x14ac:dyDescent="0.3">
      <c r="A443" s="4">
        <v>44467</v>
      </c>
      <c r="B443" s="5">
        <v>1733.75</v>
      </c>
    </row>
    <row r="444" spans="1:2" x14ac:dyDescent="0.3">
      <c r="A444" s="4">
        <v>44468</v>
      </c>
      <c r="B444" s="5">
        <v>1737.15</v>
      </c>
    </row>
    <row r="445" spans="1:2" x14ac:dyDescent="0.3">
      <c r="A445" s="4">
        <v>44469</v>
      </c>
      <c r="B445" s="5">
        <v>1742.8</v>
      </c>
    </row>
    <row r="446" spans="1:2" x14ac:dyDescent="0.3">
      <c r="A446" s="4">
        <v>44470</v>
      </c>
      <c r="B446" s="5">
        <v>1757.05</v>
      </c>
    </row>
    <row r="447" spans="1:2" x14ac:dyDescent="0.3">
      <c r="A447" s="4">
        <v>44473</v>
      </c>
      <c r="B447" s="5">
        <v>1754.55</v>
      </c>
    </row>
    <row r="448" spans="1:2" x14ac:dyDescent="0.3">
      <c r="A448" s="4">
        <v>44474</v>
      </c>
      <c r="B448" s="5">
        <v>1753.2</v>
      </c>
    </row>
    <row r="449" spans="1:2" x14ac:dyDescent="0.3">
      <c r="A449" s="4">
        <v>44475</v>
      </c>
      <c r="B449" s="5">
        <v>1759.7</v>
      </c>
    </row>
    <row r="450" spans="1:2" x14ac:dyDescent="0.3">
      <c r="A450" s="4">
        <v>44476</v>
      </c>
      <c r="B450" s="5">
        <v>1762.1</v>
      </c>
    </row>
    <row r="451" spans="1:2" x14ac:dyDescent="0.3">
      <c r="A451" s="6">
        <v>44477</v>
      </c>
      <c r="B451" s="5">
        <v>1773.25</v>
      </c>
    </row>
    <row r="452" spans="1:2" x14ac:dyDescent="0.3">
      <c r="A452" s="4">
        <v>44480</v>
      </c>
      <c r="B452" s="5">
        <v>1757.65</v>
      </c>
    </row>
    <row r="453" spans="1:2" x14ac:dyDescent="0.3">
      <c r="A453" s="4">
        <v>44481</v>
      </c>
      <c r="B453" s="5">
        <v>1767.75</v>
      </c>
    </row>
    <row r="454" spans="1:2" x14ac:dyDescent="0.3">
      <c r="A454" s="4">
        <v>44482</v>
      </c>
      <c r="B454" s="5">
        <v>1785.7</v>
      </c>
    </row>
    <row r="455" spans="1:2" x14ac:dyDescent="0.3">
      <c r="A455" s="4">
        <v>44483</v>
      </c>
      <c r="B455" s="5">
        <v>1798.7</v>
      </c>
    </row>
    <row r="456" spans="1:2" x14ac:dyDescent="0.3">
      <c r="A456" s="6">
        <v>44484</v>
      </c>
      <c r="B456" s="5">
        <v>1772.65</v>
      </c>
    </row>
    <row r="457" spans="1:2" x14ac:dyDescent="0.3">
      <c r="A457" s="4">
        <v>44487</v>
      </c>
      <c r="B457" s="5">
        <v>1767.85</v>
      </c>
    </row>
    <row r="458" spans="1:2" x14ac:dyDescent="0.3">
      <c r="A458" s="4">
        <v>44488</v>
      </c>
      <c r="B458" s="5">
        <v>1779.55</v>
      </c>
    </row>
    <row r="459" spans="1:2" x14ac:dyDescent="0.3">
      <c r="A459" s="4">
        <v>44489</v>
      </c>
      <c r="B459" s="5">
        <v>1778</v>
      </c>
    </row>
    <row r="460" spans="1:2" x14ac:dyDescent="0.3">
      <c r="A460" s="4">
        <v>44490</v>
      </c>
      <c r="B460" s="5">
        <v>1779.3</v>
      </c>
    </row>
    <row r="461" spans="1:2" x14ac:dyDescent="0.3">
      <c r="A461" s="4">
        <v>44491</v>
      </c>
      <c r="B461" s="5">
        <v>1808.25</v>
      </c>
    </row>
    <row r="462" spans="1:2" x14ac:dyDescent="0.3">
      <c r="A462" s="4">
        <v>44494</v>
      </c>
      <c r="B462" s="5">
        <v>1805.25</v>
      </c>
    </row>
    <row r="463" spans="1:2" x14ac:dyDescent="0.3">
      <c r="A463" s="4">
        <v>44495</v>
      </c>
      <c r="B463" s="5">
        <v>1785.55</v>
      </c>
    </row>
    <row r="464" spans="1:2" x14ac:dyDescent="0.3">
      <c r="A464" s="4">
        <v>44496</v>
      </c>
      <c r="B464" s="5">
        <v>1795.25</v>
      </c>
    </row>
    <row r="465" spans="1:2" x14ac:dyDescent="0.3">
      <c r="A465" s="4">
        <v>44497</v>
      </c>
      <c r="B465" s="5">
        <v>1803.5</v>
      </c>
    </row>
    <row r="466" spans="1:2" x14ac:dyDescent="0.3">
      <c r="A466" s="4">
        <v>44498</v>
      </c>
      <c r="B466" s="5">
        <v>1769.15</v>
      </c>
    </row>
    <row r="467" spans="1:2" x14ac:dyDescent="0.3">
      <c r="A467" s="4">
        <v>44501</v>
      </c>
      <c r="B467" s="5">
        <v>1793.8</v>
      </c>
    </row>
    <row r="468" spans="1:2" x14ac:dyDescent="0.3">
      <c r="A468" s="4">
        <v>44502</v>
      </c>
      <c r="B468" s="5">
        <v>1790.45</v>
      </c>
    </row>
    <row r="469" spans="1:2" x14ac:dyDescent="0.3">
      <c r="A469" s="4">
        <v>44503</v>
      </c>
      <c r="B469" s="5">
        <v>1763.45</v>
      </c>
    </row>
    <row r="470" spans="1:2" x14ac:dyDescent="0.3">
      <c r="A470" s="4">
        <v>44504</v>
      </c>
      <c r="B470" s="5">
        <v>1796.15</v>
      </c>
    </row>
    <row r="471" spans="1:2" x14ac:dyDescent="0.3">
      <c r="A471" s="4">
        <v>44505</v>
      </c>
      <c r="B471" s="5">
        <v>1801.85</v>
      </c>
    </row>
    <row r="472" spans="1:2" x14ac:dyDescent="0.3">
      <c r="A472" s="4">
        <v>44508</v>
      </c>
      <c r="B472" s="5">
        <v>1822.35</v>
      </c>
    </row>
    <row r="473" spans="1:2" x14ac:dyDescent="0.3">
      <c r="A473" s="4">
        <v>44509</v>
      </c>
      <c r="B473" s="5">
        <v>1827.3</v>
      </c>
    </row>
    <row r="474" spans="1:2" x14ac:dyDescent="0.3">
      <c r="A474" s="4">
        <v>44510</v>
      </c>
      <c r="B474" s="5">
        <v>1859.4</v>
      </c>
    </row>
    <row r="475" spans="1:2" x14ac:dyDescent="0.3">
      <c r="A475" s="4">
        <v>44511</v>
      </c>
      <c r="B475" s="5">
        <v>1857.9</v>
      </c>
    </row>
    <row r="476" spans="1:2" x14ac:dyDescent="0.3">
      <c r="A476" s="4">
        <v>44512</v>
      </c>
      <c r="B476" s="5">
        <v>1860.55</v>
      </c>
    </row>
    <row r="477" spans="1:2" x14ac:dyDescent="0.3">
      <c r="A477" s="4">
        <v>44515</v>
      </c>
      <c r="B477" s="5">
        <v>1859.9</v>
      </c>
    </row>
    <row r="478" spans="1:2" x14ac:dyDescent="0.3">
      <c r="A478" s="4">
        <v>44516</v>
      </c>
      <c r="B478" s="5">
        <v>1859.2</v>
      </c>
    </row>
    <row r="479" spans="1:2" x14ac:dyDescent="0.3">
      <c r="A479" s="4">
        <v>44517</v>
      </c>
      <c r="B479" s="5">
        <v>1864.9</v>
      </c>
    </row>
    <row r="480" spans="1:2" x14ac:dyDescent="0.3">
      <c r="A480" s="4">
        <v>44518</v>
      </c>
      <c r="B480" s="5">
        <v>1860.3</v>
      </c>
    </row>
    <row r="481" spans="1:2" x14ac:dyDescent="0.3">
      <c r="A481" s="4">
        <v>44519</v>
      </c>
      <c r="B481" s="5">
        <v>1861.1</v>
      </c>
    </row>
    <row r="482" spans="1:2" x14ac:dyDescent="0.3">
      <c r="A482" s="4">
        <v>44522</v>
      </c>
      <c r="B482" s="5">
        <v>1816.05</v>
      </c>
    </row>
    <row r="483" spans="1:2" x14ac:dyDescent="0.3">
      <c r="A483" s="4">
        <v>44523</v>
      </c>
      <c r="B483" s="5">
        <v>1789.15</v>
      </c>
    </row>
    <row r="484" spans="1:2" x14ac:dyDescent="0.3">
      <c r="A484" s="4">
        <v>44524</v>
      </c>
      <c r="B484" s="5">
        <v>1782.05</v>
      </c>
    </row>
    <row r="485" spans="1:2" x14ac:dyDescent="0.3">
      <c r="A485" s="4">
        <v>44525</v>
      </c>
      <c r="B485" s="5">
        <v>1788.15</v>
      </c>
    </row>
    <row r="486" spans="1:2" x14ac:dyDescent="0.3">
      <c r="A486" s="4">
        <v>44526</v>
      </c>
      <c r="B486" s="5">
        <v>1800.8</v>
      </c>
    </row>
    <row r="487" spans="1:2" x14ac:dyDescent="0.3">
      <c r="A487" s="4">
        <v>44529</v>
      </c>
      <c r="B487" s="5">
        <v>1785.95</v>
      </c>
    </row>
    <row r="488" spans="1:2" x14ac:dyDescent="0.3">
      <c r="A488" s="4">
        <v>44530</v>
      </c>
      <c r="B488" s="5">
        <v>1804.4</v>
      </c>
    </row>
    <row r="489" spans="1:2" x14ac:dyDescent="0.3">
      <c r="A489" s="4">
        <v>44531</v>
      </c>
      <c r="B489" s="5">
        <v>1789.25</v>
      </c>
    </row>
    <row r="490" spans="1:2" x14ac:dyDescent="0.3">
      <c r="A490" s="4">
        <v>44532</v>
      </c>
      <c r="B490" s="5">
        <v>1765</v>
      </c>
    </row>
    <row r="491" spans="1:2" x14ac:dyDescent="0.3">
      <c r="A491" s="4">
        <v>44533</v>
      </c>
      <c r="B491" s="5">
        <v>1767.55</v>
      </c>
    </row>
    <row r="492" spans="1:2" x14ac:dyDescent="0.3">
      <c r="A492" s="4">
        <v>44536</v>
      </c>
      <c r="B492" s="5">
        <v>1778.65</v>
      </c>
    </row>
    <row r="493" spans="1:2" x14ac:dyDescent="0.3">
      <c r="A493" s="4">
        <v>44537</v>
      </c>
      <c r="B493" s="5">
        <v>1781.35</v>
      </c>
    </row>
    <row r="494" spans="1:2" x14ac:dyDescent="0.3">
      <c r="A494" s="4">
        <v>44538</v>
      </c>
      <c r="B494" s="5">
        <v>1783.8</v>
      </c>
    </row>
    <row r="495" spans="1:2" x14ac:dyDescent="0.3">
      <c r="A495" s="4">
        <v>44539</v>
      </c>
      <c r="B495" s="5">
        <v>1776.15</v>
      </c>
    </row>
    <row r="496" spans="1:2" x14ac:dyDescent="0.3">
      <c r="A496" s="4">
        <v>44540</v>
      </c>
      <c r="B496" s="5">
        <v>1779.75</v>
      </c>
    </row>
    <row r="497" spans="1:2" x14ac:dyDescent="0.3">
      <c r="A497" s="4">
        <v>44543</v>
      </c>
      <c r="B497" s="5">
        <v>1787.8</v>
      </c>
    </row>
    <row r="498" spans="1:2" x14ac:dyDescent="0.3">
      <c r="A498" s="4">
        <v>44544</v>
      </c>
      <c r="B498" s="5">
        <v>1776.9</v>
      </c>
    </row>
    <row r="499" spans="1:2" x14ac:dyDescent="0.3">
      <c r="A499" s="4">
        <v>44545</v>
      </c>
      <c r="B499" s="5">
        <v>1768.65</v>
      </c>
    </row>
    <row r="500" spans="1:2" x14ac:dyDescent="0.3">
      <c r="A500" s="4">
        <v>44546</v>
      </c>
      <c r="B500" s="5">
        <v>1795.7</v>
      </c>
    </row>
    <row r="501" spans="1:2" x14ac:dyDescent="0.3">
      <c r="A501" s="4">
        <v>44547</v>
      </c>
      <c r="B501" s="5">
        <v>1807.7</v>
      </c>
    </row>
    <row r="502" spans="1:2" x14ac:dyDescent="0.3">
      <c r="A502" s="4">
        <v>44550</v>
      </c>
      <c r="B502" s="5">
        <v>1796.3</v>
      </c>
    </row>
    <row r="503" spans="1:2" x14ac:dyDescent="0.3">
      <c r="A503" s="4">
        <v>44551</v>
      </c>
      <c r="B503" s="5">
        <v>1793.75</v>
      </c>
    </row>
    <row r="504" spans="1:2" x14ac:dyDescent="0.3">
      <c r="A504" s="4">
        <v>44552</v>
      </c>
      <c r="B504" s="5">
        <v>1792.8</v>
      </c>
    </row>
    <row r="505" spans="1:2" x14ac:dyDescent="0.3">
      <c r="A505" s="4">
        <v>44553</v>
      </c>
      <c r="B505" s="5">
        <v>1805.2</v>
      </c>
    </row>
    <row r="506" spans="1:2" x14ac:dyDescent="0.3">
      <c r="A506" s="4">
        <v>44554</v>
      </c>
      <c r="B506" s="5">
        <v>1786.05</v>
      </c>
    </row>
    <row r="507" spans="1:2" x14ac:dyDescent="0.3">
      <c r="A507" s="4">
        <v>44559</v>
      </c>
      <c r="B507" s="5">
        <v>1794.25</v>
      </c>
    </row>
    <row r="508" spans="1:2" x14ac:dyDescent="0.3">
      <c r="A508" s="4">
        <v>44560</v>
      </c>
      <c r="B508" s="5">
        <v>1805.85</v>
      </c>
    </row>
    <row r="509" spans="1:2" x14ac:dyDescent="0.3">
      <c r="A509" s="4">
        <v>44561</v>
      </c>
      <c r="B509" s="5">
        <v>1820.1</v>
      </c>
    </row>
    <row r="510" spans="1:2" x14ac:dyDescent="0.3">
      <c r="A510" s="4">
        <v>44565</v>
      </c>
      <c r="B510" s="5">
        <v>1811.4</v>
      </c>
    </row>
    <row r="511" spans="1:2" x14ac:dyDescent="0.3">
      <c r="A511" s="4">
        <v>44566</v>
      </c>
      <c r="B511" s="5">
        <v>1826.25</v>
      </c>
    </row>
    <row r="512" spans="1:2" x14ac:dyDescent="0.3">
      <c r="A512" s="4">
        <v>44567</v>
      </c>
      <c r="B512" s="5">
        <v>1789.35</v>
      </c>
    </row>
    <row r="513" spans="1:2" x14ac:dyDescent="0.3">
      <c r="A513" s="4">
        <v>44568</v>
      </c>
      <c r="B513" s="5">
        <v>1792.6</v>
      </c>
    </row>
    <row r="514" spans="1:2" x14ac:dyDescent="0.3">
      <c r="A514" s="4">
        <v>44571</v>
      </c>
      <c r="B514" s="5">
        <v>1794.2</v>
      </c>
    </row>
    <row r="515" spans="1:2" x14ac:dyDescent="0.3">
      <c r="A515" s="4">
        <v>44572</v>
      </c>
      <c r="B515" s="5">
        <v>1806.8</v>
      </c>
    </row>
    <row r="516" spans="1:2" x14ac:dyDescent="0.3">
      <c r="A516" s="4">
        <v>44573</v>
      </c>
      <c r="B516" s="5">
        <v>1821.4</v>
      </c>
    </row>
    <row r="517" spans="1:2" x14ac:dyDescent="0.3">
      <c r="A517" s="4">
        <v>44574</v>
      </c>
      <c r="B517" s="5">
        <v>1820.35</v>
      </c>
    </row>
    <row r="518" spans="1:2" x14ac:dyDescent="0.3">
      <c r="A518" s="4">
        <v>44575</v>
      </c>
      <c r="B518" s="5">
        <v>1822.95</v>
      </c>
    </row>
    <row r="519" spans="1:2" x14ac:dyDescent="0.3">
      <c r="A519" s="4">
        <v>44578</v>
      </c>
      <c r="B519" s="5">
        <v>1817.85</v>
      </c>
    </row>
    <row r="520" spans="1:2" x14ac:dyDescent="0.3">
      <c r="A520" s="4">
        <v>44579</v>
      </c>
      <c r="B520" s="5">
        <v>1817.25</v>
      </c>
    </row>
    <row r="521" spans="1:2" x14ac:dyDescent="0.3">
      <c r="A521" s="4">
        <v>44580</v>
      </c>
      <c r="B521" s="5">
        <v>1826.95</v>
      </c>
    </row>
    <row r="522" spans="1:2" x14ac:dyDescent="0.3">
      <c r="A522" s="4">
        <v>44581</v>
      </c>
      <c r="B522" s="5">
        <v>1845.35</v>
      </c>
    </row>
    <row r="523" spans="1:2" x14ac:dyDescent="0.3">
      <c r="A523" s="4">
        <v>44582</v>
      </c>
      <c r="B523" s="5">
        <v>1837.6</v>
      </c>
    </row>
    <row r="524" spans="1:2" x14ac:dyDescent="0.3">
      <c r="A524" s="4">
        <v>44585</v>
      </c>
      <c r="B524" s="5">
        <v>1831.6</v>
      </c>
    </row>
    <row r="525" spans="1:2" x14ac:dyDescent="0.3">
      <c r="A525" s="4">
        <v>44586</v>
      </c>
      <c r="B525" s="5">
        <v>1847.3</v>
      </c>
    </row>
    <row r="526" spans="1:2" x14ac:dyDescent="0.3">
      <c r="A526" s="4">
        <v>44587</v>
      </c>
      <c r="B526" s="5">
        <v>1835.95</v>
      </c>
    </row>
    <row r="527" spans="1:2" x14ac:dyDescent="0.3">
      <c r="A527" s="4">
        <v>44588</v>
      </c>
      <c r="B527" s="5">
        <v>1806.75</v>
      </c>
    </row>
    <row r="528" spans="1:2" x14ac:dyDescent="0.3">
      <c r="A528" s="4">
        <v>44589</v>
      </c>
      <c r="B528" s="5">
        <v>1788.15</v>
      </c>
    </row>
    <row r="529" spans="1:2" x14ac:dyDescent="0.3">
      <c r="A529" s="4">
        <v>44592</v>
      </c>
      <c r="B529" s="5">
        <v>1795.25</v>
      </c>
    </row>
    <row r="530" spans="1:2" x14ac:dyDescent="0.3">
      <c r="A530" s="4">
        <v>44593</v>
      </c>
      <c r="B530" s="5">
        <v>1799.85</v>
      </c>
    </row>
    <row r="531" spans="1:2" x14ac:dyDescent="0.3">
      <c r="A531" s="4">
        <v>44594</v>
      </c>
      <c r="B531" s="5">
        <v>1803.65</v>
      </c>
    </row>
    <row r="532" spans="1:2" x14ac:dyDescent="0.3">
      <c r="A532" s="4">
        <v>44595</v>
      </c>
      <c r="B532" s="5">
        <v>1792.7</v>
      </c>
    </row>
    <row r="533" spans="1:2" x14ac:dyDescent="0.3">
      <c r="A533" s="4">
        <v>44596</v>
      </c>
      <c r="B533" s="5">
        <v>1804.7</v>
      </c>
    </row>
    <row r="534" spans="1:2" x14ac:dyDescent="0.3">
      <c r="A534" s="4">
        <v>44599</v>
      </c>
      <c r="B534" s="5">
        <v>1813.55</v>
      </c>
    </row>
    <row r="535" spans="1:2" x14ac:dyDescent="0.3">
      <c r="A535" s="4">
        <v>44600</v>
      </c>
      <c r="B535" s="5">
        <v>1822.6</v>
      </c>
    </row>
    <row r="536" spans="1:2" x14ac:dyDescent="0.3">
      <c r="A536" s="4">
        <v>44601</v>
      </c>
      <c r="B536" s="5">
        <v>1827.8</v>
      </c>
    </row>
    <row r="537" spans="1:2" x14ac:dyDescent="0.3">
      <c r="A537" s="4">
        <v>44602</v>
      </c>
      <c r="B537" s="5">
        <v>1835.35</v>
      </c>
    </row>
    <row r="538" spans="1:2" x14ac:dyDescent="0.3">
      <c r="A538" s="4">
        <v>44603</v>
      </c>
      <c r="B538" s="5">
        <v>1831.15</v>
      </c>
    </row>
    <row r="539" spans="1:2" x14ac:dyDescent="0.3">
      <c r="A539" s="4">
        <v>44606</v>
      </c>
      <c r="B539" s="5">
        <v>1866.15</v>
      </c>
    </row>
    <row r="540" spans="1:2" x14ac:dyDescent="0.3">
      <c r="A540" s="4">
        <v>44607</v>
      </c>
      <c r="B540" s="5">
        <v>1848.55</v>
      </c>
    </row>
    <row r="541" spans="1:2" x14ac:dyDescent="0.3">
      <c r="A541" s="4">
        <v>44608</v>
      </c>
      <c r="B541" s="5">
        <v>1862.6</v>
      </c>
    </row>
    <row r="542" spans="1:2" x14ac:dyDescent="0.3">
      <c r="A542" s="4">
        <v>44609</v>
      </c>
      <c r="B542" s="5">
        <v>1893.45</v>
      </c>
    </row>
    <row r="543" spans="1:2" x14ac:dyDescent="0.3">
      <c r="A543" s="4">
        <v>44610</v>
      </c>
      <c r="B543" s="5">
        <v>1893.6</v>
      </c>
    </row>
    <row r="544" spans="1:2" x14ac:dyDescent="0.3">
      <c r="A544" s="4">
        <v>44613</v>
      </c>
      <c r="B544" s="5">
        <v>1894.45</v>
      </c>
    </row>
    <row r="545" spans="1:2" x14ac:dyDescent="0.3">
      <c r="A545" s="4">
        <v>44614</v>
      </c>
      <c r="B545" s="5">
        <v>1900.1</v>
      </c>
    </row>
    <row r="546" spans="1:2" x14ac:dyDescent="0.3">
      <c r="A546" s="4">
        <v>44615</v>
      </c>
      <c r="B546" s="5">
        <v>1904.7</v>
      </c>
    </row>
    <row r="547" spans="1:2" x14ac:dyDescent="0.3">
      <c r="A547" s="4">
        <v>44616</v>
      </c>
      <c r="B547" s="5">
        <v>1936.3</v>
      </c>
    </row>
    <row r="548" spans="1:2" x14ac:dyDescent="0.3">
      <c r="A548" s="4">
        <v>44617</v>
      </c>
      <c r="B548" s="5">
        <v>1884.8</v>
      </c>
    </row>
    <row r="549" spans="1:2" x14ac:dyDescent="0.3">
      <c r="A549" s="4">
        <v>44620</v>
      </c>
      <c r="B549" s="5">
        <v>1909.85</v>
      </c>
    </row>
    <row r="550" spans="1:2" x14ac:dyDescent="0.3">
      <c r="A550" s="4">
        <v>44621</v>
      </c>
      <c r="B550" s="5">
        <v>1922</v>
      </c>
    </row>
    <row r="551" spans="1:2" x14ac:dyDescent="0.3">
      <c r="A551" s="4">
        <v>44622</v>
      </c>
      <c r="B551" s="5">
        <v>1928.5</v>
      </c>
    </row>
    <row r="552" spans="1:2" x14ac:dyDescent="0.3">
      <c r="A552" s="4">
        <v>44623</v>
      </c>
      <c r="B552" s="5">
        <v>1929.6</v>
      </c>
    </row>
    <row r="553" spans="1:2" x14ac:dyDescent="0.3">
      <c r="A553" s="4">
        <v>44624</v>
      </c>
      <c r="B553" s="5">
        <v>1945.3</v>
      </c>
    </row>
    <row r="554" spans="1:2" x14ac:dyDescent="0.3">
      <c r="A554" s="4">
        <v>44627</v>
      </c>
      <c r="B554" s="5">
        <v>1980.95</v>
      </c>
    </row>
    <row r="555" spans="1:2" x14ac:dyDescent="0.3">
      <c r="A555" s="4">
        <v>44628</v>
      </c>
      <c r="B555" s="5">
        <v>2039.05</v>
      </c>
    </row>
    <row r="556" spans="1:2" x14ac:dyDescent="0.3">
      <c r="A556" s="4">
        <v>44629</v>
      </c>
      <c r="B556" s="5">
        <v>1988.9</v>
      </c>
    </row>
    <row r="557" spans="1:2" x14ac:dyDescent="0.3">
      <c r="A557" s="4">
        <v>44630</v>
      </c>
      <c r="B557" s="5">
        <v>1996.6</v>
      </c>
    </row>
    <row r="558" spans="1:2" x14ac:dyDescent="0.3">
      <c r="A558" s="4">
        <v>44631</v>
      </c>
      <c r="B558" s="5">
        <v>1978.7</v>
      </c>
    </row>
    <row r="559" spans="1:2" x14ac:dyDescent="0.3">
      <c r="A559" s="4">
        <v>44634</v>
      </c>
      <c r="B559" s="5">
        <v>1954.05</v>
      </c>
    </row>
    <row r="560" spans="1:2" x14ac:dyDescent="0.3">
      <c r="A560" s="4">
        <v>44635</v>
      </c>
      <c r="B560" s="5">
        <v>1913.65</v>
      </c>
    </row>
    <row r="561" spans="1:2" x14ac:dyDescent="0.3">
      <c r="A561" s="4">
        <v>44636</v>
      </c>
      <c r="B561" s="5">
        <v>1913.2</v>
      </c>
    </row>
    <row r="562" spans="1:2" x14ac:dyDescent="0.3">
      <c r="A562" s="4">
        <v>44637</v>
      </c>
      <c r="B562" s="5">
        <v>1949.65</v>
      </c>
    </row>
    <row r="563" spans="1:2" x14ac:dyDescent="0.3">
      <c r="A563" s="4">
        <v>44638</v>
      </c>
      <c r="B563" s="5">
        <v>1935.8</v>
      </c>
    </row>
    <row r="564" spans="1:2" x14ac:dyDescent="0.3">
      <c r="A564" s="4">
        <v>44641</v>
      </c>
      <c r="B564" s="5">
        <v>1935.05</v>
      </c>
    </row>
    <row r="565" spans="1:2" x14ac:dyDescent="0.3">
      <c r="A565" s="4">
        <v>44642</v>
      </c>
      <c r="B565" s="5">
        <v>1915.25</v>
      </c>
    </row>
    <row r="566" spans="1:2" x14ac:dyDescent="0.3">
      <c r="A566" s="4">
        <v>44643</v>
      </c>
      <c r="B566" s="5">
        <v>1931.75</v>
      </c>
    </row>
    <row r="567" spans="1:2" x14ac:dyDescent="0.3">
      <c r="A567" s="4">
        <v>44644</v>
      </c>
      <c r="B567" s="5">
        <v>1965.2</v>
      </c>
    </row>
    <row r="568" spans="1:2" x14ac:dyDescent="0.3">
      <c r="A568" s="4">
        <v>44645</v>
      </c>
      <c r="B568" s="5">
        <v>1953.8</v>
      </c>
    </row>
    <row r="569" spans="1:2" x14ac:dyDescent="0.3">
      <c r="A569" s="4">
        <v>44648</v>
      </c>
      <c r="B569" s="5">
        <v>1937.05</v>
      </c>
    </row>
    <row r="570" spans="1:2" x14ac:dyDescent="0.3">
      <c r="A570" s="4">
        <v>44649</v>
      </c>
      <c r="B570" s="5">
        <v>1910</v>
      </c>
    </row>
    <row r="571" spans="1:2" x14ac:dyDescent="0.3">
      <c r="A571" s="4">
        <v>44650</v>
      </c>
      <c r="B571" s="5">
        <v>1933.85</v>
      </c>
    </row>
    <row r="572" spans="1:2" x14ac:dyDescent="0.3">
      <c r="A572" s="4">
        <v>44651</v>
      </c>
      <c r="B572" s="5">
        <v>1942.15</v>
      </c>
    </row>
    <row r="573" spans="1:2" x14ac:dyDescent="0.3">
      <c r="A573" s="4">
        <v>44652</v>
      </c>
      <c r="B573" s="5">
        <v>1929.4</v>
      </c>
    </row>
    <row r="574" spans="1:2" x14ac:dyDescent="0.3">
      <c r="A574" s="4">
        <v>44655</v>
      </c>
      <c r="B574" s="5">
        <v>1930.3</v>
      </c>
    </row>
    <row r="575" spans="1:2" x14ac:dyDescent="0.3">
      <c r="A575" s="4">
        <v>44656</v>
      </c>
      <c r="B575" s="5">
        <v>1944.05</v>
      </c>
    </row>
    <row r="576" spans="1:2" x14ac:dyDescent="0.3">
      <c r="A576" s="4">
        <v>44657</v>
      </c>
      <c r="B576" s="5">
        <v>1930.15</v>
      </c>
    </row>
    <row r="577" spans="1:2" x14ac:dyDescent="0.3">
      <c r="A577" s="4">
        <v>44658</v>
      </c>
      <c r="B577" s="5">
        <v>1932.4</v>
      </c>
    </row>
    <row r="578" spans="1:2" x14ac:dyDescent="0.3">
      <c r="A578" s="4">
        <v>44659</v>
      </c>
      <c r="B578" s="5">
        <v>1941.4</v>
      </c>
    </row>
    <row r="579" spans="1:2" x14ac:dyDescent="0.3">
      <c r="A579" s="4">
        <v>44662</v>
      </c>
      <c r="B579" s="5">
        <v>1951.55</v>
      </c>
    </row>
    <row r="580" spans="1:2" x14ac:dyDescent="0.3">
      <c r="A580" s="4">
        <v>44663</v>
      </c>
      <c r="B580" s="5">
        <v>1960.85</v>
      </c>
    </row>
    <row r="581" spans="1:2" x14ac:dyDescent="0.3">
      <c r="A581" s="4">
        <v>44664</v>
      </c>
      <c r="B581" s="5">
        <v>1976.75</v>
      </c>
    </row>
    <row r="582" spans="1:2" x14ac:dyDescent="0.3">
      <c r="A582" s="4">
        <v>44665</v>
      </c>
      <c r="B582" s="5">
        <v>1963.25</v>
      </c>
    </row>
    <row r="583" spans="1:2" x14ac:dyDescent="0.3">
      <c r="A583" s="4">
        <v>44670</v>
      </c>
      <c r="B583" s="5">
        <v>1964</v>
      </c>
    </row>
    <row r="584" spans="1:2" x14ac:dyDescent="0.3">
      <c r="A584" s="4">
        <v>44671</v>
      </c>
      <c r="B584" s="5">
        <v>1949.55</v>
      </c>
    </row>
    <row r="585" spans="1:2" x14ac:dyDescent="0.3">
      <c r="A585" s="4">
        <v>44672</v>
      </c>
      <c r="B585" s="5">
        <v>1943.7</v>
      </c>
    </row>
    <row r="586" spans="1:2" x14ac:dyDescent="0.3">
      <c r="A586" s="4">
        <v>44673</v>
      </c>
      <c r="B586" s="5">
        <v>1941.55</v>
      </c>
    </row>
    <row r="587" spans="1:2" x14ac:dyDescent="0.3">
      <c r="A587" s="4">
        <v>44676</v>
      </c>
      <c r="B587" s="5">
        <v>1895</v>
      </c>
    </row>
    <row r="588" spans="1:2" x14ac:dyDescent="0.3">
      <c r="A588" s="4">
        <v>44677</v>
      </c>
      <c r="B588" s="5">
        <v>1904.6</v>
      </c>
    </row>
    <row r="589" spans="1:2" x14ac:dyDescent="0.3">
      <c r="A589" s="4">
        <v>44678</v>
      </c>
      <c r="B589" s="5">
        <v>1885.8</v>
      </c>
    </row>
    <row r="590" spans="1:2" x14ac:dyDescent="0.3">
      <c r="A590" s="4">
        <v>44679</v>
      </c>
      <c r="B590" s="5">
        <v>1888.5</v>
      </c>
    </row>
    <row r="591" spans="1:2" x14ac:dyDescent="0.3">
      <c r="A591" s="4">
        <v>44680</v>
      </c>
      <c r="B591" s="5">
        <v>1911.3</v>
      </c>
    </row>
    <row r="592" spans="1:2" x14ac:dyDescent="0.3">
      <c r="A592" s="4">
        <v>44684</v>
      </c>
      <c r="B592" s="5">
        <v>1869.7</v>
      </c>
    </row>
    <row r="593" spans="1:2" x14ac:dyDescent="0.3">
      <c r="A593" s="4">
        <v>44685</v>
      </c>
      <c r="B593" s="5">
        <v>1863.65</v>
      </c>
    </row>
    <row r="594" spans="1:2" x14ac:dyDescent="0.3">
      <c r="A594" s="4">
        <v>44686</v>
      </c>
      <c r="B594" s="5">
        <v>1892.3</v>
      </c>
    </row>
    <row r="595" spans="1:2" x14ac:dyDescent="0.3">
      <c r="A595" s="4">
        <v>44687</v>
      </c>
      <c r="B595" s="5">
        <v>1882.35</v>
      </c>
    </row>
    <row r="596" spans="1:2" x14ac:dyDescent="0.3">
      <c r="A596" s="4">
        <v>44690</v>
      </c>
      <c r="B596" s="5">
        <v>1860.9</v>
      </c>
    </row>
    <row r="597" spans="1:2" x14ac:dyDescent="0.3">
      <c r="A597" s="4">
        <v>44691</v>
      </c>
      <c r="B597" s="5">
        <v>1857.35</v>
      </c>
    </row>
    <row r="598" spans="1:2" x14ac:dyDescent="0.3">
      <c r="A598" s="4">
        <v>44692</v>
      </c>
      <c r="B598" s="5">
        <v>1851.95</v>
      </c>
    </row>
    <row r="599" spans="1:2" x14ac:dyDescent="0.3">
      <c r="A599" s="4">
        <v>44693</v>
      </c>
      <c r="B599" s="5">
        <v>1837.05</v>
      </c>
    </row>
    <row r="600" spans="1:2" x14ac:dyDescent="0.3">
      <c r="A600" s="4">
        <v>44694</v>
      </c>
      <c r="B600" s="5">
        <v>1811.55</v>
      </c>
    </row>
    <row r="601" spans="1:2" x14ac:dyDescent="0.3">
      <c r="A601" s="4">
        <v>44697</v>
      </c>
      <c r="B601" s="5">
        <v>1809.5</v>
      </c>
    </row>
    <row r="602" spans="1:2" x14ac:dyDescent="0.3">
      <c r="A602" s="4">
        <v>44698</v>
      </c>
      <c r="B602" s="5">
        <v>1825</v>
      </c>
    </row>
    <row r="603" spans="1:2" x14ac:dyDescent="0.3">
      <c r="A603" s="4">
        <v>44699</v>
      </c>
      <c r="B603" s="5">
        <v>1810.65</v>
      </c>
    </row>
    <row r="604" spans="1:2" x14ac:dyDescent="0.3">
      <c r="A604" s="4">
        <v>44700</v>
      </c>
      <c r="B604" s="5">
        <v>1844</v>
      </c>
    </row>
    <row r="605" spans="1:2" x14ac:dyDescent="0.3">
      <c r="A605" s="4">
        <v>44701</v>
      </c>
      <c r="B605" s="5">
        <v>1834.2</v>
      </c>
    </row>
    <row r="606" spans="1:2" x14ac:dyDescent="0.3">
      <c r="A606" s="4">
        <v>44704</v>
      </c>
      <c r="B606" s="5">
        <v>1856.2</v>
      </c>
    </row>
    <row r="607" spans="1:2" x14ac:dyDescent="0.3">
      <c r="A607" s="4">
        <v>44705</v>
      </c>
      <c r="B607" s="5">
        <v>1867.1</v>
      </c>
    </row>
    <row r="608" spans="1:2" x14ac:dyDescent="0.3">
      <c r="A608" s="4">
        <v>44706</v>
      </c>
      <c r="B608" s="5">
        <v>1847.2</v>
      </c>
    </row>
    <row r="609" spans="1:2" x14ac:dyDescent="0.3">
      <c r="A609" s="4">
        <v>44707</v>
      </c>
      <c r="B609" s="5">
        <v>1848.25</v>
      </c>
    </row>
    <row r="610" spans="1:2" x14ac:dyDescent="0.3">
      <c r="A610" s="4">
        <v>44708</v>
      </c>
      <c r="B610" s="5">
        <v>1851.8</v>
      </c>
    </row>
    <row r="611" spans="1:2" x14ac:dyDescent="0.3">
      <c r="A611" s="4">
        <v>44711</v>
      </c>
      <c r="B611" s="5">
        <v>1854.95</v>
      </c>
    </row>
    <row r="612" spans="1:2" x14ac:dyDescent="0.3">
      <c r="A612" s="4">
        <v>44712</v>
      </c>
      <c r="B612" s="5">
        <v>1838.7</v>
      </c>
    </row>
    <row r="613" spans="1:2" x14ac:dyDescent="0.3">
      <c r="A613" s="4">
        <v>44713</v>
      </c>
      <c r="B613" s="5">
        <v>1844.9</v>
      </c>
    </row>
    <row r="614" spans="1:2" x14ac:dyDescent="0.3">
      <c r="A614" s="4">
        <v>44718</v>
      </c>
      <c r="B614" s="5">
        <v>1847.2</v>
      </c>
    </row>
    <row r="615" spans="1:2" x14ac:dyDescent="0.3">
      <c r="A615" s="4">
        <v>44719</v>
      </c>
      <c r="B615" s="5">
        <v>1849.6</v>
      </c>
    </row>
    <row r="616" spans="1:2" x14ac:dyDescent="0.3">
      <c r="A616" s="4">
        <v>44720</v>
      </c>
      <c r="B616" s="5">
        <v>1852.95</v>
      </c>
    </row>
    <row r="617" spans="1:2" x14ac:dyDescent="0.3">
      <c r="A617" s="4">
        <v>44721</v>
      </c>
      <c r="B617" s="5">
        <v>1844.85</v>
      </c>
    </row>
    <row r="618" spans="1:2" x14ac:dyDescent="0.3">
      <c r="A618" s="4">
        <v>44722</v>
      </c>
      <c r="B618" s="5">
        <v>1830</v>
      </c>
    </row>
    <row r="619" spans="1:2" x14ac:dyDescent="0.3">
      <c r="A619" s="4">
        <v>44725</v>
      </c>
      <c r="B619" s="5">
        <v>1830.85</v>
      </c>
    </row>
    <row r="620" spans="1:2" x14ac:dyDescent="0.3">
      <c r="A620" s="4">
        <v>44726</v>
      </c>
      <c r="B620" s="5">
        <v>1818.3</v>
      </c>
    </row>
    <row r="621" spans="1:2" x14ac:dyDescent="0.3">
      <c r="A621" s="4">
        <v>44727</v>
      </c>
      <c r="B621" s="5">
        <v>1823.75</v>
      </c>
    </row>
    <row r="622" spans="1:2" x14ac:dyDescent="0.3">
      <c r="A622" s="4">
        <v>44728</v>
      </c>
      <c r="B622" s="5">
        <v>1826.5</v>
      </c>
    </row>
    <row r="623" spans="1:2" x14ac:dyDescent="0.3">
      <c r="A623" s="4">
        <v>44729</v>
      </c>
      <c r="B623" s="5">
        <v>1841.55</v>
      </c>
    </row>
    <row r="624" spans="1:2" x14ac:dyDescent="0.3">
      <c r="A624" s="4">
        <v>44732</v>
      </c>
      <c r="B624" s="5">
        <v>1836.5</v>
      </c>
    </row>
    <row r="625" spans="1:2" x14ac:dyDescent="0.3">
      <c r="A625" s="4">
        <v>44733</v>
      </c>
      <c r="B625" s="5">
        <v>1840.25</v>
      </c>
    </row>
    <row r="626" spans="1:2" x14ac:dyDescent="0.3">
      <c r="A626" s="4">
        <v>44734</v>
      </c>
      <c r="B626" s="5">
        <v>1841.85</v>
      </c>
    </row>
    <row r="627" spans="1:2" x14ac:dyDescent="0.3">
      <c r="A627" s="4">
        <v>44735</v>
      </c>
      <c r="B627" s="5">
        <v>1841.9</v>
      </c>
    </row>
    <row r="628" spans="1:2" x14ac:dyDescent="0.3">
      <c r="A628" s="4">
        <v>44736</v>
      </c>
      <c r="B628" s="5">
        <v>1825.45</v>
      </c>
    </row>
    <row r="629" spans="1:2" x14ac:dyDescent="0.3">
      <c r="A629" s="4">
        <v>44739</v>
      </c>
      <c r="B629" s="5">
        <v>1826.3</v>
      </c>
    </row>
    <row r="630" spans="1:2" x14ac:dyDescent="0.3">
      <c r="A630" s="4">
        <v>44740</v>
      </c>
      <c r="B630" s="5">
        <v>1819.05</v>
      </c>
    </row>
    <row r="631" spans="1:2" x14ac:dyDescent="0.3">
      <c r="A631" s="4">
        <v>44741</v>
      </c>
      <c r="B631" s="5">
        <v>1817.75</v>
      </c>
    </row>
    <row r="632" spans="1:2" x14ac:dyDescent="0.3">
      <c r="A632" s="4">
        <v>44742</v>
      </c>
      <c r="B632" s="5">
        <v>1817</v>
      </c>
    </row>
    <row r="633" spans="1:2" x14ac:dyDescent="0.3">
      <c r="A633" s="4">
        <v>44743</v>
      </c>
      <c r="B633" s="5">
        <v>1797.45</v>
      </c>
    </row>
    <row r="634" spans="1:2" x14ac:dyDescent="0.3">
      <c r="A634" s="4">
        <v>44746</v>
      </c>
      <c r="B634" s="5">
        <v>1808.4</v>
      </c>
    </row>
    <row r="635" spans="1:2" x14ac:dyDescent="0.3">
      <c r="A635" s="4">
        <v>44747</v>
      </c>
      <c r="B635" s="5">
        <v>1772</v>
      </c>
    </row>
    <row r="636" spans="1:2" x14ac:dyDescent="0.3">
      <c r="A636" s="4">
        <v>44748</v>
      </c>
      <c r="B636" s="5">
        <v>1754.3</v>
      </c>
    </row>
    <row r="637" spans="1:2" x14ac:dyDescent="0.3">
      <c r="A637" s="4">
        <v>44749</v>
      </c>
      <c r="B637" s="5">
        <v>1747.95</v>
      </c>
    </row>
    <row r="638" spans="1:2" x14ac:dyDescent="0.3">
      <c r="A638" s="4">
        <v>44750</v>
      </c>
      <c r="B638" s="5">
        <v>1738.2</v>
      </c>
    </row>
    <row r="639" spans="1:2" x14ac:dyDescent="0.3">
      <c r="A639" s="4">
        <v>44753</v>
      </c>
      <c r="B639" s="5">
        <v>1740</v>
      </c>
    </row>
    <row r="640" spans="1:2" x14ac:dyDescent="0.3">
      <c r="A640" s="4">
        <v>44754</v>
      </c>
      <c r="B640" s="5">
        <v>1730.7</v>
      </c>
    </row>
    <row r="641" spans="1:2" x14ac:dyDescent="0.3">
      <c r="A641" s="4">
        <v>44755</v>
      </c>
      <c r="B641" s="5">
        <v>1724.6</v>
      </c>
    </row>
    <row r="642" spans="1:2" x14ac:dyDescent="0.3">
      <c r="A642" s="4">
        <v>44756</v>
      </c>
      <c r="B642" s="5">
        <v>1700.7</v>
      </c>
    </row>
    <row r="643" spans="1:2" x14ac:dyDescent="0.3">
      <c r="A643" s="4">
        <v>44757</v>
      </c>
      <c r="B643" s="5">
        <v>1706.15</v>
      </c>
    </row>
    <row r="644" spans="1:2" x14ac:dyDescent="0.3">
      <c r="A644" s="4">
        <v>44760</v>
      </c>
      <c r="B644" s="5">
        <v>1719.05</v>
      </c>
    </row>
    <row r="645" spans="1:2" x14ac:dyDescent="0.3">
      <c r="A645" s="4">
        <v>44761</v>
      </c>
      <c r="B645" s="5">
        <v>1713.05</v>
      </c>
    </row>
    <row r="646" spans="1:2" x14ac:dyDescent="0.3">
      <c r="A646" s="4">
        <v>44762</v>
      </c>
      <c r="B646" s="5">
        <v>1709.3</v>
      </c>
    </row>
    <row r="647" spans="1:2" x14ac:dyDescent="0.3">
      <c r="A647" s="4">
        <v>44763</v>
      </c>
      <c r="B647" s="5">
        <v>1705.1</v>
      </c>
    </row>
    <row r="648" spans="1:2" x14ac:dyDescent="0.3">
      <c r="A648" s="4">
        <v>44764</v>
      </c>
      <c r="B648" s="5">
        <v>1736.95</v>
      </c>
    </row>
    <row r="649" spans="1:2" x14ac:dyDescent="0.3">
      <c r="A649" s="4">
        <v>44767</v>
      </c>
      <c r="B649" s="5">
        <v>1718.9</v>
      </c>
    </row>
    <row r="650" spans="1:2" x14ac:dyDescent="0.3">
      <c r="A650" s="4">
        <v>44768</v>
      </c>
      <c r="B650" s="5">
        <v>1720.05</v>
      </c>
    </row>
    <row r="651" spans="1:2" x14ac:dyDescent="0.3">
      <c r="A651" s="4">
        <v>44769</v>
      </c>
      <c r="B651" s="5">
        <v>1714.05</v>
      </c>
    </row>
    <row r="652" spans="1:2" x14ac:dyDescent="0.3">
      <c r="A652" s="4">
        <v>44770</v>
      </c>
      <c r="B652" s="5">
        <v>1753.5</v>
      </c>
    </row>
    <row r="653" spans="1:2" x14ac:dyDescent="0.3">
      <c r="A653" s="4">
        <v>44771</v>
      </c>
      <c r="B653" s="5">
        <v>1753.4</v>
      </c>
    </row>
    <row r="654" spans="1:2" x14ac:dyDescent="0.3">
      <c r="A654" s="4">
        <v>44774</v>
      </c>
      <c r="B654" s="5">
        <v>1772.4</v>
      </c>
    </row>
    <row r="655" spans="1:2" x14ac:dyDescent="0.3">
      <c r="A655" s="4">
        <v>44775</v>
      </c>
      <c r="B655" s="5">
        <v>1779.75</v>
      </c>
    </row>
    <row r="656" spans="1:2" x14ac:dyDescent="0.3">
      <c r="A656" s="4">
        <v>44776</v>
      </c>
      <c r="B656" s="5">
        <v>1761.25</v>
      </c>
    </row>
    <row r="657" spans="1:2" x14ac:dyDescent="0.3">
      <c r="A657" s="4">
        <v>44777</v>
      </c>
      <c r="B657" s="5">
        <v>1783.2</v>
      </c>
    </row>
    <row r="658" spans="1:2" x14ac:dyDescent="0.3">
      <c r="A658" s="4">
        <v>44778</v>
      </c>
      <c r="B658" s="5">
        <v>1773.25</v>
      </c>
    </row>
    <row r="659" spans="1:2" x14ac:dyDescent="0.3">
      <c r="A659" s="4">
        <v>44781</v>
      </c>
      <c r="B659" s="5">
        <v>1784.05</v>
      </c>
    </row>
    <row r="660" spans="1:2" x14ac:dyDescent="0.3">
      <c r="A660" s="4">
        <v>44782</v>
      </c>
      <c r="B660" s="5">
        <v>1795.25</v>
      </c>
    </row>
    <row r="661" spans="1:2" x14ac:dyDescent="0.3">
      <c r="A661" s="4">
        <v>44783</v>
      </c>
      <c r="B661" s="5">
        <v>1795.05</v>
      </c>
    </row>
    <row r="662" spans="1:2" x14ac:dyDescent="0.3">
      <c r="A662" s="4">
        <v>44784</v>
      </c>
      <c r="B662" s="5">
        <v>1796.7</v>
      </c>
    </row>
    <row r="663" spans="1:2" x14ac:dyDescent="0.3">
      <c r="A663" s="4">
        <v>44785</v>
      </c>
      <c r="B663" s="5">
        <v>1792.1</v>
      </c>
    </row>
    <row r="664" spans="1:2" x14ac:dyDescent="0.3">
      <c r="A664" s="4">
        <v>44788</v>
      </c>
      <c r="B664" s="5">
        <v>1776.6</v>
      </c>
    </row>
    <row r="665" spans="1:2" x14ac:dyDescent="0.3">
      <c r="A665" s="4">
        <v>44789</v>
      </c>
      <c r="B665" s="5">
        <v>1774.85</v>
      </c>
    </row>
    <row r="666" spans="1:2" x14ac:dyDescent="0.3">
      <c r="A666" s="4">
        <v>44790</v>
      </c>
      <c r="B666" s="5">
        <v>1767.2</v>
      </c>
    </row>
    <row r="667" spans="1:2" x14ac:dyDescent="0.3">
      <c r="A667" s="4">
        <v>44791</v>
      </c>
      <c r="B667" s="5">
        <v>1765.55</v>
      </c>
    </row>
    <row r="668" spans="1:2" x14ac:dyDescent="0.3">
      <c r="A668" s="4">
        <v>44792</v>
      </c>
      <c r="B668" s="5">
        <v>1750.75</v>
      </c>
    </row>
    <row r="669" spans="1:2" x14ac:dyDescent="0.3">
      <c r="A669" s="4">
        <v>44795</v>
      </c>
      <c r="B669" s="5">
        <v>1733.25</v>
      </c>
    </row>
    <row r="670" spans="1:2" x14ac:dyDescent="0.3">
      <c r="A670" s="4">
        <v>44796</v>
      </c>
      <c r="B670" s="5">
        <v>1746.55</v>
      </c>
    </row>
    <row r="671" spans="1:2" x14ac:dyDescent="0.3">
      <c r="A671" s="4">
        <v>44797</v>
      </c>
      <c r="B671" s="5">
        <v>1745.65</v>
      </c>
    </row>
    <row r="672" spans="1:2" x14ac:dyDescent="0.3">
      <c r="A672" s="4">
        <v>44798</v>
      </c>
      <c r="B672" s="5">
        <v>1753.55</v>
      </c>
    </row>
    <row r="673" spans="1:2" x14ac:dyDescent="0.3">
      <c r="A673" s="4">
        <v>44799</v>
      </c>
      <c r="B673" s="5">
        <v>1751.25</v>
      </c>
    </row>
    <row r="674" spans="1:2" x14ac:dyDescent="0.3">
      <c r="A674" s="4">
        <v>44803</v>
      </c>
      <c r="B674" s="5">
        <v>1730.3</v>
      </c>
    </row>
    <row r="675" spans="1:2" x14ac:dyDescent="0.3">
      <c r="A675" s="4">
        <v>44804</v>
      </c>
      <c r="B675" s="5">
        <v>1715.9</v>
      </c>
    </row>
    <row r="676" spans="1:2" x14ac:dyDescent="0.3">
      <c r="A676" s="4">
        <v>44805</v>
      </c>
      <c r="B676" s="5">
        <v>1694.3</v>
      </c>
    </row>
    <row r="677" spans="1:2" x14ac:dyDescent="0.3">
      <c r="A677" s="4">
        <v>44806</v>
      </c>
      <c r="B677" s="5">
        <v>1712.5</v>
      </c>
    </row>
    <row r="678" spans="1:2" x14ac:dyDescent="0.3">
      <c r="A678" s="4">
        <v>44809</v>
      </c>
      <c r="B678" s="5">
        <v>1710.95</v>
      </c>
    </row>
    <row r="679" spans="1:2" x14ac:dyDescent="0.3">
      <c r="A679" s="4">
        <v>44810</v>
      </c>
      <c r="B679" s="5">
        <v>1702.6</v>
      </c>
    </row>
    <row r="680" spans="1:2" x14ac:dyDescent="0.3">
      <c r="A680" s="4">
        <v>44811</v>
      </c>
      <c r="B680" s="5">
        <v>1702.65</v>
      </c>
    </row>
    <row r="681" spans="1:2" x14ac:dyDescent="0.3">
      <c r="A681" s="4">
        <v>44812</v>
      </c>
      <c r="B681" s="5">
        <v>1709.35</v>
      </c>
    </row>
    <row r="682" spans="1:2" x14ac:dyDescent="0.3">
      <c r="A682" s="4">
        <v>44813</v>
      </c>
      <c r="B682" s="5">
        <v>1713.4</v>
      </c>
    </row>
    <row r="683" spans="1:2" x14ac:dyDescent="0.3">
      <c r="A683" s="4">
        <v>44816</v>
      </c>
      <c r="B683" s="5">
        <v>1726.4</v>
      </c>
    </row>
    <row r="684" spans="1:2" x14ac:dyDescent="0.3">
      <c r="A684" s="4">
        <v>44817</v>
      </c>
      <c r="B684" s="5">
        <v>1704.85</v>
      </c>
    </row>
    <row r="685" spans="1:2" x14ac:dyDescent="0.3">
      <c r="A685" s="4">
        <v>44818</v>
      </c>
      <c r="B685" s="5">
        <v>1703.9</v>
      </c>
    </row>
    <row r="686" spans="1:2" x14ac:dyDescent="0.3">
      <c r="A686" s="4">
        <v>44819</v>
      </c>
      <c r="B686" s="5">
        <v>1689.1</v>
      </c>
    </row>
    <row r="687" spans="1:2" x14ac:dyDescent="0.3">
      <c r="A687" s="4">
        <v>44820</v>
      </c>
      <c r="B687" s="5">
        <v>1664.65</v>
      </c>
    </row>
    <row r="688" spans="1:2" x14ac:dyDescent="0.3">
      <c r="A688" s="4">
        <v>44824</v>
      </c>
      <c r="B688" s="5">
        <v>1664.15</v>
      </c>
    </row>
    <row r="689" spans="1:2" x14ac:dyDescent="0.3">
      <c r="A689" s="4">
        <v>44825</v>
      </c>
      <c r="B689" s="5">
        <v>1671.75</v>
      </c>
    </row>
    <row r="690" spans="1:2" x14ac:dyDescent="0.3">
      <c r="A690" s="4">
        <v>44826</v>
      </c>
      <c r="B690" s="5">
        <v>1671.85</v>
      </c>
    </row>
    <row r="691" spans="1:2" x14ac:dyDescent="0.3">
      <c r="A691" s="4">
        <v>44827</v>
      </c>
      <c r="B691" s="5">
        <v>1643.55</v>
      </c>
    </row>
    <row r="692" spans="1:2" x14ac:dyDescent="0.3">
      <c r="A692" s="4">
        <v>44830</v>
      </c>
      <c r="B692" s="5">
        <v>1643.35</v>
      </c>
    </row>
    <row r="693" spans="1:2" x14ac:dyDescent="0.3">
      <c r="A693" s="4">
        <v>44831</v>
      </c>
      <c r="B693" s="5">
        <v>1634.3</v>
      </c>
    </row>
    <row r="694" spans="1:2" x14ac:dyDescent="0.3">
      <c r="A694" s="4">
        <v>44832</v>
      </c>
      <c r="B694" s="5">
        <v>1652.15</v>
      </c>
    </row>
    <row r="695" spans="1:2" x14ac:dyDescent="0.3">
      <c r="A695" s="4">
        <v>44833</v>
      </c>
      <c r="B695" s="5">
        <v>1654.8</v>
      </c>
    </row>
    <row r="696" spans="1:2" x14ac:dyDescent="0.3">
      <c r="A696" s="4">
        <v>44834</v>
      </c>
      <c r="B696" s="5">
        <v>1671.75</v>
      </c>
    </row>
    <row r="697" spans="1:2" x14ac:dyDescent="0.3">
      <c r="A697" s="4">
        <v>44837</v>
      </c>
      <c r="B697" s="5">
        <v>1668.4</v>
      </c>
    </row>
    <row r="698" spans="1:2" x14ac:dyDescent="0.3">
      <c r="A698" s="4">
        <v>44838</v>
      </c>
      <c r="B698" s="5">
        <v>1714.85</v>
      </c>
    </row>
    <row r="699" spans="1:2" x14ac:dyDescent="0.3">
      <c r="A699" s="4">
        <v>44839</v>
      </c>
      <c r="B699" s="5">
        <v>1700.5</v>
      </c>
    </row>
    <row r="700" spans="1:2" x14ac:dyDescent="0.3">
      <c r="A700" s="4">
        <v>44840</v>
      </c>
      <c r="B700" s="5">
        <v>1714.2</v>
      </c>
    </row>
    <row r="701" spans="1:2" x14ac:dyDescent="0.3">
      <c r="A701" s="4">
        <v>44841</v>
      </c>
      <c r="B701" s="5">
        <v>1696.15</v>
      </c>
    </row>
    <row r="702" spans="1:2" x14ac:dyDescent="0.3">
      <c r="A702" s="4">
        <v>44844</v>
      </c>
      <c r="B702" s="5">
        <v>1676.55</v>
      </c>
    </row>
    <row r="703" spans="1:2" x14ac:dyDescent="0.3">
      <c r="A703" s="4">
        <v>44845</v>
      </c>
      <c r="B703" s="5">
        <v>1664.7</v>
      </c>
    </row>
    <row r="704" spans="1:2" x14ac:dyDescent="0.3">
      <c r="A704" s="4">
        <v>44846</v>
      </c>
      <c r="B704" s="5">
        <v>1670.65</v>
      </c>
    </row>
    <row r="705" spans="1:2" x14ac:dyDescent="0.3">
      <c r="A705" s="4">
        <v>44847</v>
      </c>
      <c r="B705" s="5">
        <v>1648.1</v>
      </c>
    </row>
    <row r="706" spans="1:2" x14ac:dyDescent="0.3">
      <c r="A706" s="4">
        <v>44848</v>
      </c>
      <c r="B706" s="5">
        <v>1649.3</v>
      </c>
    </row>
    <row r="707" spans="1:2" x14ac:dyDescent="0.3">
      <c r="A707" s="4">
        <v>44851</v>
      </c>
      <c r="B707" s="5">
        <v>1664.75</v>
      </c>
    </row>
    <row r="708" spans="1:2" x14ac:dyDescent="0.3">
      <c r="A708" s="4">
        <v>44852</v>
      </c>
      <c r="B708" s="5">
        <v>1653</v>
      </c>
    </row>
    <row r="709" spans="1:2" x14ac:dyDescent="0.3">
      <c r="A709" s="4">
        <v>44853</v>
      </c>
      <c r="B709" s="5">
        <v>1631.7</v>
      </c>
    </row>
    <row r="710" spans="1:2" x14ac:dyDescent="0.3">
      <c r="A710" s="4">
        <v>44854</v>
      </c>
      <c r="B710" s="5">
        <v>1635.3</v>
      </c>
    </row>
    <row r="711" spans="1:2" x14ac:dyDescent="0.3">
      <c r="A711" s="4">
        <v>44855</v>
      </c>
      <c r="B711" s="5">
        <v>1643.25</v>
      </c>
    </row>
    <row r="712" spans="1:2" x14ac:dyDescent="0.3">
      <c r="A712" s="4">
        <v>44858</v>
      </c>
      <c r="B712" s="5">
        <v>1649.15</v>
      </c>
    </row>
    <row r="713" spans="1:2" x14ac:dyDescent="0.3">
      <c r="A713" s="4">
        <v>44859</v>
      </c>
      <c r="B713" s="5">
        <v>1659.25</v>
      </c>
    </row>
    <row r="714" spans="1:2" x14ac:dyDescent="0.3">
      <c r="A714" s="4">
        <v>44860</v>
      </c>
      <c r="B714" s="5">
        <v>1666.75</v>
      </c>
    </row>
    <row r="715" spans="1:2" x14ac:dyDescent="0.3">
      <c r="A715" s="4">
        <v>44861</v>
      </c>
      <c r="B715" s="5">
        <v>1659.75</v>
      </c>
    </row>
    <row r="716" spans="1:2" x14ac:dyDescent="0.3">
      <c r="A716" s="4">
        <v>44862</v>
      </c>
      <c r="B716" s="5">
        <v>1648.05</v>
      </c>
    </row>
    <row r="717" spans="1:2" x14ac:dyDescent="0.3">
      <c r="A717" s="4">
        <v>44865</v>
      </c>
      <c r="B717" s="5">
        <v>1639</v>
      </c>
    </row>
    <row r="718" spans="1:2" x14ac:dyDescent="0.3">
      <c r="A718" s="4">
        <v>44866</v>
      </c>
      <c r="B718" s="5">
        <v>1645.25</v>
      </c>
    </row>
    <row r="719" spans="1:2" x14ac:dyDescent="0.3">
      <c r="A719" s="4">
        <v>44867</v>
      </c>
      <c r="B719" s="5">
        <v>1649.55</v>
      </c>
    </row>
    <row r="720" spans="1:2" x14ac:dyDescent="0.3">
      <c r="A720" s="4">
        <v>44868</v>
      </c>
      <c r="B720" s="5">
        <v>1628.75</v>
      </c>
    </row>
    <row r="721" spans="1:2" x14ac:dyDescent="0.3">
      <c r="A721" s="4">
        <v>44869</v>
      </c>
      <c r="B721" s="5">
        <v>1674.4</v>
      </c>
    </row>
    <row r="722" spans="1:2" x14ac:dyDescent="0.3">
      <c r="A722" s="4">
        <v>44872</v>
      </c>
      <c r="B722" s="5">
        <v>1678.95</v>
      </c>
    </row>
    <row r="723" spans="1:2" x14ac:dyDescent="0.3">
      <c r="A723" s="4">
        <v>44873</v>
      </c>
      <c r="B723" s="5">
        <v>1678.65</v>
      </c>
    </row>
    <row r="724" spans="1:2" x14ac:dyDescent="0.3">
      <c r="A724" s="4">
        <v>44874</v>
      </c>
      <c r="B724" s="5">
        <v>1715.25</v>
      </c>
    </row>
    <row r="725" spans="1:2" x14ac:dyDescent="0.3">
      <c r="A725" s="4">
        <v>44875</v>
      </c>
      <c r="B725" s="5">
        <v>1744.75</v>
      </c>
    </row>
    <row r="726" spans="1:2" x14ac:dyDescent="0.3">
      <c r="A726" s="4">
        <v>44876</v>
      </c>
      <c r="B726" s="5">
        <v>1759.35</v>
      </c>
    </row>
    <row r="727" spans="1:2" x14ac:dyDescent="0.3">
      <c r="A727" s="4">
        <v>44879</v>
      </c>
      <c r="B727" s="5">
        <v>1768.9</v>
      </c>
    </row>
    <row r="728" spans="1:2" x14ac:dyDescent="0.3">
      <c r="A728" s="4">
        <v>44880</v>
      </c>
      <c r="B728" s="5">
        <v>1771.35</v>
      </c>
    </row>
    <row r="729" spans="1:2" x14ac:dyDescent="0.3">
      <c r="A729" s="4">
        <v>44881</v>
      </c>
      <c r="B729" s="5">
        <v>1773</v>
      </c>
    </row>
    <row r="730" spans="1:2" x14ac:dyDescent="0.3">
      <c r="A730" s="4">
        <v>44882</v>
      </c>
      <c r="B730" s="5">
        <v>1758.6</v>
      </c>
    </row>
    <row r="731" spans="1:2" x14ac:dyDescent="0.3">
      <c r="A731" s="4">
        <v>44883</v>
      </c>
      <c r="B731" s="5">
        <v>1751.6</v>
      </c>
    </row>
    <row r="732" spans="1:2" x14ac:dyDescent="0.3">
      <c r="A732" s="4">
        <v>44886</v>
      </c>
      <c r="B732" s="5">
        <v>1740.4</v>
      </c>
    </row>
    <row r="733" spans="1:2" x14ac:dyDescent="0.3">
      <c r="A733" s="4">
        <v>44887</v>
      </c>
      <c r="B733" s="5">
        <v>1742.95</v>
      </c>
    </row>
    <row r="734" spans="1:2" x14ac:dyDescent="0.3">
      <c r="A734" s="4">
        <v>44888</v>
      </c>
      <c r="B734" s="5">
        <v>1740.15</v>
      </c>
    </row>
    <row r="735" spans="1:2" x14ac:dyDescent="0.3">
      <c r="A735" s="4">
        <v>44889</v>
      </c>
      <c r="B735" s="5">
        <v>1755.4</v>
      </c>
    </row>
    <row r="736" spans="1:2" x14ac:dyDescent="0.3">
      <c r="A736" s="4">
        <v>44890</v>
      </c>
      <c r="B736" s="5">
        <v>1751.85</v>
      </c>
    </row>
    <row r="737" spans="1:2" x14ac:dyDescent="0.3">
      <c r="A737" s="4">
        <v>44893</v>
      </c>
      <c r="B737" s="5">
        <v>1746.55</v>
      </c>
    </row>
    <row r="738" spans="1:2" x14ac:dyDescent="0.3">
      <c r="A738" s="4">
        <v>44894</v>
      </c>
      <c r="B738" s="5">
        <v>1752.7</v>
      </c>
    </row>
    <row r="739" spans="1:2" x14ac:dyDescent="0.3">
      <c r="A739" s="4">
        <v>44895</v>
      </c>
      <c r="B739" s="5">
        <v>1753.5</v>
      </c>
    </row>
    <row r="740" spans="1:2" x14ac:dyDescent="0.3">
      <c r="A740" s="4">
        <v>44896</v>
      </c>
      <c r="B740" s="5">
        <v>1803.15</v>
      </c>
    </row>
    <row r="741" spans="1:2" x14ac:dyDescent="0.3">
      <c r="A741" s="4">
        <v>44897</v>
      </c>
      <c r="B741" s="5">
        <v>1784.75</v>
      </c>
    </row>
    <row r="742" spans="1:2" x14ac:dyDescent="0.3">
      <c r="A742" s="4">
        <v>44900</v>
      </c>
      <c r="B742" s="5">
        <v>1776.8</v>
      </c>
    </row>
    <row r="743" spans="1:2" x14ac:dyDescent="0.3">
      <c r="A743" s="4">
        <v>44901</v>
      </c>
      <c r="B743" s="5">
        <v>1773.8</v>
      </c>
    </row>
    <row r="744" spans="1:2" x14ac:dyDescent="0.3">
      <c r="A744" s="4">
        <v>44902</v>
      </c>
      <c r="B744" s="5">
        <v>1782.2</v>
      </c>
    </row>
    <row r="745" spans="1:2" x14ac:dyDescent="0.3">
      <c r="A745" s="4">
        <v>44903</v>
      </c>
      <c r="B745" s="5">
        <v>1790.15</v>
      </c>
    </row>
    <row r="746" spans="1:2" x14ac:dyDescent="0.3">
      <c r="A746" s="4">
        <v>44904</v>
      </c>
      <c r="B746" s="5">
        <v>1796.15</v>
      </c>
    </row>
    <row r="747" spans="1:2" x14ac:dyDescent="0.3">
      <c r="A747" s="4">
        <v>44907</v>
      </c>
      <c r="B747" s="5">
        <v>1786.6</v>
      </c>
    </row>
    <row r="748" spans="1:2" x14ac:dyDescent="0.3">
      <c r="A748" s="4">
        <v>44908</v>
      </c>
      <c r="B748" s="5">
        <v>1823.55</v>
      </c>
    </row>
    <row r="749" spans="1:2" x14ac:dyDescent="0.3">
      <c r="A749" s="4">
        <v>44909</v>
      </c>
      <c r="B749" s="5">
        <v>1808.05</v>
      </c>
    </row>
    <row r="750" spans="1:2" x14ac:dyDescent="0.3">
      <c r="A750" s="4">
        <v>44910</v>
      </c>
      <c r="B750" s="5">
        <v>1783.55</v>
      </c>
    </row>
    <row r="751" spans="1:2" x14ac:dyDescent="0.3">
      <c r="A751" s="4">
        <v>44911</v>
      </c>
      <c r="B751" s="5">
        <v>1792.55</v>
      </c>
    </row>
    <row r="752" spans="1:2" x14ac:dyDescent="0.3">
      <c r="A752" s="4">
        <v>44914</v>
      </c>
      <c r="B752" s="5">
        <v>1790.8</v>
      </c>
    </row>
    <row r="753" spans="1:2" x14ac:dyDescent="0.3">
      <c r="A753" s="4">
        <v>44915</v>
      </c>
      <c r="B753" s="5">
        <v>1813.9</v>
      </c>
    </row>
    <row r="754" spans="1:2" x14ac:dyDescent="0.3">
      <c r="A754" s="4">
        <v>44916</v>
      </c>
      <c r="B754" s="5">
        <v>1817.55</v>
      </c>
    </row>
    <row r="755" spans="1:2" x14ac:dyDescent="0.3">
      <c r="A755" s="4">
        <v>44917</v>
      </c>
      <c r="B755" s="5">
        <v>1800.7</v>
      </c>
    </row>
    <row r="756" spans="1:2" x14ac:dyDescent="0.3">
      <c r="A756" s="4">
        <v>44918</v>
      </c>
      <c r="B756" s="5">
        <v>1797.4</v>
      </c>
    </row>
    <row r="757" spans="1:2" x14ac:dyDescent="0.3">
      <c r="A757" s="4">
        <v>44923</v>
      </c>
      <c r="B757" s="5">
        <v>1803.35</v>
      </c>
    </row>
    <row r="758" spans="1:2" x14ac:dyDescent="0.3">
      <c r="A758" s="4">
        <v>44924</v>
      </c>
      <c r="B758" s="5">
        <v>1813.75</v>
      </c>
    </row>
    <row r="759" spans="1:2" x14ac:dyDescent="0.3">
      <c r="A759" s="4">
        <v>44925</v>
      </c>
      <c r="B759" s="5">
        <v>1812.35</v>
      </c>
    </row>
    <row r="760" spans="1:2" x14ac:dyDescent="0.3">
      <c r="A760" s="4">
        <v>44929</v>
      </c>
      <c r="B760" s="5">
        <v>1843.25</v>
      </c>
    </row>
    <row r="761" spans="1:2" x14ac:dyDescent="0.3">
      <c r="A761" s="4">
        <v>44930</v>
      </c>
      <c r="B761" s="5">
        <v>1857.3</v>
      </c>
    </row>
    <row r="762" spans="1:2" x14ac:dyDescent="0.3">
      <c r="A762" s="4">
        <v>44931</v>
      </c>
      <c r="B762" s="5">
        <v>1834</v>
      </c>
    </row>
    <row r="763" spans="1:2" x14ac:dyDescent="0.3">
      <c r="A763" s="4">
        <v>44932</v>
      </c>
      <c r="B763" s="5">
        <v>1852.2</v>
      </c>
    </row>
    <row r="764" spans="1:2" x14ac:dyDescent="0.3">
      <c r="A764" s="4">
        <v>44935</v>
      </c>
      <c r="B764" s="5">
        <v>1878.85</v>
      </c>
    </row>
    <row r="765" spans="1:2" x14ac:dyDescent="0.3">
      <c r="A765" s="4">
        <v>44936</v>
      </c>
      <c r="B765" s="5">
        <v>1878.65</v>
      </c>
    </row>
    <row r="766" spans="1:2" x14ac:dyDescent="0.3">
      <c r="A766" s="4">
        <v>44937</v>
      </c>
      <c r="B766" s="5">
        <v>1872.35</v>
      </c>
    </row>
    <row r="767" spans="1:2" x14ac:dyDescent="0.3">
      <c r="A767" s="4">
        <v>44938</v>
      </c>
      <c r="B767" s="5">
        <v>1882.55</v>
      </c>
    </row>
    <row r="768" spans="1:2" x14ac:dyDescent="0.3">
      <c r="A768" s="4">
        <v>44939</v>
      </c>
      <c r="B768" s="5">
        <v>1907.15</v>
      </c>
    </row>
    <row r="769" spans="1:2" x14ac:dyDescent="0.3">
      <c r="A769" s="4">
        <v>44942</v>
      </c>
      <c r="B769" s="5">
        <v>1917</v>
      </c>
    </row>
    <row r="770" spans="1:2" x14ac:dyDescent="0.3">
      <c r="A770" s="4">
        <v>44943</v>
      </c>
      <c r="B770" s="5">
        <v>1913.8</v>
      </c>
    </row>
    <row r="771" spans="1:2" x14ac:dyDescent="0.3">
      <c r="A771" s="4">
        <v>44944</v>
      </c>
      <c r="B771" s="5">
        <v>1920.7</v>
      </c>
    </row>
    <row r="772" spans="1:2" x14ac:dyDescent="0.3">
      <c r="A772" s="4">
        <v>44945</v>
      </c>
      <c r="B772" s="5">
        <v>1918.6</v>
      </c>
    </row>
    <row r="773" spans="1:2" x14ac:dyDescent="0.3">
      <c r="A773" s="4">
        <v>44946</v>
      </c>
      <c r="B773" s="5">
        <v>1924.9</v>
      </c>
    </row>
    <row r="774" spans="1:2" x14ac:dyDescent="0.3">
      <c r="A774" s="4">
        <v>44949</v>
      </c>
      <c r="B774" s="5">
        <v>1914.85</v>
      </c>
    </row>
    <row r="775" spans="1:2" x14ac:dyDescent="0.3">
      <c r="A775" s="4">
        <v>44950</v>
      </c>
      <c r="B775" s="5">
        <v>1920.75</v>
      </c>
    </row>
    <row r="776" spans="1:2" x14ac:dyDescent="0.3">
      <c r="A776" s="4">
        <v>44951</v>
      </c>
      <c r="B776" s="5">
        <v>1930.8</v>
      </c>
    </row>
    <row r="777" spans="1:2" x14ac:dyDescent="0.3">
      <c r="A777" s="4">
        <v>44952</v>
      </c>
      <c r="B777" s="5">
        <v>1932.45</v>
      </c>
    </row>
    <row r="778" spans="1:2" x14ac:dyDescent="0.3">
      <c r="A778" s="4">
        <v>44953</v>
      </c>
      <c r="B778" s="5">
        <v>1923.05</v>
      </c>
    </row>
    <row r="779" spans="1:2" x14ac:dyDescent="0.3">
      <c r="A779" s="4">
        <v>44956</v>
      </c>
      <c r="B779" s="5">
        <v>1924.1</v>
      </c>
    </row>
    <row r="780" spans="1:2" x14ac:dyDescent="0.3">
      <c r="A780" s="4">
        <v>44957</v>
      </c>
      <c r="B780" s="5">
        <v>1923.9</v>
      </c>
    </row>
    <row r="781" spans="1:2" x14ac:dyDescent="0.3">
      <c r="A781" s="4">
        <v>44958</v>
      </c>
      <c r="B781" s="5">
        <v>1925.9</v>
      </c>
    </row>
    <row r="782" spans="1:2" x14ac:dyDescent="0.3">
      <c r="A782" s="4">
        <v>44959</v>
      </c>
      <c r="B782" s="5">
        <v>1921.65</v>
      </c>
    </row>
    <row r="783" spans="1:2" x14ac:dyDescent="0.3">
      <c r="A783" s="4">
        <v>44960</v>
      </c>
      <c r="B783" s="5">
        <v>1875.35</v>
      </c>
    </row>
    <row r="784" spans="1:2" x14ac:dyDescent="0.3">
      <c r="A784" s="4">
        <v>44963</v>
      </c>
      <c r="B784" s="5">
        <v>1873.25</v>
      </c>
    </row>
    <row r="785" spans="1:2" x14ac:dyDescent="0.3">
      <c r="A785" s="4">
        <v>44964</v>
      </c>
      <c r="B785" s="5">
        <v>1870.7</v>
      </c>
    </row>
    <row r="786" spans="1:2" x14ac:dyDescent="0.3">
      <c r="A786" s="4">
        <v>44965</v>
      </c>
      <c r="B786" s="5">
        <v>1872.65</v>
      </c>
    </row>
    <row r="787" spans="1:2" x14ac:dyDescent="0.3">
      <c r="A787" s="4">
        <v>44966</v>
      </c>
      <c r="B787" s="5">
        <v>1879.1</v>
      </c>
    </row>
    <row r="788" spans="1:2" x14ac:dyDescent="0.3">
      <c r="A788" s="4">
        <v>44967</v>
      </c>
      <c r="B788" s="5">
        <v>1859.7</v>
      </c>
    </row>
    <row r="789" spans="1:2" x14ac:dyDescent="0.3">
      <c r="A789" s="4">
        <v>44970</v>
      </c>
      <c r="B789" s="5">
        <v>1856.05</v>
      </c>
    </row>
    <row r="790" spans="1:2" x14ac:dyDescent="0.3">
      <c r="A790" s="4">
        <v>44971</v>
      </c>
      <c r="B790" s="5">
        <v>1863.7</v>
      </c>
    </row>
    <row r="791" spans="1:2" x14ac:dyDescent="0.3">
      <c r="A791" s="4">
        <v>44972</v>
      </c>
      <c r="B791" s="5">
        <v>1831.2</v>
      </c>
    </row>
    <row r="792" spans="1:2" x14ac:dyDescent="0.3">
      <c r="A792" s="4">
        <v>44973</v>
      </c>
      <c r="B792" s="5">
        <v>1828.95</v>
      </c>
    </row>
    <row r="793" spans="1:2" x14ac:dyDescent="0.3">
      <c r="A793" s="4">
        <v>44974</v>
      </c>
      <c r="B793" s="5">
        <v>1833.95</v>
      </c>
    </row>
    <row r="794" spans="1:2" x14ac:dyDescent="0.3">
      <c r="A794" s="4">
        <v>44977</v>
      </c>
      <c r="B794" s="5">
        <v>1845.8</v>
      </c>
    </row>
    <row r="795" spans="1:2" x14ac:dyDescent="0.3">
      <c r="A795" s="4">
        <v>44978</v>
      </c>
      <c r="B795" s="5">
        <v>1836.85</v>
      </c>
    </row>
    <row r="796" spans="1:2" x14ac:dyDescent="0.3">
      <c r="A796" s="4">
        <v>44979</v>
      </c>
      <c r="B796" s="5">
        <v>1835.75</v>
      </c>
    </row>
    <row r="797" spans="1:2" x14ac:dyDescent="0.3">
      <c r="A797" s="4">
        <v>44980</v>
      </c>
      <c r="B797" s="5">
        <v>1826.05</v>
      </c>
    </row>
    <row r="798" spans="1:2" x14ac:dyDescent="0.3">
      <c r="A798" s="4">
        <v>44981</v>
      </c>
      <c r="B798" s="5">
        <v>1810.95</v>
      </c>
    </row>
    <row r="799" spans="1:2" x14ac:dyDescent="0.3">
      <c r="A799" s="4">
        <v>44984</v>
      </c>
      <c r="B799" s="5">
        <v>1818.65</v>
      </c>
    </row>
    <row r="800" spans="1:2" x14ac:dyDescent="0.3">
      <c r="A800" s="4">
        <v>44985</v>
      </c>
      <c r="B800" s="5">
        <v>1824.6</v>
      </c>
    </row>
    <row r="801" spans="1:2" x14ac:dyDescent="0.3">
      <c r="A801" s="4">
        <v>44986</v>
      </c>
      <c r="B801" s="5">
        <v>1841.25</v>
      </c>
    </row>
    <row r="802" spans="1:2" x14ac:dyDescent="0.3">
      <c r="A802" s="4">
        <v>44987</v>
      </c>
      <c r="B802" s="5">
        <v>1836.2</v>
      </c>
    </row>
    <row r="803" spans="1:2" x14ac:dyDescent="0.3">
      <c r="A803" s="4">
        <v>44988</v>
      </c>
      <c r="B803" s="5">
        <v>1841.15</v>
      </c>
    </row>
    <row r="804" spans="1:2" x14ac:dyDescent="0.3">
      <c r="A804" s="4">
        <v>44991</v>
      </c>
      <c r="B804" s="5">
        <v>1849.05</v>
      </c>
    </row>
    <row r="805" spans="1:2" x14ac:dyDescent="0.3">
      <c r="A805" s="4">
        <v>44992</v>
      </c>
      <c r="B805" s="5">
        <v>1826.55</v>
      </c>
    </row>
    <row r="806" spans="1:2" x14ac:dyDescent="0.3">
      <c r="A806" s="4">
        <v>44993</v>
      </c>
      <c r="B806" s="5">
        <v>1816.3</v>
      </c>
    </row>
    <row r="807" spans="1:2" x14ac:dyDescent="0.3">
      <c r="A807" s="4">
        <v>44994</v>
      </c>
      <c r="B807" s="5">
        <v>1831.4</v>
      </c>
    </row>
    <row r="808" spans="1:2" x14ac:dyDescent="0.3">
      <c r="A808" s="4">
        <v>44995</v>
      </c>
      <c r="B808" s="5">
        <v>1861.25</v>
      </c>
    </row>
    <row r="809" spans="1:2" x14ac:dyDescent="0.3">
      <c r="A809" s="4">
        <v>44998</v>
      </c>
      <c r="B809" s="5">
        <v>1911.3</v>
      </c>
    </row>
    <row r="810" spans="1:2" x14ac:dyDescent="0.3">
      <c r="A810" s="4">
        <v>44999</v>
      </c>
      <c r="B810" s="5">
        <v>1907.55</v>
      </c>
    </row>
    <row r="811" spans="1:2" x14ac:dyDescent="0.3">
      <c r="A811" s="4">
        <v>45000</v>
      </c>
      <c r="B811" s="5">
        <v>1923.4</v>
      </c>
    </row>
    <row r="812" spans="1:2" x14ac:dyDescent="0.3">
      <c r="A812" s="4">
        <v>45001</v>
      </c>
      <c r="B812" s="5">
        <v>1922.75</v>
      </c>
    </row>
    <row r="813" spans="1:2" x14ac:dyDescent="0.3">
      <c r="A813" s="4">
        <v>45002</v>
      </c>
      <c r="B813" s="5">
        <v>1962.1</v>
      </c>
    </row>
    <row r="814" spans="1:2" x14ac:dyDescent="0.3">
      <c r="A814" s="4">
        <v>45005</v>
      </c>
      <c r="B814" s="5">
        <v>1969.35</v>
      </c>
    </row>
    <row r="815" spans="1:2" x14ac:dyDescent="0.3">
      <c r="A815" s="4">
        <v>45006</v>
      </c>
      <c r="B815" s="5">
        <v>1952.5</v>
      </c>
    </row>
    <row r="816" spans="1:2" x14ac:dyDescent="0.3">
      <c r="A816" s="4">
        <v>45007</v>
      </c>
      <c r="B816" s="5">
        <v>1949.35</v>
      </c>
    </row>
    <row r="817" spans="1:2" x14ac:dyDescent="0.3">
      <c r="A817" s="4">
        <v>45008</v>
      </c>
      <c r="B817" s="5">
        <v>1977.95</v>
      </c>
    </row>
    <row r="818" spans="1:2" x14ac:dyDescent="0.3">
      <c r="A818" s="4">
        <v>45009</v>
      </c>
      <c r="B818" s="5">
        <v>1993.8</v>
      </c>
    </row>
    <row r="819" spans="1:2" x14ac:dyDescent="0.3">
      <c r="A819" s="4">
        <v>45012</v>
      </c>
      <c r="B819" s="5">
        <v>1946.25</v>
      </c>
    </row>
    <row r="820" spans="1:2" x14ac:dyDescent="0.3">
      <c r="A820" s="4">
        <v>45013</v>
      </c>
      <c r="B820" s="5">
        <v>1962.85</v>
      </c>
    </row>
    <row r="821" spans="1:2" x14ac:dyDescent="0.3">
      <c r="A821" s="4">
        <v>45014</v>
      </c>
      <c r="B821" s="5">
        <v>1965</v>
      </c>
    </row>
    <row r="822" spans="1:2" x14ac:dyDescent="0.3">
      <c r="A822" s="4">
        <v>45015</v>
      </c>
      <c r="B822" s="5">
        <v>1965.8</v>
      </c>
    </row>
    <row r="823" spans="1:2" x14ac:dyDescent="0.3">
      <c r="A823" s="4">
        <v>45016</v>
      </c>
      <c r="B823" s="5">
        <v>1979.7</v>
      </c>
    </row>
    <row r="824" spans="1:2" x14ac:dyDescent="0.3">
      <c r="A824" s="4">
        <v>45019</v>
      </c>
      <c r="B824" s="5">
        <v>1983.3</v>
      </c>
    </row>
    <row r="825" spans="1:2" x14ac:dyDescent="0.3">
      <c r="A825" s="4">
        <v>45020</v>
      </c>
      <c r="B825" s="5">
        <v>2009.6</v>
      </c>
    </row>
    <row r="826" spans="1:2" x14ac:dyDescent="0.3">
      <c r="A826" s="4">
        <v>45021</v>
      </c>
      <c r="B826" s="5">
        <v>2030.85</v>
      </c>
    </row>
    <row r="827" spans="1:2" x14ac:dyDescent="0.3">
      <c r="A827" s="4">
        <v>45022</v>
      </c>
      <c r="B827" s="5">
        <v>2001.9</v>
      </c>
    </row>
    <row r="828" spans="1:2" x14ac:dyDescent="0.3">
      <c r="A828" s="4">
        <v>45027</v>
      </c>
      <c r="B828" s="5">
        <v>2002.7</v>
      </c>
    </row>
    <row r="829" spans="1:2" x14ac:dyDescent="0.3">
      <c r="A829" s="4">
        <v>45028</v>
      </c>
      <c r="B829" s="5">
        <v>2008.2</v>
      </c>
    </row>
    <row r="830" spans="1:2" x14ac:dyDescent="0.3">
      <c r="A830" s="4">
        <v>45029</v>
      </c>
      <c r="B830" s="5">
        <v>2048.4499999999998</v>
      </c>
    </row>
    <row r="831" spans="1:2" x14ac:dyDescent="0.3">
      <c r="A831" s="4">
        <v>45030</v>
      </c>
      <c r="B831" s="5">
        <v>2019.4</v>
      </c>
    </row>
    <row r="832" spans="1:2" x14ac:dyDescent="0.3">
      <c r="A832" s="4">
        <v>45033</v>
      </c>
      <c r="B832" s="5">
        <v>1995.55</v>
      </c>
    </row>
    <row r="833" spans="1:2" x14ac:dyDescent="0.3">
      <c r="A833" s="4">
        <v>45034</v>
      </c>
      <c r="B833" s="5">
        <v>1999.4</v>
      </c>
    </row>
    <row r="834" spans="1:2" x14ac:dyDescent="0.3">
      <c r="A834" s="4">
        <v>45035</v>
      </c>
      <c r="B834" s="5">
        <v>1990.55</v>
      </c>
    </row>
    <row r="835" spans="1:2" x14ac:dyDescent="0.3">
      <c r="A835" s="4">
        <v>45036</v>
      </c>
      <c r="B835" s="5">
        <v>2007.15</v>
      </c>
    </row>
    <row r="836" spans="1:2" x14ac:dyDescent="0.3">
      <c r="A836" s="4">
        <v>45037</v>
      </c>
      <c r="B836" s="5">
        <v>1973.65</v>
      </c>
    </row>
    <row r="837" spans="1:2" x14ac:dyDescent="0.3">
      <c r="A837" s="4">
        <v>45040</v>
      </c>
      <c r="B837" s="5">
        <v>1978.2</v>
      </c>
    </row>
    <row r="838" spans="1:2" x14ac:dyDescent="0.3">
      <c r="A838" s="4">
        <v>45041</v>
      </c>
      <c r="B838" s="5">
        <v>1987.4</v>
      </c>
    </row>
    <row r="839" spans="1:2" x14ac:dyDescent="0.3">
      <c r="A839" s="4">
        <v>45042</v>
      </c>
      <c r="B839" s="5">
        <v>2003</v>
      </c>
    </row>
    <row r="840" spans="1:2" x14ac:dyDescent="0.3">
      <c r="A840" s="4">
        <v>45043</v>
      </c>
      <c r="B840" s="5">
        <v>1985.65</v>
      </c>
    </row>
    <row r="841" spans="1:2" x14ac:dyDescent="0.3">
      <c r="A841" s="4">
        <v>45044</v>
      </c>
      <c r="B841" s="5">
        <v>1982.55</v>
      </c>
    </row>
    <row r="842" spans="1:2" x14ac:dyDescent="0.3">
      <c r="A842" s="4">
        <v>45048</v>
      </c>
      <c r="B842" s="5">
        <v>1995.4</v>
      </c>
    </row>
    <row r="843" spans="1:2" x14ac:dyDescent="0.3">
      <c r="A843" s="4">
        <v>45049</v>
      </c>
      <c r="B843" s="5">
        <v>2014.3</v>
      </c>
    </row>
    <row r="844" spans="1:2" x14ac:dyDescent="0.3">
      <c r="A844" s="4">
        <v>45050</v>
      </c>
      <c r="B844" s="5">
        <v>2044.7</v>
      </c>
    </row>
    <row r="845" spans="1:2" x14ac:dyDescent="0.3">
      <c r="A845" s="4">
        <v>45051</v>
      </c>
      <c r="B845" s="5">
        <v>2000.95</v>
      </c>
    </row>
    <row r="846" spans="1:2" x14ac:dyDescent="0.3">
      <c r="A846" s="4">
        <v>45055</v>
      </c>
      <c r="B846" s="5">
        <v>2030.2</v>
      </c>
    </row>
    <row r="847" spans="1:2" x14ac:dyDescent="0.3">
      <c r="A847" s="4">
        <v>45056</v>
      </c>
      <c r="B847" s="5">
        <v>2037.15</v>
      </c>
    </row>
    <row r="848" spans="1:2" x14ac:dyDescent="0.3">
      <c r="A848" s="4">
        <v>45057</v>
      </c>
      <c r="B848" s="5">
        <v>2015.95</v>
      </c>
    </row>
    <row r="849" spans="1:2" x14ac:dyDescent="0.3">
      <c r="A849" s="4">
        <v>45058</v>
      </c>
      <c r="B849" s="5">
        <v>2019.9</v>
      </c>
    </row>
    <row r="850" spans="1:2" x14ac:dyDescent="0.3">
      <c r="A850" s="4">
        <v>45061</v>
      </c>
      <c r="B850" s="5">
        <v>2019.9</v>
      </c>
    </row>
    <row r="851" spans="1:2" x14ac:dyDescent="0.3">
      <c r="A851" s="4">
        <v>45062</v>
      </c>
      <c r="B851" s="5">
        <v>2007.45</v>
      </c>
    </row>
    <row r="852" spans="1:2" x14ac:dyDescent="0.3">
      <c r="A852" s="4">
        <v>45063</v>
      </c>
      <c r="B852" s="5">
        <v>1974.4</v>
      </c>
    </row>
    <row r="853" spans="1:2" x14ac:dyDescent="0.3">
      <c r="A853" s="4">
        <v>45064</v>
      </c>
      <c r="B853" s="5">
        <v>1960.3</v>
      </c>
    </row>
    <row r="854" spans="1:2" x14ac:dyDescent="0.3">
      <c r="A854" s="4">
        <v>45065</v>
      </c>
      <c r="B854" s="5">
        <v>1961.6</v>
      </c>
    </row>
    <row r="855" spans="1:2" x14ac:dyDescent="0.3">
      <c r="A855" s="4">
        <v>45068</v>
      </c>
      <c r="B855" s="5">
        <v>1970.3</v>
      </c>
    </row>
    <row r="856" spans="1:2" x14ac:dyDescent="0.3">
      <c r="A856" s="4">
        <v>45069</v>
      </c>
      <c r="B856" s="5">
        <v>1969.2</v>
      </c>
    </row>
    <row r="857" spans="1:2" x14ac:dyDescent="0.3">
      <c r="A857" s="4">
        <v>45070</v>
      </c>
      <c r="B857" s="5">
        <v>1969.65</v>
      </c>
    </row>
    <row r="858" spans="1:2" x14ac:dyDescent="0.3">
      <c r="A858" s="4">
        <v>45071</v>
      </c>
      <c r="B858" s="5">
        <v>1948.25</v>
      </c>
    </row>
    <row r="859" spans="1:2" x14ac:dyDescent="0.3">
      <c r="A859" s="4">
        <v>45072</v>
      </c>
      <c r="B859" s="5">
        <v>1947.9</v>
      </c>
    </row>
    <row r="860" spans="1:2" x14ac:dyDescent="0.3">
      <c r="A860" s="4">
        <v>45076</v>
      </c>
      <c r="B860" s="5">
        <v>1952.45</v>
      </c>
    </row>
    <row r="861" spans="1:2" x14ac:dyDescent="0.3">
      <c r="A861" s="4">
        <v>45077</v>
      </c>
      <c r="B861" s="5">
        <v>1964.4</v>
      </c>
    </row>
    <row r="862" spans="1:2" x14ac:dyDescent="0.3">
      <c r="A862" s="4">
        <v>45078</v>
      </c>
      <c r="B862" s="5">
        <v>1974.35</v>
      </c>
    </row>
    <row r="863" spans="1:2" x14ac:dyDescent="0.3">
      <c r="A863" s="4">
        <v>45079</v>
      </c>
      <c r="B863" s="5">
        <v>1963.25</v>
      </c>
    </row>
    <row r="864" spans="1:2" x14ac:dyDescent="0.3">
      <c r="A864" s="4">
        <v>45082</v>
      </c>
      <c r="B864" s="5">
        <v>1959.65</v>
      </c>
    </row>
    <row r="865" spans="1:2" x14ac:dyDescent="0.3">
      <c r="A865" s="4">
        <v>45083</v>
      </c>
      <c r="B865" s="5">
        <v>1957.25</v>
      </c>
    </row>
    <row r="866" spans="1:2" x14ac:dyDescent="0.3">
      <c r="A866" s="4">
        <v>45084</v>
      </c>
      <c r="B866" s="5">
        <v>1967.35</v>
      </c>
    </row>
    <row r="867" spans="1:2" x14ac:dyDescent="0.3">
      <c r="A867" s="4">
        <v>45085</v>
      </c>
      <c r="B867" s="5">
        <v>1966.4</v>
      </c>
    </row>
    <row r="868" spans="1:2" x14ac:dyDescent="0.3">
      <c r="A868" s="4">
        <v>45086</v>
      </c>
      <c r="B868" s="5">
        <v>1960.3</v>
      </c>
    </row>
    <row r="869" spans="1:2" x14ac:dyDescent="0.3">
      <c r="A869" s="4">
        <v>45089</v>
      </c>
      <c r="B869" s="5">
        <v>1952.9</v>
      </c>
    </row>
    <row r="870" spans="1:2" x14ac:dyDescent="0.3">
      <c r="A870" s="4">
        <v>45090</v>
      </c>
      <c r="B870" s="5">
        <v>1954.4</v>
      </c>
    </row>
    <row r="871" spans="1:2" x14ac:dyDescent="0.3">
      <c r="A871" s="4">
        <v>45091</v>
      </c>
      <c r="B871" s="5">
        <v>1955.8</v>
      </c>
    </row>
    <row r="872" spans="1:2" x14ac:dyDescent="0.3">
      <c r="A872" s="4">
        <v>45092</v>
      </c>
      <c r="B872" s="5">
        <v>1952.35</v>
      </c>
    </row>
    <row r="873" spans="1:2" x14ac:dyDescent="0.3">
      <c r="A873" s="4">
        <v>45093</v>
      </c>
      <c r="B873" s="5">
        <v>1959.75</v>
      </c>
    </row>
    <row r="874" spans="1:2" x14ac:dyDescent="0.3">
      <c r="A874" s="4">
        <v>45096</v>
      </c>
      <c r="B874" s="5">
        <v>1951.15</v>
      </c>
    </row>
    <row r="875" spans="1:2" x14ac:dyDescent="0.3">
      <c r="A875" s="4">
        <v>45097</v>
      </c>
      <c r="B875" s="5">
        <v>1930.45</v>
      </c>
    </row>
    <row r="876" spans="1:2" x14ac:dyDescent="0.3">
      <c r="A876" s="4">
        <v>45098</v>
      </c>
      <c r="B876" s="5">
        <v>1925.65</v>
      </c>
    </row>
    <row r="877" spans="1:2" x14ac:dyDescent="0.3">
      <c r="A877" s="4">
        <v>45099</v>
      </c>
      <c r="B877" s="5">
        <v>1920.05</v>
      </c>
    </row>
    <row r="878" spans="1:2" x14ac:dyDescent="0.3">
      <c r="A878" s="4">
        <v>45100</v>
      </c>
      <c r="B878" s="5">
        <v>1930.7</v>
      </c>
    </row>
    <row r="879" spans="1:2" x14ac:dyDescent="0.3">
      <c r="A879" s="4">
        <v>45103</v>
      </c>
      <c r="B879" s="5">
        <v>1922.9</v>
      </c>
    </row>
    <row r="880" spans="1:2" x14ac:dyDescent="0.3">
      <c r="A880" s="4">
        <v>45104</v>
      </c>
      <c r="B880" s="5">
        <v>1918.9</v>
      </c>
    </row>
    <row r="881" spans="1:2" x14ac:dyDescent="0.3">
      <c r="A881" s="4">
        <v>45105</v>
      </c>
      <c r="B881" s="5">
        <v>1908.4</v>
      </c>
    </row>
    <row r="882" spans="1:2" x14ac:dyDescent="0.3">
      <c r="A882" s="4">
        <v>45106</v>
      </c>
      <c r="B882" s="5">
        <v>1899.6</v>
      </c>
    </row>
    <row r="883" spans="1:2" x14ac:dyDescent="0.3">
      <c r="A883" s="4">
        <v>45107</v>
      </c>
      <c r="B883" s="5">
        <v>1912.25</v>
      </c>
    </row>
    <row r="884" spans="1:2" x14ac:dyDescent="0.3">
      <c r="A884" s="4">
        <v>45110</v>
      </c>
      <c r="B884" s="5">
        <v>1928.75</v>
      </c>
    </row>
    <row r="885" spans="1:2" x14ac:dyDescent="0.3">
      <c r="A885" s="4">
        <v>45111</v>
      </c>
      <c r="B885" s="5">
        <v>1927.75</v>
      </c>
    </row>
    <row r="886" spans="1:2" x14ac:dyDescent="0.3">
      <c r="A886" s="4">
        <v>45112</v>
      </c>
      <c r="B886" s="5">
        <v>1924.65</v>
      </c>
    </row>
    <row r="887" spans="1:2" x14ac:dyDescent="0.3">
      <c r="A887" s="4">
        <v>45113</v>
      </c>
      <c r="B887" s="5">
        <v>1908.8</v>
      </c>
    </row>
    <row r="888" spans="1:2" x14ac:dyDescent="0.3">
      <c r="A888" s="4">
        <v>45114</v>
      </c>
      <c r="B888" s="5">
        <v>1922.3</v>
      </c>
    </row>
    <row r="889" spans="1:2" x14ac:dyDescent="0.3">
      <c r="A889" s="4">
        <v>45117</v>
      </c>
      <c r="B889" s="5">
        <v>1922.8</v>
      </c>
    </row>
    <row r="890" spans="1:2" x14ac:dyDescent="0.3">
      <c r="A890" s="4">
        <v>45118</v>
      </c>
      <c r="B890" s="5">
        <v>1933.95</v>
      </c>
    </row>
    <row r="891" spans="1:2" x14ac:dyDescent="0.3">
      <c r="A891" s="4">
        <v>45119</v>
      </c>
      <c r="B891" s="5">
        <v>1953.3</v>
      </c>
    </row>
    <row r="892" spans="1:2" x14ac:dyDescent="0.3">
      <c r="A892" s="4">
        <v>45120</v>
      </c>
      <c r="B892" s="5">
        <v>1958.05</v>
      </c>
    </row>
    <row r="893" spans="1:2" x14ac:dyDescent="0.3">
      <c r="A893" s="4">
        <v>45121</v>
      </c>
      <c r="B893" s="5">
        <v>1953.7</v>
      </c>
    </row>
    <row r="894" spans="1:2" x14ac:dyDescent="0.3">
      <c r="A894" s="4">
        <v>45124</v>
      </c>
      <c r="B894" s="5">
        <v>1949.6</v>
      </c>
    </row>
    <row r="895" spans="1:2" x14ac:dyDescent="0.3">
      <c r="A895" s="4">
        <v>45125</v>
      </c>
      <c r="B895" s="5">
        <v>1975</v>
      </c>
    </row>
    <row r="896" spans="1:2" x14ac:dyDescent="0.3">
      <c r="A896" s="4">
        <v>45126</v>
      </c>
      <c r="B896" s="5">
        <v>1975.35</v>
      </c>
    </row>
    <row r="897" spans="1:2" x14ac:dyDescent="0.3">
      <c r="A897" s="4">
        <v>45127</v>
      </c>
      <c r="B897" s="5">
        <v>1976.1</v>
      </c>
    </row>
    <row r="898" spans="1:2" x14ac:dyDescent="0.3">
      <c r="A898" s="4">
        <v>45128</v>
      </c>
      <c r="B898" s="5">
        <v>1960.6</v>
      </c>
    </row>
    <row r="899" spans="1:2" x14ac:dyDescent="0.3">
      <c r="A899" s="4">
        <v>45131</v>
      </c>
      <c r="B899" s="5">
        <v>1960</v>
      </c>
    </row>
    <row r="900" spans="1:2" x14ac:dyDescent="0.3">
      <c r="A900" s="4">
        <v>45132</v>
      </c>
      <c r="B900" s="5">
        <v>1958.7</v>
      </c>
    </row>
    <row r="901" spans="1:2" x14ac:dyDescent="0.3">
      <c r="A901" s="4">
        <v>45133</v>
      </c>
      <c r="B901" s="5">
        <v>1966.3</v>
      </c>
    </row>
    <row r="902" spans="1:2" x14ac:dyDescent="0.3">
      <c r="A902" s="4">
        <v>45134</v>
      </c>
      <c r="B902" s="5">
        <v>1945.35</v>
      </c>
    </row>
    <row r="903" spans="1:2" x14ac:dyDescent="0.3">
      <c r="A903" s="4">
        <v>45135</v>
      </c>
      <c r="B903" s="5">
        <v>1954.25</v>
      </c>
    </row>
    <row r="904" spans="1:2" x14ac:dyDescent="0.3">
      <c r="A904" s="4">
        <v>45138</v>
      </c>
      <c r="B904" s="5">
        <v>1970.65</v>
      </c>
    </row>
    <row r="905" spans="1:2" x14ac:dyDescent="0.3">
      <c r="A905" s="4">
        <v>45139</v>
      </c>
      <c r="B905" s="5">
        <v>1947.2</v>
      </c>
    </row>
    <row r="906" spans="1:2" x14ac:dyDescent="0.3">
      <c r="A906" s="4">
        <v>45140</v>
      </c>
      <c r="B906" s="5">
        <v>1944.2</v>
      </c>
    </row>
    <row r="907" spans="1:2" x14ac:dyDescent="0.3">
      <c r="A907" s="4">
        <v>45141</v>
      </c>
      <c r="B907" s="5">
        <v>1935.65</v>
      </c>
    </row>
    <row r="908" spans="1:2" x14ac:dyDescent="0.3">
      <c r="A908" s="4">
        <v>45142</v>
      </c>
      <c r="B908" s="5">
        <v>1942.45</v>
      </c>
    </row>
    <row r="909" spans="1:2" x14ac:dyDescent="0.3">
      <c r="A909" s="4">
        <v>45145</v>
      </c>
      <c r="B909" s="5">
        <v>1931.7</v>
      </c>
    </row>
    <row r="910" spans="1:2" x14ac:dyDescent="0.3">
      <c r="A910" s="4">
        <v>45146</v>
      </c>
      <c r="B910" s="5">
        <v>1926.4</v>
      </c>
    </row>
    <row r="911" spans="1:2" x14ac:dyDescent="0.3">
      <c r="A911" s="4">
        <v>45147</v>
      </c>
      <c r="B911" s="5">
        <v>1922.75</v>
      </c>
    </row>
    <row r="912" spans="1:2" x14ac:dyDescent="0.3">
      <c r="A912" s="4">
        <v>45148</v>
      </c>
      <c r="B912" s="5">
        <v>1920.9</v>
      </c>
    </row>
    <row r="913" spans="1:2" x14ac:dyDescent="0.3">
      <c r="A913" s="4">
        <v>45149</v>
      </c>
      <c r="B913" s="5">
        <v>1915.8</v>
      </c>
    </row>
    <row r="914" spans="1:2" x14ac:dyDescent="0.3">
      <c r="A914" s="4">
        <v>45152</v>
      </c>
      <c r="B914" s="5">
        <v>1903.75</v>
      </c>
    </row>
    <row r="915" spans="1:2" x14ac:dyDescent="0.3">
      <c r="A915" s="4">
        <v>45153</v>
      </c>
      <c r="B915" s="5">
        <v>1903.85</v>
      </c>
    </row>
    <row r="916" spans="1:2" x14ac:dyDescent="0.3">
      <c r="A916" s="4">
        <v>45154</v>
      </c>
      <c r="B916" s="5">
        <v>1904.2</v>
      </c>
    </row>
    <row r="917" spans="1:2" x14ac:dyDescent="0.3">
      <c r="A917" s="4">
        <v>45155</v>
      </c>
      <c r="B917" s="5">
        <v>1896.35</v>
      </c>
    </row>
    <row r="918" spans="1:2" x14ac:dyDescent="0.3">
      <c r="A918" s="4">
        <v>45156</v>
      </c>
      <c r="B918" s="5">
        <v>1893.7</v>
      </c>
    </row>
    <row r="919" spans="1:2" x14ac:dyDescent="0.3">
      <c r="A919" s="4">
        <v>45159</v>
      </c>
      <c r="B919" s="5">
        <v>1889.85</v>
      </c>
    </row>
    <row r="920" spans="1:2" x14ac:dyDescent="0.3">
      <c r="A920" s="4">
        <v>45160</v>
      </c>
      <c r="B920" s="5">
        <v>1892.75</v>
      </c>
    </row>
    <row r="921" spans="1:2" x14ac:dyDescent="0.3">
      <c r="A921" s="4">
        <v>45161</v>
      </c>
      <c r="B921" s="5">
        <v>1916.65</v>
      </c>
    </row>
    <row r="922" spans="1:2" x14ac:dyDescent="0.3">
      <c r="A922" s="4">
        <v>45162</v>
      </c>
      <c r="B922" s="5">
        <v>1917.05</v>
      </c>
    </row>
    <row r="923" spans="1:2" x14ac:dyDescent="0.3">
      <c r="A923" s="4">
        <v>45163</v>
      </c>
      <c r="B923" s="5">
        <v>1915.5</v>
      </c>
    </row>
    <row r="924" spans="1:2" x14ac:dyDescent="0.3">
      <c r="A924" s="4">
        <v>45167</v>
      </c>
      <c r="B924" s="5">
        <v>1930</v>
      </c>
    </row>
    <row r="925" spans="1:2" x14ac:dyDescent="0.3">
      <c r="A925" s="4">
        <v>45168</v>
      </c>
      <c r="B925" s="5">
        <v>1947.55</v>
      </c>
    </row>
    <row r="926" spans="1:2" x14ac:dyDescent="0.3">
      <c r="A926" s="4">
        <v>45169</v>
      </c>
      <c r="B926" s="5">
        <v>1942.3</v>
      </c>
    </row>
    <row r="927" spans="1:2" x14ac:dyDescent="0.3">
      <c r="A927" s="4">
        <v>45170</v>
      </c>
      <c r="B927" s="5">
        <v>1940.55</v>
      </c>
    </row>
    <row r="928" spans="1:2" x14ac:dyDescent="0.3">
      <c r="A928" s="4">
        <v>45173</v>
      </c>
      <c r="B928" s="5">
        <v>1937.2</v>
      </c>
    </row>
    <row r="929" spans="1:2" x14ac:dyDescent="0.3">
      <c r="A929" s="4">
        <v>45174</v>
      </c>
      <c r="B929" s="5">
        <v>1926.1</v>
      </c>
    </row>
    <row r="930" spans="1:2" x14ac:dyDescent="0.3">
      <c r="A930" s="4">
        <v>45175</v>
      </c>
      <c r="B930" s="5">
        <v>1922.05</v>
      </c>
    </row>
    <row r="931" spans="1:2" x14ac:dyDescent="0.3">
      <c r="A931" s="4">
        <v>45176</v>
      </c>
      <c r="B931" s="5">
        <v>1918.35</v>
      </c>
    </row>
    <row r="932" spans="1:2" x14ac:dyDescent="0.3">
      <c r="A932" s="4">
        <v>45177</v>
      </c>
      <c r="B932" s="5">
        <v>1927.8</v>
      </c>
    </row>
    <row r="933" spans="1:2" x14ac:dyDescent="0.3">
      <c r="A933" s="4">
        <v>45180</v>
      </c>
      <c r="B933" s="5">
        <v>1924.95</v>
      </c>
    </row>
    <row r="934" spans="1:2" x14ac:dyDescent="0.3">
      <c r="A934" s="4">
        <v>45181</v>
      </c>
      <c r="B934" s="5">
        <v>1908.55</v>
      </c>
    </row>
    <row r="935" spans="1:2" x14ac:dyDescent="0.3">
      <c r="A935" s="4">
        <v>45182</v>
      </c>
      <c r="B935" s="5">
        <v>1913.8</v>
      </c>
    </row>
    <row r="936" spans="1:2" x14ac:dyDescent="0.3">
      <c r="A936" s="4">
        <v>45183</v>
      </c>
      <c r="B936" s="5">
        <v>1901.75</v>
      </c>
    </row>
    <row r="937" spans="1:2" x14ac:dyDescent="0.3">
      <c r="A937" s="4">
        <v>45184</v>
      </c>
      <c r="B937" s="5">
        <v>1927.7</v>
      </c>
    </row>
    <row r="938" spans="1:2" x14ac:dyDescent="0.3">
      <c r="A938" s="4">
        <v>45187</v>
      </c>
      <c r="B938" s="5">
        <v>1923.5</v>
      </c>
    </row>
    <row r="939" spans="1:2" x14ac:dyDescent="0.3">
      <c r="A939" s="4">
        <v>45188</v>
      </c>
      <c r="B939" s="5">
        <v>1934.9</v>
      </c>
    </row>
    <row r="940" spans="1:2" x14ac:dyDescent="0.3">
      <c r="A940" s="4">
        <v>45189</v>
      </c>
      <c r="B940" s="5">
        <v>1943.35</v>
      </c>
    </row>
    <row r="941" spans="1:2" x14ac:dyDescent="0.3">
      <c r="A941" s="4">
        <v>45190</v>
      </c>
      <c r="B941" s="5">
        <v>1915</v>
      </c>
    </row>
    <row r="942" spans="1:2" x14ac:dyDescent="0.3">
      <c r="A942" s="4">
        <v>45191</v>
      </c>
      <c r="B942" s="5">
        <v>1927.35</v>
      </c>
    </row>
    <row r="943" spans="1:2" x14ac:dyDescent="0.3">
      <c r="A943" s="4">
        <v>45194</v>
      </c>
      <c r="B943" s="5">
        <v>1924.85</v>
      </c>
    </row>
    <row r="944" spans="1:2" x14ac:dyDescent="0.3">
      <c r="A944" s="4">
        <v>45195</v>
      </c>
      <c r="B944" s="5">
        <v>1907.05</v>
      </c>
    </row>
    <row r="945" spans="1:2" x14ac:dyDescent="0.3">
      <c r="A945" s="4">
        <v>45196</v>
      </c>
      <c r="B945" s="5">
        <v>1887.3</v>
      </c>
    </row>
    <row r="946" spans="1:2" x14ac:dyDescent="0.3">
      <c r="A946" s="4">
        <v>45197</v>
      </c>
      <c r="B946" s="5">
        <v>1873.55</v>
      </c>
    </row>
    <row r="947" spans="1:2" x14ac:dyDescent="0.3">
      <c r="A947" s="4">
        <v>45198</v>
      </c>
      <c r="B947" s="5">
        <v>1870.5</v>
      </c>
    </row>
    <row r="948" spans="1:2" x14ac:dyDescent="0.3">
      <c r="A948" s="4">
        <v>45201</v>
      </c>
      <c r="B948" s="5">
        <v>1833.05</v>
      </c>
    </row>
    <row r="949" spans="1:2" x14ac:dyDescent="0.3">
      <c r="A949" s="4">
        <v>45202</v>
      </c>
      <c r="B949" s="5">
        <v>1822.45</v>
      </c>
    </row>
    <row r="950" spans="1:2" x14ac:dyDescent="0.3">
      <c r="A950" s="4">
        <v>45203</v>
      </c>
      <c r="B950" s="5">
        <v>1818.95</v>
      </c>
    </row>
    <row r="951" spans="1:2" x14ac:dyDescent="0.3">
      <c r="A951" s="4">
        <v>45204</v>
      </c>
      <c r="B951" s="5">
        <v>1819.45</v>
      </c>
    </row>
    <row r="952" spans="1:2" x14ac:dyDescent="0.3">
      <c r="A952" s="4">
        <v>45205</v>
      </c>
      <c r="B952" s="5">
        <v>1819.6</v>
      </c>
    </row>
    <row r="953" spans="1:2" x14ac:dyDescent="0.3">
      <c r="A953" s="4">
        <v>45208</v>
      </c>
      <c r="B953" s="5">
        <v>1845.5</v>
      </c>
    </row>
    <row r="954" spans="1:2" x14ac:dyDescent="0.3">
      <c r="A954" s="4">
        <v>45209</v>
      </c>
      <c r="B954" s="5">
        <v>1857</v>
      </c>
    </row>
    <row r="955" spans="1:2" x14ac:dyDescent="0.3">
      <c r="A955" s="4">
        <v>45210</v>
      </c>
      <c r="B955" s="5">
        <v>1871.25</v>
      </c>
    </row>
    <row r="956" spans="1:2" x14ac:dyDescent="0.3">
      <c r="A956" s="4">
        <v>45211</v>
      </c>
      <c r="B956" s="5">
        <v>1874</v>
      </c>
    </row>
    <row r="957" spans="1:2" x14ac:dyDescent="0.3">
      <c r="A957" s="4">
        <v>45212</v>
      </c>
      <c r="B957" s="5">
        <v>1909.2</v>
      </c>
    </row>
    <row r="958" spans="1:2" x14ac:dyDescent="0.3">
      <c r="A958" s="4">
        <v>45215</v>
      </c>
      <c r="B958" s="5">
        <v>1918.05</v>
      </c>
    </row>
    <row r="959" spans="1:2" x14ac:dyDescent="0.3">
      <c r="A959" s="4">
        <v>45216</v>
      </c>
      <c r="B959" s="5">
        <v>1928.2</v>
      </c>
    </row>
    <row r="960" spans="1:2" x14ac:dyDescent="0.3">
      <c r="A960" s="4">
        <v>45217</v>
      </c>
      <c r="B960" s="5">
        <v>1955.7</v>
      </c>
    </row>
    <row r="961" spans="1:2" x14ac:dyDescent="0.3">
      <c r="A961" s="4">
        <v>45218</v>
      </c>
      <c r="B961" s="5">
        <v>1953.55</v>
      </c>
    </row>
    <row r="962" spans="1:2" x14ac:dyDescent="0.3">
      <c r="A962" s="4">
        <v>45219</v>
      </c>
      <c r="B962" s="5">
        <v>1988.5</v>
      </c>
    </row>
    <row r="963" spans="1:2" x14ac:dyDescent="0.3">
      <c r="A963" s="4">
        <v>45222</v>
      </c>
      <c r="B963" s="5">
        <v>1973</v>
      </c>
    </row>
    <row r="964" spans="1:2" x14ac:dyDescent="0.3">
      <c r="A964" s="4">
        <v>45223</v>
      </c>
      <c r="B964" s="5">
        <v>1963.65</v>
      </c>
    </row>
    <row r="965" spans="1:2" x14ac:dyDescent="0.3">
      <c r="A965" s="4">
        <v>45224</v>
      </c>
      <c r="B965" s="5">
        <v>1983.3</v>
      </c>
    </row>
    <row r="966" spans="1:2" x14ac:dyDescent="0.3">
      <c r="A966" s="4">
        <v>45225</v>
      </c>
      <c r="B966" s="5">
        <v>1975</v>
      </c>
    </row>
    <row r="967" spans="1:2" x14ac:dyDescent="0.3">
      <c r="A967" s="4">
        <v>45226</v>
      </c>
      <c r="B967" s="5">
        <v>1982.9</v>
      </c>
    </row>
    <row r="968" spans="1:2" x14ac:dyDescent="0.3">
      <c r="A968" s="4">
        <v>45229</v>
      </c>
      <c r="B968" s="5">
        <v>1997.6</v>
      </c>
    </row>
    <row r="969" spans="1:2" x14ac:dyDescent="0.3">
      <c r="A969" s="4">
        <v>45230</v>
      </c>
      <c r="B969" s="5">
        <v>1996.9</v>
      </c>
    </row>
    <row r="970" spans="1:2" x14ac:dyDescent="0.3">
      <c r="A970" s="4">
        <v>45231</v>
      </c>
      <c r="B970" s="5">
        <v>1986.35</v>
      </c>
    </row>
    <row r="971" spans="1:2" x14ac:dyDescent="0.3">
      <c r="A971" s="4">
        <v>45232</v>
      </c>
      <c r="B971" s="5">
        <v>1983.6</v>
      </c>
    </row>
    <row r="972" spans="1:2" x14ac:dyDescent="0.3">
      <c r="A972" s="4">
        <v>45233</v>
      </c>
      <c r="B972" s="5">
        <v>1994.45</v>
      </c>
    </row>
    <row r="973" spans="1:2" x14ac:dyDescent="0.3">
      <c r="A973" s="4">
        <v>45236</v>
      </c>
      <c r="B973" s="5">
        <v>1984.6</v>
      </c>
    </row>
    <row r="974" spans="1:2" x14ac:dyDescent="0.3">
      <c r="A974" s="4">
        <v>45237</v>
      </c>
      <c r="B974" s="5">
        <v>1960.7</v>
      </c>
    </row>
    <row r="975" spans="1:2" x14ac:dyDescent="0.3">
      <c r="A975" s="4">
        <v>45238</v>
      </c>
      <c r="B975" s="5">
        <v>1959.35</v>
      </c>
    </row>
    <row r="976" spans="1:2" x14ac:dyDescent="0.3">
      <c r="A976" s="4">
        <v>45239</v>
      </c>
      <c r="B976" s="5">
        <v>1957.45</v>
      </c>
    </row>
    <row r="977" spans="1:2" x14ac:dyDescent="0.3">
      <c r="A977" s="4">
        <v>45240</v>
      </c>
      <c r="B977" s="5">
        <v>1941.65</v>
      </c>
    </row>
    <row r="978" spans="1:2" x14ac:dyDescent="0.3">
      <c r="A978" s="4">
        <v>45243</v>
      </c>
      <c r="B978" s="5">
        <v>1931.15</v>
      </c>
    </row>
    <row r="979" spans="1:2" x14ac:dyDescent="0.3">
      <c r="A979" s="4">
        <v>45244</v>
      </c>
      <c r="B979" s="5">
        <v>1969.05</v>
      </c>
    </row>
    <row r="980" spans="1:2" x14ac:dyDescent="0.3">
      <c r="A980" s="4">
        <v>45245</v>
      </c>
      <c r="B980" s="5">
        <v>1958.2</v>
      </c>
    </row>
    <row r="981" spans="1:2" x14ac:dyDescent="0.3">
      <c r="A981" s="4">
        <v>45246</v>
      </c>
      <c r="B981" s="5">
        <v>1980.1</v>
      </c>
    </row>
    <row r="982" spans="1:2" x14ac:dyDescent="0.3">
      <c r="A982" s="4">
        <v>45247</v>
      </c>
      <c r="B982" s="5">
        <v>1981.05</v>
      </c>
    </row>
    <row r="983" spans="1:2" x14ac:dyDescent="0.3">
      <c r="A983" s="4">
        <v>45250</v>
      </c>
      <c r="B983" s="5">
        <v>1968.7</v>
      </c>
    </row>
    <row r="984" spans="1:2" x14ac:dyDescent="0.3">
      <c r="A984" s="4">
        <v>45251</v>
      </c>
      <c r="B984" s="5">
        <v>2006.6</v>
      </c>
    </row>
    <row r="985" spans="1:2" x14ac:dyDescent="0.3">
      <c r="A985" s="4">
        <v>45252</v>
      </c>
      <c r="B985" s="5">
        <v>1997.55</v>
      </c>
    </row>
    <row r="986" spans="1:2" x14ac:dyDescent="0.3">
      <c r="A986" s="4">
        <v>45253</v>
      </c>
      <c r="B986" s="5">
        <v>1992.85</v>
      </c>
    </row>
    <row r="987" spans="1:2" x14ac:dyDescent="0.3">
      <c r="A987" s="4">
        <v>45254</v>
      </c>
      <c r="B987" s="5">
        <v>2000.85</v>
      </c>
    </row>
    <row r="988" spans="1:2" x14ac:dyDescent="0.3">
      <c r="A988" s="4">
        <v>45257</v>
      </c>
      <c r="B988" s="5">
        <v>2013.7</v>
      </c>
    </row>
    <row r="989" spans="1:2" x14ac:dyDescent="0.3">
      <c r="A989" s="4">
        <v>45258</v>
      </c>
      <c r="B989" s="5">
        <v>2025.65</v>
      </c>
    </row>
    <row r="990" spans="1:2" x14ac:dyDescent="0.3">
      <c r="A990" s="4">
        <v>45259</v>
      </c>
      <c r="B990" s="5">
        <v>2046.95</v>
      </c>
    </row>
    <row r="991" spans="1:2" x14ac:dyDescent="0.3">
      <c r="A991" s="4">
        <v>45260</v>
      </c>
      <c r="B991" s="5">
        <v>2035.45</v>
      </c>
    </row>
    <row r="992" spans="1:2" x14ac:dyDescent="0.3">
      <c r="A992" s="4">
        <v>45261</v>
      </c>
      <c r="B992" s="5">
        <v>2045.4</v>
      </c>
    </row>
    <row r="993" spans="1:2" x14ac:dyDescent="0.3">
      <c r="A993" s="4">
        <v>45264</v>
      </c>
      <c r="B993" s="5">
        <v>2049.0500000000002</v>
      </c>
    </row>
    <row r="994" spans="1:2" x14ac:dyDescent="0.3">
      <c r="A994" s="4">
        <v>45265</v>
      </c>
      <c r="B994" s="5">
        <v>2023.35</v>
      </c>
    </row>
    <row r="995" spans="1:2" x14ac:dyDescent="0.3">
      <c r="A995" s="4">
        <v>45266</v>
      </c>
      <c r="B995" s="5">
        <v>2026.4</v>
      </c>
    </row>
    <row r="996" spans="1:2" x14ac:dyDescent="0.3">
      <c r="A996" s="4">
        <v>45267</v>
      </c>
      <c r="B996" s="5">
        <v>2026.9</v>
      </c>
    </row>
    <row r="997" spans="1:2" x14ac:dyDescent="0.3">
      <c r="A997" s="4">
        <v>45268</v>
      </c>
      <c r="B997" s="5">
        <v>2008.1</v>
      </c>
    </row>
    <row r="998" spans="1:2" x14ac:dyDescent="0.3">
      <c r="A998" s="4">
        <v>45271</v>
      </c>
      <c r="B998" s="5">
        <v>1986.65</v>
      </c>
    </row>
    <row r="999" spans="1:2" x14ac:dyDescent="0.3">
      <c r="A999" s="4">
        <v>45272</v>
      </c>
      <c r="B999" s="5">
        <v>1980.85</v>
      </c>
    </row>
    <row r="1000" spans="1:2" x14ac:dyDescent="0.3">
      <c r="A1000" s="4">
        <v>45273</v>
      </c>
      <c r="B1000" s="5">
        <v>1982.5</v>
      </c>
    </row>
    <row r="1001" spans="1:2" x14ac:dyDescent="0.3">
      <c r="A1001" s="4">
        <v>45274</v>
      </c>
      <c r="B1001" s="5">
        <v>2046.1</v>
      </c>
    </row>
    <row r="1002" spans="1:2" x14ac:dyDescent="0.3">
      <c r="A1002" s="4">
        <v>45275</v>
      </c>
      <c r="B1002" s="5">
        <v>2032.3</v>
      </c>
    </row>
    <row r="1003" spans="1:2" x14ac:dyDescent="0.3">
      <c r="A1003" s="4">
        <v>45278</v>
      </c>
      <c r="B1003" s="5">
        <v>2023.95</v>
      </c>
    </row>
    <row r="1004" spans="1:2" x14ac:dyDescent="0.3">
      <c r="A1004" s="4">
        <v>45279</v>
      </c>
      <c r="B1004" s="5">
        <v>2041.35</v>
      </c>
    </row>
    <row r="1005" spans="1:2" x14ac:dyDescent="0.3">
      <c r="A1005" s="4">
        <v>45280</v>
      </c>
      <c r="B1005" s="5">
        <v>2035.55</v>
      </c>
    </row>
    <row r="1006" spans="1:2" x14ac:dyDescent="0.3">
      <c r="A1006" s="4">
        <v>45281</v>
      </c>
      <c r="B1006" s="5">
        <v>2041.7</v>
      </c>
    </row>
    <row r="1007" spans="1:2" x14ac:dyDescent="0.3">
      <c r="A1007" s="4">
        <v>45282</v>
      </c>
      <c r="B1007" s="5">
        <v>2055.6</v>
      </c>
    </row>
    <row r="1008" spans="1:2" x14ac:dyDescent="0.3">
      <c r="A1008" s="4">
        <v>45287</v>
      </c>
      <c r="B1008" s="5">
        <v>2069.4</v>
      </c>
    </row>
    <row r="1009" spans="1:2" x14ac:dyDescent="0.3">
      <c r="A1009" s="4">
        <v>45288</v>
      </c>
      <c r="B1009" s="5">
        <v>2078.4</v>
      </c>
    </row>
    <row r="1010" spans="1:2" x14ac:dyDescent="0.3">
      <c r="A1010" s="4">
        <v>45289</v>
      </c>
      <c r="B1010" s="5">
        <v>2062.4</v>
      </c>
    </row>
    <row r="1011" spans="1:2" x14ac:dyDescent="0.3">
      <c r="A1011" s="4">
        <v>45293</v>
      </c>
      <c r="B1011" s="5">
        <v>2067.5500000000002</v>
      </c>
    </row>
    <row r="1012" spans="1:2" x14ac:dyDescent="0.3">
      <c r="A1012" s="4">
        <v>45294</v>
      </c>
      <c r="B1012" s="5">
        <v>2042.1</v>
      </c>
    </row>
    <row r="1013" spans="1:2" x14ac:dyDescent="0.3">
      <c r="A1013" s="4">
        <v>45295</v>
      </c>
      <c r="B1013" s="5">
        <v>2039.55</v>
      </c>
    </row>
    <row r="1014" spans="1:2" x14ac:dyDescent="0.3">
      <c r="A1014" s="4">
        <v>45296</v>
      </c>
      <c r="B1014" s="5">
        <v>2056.35</v>
      </c>
    </row>
    <row r="1015" spans="1:2" x14ac:dyDescent="0.3">
      <c r="A1015" s="4">
        <v>45299</v>
      </c>
      <c r="B1015" s="5">
        <v>2025.1</v>
      </c>
    </row>
    <row r="1016" spans="1:2" x14ac:dyDescent="0.3">
      <c r="A1016" s="4">
        <v>45300</v>
      </c>
      <c r="B1016" s="5">
        <v>2034.9</v>
      </c>
    </row>
    <row r="1017" spans="1:2" x14ac:dyDescent="0.3">
      <c r="A1017" s="4">
        <v>45301</v>
      </c>
      <c r="B1017" s="5">
        <v>2026.8</v>
      </c>
    </row>
    <row r="1018" spans="1:2" x14ac:dyDescent="0.3">
      <c r="A1018" s="4">
        <v>45302</v>
      </c>
      <c r="B1018" s="5">
        <v>2029.15</v>
      </c>
    </row>
    <row r="1019" spans="1:2" x14ac:dyDescent="0.3">
      <c r="A1019" s="4">
        <v>45303</v>
      </c>
      <c r="B1019" s="5">
        <v>2055.65</v>
      </c>
    </row>
    <row r="1020" spans="1:2" x14ac:dyDescent="0.3">
      <c r="A1020" s="4">
        <v>45306</v>
      </c>
      <c r="B1020" s="5">
        <v>2049.9</v>
      </c>
    </row>
    <row r="1021" spans="1:2" x14ac:dyDescent="0.3">
      <c r="A1021" s="4">
        <v>45307</v>
      </c>
      <c r="B1021" s="5">
        <v>2038.15</v>
      </c>
    </row>
    <row r="1022" spans="1:2" x14ac:dyDescent="0.3">
      <c r="A1022" s="4">
        <v>45308</v>
      </c>
      <c r="B1022" s="5">
        <v>2011.75</v>
      </c>
    </row>
    <row r="1023" spans="1:2" x14ac:dyDescent="0.3">
      <c r="A1023" s="4">
        <v>45309</v>
      </c>
      <c r="B1023" s="5">
        <v>2013.2</v>
      </c>
    </row>
    <row r="1024" spans="1:2" x14ac:dyDescent="0.3">
      <c r="A1024" s="4">
        <v>45310</v>
      </c>
      <c r="B1024" s="5">
        <v>2028.55</v>
      </c>
    </row>
    <row r="1025" spans="1:2" x14ac:dyDescent="0.3">
      <c r="A1025" s="4">
        <v>45313</v>
      </c>
      <c r="B1025" s="5">
        <v>2021.6</v>
      </c>
    </row>
    <row r="1026" spans="1:2" x14ac:dyDescent="0.3">
      <c r="A1026" s="4">
        <v>45314</v>
      </c>
      <c r="B1026" s="5">
        <v>2022.95</v>
      </c>
    </row>
    <row r="1027" spans="1:2" x14ac:dyDescent="0.3">
      <c r="A1027" s="4">
        <v>45315</v>
      </c>
      <c r="B1027" s="5">
        <v>2024.65</v>
      </c>
    </row>
    <row r="1028" spans="1:2" x14ac:dyDescent="0.3">
      <c r="A1028" s="4">
        <v>45316</v>
      </c>
      <c r="B1028" s="5">
        <v>2023.75</v>
      </c>
    </row>
    <row r="1029" spans="1:2" x14ac:dyDescent="0.3">
      <c r="A1029" s="4">
        <v>45317</v>
      </c>
      <c r="B1029" s="5">
        <v>2018.45</v>
      </c>
    </row>
    <row r="1030" spans="1:2" x14ac:dyDescent="0.3">
      <c r="A1030" s="4">
        <v>45320</v>
      </c>
      <c r="B1030" s="5">
        <v>2022.5</v>
      </c>
    </row>
    <row r="1031" spans="1:2" x14ac:dyDescent="0.3">
      <c r="A1031" s="4">
        <v>45321</v>
      </c>
      <c r="B1031" s="5">
        <v>2043.05</v>
      </c>
    </row>
    <row r="1032" spans="1:2" x14ac:dyDescent="0.3">
      <c r="A1032" s="4">
        <v>45322</v>
      </c>
      <c r="B1032" s="5">
        <v>2053.25</v>
      </c>
    </row>
    <row r="1033" spans="1:2" x14ac:dyDescent="0.3">
      <c r="A1033" s="4">
        <v>45323</v>
      </c>
      <c r="B1033" s="5">
        <v>2045.85</v>
      </c>
    </row>
    <row r="1034" spans="1:2" x14ac:dyDescent="0.3">
      <c r="A1034" s="4">
        <v>45324</v>
      </c>
      <c r="B1034" s="5">
        <v>2034.15</v>
      </c>
    </row>
    <row r="1035" spans="1:2" x14ac:dyDescent="0.3">
      <c r="A1035" s="4">
        <v>45327</v>
      </c>
      <c r="B1035" s="5">
        <v>2018</v>
      </c>
    </row>
    <row r="1036" spans="1:2" x14ac:dyDescent="0.3">
      <c r="A1036" s="4">
        <v>45328</v>
      </c>
      <c r="B1036" s="5">
        <v>2030.8</v>
      </c>
    </row>
    <row r="1037" spans="1:2" x14ac:dyDescent="0.3">
      <c r="A1037" s="4">
        <v>45329</v>
      </c>
      <c r="B1037" s="5">
        <v>2041.6</v>
      </c>
    </row>
    <row r="1038" spans="1:2" x14ac:dyDescent="0.3">
      <c r="A1038" s="4">
        <v>45330</v>
      </c>
      <c r="B1038" s="5">
        <v>2028.65</v>
      </c>
    </row>
    <row r="1039" spans="1:2" x14ac:dyDescent="0.3">
      <c r="A1039" s="4">
        <v>45331</v>
      </c>
      <c r="B1039" s="5">
        <v>2023.5</v>
      </c>
    </row>
    <row r="1040" spans="1:2" x14ac:dyDescent="0.3">
      <c r="A1040" s="4">
        <v>45334</v>
      </c>
      <c r="B1040" s="5">
        <v>2015.2</v>
      </c>
    </row>
    <row r="1041" spans="1:2" x14ac:dyDescent="0.3">
      <c r="A1041" s="4">
        <v>45335</v>
      </c>
      <c r="B1041" s="5">
        <v>1996.1</v>
      </c>
    </row>
    <row r="1042" spans="1:2" x14ac:dyDescent="0.3">
      <c r="A1042" s="4">
        <v>45336</v>
      </c>
      <c r="B1042" s="5">
        <v>1985.1</v>
      </c>
    </row>
    <row r="1043" spans="1:2" x14ac:dyDescent="0.3">
      <c r="A1043" s="4">
        <v>45337</v>
      </c>
      <c r="B1043" s="5">
        <v>2004.05</v>
      </c>
    </row>
    <row r="1044" spans="1:2" x14ac:dyDescent="0.3">
      <c r="A1044" s="4">
        <v>45338</v>
      </c>
      <c r="B1044" s="5">
        <v>1997.9</v>
      </c>
    </row>
    <row r="1045" spans="1:2" x14ac:dyDescent="0.3">
      <c r="A1045" s="4">
        <v>45341</v>
      </c>
      <c r="B1045" s="5">
        <v>2017.05</v>
      </c>
    </row>
    <row r="1046" spans="1:2" x14ac:dyDescent="0.3">
      <c r="A1046" s="4">
        <v>45342</v>
      </c>
      <c r="B1046" s="5">
        <v>2029.1</v>
      </c>
    </row>
    <row r="1047" spans="1:2" x14ac:dyDescent="0.3">
      <c r="A1047" s="4">
        <v>45343</v>
      </c>
      <c r="B1047" s="5">
        <v>2026.75</v>
      </c>
    </row>
    <row r="1048" spans="1:2" x14ac:dyDescent="0.3">
      <c r="A1048" s="4">
        <v>45344</v>
      </c>
      <c r="B1048" s="5">
        <v>2024</v>
      </c>
    </row>
    <row r="1049" spans="1:2" x14ac:dyDescent="0.3">
      <c r="A1049" s="4">
        <v>45345</v>
      </c>
      <c r="B1049" s="5">
        <v>2027.45</v>
      </c>
    </row>
    <row r="1050" spans="1:2" x14ac:dyDescent="0.3">
      <c r="A1050" s="4">
        <v>45348</v>
      </c>
      <c r="B1050" s="5">
        <v>2027.2</v>
      </c>
    </row>
    <row r="1051" spans="1:2" x14ac:dyDescent="0.3">
      <c r="A1051" s="4">
        <v>45349</v>
      </c>
      <c r="B1051" s="5">
        <v>2035.05</v>
      </c>
    </row>
    <row r="1052" spans="1:2" x14ac:dyDescent="0.3">
      <c r="A1052" s="4">
        <v>45350</v>
      </c>
      <c r="B1052" s="5">
        <v>2032.45</v>
      </c>
    </row>
    <row r="1053" spans="1:2" x14ac:dyDescent="0.3">
      <c r="A1053" s="4">
        <v>45351</v>
      </c>
      <c r="B1053" s="5">
        <v>2048.0500000000002</v>
      </c>
    </row>
    <row r="1054" spans="1:2" x14ac:dyDescent="0.3">
      <c r="A1054" s="4">
        <v>45352</v>
      </c>
      <c r="B1054" s="5">
        <v>2049.8000000000002</v>
      </c>
    </row>
    <row r="1055" spans="1:2" x14ac:dyDescent="0.3">
      <c r="A1055" s="4">
        <v>45355</v>
      </c>
      <c r="B1055" s="5">
        <v>2098.0500000000002</v>
      </c>
    </row>
    <row r="1056" spans="1:2" x14ac:dyDescent="0.3">
      <c r="A1056" s="4">
        <v>45356</v>
      </c>
      <c r="B1056" s="5">
        <v>2134.4</v>
      </c>
    </row>
    <row r="1057" spans="1:2" x14ac:dyDescent="0.3">
      <c r="A1057" s="4">
        <v>45357</v>
      </c>
      <c r="B1057" s="5">
        <v>2142.85</v>
      </c>
    </row>
    <row r="1058" spans="1:2" x14ac:dyDescent="0.3">
      <c r="A1058" s="4">
        <v>45358</v>
      </c>
      <c r="B1058" s="5">
        <v>2153.4499999999998</v>
      </c>
    </row>
    <row r="1059" spans="1:2" x14ac:dyDescent="0.3">
      <c r="A1059" s="4">
        <v>45359</v>
      </c>
      <c r="B1059" s="5">
        <v>2171.1999999999998</v>
      </c>
    </row>
    <row r="1060" spans="1:2" x14ac:dyDescent="0.3">
      <c r="A1060" s="4">
        <v>45362</v>
      </c>
      <c r="B1060" s="5">
        <v>2180.4499999999998</v>
      </c>
    </row>
    <row r="1061" spans="1:2" x14ac:dyDescent="0.3">
      <c r="A1061" s="4">
        <v>45363</v>
      </c>
      <c r="B1061" s="5">
        <v>2161.25</v>
      </c>
    </row>
    <row r="1062" spans="1:2" x14ac:dyDescent="0.3">
      <c r="A1062" s="4">
        <v>45364</v>
      </c>
      <c r="B1062" s="5">
        <v>2168.4</v>
      </c>
    </row>
    <row r="1063" spans="1:2" x14ac:dyDescent="0.3">
      <c r="A1063" s="4">
        <v>45365</v>
      </c>
      <c r="B1063" s="5">
        <v>2160.8000000000002</v>
      </c>
    </row>
    <row r="1064" spans="1:2" x14ac:dyDescent="0.3">
      <c r="A1064" s="4">
        <v>45366</v>
      </c>
      <c r="B1064" s="5">
        <v>2163.4499999999998</v>
      </c>
    </row>
    <row r="1065" spans="1:2" x14ac:dyDescent="0.3">
      <c r="A1065" s="4">
        <v>45369</v>
      </c>
      <c r="B1065" s="5">
        <v>2158.15</v>
      </c>
    </row>
    <row r="1066" spans="1:2" x14ac:dyDescent="0.3">
      <c r="A1066" s="4">
        <v>45370</v>
      </c>
      <c r="B1066" s="5">
        <v>2154.9</v>
      </c>
    </row>
    <row r="1067" spans="1:2" x14ac:dyDescent="0.3">
      <c r="A1067" s="4">
        <v>45371</v>
      </c>
      <c r="B1067" s="5">
        <v>2157.4499999999998</v>
      </c>
    </row>
    <row r="1068" spans="1:2" x14ac:dyDescent="0.3">
      <c r="A1068" s="4">
        <v>45372</v>
      </c>
      <c r="B1068" s="5">
        <v>2170.5</v>
      </c>
    </row>
    <row r="1069" spans="1:2" x14ac:dyDescent="0.3">
      <c r="A1069" s="4">
        <v>45373</v>
      </c>
      <c r="B1069" s="5">
        <v>2171.6</v>
      </c>
    </row>
    <row r="1070" spans="1:2" x14ac:dyDescent="0.3">
      <c r="A1070" s="4">
        <v>45376</v>
      </c>
      <c r="B1070" s="5">
        <v>2176.6999999999998</v>
      </c>
    </row>
    <row r="1071" spans="1:2" x14ac:dyDescent="0.3">
      <c r="A1071" s="4">
        <v>45377</v>
      </c>
      <c r="B1071" s="5">
        <v>2179.8000000000002</v>
      </c>
    </row>
    <row r="1072" spans="1:2" x14ac:dyDescent="0.3">
      <c r="A1072" s="4">
        <v>45378</v>
      </c>
      <c r="B1072" s="5">
        <v>2192.6999999999998</v>
      </c>
    </row>
    <row r="1073" spans="1:2" x14ac:dyDescent="0.3">
      <c r="A1073" s="4">
        <v>45379</v>
      </c>
      <c r="B1073" s="5">
        <v>2214.35</v>
      </c>
    </row>
    <row r="1074" spans="1:2" x14ac:dyDescent="0.3">
      <c r="A1074" s="4">
        <v>45384</v>
      </c>
      <c r="B1074" s="5">
        <v>2264.5</v>
      </c>
    </row>
    <row r="1075" spans="1:2" x14ac:dyDescent="0.3">
      <c r="A1075" s="4">
        <v>45385</v>
      </c>
      <c r="B1075" s="5">
        <v>2280.15</v>
      </c>
    </row>
    <row r="1076" spans="1:2" x14ac:dyDescent="0.3">
      <c r="A1076" s="4">
        <v>45386</v>
      </c>
      <c r="B1076" s="5">
        <v>2293.5</v>
      </c>
    </row>
    <row r="1077" spans="1:2" x14ac:dyDescent="0.3">
      <c r="A1077" s="4">
        <v>45387</v>
      </c>
      <c r="B1077" s="5">
        <v>2298.5500000000002</v>
      </c>
    </row>
    <row r="1078" spans="1:2" x14ac:dyDescent="0.3">
      <c r="A1078" s="4">
        <v>45390</v>
      </c>
      <c r="B1078" s="5">
        <v>2320.25</v>
      </c>
    </row>
    <row r="1079" spans="1:2" x14ac:dyDescent="0.3">
      <c r="A1079" s="4">
        <v>45391</v>
      </c>
      <c r="B1079" s="5">
        <v>2356.1</v>
      </c>
    </row>
    <row r="1080" spans="1:2" x14ac:dyDescent="0.3">
      <c r="A1080" s="4">
        <v>45392</v>
      </c>
      <c r="B1080" s="5">
        <v>2333</v>
      </c>
    </row>
    <row r="1081" spans="1:2" x14ac:dyDescent="0.3">
      <c r="A1081" s="4">
        <v>45393</v>
      </c>
      <c r="B1081" s="5">
        <v>2345.65</v>
      </c>
    </row>
    <row r="1082" spans="1:2" x14ac:dyDescent="0.3">
      <c r="A1082" s="4">
        <v>45394</v>
      </c>
      <c r="B1082" s="5">
        <v>2401.5</v>
      </c>
    </row>
    <row r="1083" spans="1:2" x14ac:dyDescent="0.3">
      <c r="A1083" s="4">
        <v>45397</v>
      </c>
      <c r="B1083" s="5">
        <v>2344.1999999999998</v>
      </c>
    </row>
    <row r="1084" spans="1:2" x14ac:dyDescent="0.3">
      <c r="A1084" s="4">
        <v>45398</v>
      </c>
      <c r="B1084" s="5">
        <v>2369.15</v>
      </c>
    </row>
    <row r="1085" spans="1:2" x14ac:dyDescent="0.3">
      <c r="A1085" s="4">
        <v>45399</v>
      </c>
      <c r="B1085" s="5">
        <v>2390.35</v>
      </c>
    </row>
    <row r="1086" spans="1:2" x14ac:dyDescent="0.3">
      <c r="A1086" s="4">
        <v>45400</v>
      </c>
      <c r="B1086" s="5">
        <v>2382.6999999999998</v>
      </c>
    </row>
    <row r="1087" spans="1:2" x14ac:dyDescent="0.3">
      <c r="A1087" s="4">
        <v>45401</v>
      </c>
      <c r="B1087" s="5">
        <v>2379.6999999999998</v>
      </c>
    </row>
    <row r="1088" spans="1:2" x14ac:dyDescent="0.3">
      <c r="A1088" s="4">
        <v>45404</v>
      </c>
      <c r="B1088" s="5">
        <v>2334.9499999999998</v>
      </c>
    </row>
    <row r="1089" spans="1:2" x14ac:dyDescent="0.3">
      <c r="A1089" s="4">
        <v>45405</v>
      </c>
      <c r="B1089" s="5">
        <v>2328.4499999999998</v>
      </c>
    </row>
    <row r="1090" spans="1:2" x14ac:dyDescent="0.3">
      <c r="A1090" s="4">
        <v>45406</v>
      </c>
      <c r="B1090" s="5">
        <v>2320.25</v>
      </c>
    </row>
    <row r="1091" spans="1:2" x14ac:dyDescent="0.3">
      <c r="A1091" s="4">
        <v>45407</v>
      </c>
      <c r="B1091" s="5">
        <v>2318.6999999999998</v>
      </c>
    </row>
    <row r="1092" spans="1:2" x14ac:dyDescent="0.3">
      <c r="A1092" s="4">
        <v>45408</v>
      </c>
      <c r="B1092" s="5">
        <v>2343.1</v>
      </c>
    </row>
    <row r="1093" spans="1:2" x14ac:dyDescent="0.3">
      <c r="A1093" s="4">
        <v>45411</v>
      </c>
      <c r="B1093" s="5">
        <v>2333.5500000000002</v>
      </c>
    </row>
    <row r="1094" spans="1:2" x14ac:dyDescent="0.3">
      <c r="A1094" s="4">
        <v>45412</v>
      </c>
      <c r="B1094" s="5">
        <v>2307</v>
      </c>
    </row>
    <row r="1095" spans="1:2" x14ac:dyDescent="0.3">
      <c r="A1095" s="4">
        <v>45413</v>
      </c>
      <c r="B1095" s="5">
        <v>2302.35</v>
      </c>
    </row>
    <row r="1096" spans="1:2" x14ac:dyDescent="0.3">
      <c r="A1096" s="4">
        <v>45414</v>
      </c>
      <c r="B1096" s="5">
        <v>2288.85</v>
      </c>
    </row>
    <row r="1097" spans="1:2" x14ac:dyDescent="0.3">
      <c r="A1097" s="4">
        <v>45415</v>
      </c>
      <c r="B1097" s="5">
        <v>2294.4499999999998</v>
      </c>
    </row>
    <row r="1098" spans="1:2" x14ac:dyDescent="0.3">
      <c r="A1098" s="4">
        <v>45419</v>
      </c>
      <c r="B1098" s="5">
        <v>2319.6</v>
      </c>
    </row>
    <row r="1099" spans="1:2" x14ac:dyDescent="0.3">
      <c r="A1099" s="4">
        <v>45420</v>
      </c>
      <c r="B1099" s="5">
        <v>2309.0500000000002</v>
      </c>
    </row>
    <row r="1100" spans="1:2" x14ac:dyDescent="0.3">
      <c r="A1100" s="4">
        <v>45421</v>
      </c>
      <c r="B1100" s="5">
        <v>2325.6999999999998</v>
      </c>
    </row>
    <row r="1101" spans="1:2" x14ac:dyDescent="0.3">
      <c r="A1101" s="4">
        <v>45422</v>
      </c>
      <c r="B1101" s="5">
        <v>2372.4499999999998</v>
      </c>
    </row>
    <row r="1102" spans="1:2" x14ac:dyDescent="0.3">
      <c r="A1102" s="4">
        <v>45425</v>
      </c>
      <c r="B1102" s="5">
        <v>2343.8000000000002</v>
      </c>
    </row>
    <row r="1103" spans="1:2" x14ac:dyDescent="0.3">
      <c r="A1103" s="4">
        <v>45426</v>
      </c>
      <c r="B1103" s="5">
        <v>2354.85</v>
      </c>
    </row>
    <row r="1104" spans="1:2" x14ac:dyDescent="0.3">
      <c r="A1104" s="4">
        <v>45427</v>
      </c>
      <c r="B1104" s="5">
        <v>2357.5</v>
      </c>
    </row>
    <row r="1105" spans="1:2" x14ac:dyDescent="0.3">
      <c r="A1105" s="4">
        <v>45428</v>
      </c>
      <c r="B1105" s="5">
        <v>2377.4</v>
      </c>
    </row>
    <row r="1106" spans="1:2" x14ac:dyDescent="0.3">
      <c r="A1106" s="4">
        <v>45429</v>
      </c>
      <c r="B1106" s="5">
        <v>2402.6</v>
      </c>
    </row>
    <row r="1107" spans="1:2" x14ac:dyDescent="0.3">
      <c r="A1107" s="4">
        <v>45432</v>
      </c>
      <c r="B1107" s="5">
        <v>2420.3000000000002</v>
      </c>
    </row>
    <row r="1108" spans="1:2" x14ac:dyDescent="0.3">
      <c r="A1108" s="4">
        <v>45433</v>
      </c>
      <c r="B1108" s="5">
        <v>2427.3000000000002</v>
      </c>
    </row>
    <row r="1109" spans="1:2" x14ac:dyDescent="0.3">
      <c r="A1109" s="4">
        <v>45434</v>
      </c>
      <c r="B1109" s="5">
        <v>2407.9</v>
      </c>
    </row>
    <row r="1110" spans="1:2" x14ac:dyDescent="0.3">
      <c r="A1110" s="4">
        <v>45435</v>
      </c>
      <c r="B1110" s="5">
        <v>2357.35</v>
      </c>
    </row>
    <row r="1111" spans="1:2" x14ac:dyDescent="0.3">
      <c r="A1111" s="4">
        <v>45436</v>
      </c>
      <c r="B1111" s="5">
        <v>2342.6999999999998</v>
      </c>
    </row>
    <row r="1112" spans="1:2" x14ac:dyDescent="0.3">
      <c r="A1112" s="4">
        <v>45440</v>
      </c>
      <c r="B1112" s="5">
        <v>2350.65</v>
      </c>
    </row>
    <row r="1113" spans="1:2" x14ac:dyDescent="0.3">
      <c r="A1113" s="4">
        <v>45441</v>
      </c>
      <c r="B1113" s="5">
        <v>2343.35</v>
      </c>
    </row>
    <row r="1114" spans="1:2" x14ac:dyDescent="0.3">
      <c r="A1114" s="4">
        <v>45442</v>
      </c>
      <c r="B1114" s="5">
        <v>2348.5500000000002</v>
      </c>
    </row>
    <row r="1115" spans="1:2" x14ac:dyDescent="0.3">
      <c r="A1115" s="4">
        <v>45443</v>
      </c>
      <c r="B1115" s="5">
        <v>2348.25</v>
      </c>
    </row>
    <row r="1116" spans="1:2" x14ac:dyDescent="0.3">
      <c r="A1116" s="4">
        <v>45446</v>
      </c>
      <c r="B1116" s="5">
        <v>2337.6999999999998</v>
      </c>
    </row>
    <row r="1117" spans="1:2" x14ac:dyDescent="0.3">
      <c r="A1117" s="4">
        <v>45447</v>
      </c>
      <c r="B1117" s="5">
        <v>2326</v>
      </c>
    </row>
    <row r="1118" spans="1:2" x14ac:dyDescent="0.3">
      <c r="A1118" s="4">
        <v>45448</v>
      </c>
      <c r="B1118" s="5">
        <v>2340.0500000000002</v>
      </c>
    </row>
    <row r="1119" spans="1:2" x14ac:dyDescent="0.3">
      <c r="A1119" s="4">
        <v>45449</v>
      </c>
      <c r="B1119" s="5">
        <v>2360.6</v>
      </c>
    </row>
    <row r="1120" spans="1:2" x14ac:dyDescent="0.3">
      <c r="A1120" s="4">
        <v>45450</v>
      </c>
      <c r="B1120" s="5">
        <v>2310.8000000000002</v>
      </c>
    </row>
    <row r="1121" spans="1:2" x14ac:dyDescent="0.3">
      <c r="A1121" s="4">
        <v>45453</v>
      </c>
      <c r="B1121" s="5">
        <v>2304.4</v>
      </c>
    </row>
    <row r="1122" spans="1:2" x14ac:dyDescent="0.3">
      <c r="A1122" s="4">
        <v>45454</v>
      </c>
      <c r="B1122" s="5">
        <v>2316.5</v>
      </c>
    </row>
    <row r="1123" spans="1:2" x14ac:dyDescent="0.3">
      <c r="A1123" s="4">
        <v>45455</v>
      </c>
      <c r="B1123" s="5">
        <v>2326.25</v>
      </c>
    </row>
    <row r="1124" spans="1:2" x14ac:dyDescent="0.3">
      <c r="A1124" s="4">
        <v>45456</v>
      </c>
      <c r="B1124" s="5">
        <v>2310.8000000000002</v>
      </c>
    </row>
    <row r="1125" spans="1:2" x14ac:dyDescent="0.3">
      <c r="A1125" s="4">
        <v>45457</v>
      </c>
      <c r="B1125" s="5">
        <v>2330.4499999999998</v>
      </c>
    </row>
    <row r="1126" spans="1:2" x14ac:dyDescent="0.3">
      <c r="A1126" s="4">
        <v>45460</v>
      </c>
      <c r="B1126" s="5">
        <v>2319.9</v>
      </c>
    </row>
    <row r="1127" spans="1:2" x14ac:dyDescent="0.3">
      <c r="A1127" s="4">
        <v>45461</v>
      </c>
      <c r="B1127" s="5">
        <v>2324.35</v>
      </c>
    </row>
    <row r="1128" spans="1:2" x14ac:dyDescent="0.3">
      <c r="A1128" s="4">
        <v>45462</v>
      </c>
      <c r="B1128" s="5">
        <v>2324.25</v>
      </c>
    </row>
    <row r="1129" spans="1:2" x14ac:dyDescent="0.3">
      <c r="A1129" s="4">
        <v>45463</v>
      </c>
      <c r="B1129" s="5">
        <v>2351.6</v>
      </c>
    </row>
    <row r="1130" spans="1:2" x14ac:dyDescent="0.3">
      <c r="A1130" s="4">
        <v>45464</v>
      </c>
      <c r="B1130" s="5">
        <v>2335.0500000000002</v>
      </c>
    </row>
    <row r="1131" spans="1:2" x14ac:dyDescent="0.3">
      <c r="A1131" s="4">
        <v>45467</v>
      </c>
      <c r="B1131" s="5">
        <v>2328.75</v>
      </c>
    </row>
    <row r="1132" spans="1:2" x14ac:dyDescent="0.3">
      <c r="A1132" s="4">
        <v>45468</v>
      </c>
      <c r="B1132" s="5">
        <v>2325.0500000000002</v>
      </c>
    </row>
    <row r="1133" spans="1:2" x14ac:dyDescent="0.3">
      <c r="A1133" s="4">
        <v>45469</v>
      </c>
      <c r="B1133" s="5">
        <v>2299.65</v>
      </c>
    </row>
    <row r="1134" spans="1:2" x14ac:dyDescent="0.3">
      <c r="A1134" s="4">
        <v>45470</v>
      </c>
      <c r="B1134" s="5">
        <v>2323.6</v>
      </c>
    </row>
    <row r="1135" spans="1:2" x14ac:dyDescent="0.3">
      <c r="A1135" s="4">
        <v>45471</v>
      </c>
      <c r="B1135" s="5">
        <v>2330.9</v>
      </c>
    </row>
    <row r="1136" spans="1:2" x14ac:dyDescent="0.3">
      <c r="A1136" s="4">
        <v>45474</v>
      </c>
      <c r="B1136" s="5">
        <v>2329.1</v>
      </c>
    </row>
    <row r="1137" spans="1:2" x14ac:dyDescent="0.3">
      <c r="A1137" s="4">
        <v>45475</v>
      </c>
      <c r="B1137" s="5">
        <v>2331.75</v>
      </c>
    </row>
    <row r="1138" spans="1:2" x14ac:dyDescent="0.3">
      <c r="A1138" s="4">
        <v>45476</v>
      </c>
      <c r="B1138" s="5">
        <v>2361.35</v>
      </c>
    </row>
    <row r="1139" spans="1:2" x14ac:dyDescent="0.3">
      <c r="A1139" s="4">
        <v>45477</v>
      </c>
      <c r="B1139" s="5">
        <v>2358.65</v>
      </c>
    </row>
    <row r="1140" spans="1:2" x14ac:dyDescent="0.3">
      <c r="A1140" s="4">
        <v>45478</v>
      </c>
      <c r="B1140" s="5">
        <v>2379.0500000000002</v>
      </c>
    </row>
    <row r="1141" spans="1:2" x14ac:dyDescent="0.3">
      <c r="A1141" s="4">
        <v>45481</v>
      </c>
      <c r="B1141" s="5">
        <v>2376.65</v>
      </c>
    </row>
    <row r="1142" spans="1:2" x14ac:dyDescent="0.3">
      <c r="A1142" s="4">
        <v>45482</v>
      </c>
      <c r="B1142" s="5">
        <v>2367.9</v>
      </c>
    </row>
    <row r="1143" spans="1:2" x14ac:dyDescent="0.3">
      <c r="A1143" s="4">
        <v>45483</v>
      </c>
      <c r="B1143" s="5">
        <v>2384.35</v>
      </c>
    </row>
    <row r="1144" spans="1:2" x14ac:dyDescent="0.3">
      <c r="A1144" s="4">
        <v>45484</v>
      </c>
      <c r="B1144" s="5">
        <v>2409.1999999999998</v>
      </c>
    </row>
    <row r="1145" spans="1:2" x14ac:dyDescent="0.3">
      <c r="A1145" s="4">
        <v>45485</v>
      </c>
      <c r="B1145" s="5">
        <v>2406.85</v>
      </c>
    </row>
    <row r="1146" spans="1:2" x14ac:dyDescent="0.3">
      <c r="A1146" s="4">
        <v>45488</v>
      </c>
      <c r="B1146" s="5">
        <v>2421.25</v>
      </c>
    </row>
    <row r="1147" spans="1:2" x14ac:dyDescent="0.3">
      <c r="A1147" s="4">
        <v>45489</v>
      </c>
      <c r="B1147" s="5">
        <v>2443.1999999999998</v>
      </c>
    </row>
    <row r="1148" spans="1:2" x14ac:dyDescent="0.3">
      <c r="A1148" s="4">
        <v>45490</v>
      </c>
      <c r="B1148" s="5">
        <v>2480.25</v>
      </c>
    </row>
    <row r="1149" spans="1:2" x14ac:dyDescent="0.3">
      <c r="A1149" s="4">
        <v>45491</v>
      </c>
      <c r="B1149" s="5">
        <v>2463.8000000000002</v>
      </c>
    </row>
    <row r="1150" spans="1:2" x14ac:dyDescent="0.3">
      <c r="A1150" s="4">
        <v>45492</v>
      </c>
      <c r="B1150" s="5">
        <v>2403.5</v>
      </c>
    </row>
    <row r="1151" spans="1:2" x14ac:dyDescent="0.3">
      <c r="A1151" s="4">
        <v>45495</v>
      </c>
      <c r="B1151" s="5">
        <v>2392.6999999999998</v>
      </c>
    </row>
    <row r="1152" spans="1:2" x14ac:dyDescent="0.3">
      <c r="A1152" s="4">
        <v>45496</v>
      </c>
      <c r="B1152" s="5">
        <v>2403.1</v>
      </c>
    </row>
    <row r="1153" spans="1:2" x14ac:dyDescent="0.3">
      <c r="A1153" s="4">
        <v>45497</v>
      </c>
      <c r="B1153" s="5">
        <v>2421.4499999999998</v>
      </c>
    </row>
    <row r="1154" spans="1:2" x14ac:dyDescent="0.3">
      <c r="A1154" s="4">
        <v>45498</v>
      </c>
      <c r="B1154" s="5">
        <v>2364.1999999999998</v>
      </c>
    </row>
    <row r="1155" spans="1:2" x14ac:dyDescent="0.3">
      <c r="A1155" s="4">
        <v>45499</v>
      </c>
      <c r="B1155" s="5">
        <v>2386.1</v>
      </c>
    </row>
    <row r="1156" spans="1:2" x14ac:dyDescent="0.3">
      <c r="A1156" s="4">
        <v>45502</v>
      </c>
      <c r="B1156" s="5">
        <v>2391.1</v>
      </c>
    </row>
    <row r="1157" spans="1:2" x14ac:dyDescent="0.3">
      <c r="A1157" s="4">
        <v>45503</v>
      </c>
      <c r="B1157" s="5">
        <v>2390.25</v>
      </c>
    </row>
    <row r="1158" spans="1:2" x14ac:dyDescent="0.3">
      <c r="A1158" s="4">
        <v>45504</v>
      </c>
      <c r="B1158" s="5">
        <v>2426.3000000000002</v>
      </c>
    </row>
    <row r="1159" spans="1:2" x14ac:dyDescent="0.3">
      <c r="A1159" s="4">
        <v>45505</v>
      </c>
      <c r="B1159" s="5">
        <v>2454.5500000000002</v>
      </c>
    </row>
    <row r="1160" spans="1:2" x14ac:dyDescent="0.3">
      <c r="A1160" s="4">
        <v>45506</v>
      </c>
      <c r="B1160" s="5">
        <v>2469.85</v>
      </c>
    </row>
    <row r="1161" spans="1:2" x14ac:dyDescent="0.3">
      <c r="A1161" s="4">
        <v>45509</v>
      </c>
      <c r="B1161" s="5">
        <v>2393.85</v>
      </c>
    </row>
    <row r="1162" spans="1:2" x14ac:dyDescent="0.3">
      <c r="A1162" s="4">
        <v>45510</v>
      </c>
      <c r="B1162" s="5">
        <v>2396.5500000000002</v>
      </c>
    </row>
    <row r="1163" spans="1:2" x14ac:dyDescent="0.3">
      <c r="A1163" s="4">
        <v>45511</v>
      </c>
      <c r="B1163" s="5">
        <v>2400.4499999999998</v>
      </c>
    </row>
    <row r="1164" spans="1:2" x14ac:dyDescent="0.3">
      <c r="A1164" s="4">
        <v>45512</v>
      </c>
      <c r="B1164" s="5">
        <v>2411.4499999999998</v>
      </c>
    </row>
    <row r="1165" spans="1:2" x14ac:dyDescent="0.3">
      <c r="A1165" s="4">
        <v>45513</v>
      </c>
      <c r="B1165" s="5">
        <v>2427.35</v>
      </c>
    </row>
    <row r="1166" spans="1:2" x14ac:dyDescent="0.3">
      <c r="A1166" s="4">
        <v>45516</v>
      </c>
      <c r="B1166" s="5">
        <v>2450.85</v>
      </c>
    </row>
    <row r="1167" spans="1:2" x14ac:dyDescent="0.3">
      <c r="A1167" s="4">
        <v>45517</v>
      </c>
      <c r="B1167" s="5">
        <v>2471.5500000000002</v>
      </c>
    </row>
    <row r="1168" spans="1:2" x14ac:dyDescent="0.3">
      <c r="A1168" s="4">
        <v>45518</v>
      </c>
      <c r="B1168" s="5">
        <v>2456.6999999999998</v>
      </c>
    </row>
    <row r="1169" spans="1:2" x14ac:dyDescent="0.3">
      <c r="A1169" s="4">
        <v>45519</v>
      </c>
      <c r="B1169" s="5">
        <v>2446.65</v>
      </c>
    </row>
    <row r="1170" spans="1:2" x14ac:dyDescent="0.3">
      <c r="A1170" s="4">
        <v>45520</v>
      </c>
      <c r="B1170" s="5">
        <v>2485.8000000000002</v>
      </c>
    </row>
    <row r="1171" spans="1:2" x14ac:dyDescent="0.3">
      <c r="A1171" s="4">
        <v>45523</v>
      </c>
      <c r="B1171" s="5">
        <v>2494.5500000000002</v>
      </c>
    </row>
    <row r="1172" spans="1:2" x14ac:dyDescent="0.3">
      <c r="A1172" s="4">
        <v>45524</v>
      </c>
      <c r="B1172" s="5">
        <v>2529.75</v>
      </c>
    </row>
    <row r="1173" spans="1:2" x14ac:dyDescent="0.3">
      <c r="A1173" s="4">
        <v>45525</v>
      </c>
      <c r="B1173" s="5">
        <v>2497.9499999999998</v>
      </c>
    </row>
    <row r="1174" spans="1:2" x14ac:dyDescent="0.3">
      <c r="A1174" s="4">
        <v>45526</v>
      </c>
      <c r="B1174" s="5">
        <v>2483</v>
      </c>
    </row>
    <row r="1175" spans="1:2" x14ac:dyDescent="0.3">
      <c r="A1175" s="4">
        <v>45527</v>
      </c>
      <c r="B1175" s="5">
        <v>2511.1999999999998</v>
      </c>
    </row>
    <row r="1176" spans="1:2" x14ac:dyDescent="0.3">
      <c r="A1176" s="4">
        <v>45531</v>
      </c>
      <c r="B1176" s="5">
        <v>2508.5500000000002</v>
      </c>
    </row>
    <row r="1177" spans="1:2" x14ac:dyDescent="0.3">
      <c r="A1177" s="4">
        <v>45532</v>
      </c>
      <c r="B1177" s="5">
        <v>2505.25</v>
      </c>
    </row>
    <row r="1178" spans="1:2" x14ac:dyDescent="0.3">
      <c r="A1178" s="4">
        <v>45533</v>
      </c>
      <c r="B1178" s="5">
        <v>2518.1</v>
      </c>
    </row>
    <row r="1179" spans="1:2" x14ac:dyDescent="0.3">
      <c r="A1179" s="4">
        <v>45534</v>
      </c>
      <c r="B1179" s="5">
        <v>2513.35</v>
      </c>
    </row>
    <row r="1180" spans="1:2" x14ac:dyDescent="0.3">
      <c r="A1180" s="4">
        <v>45537</v>
      </c>
      <c r="B1180" s="5">
        <v>2498.6</v>
      </c>
    </row>
    <row r="1181" spans="1:2" x14ac:dyDescent="0.3">
      <c r="A1181" s="4">
        <v>45538</v>
      </c>
      <c r="B1181" s="5">
        <v>2479.8000000000002</v>
      </c>
    </row>
    <row r="1182" spans="1:2" x14ac:dyDescent="0.3">
      <c r="A1182" s="4">
        <v>45539</v>
      </c>
      <c r="B1182" s="5">
        <v>2487.9499999999998</v>
      </c>
    </row>
    <row r="1183" spans="1:2" x14ac:dyDescent="0.3">
      <c r="A1183" s="4">
        <v>45540</v>
      </c>
      <c r="B1183" s="5">
        <v>2509.5500000000002</v>
      </c>
    </row>
    <row r="1184" spans="1:2" x14ac:dyDescent="0.3">
      <c r="A1184" s="4">
        <v>45541</v>
      </c>
      <c r="B1184" s="5">
        <v>2506.15</v>
      </c>
    </row>
    <row r="1185" spans="1:2" x14ac:dyDescent="0.3">
      <c r="A1185" s="4">
        <v>45544</v>
      </c>
      <c r="B1185" s="5">
        <v>2499.6999999999998</v>
      </c>
    </row>
    <row r="1186" spans="1:2" x14ac:dyDescent="0.3">
      <c r="A1186" s="4">
        <v>45545</v>
      </c>
      <c r="B1186" s="5">
        <v>2506.3000000000002</v>
      </c>
    </row>
    <row r="1187" spans="1:2" x14ac:dyDescent="0.3">
      <c r="A1187" s="4">
        <v>45546</v>
      </c>
      <c r="B1187" s="5">
        <v>2507.75</v>
      </c>
    </row>
    <row r="1188" spans="1:2" x14ac:dyDescent="0.3">
      <c r="A1188" s="4">
        <v>45547</v>
      </c>
      <c r="B1188" s="5">
        <v>2545.9499999999998</v>
      </c>
    </row>
    <row r="1189" spans="1:2" x14ac:dyDescent="0.3">
      <c r="A1189" s="4">
        <v>45548</v>
      </c>
      <c r="B1189" s="5">
        <v>2575.1</v>
      </c>
    </row>
    <row r="1190" spans="1:2" x14ac:dyDescent="0.3">
      <c r="A1190" s="4">
        <v>45551</v>
      </c>
      <c r="B1190" s="5">
        <v>2584</v>
      </c>
    </row>
    <row r="1191" spans="1:2" x14ac:dyDescent="0.3">
      <c r="A1191" s="4">
        <v>45552</v>
      </c>
      <c r="B1191" s="5">
        <v>2574.5500000000002</v>
      </c>
    </row>
    <row r="1192" spans="1:2" x14ac:dyDescent="0.3">
      <c r="A1192" s="4">
        <v>45553</v>
      </c>
      <c r="B1192" s="5">
        <v>2570.1</v>
      </c>
    </row>
    <row r="1193" spans="1:2" x14ac:dyDescent="0.3">
      <c r="A1193" s="4">
        <v>45554</v>
      </c>
      <c r="B1193" s="5">
        <v>2575.35</v>
      </c>
    </row>
    <row r="1194" spans="1:2" x14ac:dyDescent="0.3">
      <c r="A1194" s="4">
        <v>45555</v>
      </c>
      <c r="B1194" s="5">
        <v>2605.85</v>
      </c>
    </row>
    <row r="1195" spans="1:2" x14ac:dyDescent="0.3">
      <c r="A1195" s="4">
        <v>45558</v>
      </c>
      <c r="B1195" s="5">
        <v>2629.95</v>
      </c>
    </row>
    <row r="1196" spans="1:2" x14ac:dyDescent="0.3">
      <c r="A1196" s="4">
        <v>45559</v>
      </c>
      <c r="B1196" s="5">
        <v>2635.95</v>
      </c>
    </row>
    <row r="1197" spans="1:2" x14ac:dyDescent="0.3">
      <c r="A1197" s="4">
        <v>45560</v>
      </c>
      <c r="B1197" s="5">
        <v>2661.45</v>
      </c>
    </row>
    <row r="1198" spans="1:2" x14ac:dyDescent="0.3">
      <c r="A1198" s="4">
        <v>45561</v>
      </c>
      <c r="B1198" s="5">
        <v>2663.75</v>
      </c>
    </row>
    <row r="1199" spans="1:2" x14ac:dyDescent="0.3">
      <c r="A1199" s="4">
        <v>45562</v>
      </c>
      <c r="B1199" s="5">
        <v>2661.85</v>
      </c>
    </row>
    <row r="1200" spans="1:2" x14ac:dyDescent="0.3">
      <c r="A1200" s="4">
        <v>45565</v>
      </c>
      <c r="B1200" s="5">
        <v>2629.95</v>
      </c>
    </row>
    <row r="1201" spans="1:2" x14ac:dyDescent="0.3">
      <c r="A1201" s="4">
        <v>45566</v>
      </c>
      <c r="B1201" s="5">
        <v>2667.55</v>
      </c>
    </row>
    <row r="1202" spans="1:2" x14ac:dyDescent="0.3">
      <c r="A1202" s="4">
        <v>45567</v>
      </c>
      <c r="B1202" s="5">
        <v>2660.95</v>
      </c>
    </row>
    <row r="1203" spans="1:2" x14ac:dyDescent="0.3">
      <c r="A1203" s="4">
        <v>45568</v>
      </c>
      <c r="B1203" s="5">
        <v>2647.65</v>
      </c>
    </row>
    <row r="1204" spans="1:2" x14ac:dyDescent="0.3">
      <c r="A1204" s="4">
        <v>45569</v>
      </c>
      <c r="B1204" s="5">
        <v>2650.05</v>
      </c>
    </row>
    <row r="1205" spans="1:2" x14ac:dyDescent="0.3">
      <c r="A1205" s="4">
        <v>45572</v>
      </c>
      <c r="B1205" s="5">
        <v>2640.95</v>
      </c>
    </row>
    <row r="1206" spans="1:2" x14ac:dyDescent="0.3">
      <c r="A1206" s="4">
        <v>45573</v>
      </c>
      <c r="B1206" s="5">
        <v>2639.9</v>
      </c>
    </row>
    <row r="1207" spans="1:2" x14ac:dyDescent="0.3">
      <c r="A1207" s="4">
        <v>45574</v>
      </c>
      <c r="B1207" s="5">
        <v>2610.6999999999998</v>
      </c>
    </row>
    <row r="1208" spans="1:2" x14ac:dyDescent="0.3">
      <c r="A1208" s="4">
        <v>45575</v>
      </c>
      <c r="B1208" s="5">
        <v>2628.95</v>
      </c>
    </row>
    <row r="1209" spans="1:2" x14ac:dyDescent="0.3">
      <c r="A1209" s="4">
        <v>45576</v>
      </c>
      <c r="B1209" s="5">
        <v>2648.8</v>
      </c>
    </row>
    <row r="1210" spans="1:2" x14ac:dyDescent="0.3">
      <c r="A1210" s="4">
        <v>45579</v>
      </c>
      <c r="B1210" s="5">
        <v>2654.9</v>
      </c>
    </row>
    <row r="1211" spans="1:2" x14ac:dyDescent="0.3">
      <c r="A1211" s="4">
        <v>45580</v>
      </c>
      <c r="B1211" s="5">
        <v>2649.05</v>
      </c>
    </row>
    <row r="1212" spans="1:2" x14ac:dyDescent="0.3">
      <c r="A1212" s="4">
        <v>45581</v>
      </c>
      <c r="B1212" s="5">
        <v>2675.25</v>
      </c>
    </row>
    <row r="1213" spans="1:2" x14ac:dyDescent="0.3">
      <c r="A1213" s="4">
        <v>45582</v>
      </c>
      <c r="B1213" s="5">
        <v>2688.85</v>
      </c>
    </row>
    <row r="1214" spans="1:2" x14ac:dyDescent="0.3">
      <c r="A1214" s="4">
        <v>45583</v>
      </c>
      <c r="B1214" s="5">
        <v>2712.5</v>
      </c>
    </row>
    <row r="1215" spans="1:2" x14ac:dyDescent="0.3">
      <c r="A1215" s="4">
        <v>45586</v>
      </c>
      <c r="B1215" s="5">
        <v>2736.45</v>
      </c>
    </row>
    <row r="1216" spans="1:2" x14ac:dyDescent="0.3">
      <c r="A1216" s="4">
        <v>45587</v>
      </c>
      <c r="B1216" s="5">
        <v>2736.5</v>
      </c>
    </row>
    <row r="1217" spans="1:2" x14ac:dyDescent="0.3">
      <c r="A1217" s="4">
        <v>45588</v>
      </c>
      <c r="B1217" s="5">
        <v>2736.45</v>
      </c>
    </row>
    <row r="1218" spans="1:2" x14ac:dyDescent="0.3">
      <c r="A1218" s="4">
        <v>45589</v>
      </c>
      <c r="B1218" s="5">
        <v>2732</v>
      </c>
    </row>
    <row r="1219" spans="1:2" x14ac:dyDescent="0.3">
      <c r="A1219" s="4">
        <v>45590</v>
      </c>
      <c r="B1219" s="5">
        <v>2731.45</v>
      </c>
    </row>
    <row r="1220" spans="1:2" x14ac:dyDescent="0.3">
      <c r="A1220" s="4">
        <v>45593</v>
      </c>
      <c r="B1220" s="5">
        <v>2741.8</v>
      </c>
    </row>
    <row r="1221" spans="1:2" x14ac:dyDescent="0.3">
      <c r="A1221" s="4">
        <v>45594</v>
      </c>
      <c r="B1221" s="5">
        <v>2769.15</v>
      </c>
    </row>
    <row r="1222" spans="1:2" x14ac:dyDescent="0.3">
      <c r="A1222" s="4">
        <v>45595</v>
      </c>
      <c r="B1222" s="5">
        <v>2777.8</v>
      </c>
    </row>
    <row r="1223" spans="1:2" x14ac:dyDescent="0.3">
      <c r="A1223" s="4">
        <v>45596</v>
      </c>
      <c r="B1223" s="5">
        <v>2734.15</v>
      </c>
    </row>
    <row r="1224" spans="1:2" x14ac:dyDescent="0.3">
      <c r="A1224" s="4">
        <v>45597</v>
      </c>
      <c r="B1224" s="5">
        <v>2744.3</v>
      </c>
    </row>
    <row r="1225" spans="1:2" x14ac:dyDescent="0.3">
      <c r="A1225" s="4">
        <v>45600</v>
      </c>
      <c r="B1225" s="5">
        <v>2742.6</v>
      </c>
    </row>
    <row r="1226" spans="1:2" x14ac:dyDescent="0.3">
      <c r="A1226" s="4">
        <v>45601</v>
      </c>
      <c r="B1226" s="5">
        <v>2742.55</v>
      </c>
    </row>
    <row r="1227" spans="1:2" x14ac:dyDescent="0.3">
      <c r="A1227" s="4">
        <v>45602</v>
      </c>
      <c r="B1227" s="5">
        <v>2660.2</v>
      </c>
    </row>
    <row r="1228" spans="1:2" x14ac:dyDescent="0.3">
      <c r="A1228" s="4">
        <v>45603</v>
      </c>
      <c r="B1228" s="5">
        <v>2692</v>
      </c>
    </row>
    <row r="1229" spans="1:2" x14ac:dyDescent="0.3">
      <c r="A1229" s="4">
        <v>45604</v>
      </c>
      <c r="B1229" s="5">
        <v>2691.15</v>
      </c>
    </row>
    <row r="1230" spans="1:2" x14ac:dyDescent="0.3">
      <c r="A1230" s="4">
        <v>45607</v>
      </c>
      <c r="B1230" s="5">
        <v>2624.75</v>
      </c>
    </row>
    <row r="1231" spans="1:2" x14ac:dyDescent="0.3">
      <c r="A1231" s="4">
        <v>45608</v>
      </c>
      <c r="B1231" s="5">
        <v>2606.85</v>
      </c>
    </row>
    <row r="1232" spans="1:2" x14ac:dyDescent="0.3">
      <c r="A1232" s="4">
        <v>45609</v>
      </c>
      <c r="B1232" s="5">
        <v>2598.75</v>
      </c>
    </row>
    <row r="1233" spans="1:2" x14ac:dyDescent="0.3">
      <c r="A1233" s="4">
        <v>45610</v>
      </c>
      <c r="B1233" s="5">
        <v>2567.3000000000002</v>
      </c>
    </row>
    <row r="1234" spans="1:2" x14ac:dyDescent="0.3">
      <c r="A1234" s="4">
        <v>45611</v>
      </c>
      <c r="B1234" s="5">
        <v>2571.8000000000002</v>
      </c>
    </row>
    <row r="1235" spans="1:2" x14ac:dyDescent="0.3">
      <c r="A1235" s="4">
        <v>45614</v>
      </c>
      <c r="B1235" s="5">
        <v>2606.85</v>
      </c>
    </row>
    <row r="1236" spans="1:2" x14ac:dyDescent="0.3">
      <c r="A1236" s="4">
        <v>45615</v>
      </c>
      <c r="B1236" s="5">
        <v>2623.2</v>
      </c>
    </row>
    <row r="1237" spans="1:2" x14ac:dyDescent="0.3">
      <c r="A1237" s="4">
        <v>45616</v>
      </c>
      <c r="B1237" s="5">
        <v>2640.55</v>
      </c>
    </row>
    <row r="1238" spans="1:2" x14ac:dyDescent="0.3">
      <c r="A1238" s="4">
        <v>45617</v>
      </c>
      <c r="B1238" s="5">
        <v>2665.3</v>
      </c>
    </row>
    <row r="1239" spans="1:2" x14ac:dyDescent="0.3">
      <c r="A1239" s="4">
        <v>45618</v>
      </c>
      <c r="B1239" s="5">
        <v>2694.95</v>
      </c>
    </row>
    <row r="1240" spans="1:2" x14ac:dyDescent="0.3">
      <c r="A1240" s="4">
        <v>45621</v>
      </c>
      <c r="B1240" s="5">
        <v>2635.4</v>
      </c>
    </row>
    <row r="1241" spans="1:2" x14ac:dyDescent="0.3">
      <c r="A1241" s="4">
        <v>45622</v>
      </c>
      <c r="B1241" s="5">
        <v>2622.1</v>
      </c>
    </row>
    <row r="1242" spans="1:2" x14ac:dyDescent="0.3">
      <c r="A1242" s="4">
        <v>45623</v>
      </c>
      <c r="B1242" s="5">
        <v>2640.85</v>
      </c>
    </row>
    <row r="1243" spans="1:2" x14ac:dyDescent="0.3">
      <c r="A1243" s="4">
        <v>45624</v>
      </c>
      <c r="B1243" s="5">
        <v>2641.85</v>
      </c>
    </row>
    <row r="1244" spans="1:2" x14ac:dyDescent="0.3">
      <c r="A1244" s="4">
        <v>45625</v>
      </c>
      <c r="B1244" s="5">
        <v>2651.05</v>
      </c>
    </row>
    <row r="1245" spans="1:2" x14ac:dyDescent="0.3">
      <c r="A1245" s="4">
        <v>45628</v>
      </c>
      <c r="B1245" s="5">
        <v>2642.15</v>
      </c>
    </row>
    <row r="1246" spans="1:2" x14ac:dyDescent="0.3">
      <c r="A1246" s="4">
        <v>45629</v>
      </c>
      <c r="B1246" s="5">
        <v>2640.65</v>
      </c>
    </row>
    <row r="1247" spans="1:2" x14ac:dyDescent="0.3">
      <c r="A1247" s="4">
        <v>45630</v>
      </c>
      <c r="B1247" s="5">
        <v>2648.65</v>
      </c>
    </row>
    <row r="1248" spans="1:2" x14ac:dyDescent="0.3">
      <c r="A1248" s="4">
        <v>45631</v>
      </c>
      <c r="B1248" s="5">
        <v>2640.15</v>
      </c>
    </row>
    <row r="1249" spans="1:2" x14ac:dyDescent="0.3">
      <c r="A1249" s="4">
        <v>45632</v>
      </c>
      <c r="B1249" s="5">
        <v>2637.3</v>
      </c>
    </row>
    <row r="1250" spans="1:2" x14ac:dyDescent="0.3">
      <c r="A1250" s="4">
        <v>45635</v>
      </c>
      <c r="B1250" s="5">
        <v>2671.9</v>
      </c>
    </row>
    <row r="1251" spans="1:2" x14ac:dyDescent="0.3">
      <c r="A1251" s="4">
        <v>45636</v>
      </c>
      <c r="B1251" s="5">
        <v>2689.6</v>
      </c>
    </row>
    <row r="1252" spans="1:2" x14ac:dyDescent="0.3">
      <c r="A1252" s="4">
        <v>45637</v>
      </c>
      <c r="B1252" s="5">
        <v>2705.45</v>
      </c>
    </row>
    <row r="1253" spans="1:2" x14ac:dyDescent="0.3">
      <c r="A1253" s="4">
        <v>45638</v>
      </c>
      <c r="B1253" s="5">
        <v>2684.35</v>
      </c>
    </row>
    <row r="1254" spans="1:2" x14ac:dyDescent="0.3">
      <c r="A1254" s="4">
        <v>45639</v>
      </c>
      <c r="B1254" s="5">
        <v>2659.05</v>
      </c>
    </row>
    <row r="1255" spans="1:2" x14ac:dyDescent="0.3">
      <c r="A1255" s="4">
        <v>45642</v>
      </c>
      <c r="B1255" s="5">
        <v>2654.2</v>
      </c>
    </row>
    <row r="1256" spans="1:2" x14ac:dyDescent="0.3">
      <c r="A1256" s="4">
        <v>45643</v>
      </c>
      <c r="B1256" s="5">
        <v>2636.35</v>
      </c>
    </row>
    <row r="1257" spans="1:2" x14ac:dyDescent="0.3">
      <c r="A1257" s="4">
        <v>45644</v>
      </c>
      <c r="B1257" s="5">
        <v>2635.65</v>
      </c>
    </row>
    <row r="1258" spans="1:2" x14ac:dyDescent="0.3">
      <c r="A1258" s="4">
        <v>45645</v>
      </c>
      <c r="B1258" s="5">
        <v>2592.4499999999998</v>
      </c>
    </row>
    <row r="1259" spans="1:2" x14ac:dyDescent="0.3">
      <c r="A1259" s="4">
        <v>45646</v>
      </c>
      <c r="B1259" s="5">
        <v>2616.4499999999998</v>
      </c>
    </row>
    <row r="1260" spans="1:2" x14ac:dyDescent="0.3">
      <c r="A1260" s="4">
        <v>45649</v>
      </c>
      <c r="B1260" s="5">
        <v>2613.8000000000002</v>
      </c>
    </row>
    <row r="1261" spans="1:2" x14ac:dyDescent="0.3">
      <c r="A1261" s="4">
        <v>45650</v>
      </c>
      <c r="B1261" s="5">
        <v>2613.75</v>
      </c>
    </row>
    <row r="1262" spans="1:2" x14ac:dyDescent="0.3">
      <c r="A1262" s="4">
        <v>45653</v>
      </c>
      <c r="B1262" s="5">
        <v>2615.9499999999998</v>
      </c>
    </row>
    <row r="1263" spans="1:2" x14ac:dyDescent="0.3">
      <c r="A1263" s="4">
        <v>45656</v>
      </c>
      <c r="B1263" s="5">
        <v>2609.1</v>
      </c>
    </row>
    <row r="1264" spans="1:2" x14ac:dyDescent="0.3">
      <c r="A1264" s="4">
        <v>45657</v>
      </c>
      <c r="B1264" s="5">
        <v>2610.85</v>
      </c>
    </row>
    <row r="1265" spans="1:2" x14ac:dyDescent="0.3">
      <c r="A1265" s="4">
        <v>45659</v>
      </c>
      <c r="B1265" s="5">
        <v>2646.3</v>
      </c>
    </row>
    <row r="1266" spans="1:2" x14ac:dyDescent="0.3">
      <c r="A1266" s="4">
        <v>45660</v>
      </c>
      <c r="B1266" s="5">
        <v>2646.8</v>
      </c>
    </row>
    <row r="1267" spans="1:2" x14ac:dyDescent="0.3">
      <c r="A1267" s="4">
        <v>45663</v>
      </c>
      <c r="B1267" s="5">
        <v>2633.35</v>
      </c>
    </row>
    <row r="1268" spans="1:2" x14ac:dyDescent="0.3">
      <c r="A1268" s="4">
        <v>45664</v>
      </c>
      <c r="B1268" s="5">
        <v>2650.85</v>
      </c>
    </row>
    <row r="1269" spans="1:2" x14ac:dyDescent="0.3">
      <c r="A1269" s="4">
        <v>45665</v>
      </c>
      <c r="B1269" s="5">
        <v>2659.65</v>
      </c>
    </row>
    <row r="1270" spans="1:2" x14ac:dyDescent="0.3">
      <c r="A1270" s="4">
        <v>45666</v>
      </c>
      <c r="B1270" s="5">
        <v>2674.6</v>
      </c>
    </row>
    <row r="1271" spans="1:2" x14ac:dyDescent="0.3">
      <c r="A1271" s="4">
        <v>45667</v>
      </c>
      <c r="B1271" s="5">
        <v>2687.45</v>
      </c>
    </row>
    <row r="1272" spans="1:2" x14ac:dyDescent="0.3">
      <c r="A1272" s="4">
        <v>45670</v>
      </c>
      <c r="B1272" s="5">
        <v>2669.5</v>
      </c>
    </row>
    <row r="1273" spans="1:2" x14ac:dyDescent="0.3">
      <c r="A1273" s="4">
        <v>45671</v>
      </c>
      <c r="B1273" s="5">
        <v>2667</v>
      </c>
    </row>
    <row r="1274" spans="1:2" x14ac:dyDescent="0.3">
      <c r="A1274" s="4">
        <v>45672</v>
      </c>
      <c r="B1274" s="5">
        <v>2677.7</v>
      </c>
    </row>
    <row r="1275" spans="1:2" x14ac:dyDescent="0.3">
      <c r="A1275" s="4">
        <v>45673</v>
      </c>
      <c r="B1275" s="5">
        <v>2716.5</v>
      </c>
    </row>
    <row r="1276" spans="1:2" x14ac:dyDescent="0.3">
      <c r="A1276" s="4">
        <v>45674</v>
      </c>
      <c r="B1276" s="5">
        <v>2715.2</v>
      </c>
    </row>
    <row r="1277" spans="1:2" x14ac:dyDescent="0.3">
      <c r="A1277" s="4">
        <v>45677</v>
      </c>
      <c r="B1277" s="5">
        <v>2707.7</v>
      </c>
    </row>
    <row r="1278" spans="1:2" x14ac:dyDescent="0.3">
      <c r="A1278" s="4">
        <v>45678</v>
      </c>
      <c r="B1278" s="5">
        <v>2737.8</v>
      </c>
    </row>
    <row r="1279" spans="1:2" x14ac:dyDescent="0.3">
      <c r="A1279" s="4">
        <v>45679</v>
      </c>
      <c r="B1279" s="5">
        <v>2751.8</v>
      </c>
    </row>
    <row r="1280" spans="1:2" x14ac:dyDescent="0.3">
      <c r="A1280" s="4">
        <v>45680</v>
      </c>
      <c r="B1280" s="5">
        <v>2744.25</v>
      </c>
    </row>
    <row r="1281" spans="1:2" x14ac:dyDescent="0.3">
      <c r="A1281" s="4">
        <v>45681</v>
      </c>
      <c r="B1281" s="5">
        <v>2776.8</v>
      </c>
    </row>
    <row r="1282" spans="1:2" x14ac:dyDescent="0.3">
      <c r="A1282" s="4">
        <v>45684</v>
      </c>
      <c r="B1282" s="5">
        <v>2742.4</v>
      </c>
    </row>
    <row r="1283" spans="1:2" x14ac:dyDescent="0.3">
      <c r="A1283" s="4">
        <v>45685</v>
      </c>
      <c r="B1283" s="5">
        <v>2751.9</v>
      </c>
    </row>
    <row r="1284" spans="1:2" x14ac:dyDescent="0.3">
      <c r="A1284" s="4">
        <v>45686</v>
      </c>
      <c r="B1284" s="5">
        <v>2756.3</v>
      </c>
    </row>
    <row r="1285" spans="1:2" x14ac:dyDescent="0.3">
      <c r="A1285" s="4">
        <v>45687</v>
      </c>
      <c r="B1285" s="5">
        <v>2787.25</v>
      </c>
    </row>
    <row r="1286" spans="1:2" x14ac:dyDescent="0.3">
      <c r="A1286" s="4">
        <v>45688</v>
      </c>
      <c r="B1286" s="5">
        <v>2812.05</v>
      </c>
    </row>
    <row r="1287" spans="1:2" x14ac:dyDescent="0.3">
      <c r="A1287" s="4">
        <v>45691</v>
      </c>
      <c r="B1287" s="5">
        <v>2826.1</v>
      </c>
    </row>
    <row r="1288" spans="1:2" x14ac:dyDescent="0.3">
      <c r="A1288" s="4">
        <v>45692</v>
      </c>
      <c r="B1288" s="5">
        <v>2843.55</v>
      </c>
    </row>
    <row r="1289" spans="1:2" x14ac:dyDescent="0.3">
      <c r="A1289" s="4">
        <v>45693</v>
      </c>
      <c r="B1289" s="5">
        <v>2871.15</v>
      </c>
    </row>
    <row r="1290" spans="1:2" x14ac:dyDescent="0.3">
      <c r="A1290" s="4">
        <v>45694</v>
      </c>
      <c r="B1290" s="5">
        <v>2838.95</v>
      </c>
    </row>
    <row r="1291" spans="1:2" x14ac:dyDescent="0.3">
      <c r="A1291" s="4">
        <v>45695</v>
      </c>
      <c r="B1291" s="5">
        <v>2874.65</v>
      </c>
    </row>
    <row r="1292" spans="1:2" x14ac:dyDescent="0.3">
      <c r="A1292" s="4">
        <v>45698</v>
      </c>
      <c r="B1292" s="5">
        <v>2904.45</v>
      </c>
    </row>
    <row r="1293" spans="1:2" x14ac:dyDescent="0.3">
      <c r="A1293" s="4">
        <v>45699</v>
      </c>
      <c r="B1293" s="5">
        <v>2895.4</v>
      </c>
    </row>
    <row r="1294" spans="1:2" x14ac:dyDescent="0.3">
      <c r="A1294" s="4">
        <v>45700</v>
      </c>
      <c r="B1294" s="5">
        <v>2891.5</v>
      </c>
    </row>
    <row r="1295" spans="1:2" x14ac:dyDescent="0.3">
      <c r="A1295" s="4">
        <v>45701</v>
      </c>
      <c r="B1295" s="5">
        <v>2915.3</v>
      </c>
    </row>
    <row r="1296" spans="1:2" x14ac:dyDescent="0.3">
      <c r="A1296" s="4">
        <v>45702</v>
      </c>
      <c r="B1296" s="5">
        <v>2921.25</v>
      </c>
    </row>
    <row r="1297" spans="1:2" x14ac:dyDescent="0.3">
      <c r="A1297" s="4">
        <v>45705</v>
      </c>
      <c r="B1297" s="5">
        <v>2900.55</v>
      </c>
    </row>
    <row r="1298" spans="1:2" x14ac:dyDescent="0.3">
      <c r="A1298" s="4">
        <v>45706</v>
      </c>
      <c r="B1298" s="5">
        <v>2927.1</v>
      </c>
    </row>
    <row r="1299" spans="1:2" x14ac:dyDescent="0.3">
      <c r="A1299" s="4">
        <v>45707</v>
      </c>
      <c r="B1299" s="5">
        <v>2936.85</v>
      </c>
    </row>
    <row r="1300" spans="1:2" x14ac:dyDescent="0.3">
      <c r="A1300" s="4">
        <v>45708</v>
      </c>
      <c r="B1300" s="5">
        <v>2932.05</v>
      </c>
    </row>
    <row r="1301" spans="1:2" x14ac:dyDescent="0.3">
      <c r="A1301" s="4">
        <v>45709</v>
      </c>
      <c r="B1301" s="5">
        <v>2934.15</v>
      </c>
    </row>
    <row r="1302" spans="1:2" x14ac:dyDescent="0.3">
      <c r="A1302" s="4">
        <v>45712</v>
      </c>
      <c r="B1302" s="5">
        <v>2931.9</v>
      </c>
    </row>
    <row r="1303" spans="1:2" x14ac:dyDescent="0.3">
      <c r="A1303" s="4">
        <v>45713</v>
      </c>
      <c r="B1303" s="5">
        <v>2933.25</v>
      </c>
    </row>
    <row r="1304" spans="1:2" x14ac:dyDescent="0.3">
      <c r="A1304" s="4">
        <v>45714</v>
      </c>
      <c r="B1304" s="5">
        <v>2901</v>
      </c>
    </row>
    <row r="1305" spans="1:2" x14ac:dyDescent="0.3">
      <c r="A1305" s="4">
        <v>45715</v>
      </c>
      <c r="B1305" s="5">
        <v>2880.8</v>
      </c>
    </row>
    <row r="1306" spans="1:2" x14ac:dyDescent="0.3">
      <c r="A1306" s="4">
        <v>45716</v>
      </c>
      <c r="B1306" s="5">
        <v>2834.55</v>
      </c>
    </row>
    <row r="1307" spans="1:2" x14ac:dyDescent="0.3">
      <c r="A1307" s="4">
        <v>45719</v>
      </c>
      <c r="B1307" s="5">
        <v>2880.7</v>
      </c>
    </row>
    <row r="1308" spans="1:2" x14ac:dyDescent="0.3">
      <c r="A1308" s="4">
        <v>45720</v>
      </c>
      <c r="B1308" s="5">
        <v>2905.9</v>
      </c>
    </row>
    <row r="1309" spans="1:2" x14ac:dyDescent="0.3">
      <c r="A1309" s="4">
        <v>45721</v>
      </c>
      <c r="B1309" s="5">
        <v>2913.25</v>
      </c>
    </row>
    <row r="1310" spans="1:2" x14ac:dyDescent="0.3">
      <c r="A1310" s="4">
        <v>45722</v>
      </c>
      <c r="B1310" s="5">
        <v>2922.2</v>
      </c>
    </row>
    <row r="1311" spans="1:2" x14ac:dyDescent="0.3">
      <c r="A1311" s="4">
        <v>45723</v>
      </c>
      <c r="B1311" s="5">
        <v>2931.15</v>
      </c>
    </row>
    <row r="1312" spans="1:2" x14ac:dyDescent="0.3">
      <c r="A1312" s="4">
        <v>45726</v>
      </c>
      <c r="B1312" s="5">
        <v>2910.2</v>
      </c>
    </row>
    <row r="1313" spans="1:2" x14ac:dyDescent="0.3">
      <c r="A1313" s="4">
        <v>45727</v>
      </c>
      <c r="B1313" s="5">
        <v>2916.9</v>
      </c>
    </row>
    <row r="1314" spans="1:2" x14ac:dyDescent="0.3">
      <c r="A1314" s="4">
        <v>45728</v>
      </c>
      <c r="B1314" s="5">
        <v>2924.8</v>
      </c>
    </row>
    <row r="1315" spans="1:2" x14ac:dyDescent="0.3">
      <c r="A1315" s="4">
        <v>45729</v>
      </c>
      <c r="B1315" s="5">
        <v>2974.05</v>
      </c>
    </row>
    <row r="1316" spans="1:2" x14ac:dyDescent="0.3">
      <c r="A1316" s="4">
        <v>45730</v>
      </c>
      <c r="B1316" s="5">
        <v>2978.05</v>
      </c>
    </row>
    <row r="1317" spans="1:2" x14ac:dyDescent="0.3">
      <c r="A1317" s="4">
        <v>45733</v>
      </c>
      <c r="B1317" s="5">
        <v>2996.5</v>
      </c>
    </row>
    <row r="1318" spans="1:2" x14ac:dyDescent="0.3">
      <c r="A1318" s="4">
        <v>45734</v>
      </c>
      <c r="B1318" s="5">
        <v>3025.8</v>
      </c>
    </row>
    <row r="1319" spans="1:2" x14ac:dyDescent="0.3">
      <c r="A1319" s="4">
        <v>45735</v>
      </c>
      <c r="B1319" s="5">
        <v>3027.55</v>
      </c>
    </row>
    <row r="1320" spans="1:2" x14ac:dyDescent="0.3">
      <c r="A1320" s="4">
        <v>45736</v>
      </c>
      <c r="B1320" s="5">
        <v>3038.15</v>
      </c>
    </row>
    <row r="1321" spans="1:2" x14ac:dyDescent="0.3">
      <c r="A1321" s="4">
        <v>45737</v>
      </c>
      <c r="B1321" s="5">
        <v>3013.7</v>
      </c>
    </row>
    <row r="1322" spans="1:2" x14ac:dyDescent="0.3">
      <c r="A1322" s="4">
        <v>45740</v>
      </c>
      <c r="B1322" s="5">
        <v>3007.75</v>
      </c>
    </row>
    <row r="1323" spans="1:2" x14ac:dyDescent="0.3">
      <c r="A1323" s="4">
        <v>45741</v>
      </c>
      <c r="B1323" s="5">
        <v>3025.2</v>
      </c>
    </row>
    <row r="1324" spans="1:2" x14ac:dyDescent="0.3">
      <c r="A1324" s="4">
        <v>45742</v>
      </c>
      <c r="B1324" s="5">
        <v>3013.25</v>
      </c>
    </row>
    <row r="1325" spans="1:2" x14ac:dyDescent="0.3">
      <c r="A1325" s="4">
        <v>45743</v>
      </c>
      <c r="B1325" s="5">
        <v>3056.55</v>
      </c>
    </row>
    <row r="1326" spans="1:2" x14ac:dyDescent="0.3">
      <c r="A1326" s="4">
        <v>45744</v>
      </c>
      <c r="B1326" s="5">
        <v>3071.6</v>
      </c>
    </row>
    <row r="1327" spans="1:2" x14ac:dyDescent="0.3">
      <c r="A1327" s="4">
        <v>45747</v>
      </c>
      <c r="B1327" s="5">
        <v>3115.1</v>
      </c>
    </row>
    <row r="1328" spans="1:2" x14ac:dyDescent="0.3">
      <c r="A1328" s="4">
        <v>45748</v>
      </c>
      <c r="B1328" s="5">
        <v>3133.7</v>
      </c>
    </row>
    <row r="1329" spans="1:2" x14ac:dyDescent="0.3">
      <c r="A1329" s="4">
        <v>45749</v>
      </c>
      <c r="B1329" s="5">
        <v>3119.75</v>
      </c>
    </row>
    <row r="1330" spans="1:2" x14ac:dyDescent="0.3">
      <c r="A1330" s="4">
        <v>45750</v>
      </c>
      <c r="B1330" s="5">
        <v>3118.1</v>
      </c>
    </row>
    <row r="1331" spans="1:2" x14ac:dyDescent="0.3">
      <c r="A1331" s="4">
        <v>45751</v>
      </c>
      <c r="B1331" s="5">
        <v>3054.5</v>
      </c>
    </row>
    <row r="1332" spans="1:2" x14ac:dyDescent="0.3">
      <c r="A1332" s="4">
        <v>45754</v>
      </c>
      <c r="B1332" s="5">
        <v>3014.75</v>
      </c>
    </row>
    <row r="1333" spans="1:2" x14ac:dyDescent="0.3">
      <c r="A1333" s="4">
        <v>45755</v>
      </c>
      <c r="B1333" s="5">
        <v>3015.4</v>
      </c>
    </row>
    <row r="1334" spans="1:2" x14ac:dyDescent="0.3">
      <c r="A1334" s="4">
        <v>45756</v>
      </c>
      <c r="B1334" s="5">
        <v>3075.5</v>
      </c>
    </row>
    <row r="1335" spans="1:2" x14ac:dyDescent="0.3">
      <c r="A1335" s="4">
        <v>45757</v>
      </c>
      <c r="B1335" s="5">
        <v>3143.15</v>
      </c>
    </row>
    <row r="1336" spans="1:2" x14ac:dyDescent="0.3">
      <c r="A1336" s="4">
        <v>45758</v>
      </c>
      <c r="B1336" s="5">
        <v>3230.5</v>
      </c>
    </row>
    <row r="1337" spans="1:2" x14ac:dyDescent="0.3">
      <c r="A1337" s="4">
        <v>45761</v>
      </c>
      <c r="B1337" s="5">
        <v>3204.2</v>
      </c>
    </row>
    <row r="1338" spans="1:2" x14ac:dyDescent="0.3">
      <c r="A1338" s="4">
        <v>45762</v>
      </c>
      <c r="B1338" s="5">
        <v>3219.6</v>
      </c>
    </row>
    <row r="1339" spans="1:2" x14ac:dyDescent="0.3">
      <c r="A1339" s="4">
        <v>45763</v>
      </c>
      <c r="B1339" s="5">
        <v>3322.9</v>
      </c>
    </row>
    <row r="1340" spans="1:2" x14ac:dyDescent="0.3">
      <c r="A1340" s="4">
        <v>45764</v>
      </c>
      <c r="B1340" s="5">
        <v>3305.65</v>
      </c>
    </row>
    <row r="1341" spans="1:2" x14ac:dyDescent="0.3">
      <c r="A1341" s="4">
        <v>45769</v>
      </c>
      <c r="B1341" s="5">
        <v>3433.55</v>
      </c>
    </row>
    <row r="1342" spans="1:2" x14ac:dyDescent="0.3">
      <c r="A1342" s="4">
        <v>45770</v>
      </c>
      <c r="B1342" s="5">
        <v>3262.95</v>
      </c>
    </row>
    <row r="1343" spans="1:2" x14ac:dyDescent="0.3">
      <c r="A1343" s="4">
        <v>45771</v>
      </c>
      <c r="B1343" s="5">
        <v>3314.75</v>
      </c>
    </row>
    <row r="1344" spans="1:2" x14ac:dyDescent="0.3">
      <c r="A1344" s="4">
        <v>45772</v>
      </c>
      <c r="B1344" s="5">
        <v>3277.3</v>
      </c>
    </row>
    <row r="1345" spans="1:2" x14ac:dyDescent="0.3">
      <c r="A1345" s="4">
        <v>45775</v>
      </c>
      <c r="B1345" s="5">
        <v>3296.3</v>
      </c>
    </row>
    <row r="1346" spans="1:2" x14ac:dyDescent="0.3">
      <c r="A1346" s="4">
        <v>45776</v>
      </c>
      <c r="B1346" s="5">
        <v>3305.05</v>
      </c>
    </row>
    <row r="1347" spans="1:2" x14ac:dyDescent="0.3">
      <c r="A1347" s="4">
        <v>45777</v>
      </c>
      <c r="B1347" s="5">
        <v>3302.05</v>
      </c>
    </row>
    <row r="1348" spans="1:2" x14ac:dyDescent="0.3">
      <c r="A1348" s="4">
        <v>45778</v>
      </c>
      <c r="B1348" s="5">
        <v>3214.75</v>
      </c>
    </row>
    <row r="1349" spans="1:2" x14ac:dyDescent="0.3">
      <c r="A1349" s="4">
        <v>45779</v>
      </c>
      <c r="B1349" s="5">
        <v>3249.7</v>
      </c>
    </row>
    <row r="1350" spans="1:2" x14ac:dyDescent="0.3">
      <c r="A1350" s="4">
        <v>45783</v>
      </c>
      <c r="B1350" s="5">
        <v>3391.45</v>
      </c>
    </row>
    <row r="1351" spans="1:2" x14ac:dyDescent="0.3">
      <c r="A1351" s="4">
        <v>45784</v>
      </c>
      <c r="B1351" s="5">
        <v>3392.25</v>
      </c>
    </row>
    <row r="1352" spans="1:2" x14ac:dyDescent="0.3">
      <c r="A1352" s="4">
        <v>45785</v>
      </c>
      <c r="B1352" s="5">
        <v>3352.3</v>
      </c>
    </row>
    <row r="1353" spans="1:2" x14ac:dyDescent="0.3">
      <c r="A1353" s="4">
        <v>45786</v>
      </c>
      <c r="B1353" s="5">
        <v>3324.55</v>
      </c>
    </row>
    <row r="1354" spans="1:2" x14ac:dyDescent="0.3">
      <c r="A1354" s="4">
        <v>45789</v>
      </c>
      <c r="B1354" s="5">
        <v>3235.4</v>
      </c>
    </row>
    <row r="1355" spans="1:2" x14ac:dyDescent="0.3">
      <c r="A1355" s="4">
        <v>45790</v>
      </c>
      <c r="B1355" s="5">
        <v>3227.95</v>
      </c>
    </row>
    <row r="1356" spans="1:2" x14ac:dyDescent="0.3">
      <c r="A1356" s="4">
        <v>45791</v>
      </c>
      <c r="B1356" s="5">
        <v>3191.95</v>
      </c>
    </row>
    <row r="1357" spans="1:2" x14ac:dyDescent="0.3">
      <c r="A1357" s="4">
        <v>45792</v>
      </c>
      <c r="B1357" s="5">
        <v>3191.05</v>
      </c>
    </row>
    <row r="1358" spans="1:2" x14ac:dyDescent="0.3">
      <c r="A1358" s="4">
        <v>45793</v>
      </c>
      <c r="B1358" s="5">
        <v>3182.95</v>
      </c>
    </row>
    <row r="1359" spans="1:2" x14ac:dyDescent="0.3">
      <c r="A1359" s="4">
        <v>45796</v>
      </c>
      <c r="B1359" s="5">
        <v>3230.15</v>
      </c>
    </row>
    <row r="1360" spans="1:2" x14ac:dyDescent="0.3">
      <c r="A1360" s="4">
        <v>45797</v>
      </c>
      <c r="B1360" s="5">
        <v>3261.55</v>
      </c>
    </row>
    <row r="1361" spans="1:2" x14ac:dyDescent="0.3">
      <c r="A1361" s="4">
        <v>45798</v>
      </c>
      <c r="B1361" s="5">
        <v>3299.65</v>
      </c>
    </row>
    <row r="1362" spans="1:2" x14ac:dyDescent="0.3">
      <c r="A1362" s="4">
        <v>45799</v>
      </c>
      <c r="B1362" s="5">
        <v>3284</v>
      </c>
    </row>
    <row r="1363" spans="1:2" x14ac:dyDescent="0.3">
      <c r="A1363" s="4">
        <v>45800</v>
      </c>
      <c r="B1363" s="5">
        <v>3342.65</v>
      </c>
    </row>
    <row r="1364" spans="1:2" x14ac:dyDescent="0.3">
      <c r="A1364" s="4">
        <v>45804</v>
      </c>
      <c r="B1364" s="5">
        <v>3296.7</v>
      </c>
    </row>
    <row r="1365" spans="1:2" x14ac:dyDescent="0.3">
      <c r="A1365" s="4">
        <v>45805</v>
      </c>
      <c r="B1365" s="5">
        <v>3300.85</v>
      </c>
    </row>
    <row r="1366" spans="1:2" x14ac:dyDescent="0.3">
      <c r="A1366" s="4">
        <v>45806</v>
      </c>
      <c r="B1366" s="5">
        <v>3312.4</v>
      </c>
    </row>
    <row r="1367" spans="1:2" x14ac:dyDescent="0.3">
      <c r="A1367" s="4">
        <v>45807</v>
      </c>
      <c r="B1367" s="5">
        <v>3277.55</v>
      </c>
    </row>
    <row r="1368" spans="1:2" x14ac:dyDescent="0.3">
      <c r="A1368" s="4">
        <v>45810</v>
      </c>
      <c r="B1368" s="5">
        <v>3370.85</v>
      </c>
    </row>
    <row r="1369" spans="1:2" x14ac:dyDescent="0.3">
      <c r="A1369" s="4">
        <v>45811</v>
      </c>
      <c r="B1369" s="5">
        <v>3334.75</v>
      </c>
    </row>
    <row r="1370" spans="1:2" x14ac:dyDescent="0.3">
      <c r="A1370" s="4">
        <v>45812</v>
      </c>
      <c r="B1370" s="5">
        <v>3364.6</v>
      </c>
    </row>
    <row r="1371" spans="1:2" x14ac:dyDescent="0.3">
      <c r="A1371" s="4">
        <v>45813</v>
      </c>
      <c r="B1371" s="5">
        <v>3374.6</v>
      </c>
    </row>
    <row r="1372" spans="1:2" x14ac:dyDescent="0.3">
      <c r="A1372" s="4">
        <v>45814</v>
      </c>
      <c r="B1372" s="5">
        <v>3339.9</v>
      </c>
    </row>
    <row r="1373" spans="1:2" x14ac:dyDescent="0.3">
      <c r="A1373" s="4">
        <v>45817</v>
      </c>
      <c r="B1373" s="5">
        <v>3319.3</v>
      </c>
    </row>
    <row r="1374" spans="1:2" x14ac:dyDescent="0.3">
      <c r="A1374" s="4">
        <v>45818</v>
      </c>
      <c r="B1374" s="5">
        <v>3337.7</v>
      </c>
    </row>
    <row r="1375" spans="1:2" x14ac:dyDescent="0.3">
      <c r="A1375" s="4">
        <v>45819</v>
      </c>
      <c r="B1375" s="5">
        <v>3329.7</v>
      </c>
    </row>
    <row r="1376" spans="1:2" x14ac:dyDescent="0.3">
      <c r="A1376" s="4">
        <v>45820</v>
      </c>
      <c r="B1376" s="5">
        <v>3391.4</v>
      </c>
    </row>
    <row r="1377" spans="1:2" x14ac:dyDescent="0.3">
      <c r="A1377" s="4">
        <v>45821</v>
      </c>
      <c r="B1377" s="5">
        <v>3435.35</v>
      </c>
    </row>
    <row r="1378" spans="1:2" x14ac:dyDescent="0.3">
      <c r="A1378" s="4">
        <v>45824</v>
      </c>
      <c r="B1378" s="5">
        <v>3397.6</v>
      </c>
    </row>
    <row r="1379" spans="1:2" x14ac:dyDescent="0.3">
      <c r="A1379" s="4">
        <v>45825</v>
      </c>
      <c r="B1379" s="5">
        <v>3388.45</v>
      </c>
    </row>
    <row r="1380" spans="1:2" x14ac:dyDescent="0.3">
      <c r="A1380" s="4">
        <v>45826</v>
      </c>
      <c r="B1380" s="5">
        <v>3391.5</v>
      </c>
    </row>
    <row r="1381" spans="1:2" x14ac:dyDescent="0.3">
      <c r="A1381" s="4">
        <v>45827</v>
      </c>
      <c r="B1381" s="5">
        <v>3368.9</v>
      </c>
    </row>
    <row r="1382" spans="1:2" x14ac:dyDescent="0.3">
      <c r="A1382" s="4">
        <v>45828</v>
      </c>
      <c r="B1382" s="5">
        <v>3368.25</v>
      </c>
    </row>
    <row r="1383" spans="1:2" x14ac:dyDescent="0.3">
      <c r="A1383" s="4">
        <v>45831</v>
      </c>
      <c r="B1383" s="5">
        <v>3380.55</v>
      </c>
    </row>
    <row r="1384" spans="1:2" x14ac:dyDescent="0.3">
      <c r="A1384" s="4">
        <v>45832</v>
      </c>
      <c r="B1384" s="5">
        <v>3302.5</v>
      </c>
    </row>
    <row r="1385" spans="1:2" x14ac:dyDescent="0.3">
      <c r="A1385" s="4">
        <v>45833</v>
      </c>
      <c r="B1385" s="5">
        <v>3318.25</v>
      </c>
    </row>
    <row r="1386" spans="1:2" x14ac:dyDescent="0.3">
      <c r="A1386" s="4">
        <v>45834</v>
      </c>
      <c r="B1386" s="5">
        <v>3318.7</v>
      </c>
    </row>
    <row r="1387" spans="1:2" x14ac:dyDescent="0.3">
      <c r="A1387" s="4">
        <v>45835</v>
      </c>
      <c r="B1387" s="5">
        <v>3271.75</v>
      </c>
    </row>
    <row r="1388" spans="1:2" x14ac:dyDescent="0.3">
      <c r="A1388" s="4">
        <v>45838</v>
      </c>
      <c r="B1388" s="5">
        <v>3287.45</v>
      </c>
    </row>
    <row r="1389" spans="1:2" x14ac:dyDescent="0.3">
      <c r="A1389" s="4">
        <v>45839</v>
      </c>
      <c r="B1389" s="5">
        <v>3349</v>
      </c>
    </row>
    <row r="1390" spans="1:2" x14ac:dyDescent="0.3">
      <c r="A1390" s="4">
        <v>45840</v>
      </c>
      <c r="B1390" s="5">
        <v>3335.7</v>
      </c>
    </row>
    <row r="1391" spans="1:2" x14ac:dyDescent="0.3">
      <c r="A1391" s="4">
        <v>45841</v>
      </c>
      <c r="B1391" s="5">
        <v>3332.15</v>
      </c>
    </row>
    <row r="1392" spans="1:2" x14ac:dyDescent="0.3">
      <c r="A1392" s="4">
        <v>45842</v>
      </c>
      <c r="B1392" s="5">
        <v>3331.9</v>
      </c>
    </row>
    <row r="1393" spans="1:2" x14ac:dyDescent="0.3">
      <c r="A1393" s="4">
        <v>45845</v>
      </c>
      <c r="B1393" s="5">
        <v>3315.35</v>
      </c>
    </row>
    <row r="1394" spans="1:2" x14ac:dyDescent="0.3">
      <c r="A1394" s="4">
        <v>45846</v>
      </c>
      <c r="B1394" s="5">
        <v>3314.75</v>
      </c>
    </row>
    <row r="1395" spans="1:2" x14ac:dyDescent="0.3">
      <c r="A1395" s="4">
        <v>45847</v>
      </c>
      <c r="B1395" s="5">
        <v>3300.15</v>
      </c>
    </row>
    <row r="1396" spans="1:2" x14ac:dyDescent="0.3">
      <c r="A1396" s="4">
        <v>45848</v>
      </c>
      <c r="B1396" s="5">
        <v>3312.6</v>
      </c>
    </row>
    <row r="1397" spans="1:2" x14ac:dyDescent="0.3">
      <c r="A1397" s="4">
        <v>45849</v>
      </c>
      <c r="B1397" s="5">
        <v>3352.1</v>
      </c>
    </row>
    <row r="1398" spans="1:2" x14ac:dyDescent="0.3">
      <c r="A1398" s="4">
        <v>45852</v>
      </c>
      <c r="B1398" s="5">
        <v>3351.15</v>
      </c>
    </row>
    <row r="1399" spans="1:2" x14ac:dyDescent="0.3">
      <c r="A1399" s="4">
        <v>45853</v>
      </c>
      <c r="B1399" s="5">
        <v>3345.1</v>
      </c>
    </row>
    <row r="1400" spans="1:2" x14ac:dyDescent="0.3">
      <c r="A1400" s="4">
        <v>45854</v>
      </c>
      <c r="B1400" s="5">
        <v>3323.8</v>
      </c>
    </row>
    <row r="1401" spans="1:2" x14ac:dyDescent="0.3">
      <c r="A1401" s="4">
        <v>45855</v>
      </c>
      <c r="B1401" s="5">
        <v>3318.5</v>
      </c>
    </row>
    <row r="1402" spans="1:2" x14ac:dyDescent="0.3">
      <c r="A1402" s="4">
        <v>45856</v>
      </c>
      <c r="B1402" s="5">
        <v>3355.1</v>
      </c>
    </row>
    <row r="1403" spans="1:2" x14ac:dyDescent="0.3">
      <c r="A1403" s="4">
        <v>45859</v>
      </c>
      <c r="B1403" s="5">
        <v>3386.2</v>
      </c>
    </row>
    <row r="1404" spans="1:2" x14ac:dyDescent="0.3">
      <c r="A1404" s="4">
        <v>45860</v>
      </c>
      <c r="B1404" s="5">
        <v>3409.85</v>
      </c>
    </row>
    <row r="1405" spans="1:2" x14ac:dyDescent="0.3">
      <c r="A1405" s="4">
        <v>45861</v>
      </c>
      <c r="B1405" s="5">
        <v>3413.55</v>
      </c>
    </row>
    <row r="1406" spans="1:2" x14ac:dyDescent="0.3">
      <c r="A1406" s="4">
        <v>45862</v>
      </c>
      <c r="B1406" s="5">
        <v>3365.85</v>
      </c>
    </row>
    <row r="1407" spans="1:2" x14ac:dyDescent="0.3">
      <c r="A1407" s="4">
        <v>45863</v>
      </c>
      <c r="B1407" s="5">
        <v>3343.5</v>
      </c>
    </row>
    <row r="1408" spans="1:2" x14ac:dyDescent="0.3">
      <c r="A1408" s="4">
        <v>45866</v>
      </c>
      <c r="B1408" s="5">
        <v>3305.25</v>
      </c>
    </row>
    <row r="1409" spans="1:2" x14ac:dyDescent="0.3">
      <c r="A1409" s="4">
        <v>45867</v>
      </c>
      <c r="B1409" s="5">
        <v>3316.5</v>
      </c>
    </row>
    <row r="1410" spans="1:2" x14ac:dyDescent="0.3">
      <c r="A1410" s="4">
        <v>45868</v>
      </c>
      <c r="B1410" s="5">
        <v>3304.3</v>
      </c>
    </row>
    <row r="1411" spans="1:2" x14ac:dyDescent="0.3">
      <c r="A1411" s="4">
        <v>45869</v>
      </c>
      <c r="B1411" s="5">
        <v>3298.85</v>
      </c>
    </row>
    <row r="1412" spans="1:2" x14ac:dyDescent="0.3">
      <c r="A1412" s="4">
        <v>45870</v>
      </c>
      <c r="B1412" s="5">
        <v>3346.85</v>
      </c>
    </row>
    <row r="1413" spans="1:2" x14ac:dyDescent="0.3">
      <c r="A1413" s="4">
        <v>45873</v>
      </c>
      <c r="B1413" s="5">
        <v>3380.05</v>
      </c>
    </row>
    <row r="1414" spans="1:2" x14ac:dyDescent="0.3">
      <c r="A1414" s="4">
        <v>45874</v>
      </c>
      <c r="B1414" s="5">
        <v>3375.3</v>
      </c>
    </row>
    <row r="1415" spans="1:2" x14ac:dyDescent="0.3">
      <c r="A1415" s="4">
        <v>45875</v>
      </c>
      <c r="B1415" s="5">
        <v>3372</v>
      </c>
    </row>
    <row r="1416" spans="1:2" x14ac:dyDescent="0.3">
      <c r="A1416" s="4">
        <v>45876</v>
      </c>
      <c r="B1416" s="5">
        <v>3383.75</v>
      </c>
    </row>
    <row r="1417" spans="1:2" x14ac:dyDescent="0.3">
      <c r="A1417" s="4">
        <v>45877</v>
      </c>
      <c r="B1417" s="5">
        <v>3394.15</v>
      </c>
    </row>
    <row r="1418" spans="1:2" x14ac:dyDescent="0.3">
      <c r="A1418" s="4">
        <v>45880</v>
      </c>
      <c r="B1418" s="5">
        <v>3356.4</v>
      </c>
    </row>
    <row r="1419" spans="1:2" x14ac:dyDescent="0.3">
      <c r="A1419" s="4">
        <v>45881</v>
      </c>
      <c r="B1419" s="5">
        <v>3343.3</v>
      </c>
    </row>
    <row r="1420" spans="1:2" x14ac:dyDescent="0.3">
      <c r="A1420" s="4">
        <v>45882</v>
      </c>
      <c r="B1420" s="5">
        <v>3364.4</v>
      </c>
    </row>
    <row r="1421" spans="1:2" x14ac:dyDescent="0.3">
      <c r="A1421" s="4">
        <v>45883</v>
      </c>
      <c r="B1421" s="5">
        <v>3343.85</v>
      </c>
    </row>
    <row r="1422" spans="1:2" x14ac:dyDescent="0.3">
      <c r="A1422" s="4">
        <v>45884</v>
      </c>
      <c r="B1422" s="5">
        <v>3335.5</v>
      </c>
    </row>
    <row r="1423" spans="1:2" x14ac:dyDescent="0.3">
      <c r="A1423" s="4">
        <v>45887</v>
      </c>
      <c r="B1423" s="5">
        <v>3332.4</v>
      </c>
    </row>
    <row r="1424" spans="1:2" x14ac:dyDescent="0.3">
      <c r="A1424" s="4">
        <v>45888</v>
      </c>
      <c r="B1424" s="5">
        <v>3334.45</v>
      </c>
    </row>
    <row r="1425" spans="1:2" x14ac:dyDescent="0.3">
      <c r="A1425" s="4">
        <v>45889</v>
      </c>
      <c r="B1425" s="5">
        <v>3344.65</v>
      </c>
    </row>
    <row r="1426" spans="1:2" x14ac:dyDescent="0.3">
      <c r="A1426" s="4">
        <v>45890</v>
      </c>
      <c r="B1426" s="5">
        <v>3338.3</v>
      </c>
    </row>
    <row r="1427" spans="1:2" x14ac:dyDescent="0.3">
      <c r="A1427" s="4">
        <v>45891</v>
      </c>
      <c r="B1427" s="5">
        <v>3334.25</v>
      </c>
    </row>
    <row r="1428" spans="1:2" x14ac:dyDescent="0.3">
      <c r="A1428" s="4">
        <v>45895</v>
      </c>
      <c r="B1428" s="5">
        <v>3367.1</v>
      </c>
    </row>
    <row r="1429" spans="1:2" x14ac:dyDescent="0.3">
      <c r="A1429" s="4">
        <v>45896</v>
      </c>
      <c r="B1429" s="5">
        <v>3376.35</v>
      </c>
    </row>
    <row r="1430" spans="1:2" x14ac:dyDescent="0.3">
      <c r="A1430" s="4">
        <v>45897</v>
      </c>
      <c r="B1430" s="5">
        <v>3407.65</v>
      </c>
    </row>
    <row r="1431" spans="1:2" x14ac:dyDescent="0.3">
      <c r="A1431" s="4">
        <v>45898</v>
      </c>
      <c r="B1431" s="5">
        <v>3429.15</v>
      </c>
    </row>
    <row r="1432" spans="1:2" x14ac:dyDescent="0.3">
      <c r="A1432" s="4">
        <v>45901</v>
      </c>
      <c r="B1432" s="5">
        <v>3474.9</v>
      </c>
    </row>
    <row r="1433" spans="1:2" x14ac:dyDescent="0.3">
      <c r="A1433" s="4">
        <v>45902</v>
      </c>
      <c r="B1433" s="5">
        <v>3490</v>
      </c>
    </row>
    <row r="1434" spans="1:2" x14ac:dyDescent="0.3">
      <c r="A1434" s="4">
        <v>45903</v>
      </c>
      <c r="B1434" s="5">
        <v>3556.2</v>
      </c>
    </row>
    <row r="1435" spans="1:2" x14ac:dyDescent="0.3">
      <c r="A1435" s="4">
        <v>45904</v>
      </c>
      <c r="B1435" s="5">
        <v>3546.3</v>
      </c>
    </row>
    <row r="1436" spans="1:2" x14ac:dyDescent="0.3">
      <c r="A1436" s="4">
        <v>45905</v>
      </c>
      <c r="B1436" s="5">
        <v>3594.55</v>
      </c>
    </row>
    <row r="1437" spans="1:2" x14ac:dyDescent="0.3">
      <c r="A1437" s="4">
        <v>45908</v>
      </c>
      <c r="B1437" s="5">
        <v>3632.65</v>
      </c>
    </row>
    <row r="1438" spans="1:2" x14ac:dyDescent="0.3">
      <c r="A1438" s="4">
        <v>45909</v>
      </c>
      <c r="B1438" s="5">
        <v>3649.55</v>
      </c>
    </row>
    <row r="1439" spans="1:2" x14ac:dyDescent="0.3">
      <c r="A1439" s="4">
        <v>45910</v>
      </c>
      <c r="B1439" s="5">
        <v>3650.75</v>
      </c>
    </row>
    <row r="1440" spans="1:2" x14ac:dyDescent="0.3">
      <c r="A1440" s="4">
        <v>45911</v>
      </c>
      <c r="B1440" s="5">
        <v>3629.55</v>
      </c>
    </row>
    <row r="1441" spans="1:2" x14ac:dyDescent="0.3">
      <c r="A1441" s="4">
        <v>45912</v>
      </c>
      <c r="B1441" s="5">
        <v>3651.1</v>
      </c>
    </row>
    <row r="1442" spans="1:2" x14ac:dyDescent="0.3">
      <c r="A1442" s="4">
        <v>45915</v>
      </c>
      <c r="B1442" s="5">
        <v>3657.65</v>
      </c>
    </row>
    <row r="1443" spans="1:2" x14ac:dyDescent="0.3">
      <c r="A1443" s="4">
        <v>45916</v>
      </c>
      <c r="B1443" s="5">
        <v>3695.4</v>
      </c>
    </row>
    <row r="1444" spans="1:2" x14ac:dyDescent="0.3">
      <c r="A1444" s="4">
        <v>45917</v>
      </c>
      <c r="B1444" s="5">
        <v>3681</v>
      </c>
    </row>
    <row r="1445" spans="1:2" x14ac:dyDescent="0.3">
      <c r="A1445" s="4">
        <v>45918</v>
      </c>
      <c r="B1445" s="5">
        <v>3643.7</v>
      </c>
    </row>
    <row r="1446" spans="1:2" x14ac:dyDescent="0.3">
      <c r="A1446" s="4">
        <v>45919</v>
      </c>
      <c r="B1446" s="5">
        <v>3663.15</v>
      </c>
    </row>
    <row r="1447" spans="1:2" x14ac:dyDescent="0.3">
      <c r="A1447" s="4">
        <v>45922</v>
      </c>
      <c r="B1447" s="5">
        <v>3719.7</v>
      </c>
    </row>
    <row r="1448" spans="1:2" x14ac:dyDescent="0.3">
      <c r="A1448" s="4">
        <v>45923</v>
      </c>
      <c r="B1448" s="5">
        <v>3783.8</v>
      </c>
    </row>
    <row r="1449" spans="1:2" x14ac:dyDescent="0.3">
      <c r="A1449" s="4">
        <v>45924</v>
      </c>
      <c r="B1449" s="5">
        <v>3761.6</v>
      </c>
    </row>
    <row r="1450" spans="1:2" x14ac:dyDescent="0.3">
      <c r="A1450" s="4">
        <v>45925</v>
      </c>
      <c r="B1450" s="5">
        <v>3730.75</v>
      </c>
    </row>
    <row r="1451" spans="1:2" x14ac:dyDescent="0.3">
      <c r="A1451" s="4">
        <v>45926</v>
      </c>
      <c r="B1451" s="5">
        <v>3769.85</v>
      </c>
    </row>
    <row r="1452" spans="1:2" x14ac:dyDescent="0.3">
      <c r="A1452" s="4">
        <v>45929</v>
      </c>
      <c r="B1452" s="5">
        <v>3826.85</v>
      </c>
    </row>
    <row r="1453" spans="1:2" x14ac:dyDescent="0.3">
      <c r="A1453" s="4">
        <v>45930</v>
      </c>
      <c r="B1453" s="5">
        <v>3825.3</v>
      </c>
    </row>
    <row r="1454" spans="1:2" x14ac:dyDescent="0.3">
      <c r="A1454" s="4">
        <v>45931</v>
      </c>
      <c r="B1454" s="5">
        <v>3872</v>
      </c>
    </row>
    <row r="1455" spans="1:2" x14ac:dyDescent="0.3">
      <c r="A1455" s="4">
        <v>45932</v>
      </c>
      <c r="B1455" s="5">
        <v>3878.1</v>
      </c>
    </row>
    <row r="1456" spans="1:2" x14ac:dyDescent="0.3">
      <c r="A1456" s="4">
        <v>45933</v>
      </c>
      <c r="B1456" s="5">
        <v>3885.7</v>
      </c>
    </row>
    <row r="1457" spans="1:2" x14ac:dyDescent="0.3">
      <c r="A1457" s="4">
        <v>45936</v>
      </c>
      <c r="B1457" s="5">
        <v>3949.45</v>
      </c>
    </row>
    <row r="1458" spans="1:2" x14ac:dyDescent="0.3">
      <c r="A1458" s="4">
        <v>45937</v>
      </c>
      <c r="B1458" s="5">
        <v>3979</v>
      </c>
    </row>
    <row r="1459" spans="1:2" x14ac:dyDescent="0.3">
      <c r="A1459" s="4">
        <v>45938</v>
      </c>
      <c r="B1459" s="5">
        <v>4040.05</v>
      </c>
    </row>
    <row r="1460" spans="1:2" x14ac:dyDescent="0.3">
      <c r="A1460" s="4">
        <v>45939</v>
      </c>
      <c r="B1460" s="5">
        <v>4019.25</v>
      </c>
    </row>
    <row r="1461" spans="1:2" x14ac:dyDescent="0.3">
      <c r="A1461" s="4">
        <v>45940</v>
      </c>
      <c r="B1461" s="5">
        <v>3974.5</v>
      </c>
    </row>
    <row r="1462" spans="1:2" x14ac:dyDescent="0.3">
      <c r="A1462" s="4">
        <v>45943</v>
      </c>
      <c r="B1462" s="5">
        <v>4095.95</v>
      </c>
    </row>
    <row r="1463" spans="1:2" x14ac:dyDescent="0.3">
      <c r="A1463" s="4">
        <v>45944</v>
      </c>
      <c r="B1463" s="5">
        <v>4126.3</v>
      </c>
    </row>
    <row r="1464" spans="1:2" x14ac:dyDescent="0.3">
      <c r="A1464" s="4">
        <v>45945</v>
      </c>
      <c r="B1464" s="5">
        <v>4204.6000000000004</v>
      </c>
    </row>
    <row r="1465" spans="1:2" x14ac:dyDescent="0.3">
      <c r="A1465" s="4">
        <v>45946</v>
      </c>
      <c r="B1465" s="5">
        <v>4261.95</v>
      </c>
    </row>
    <row r="1466" spans="1:2" x14ac:dyDescent="0.3">
      <c r="A1466" s="4">
        <v>45947</v>
      </c>
      <c r="B1466" s="5">
        <v>4224.75</v>
      </c>
    </row>
    <row r="1467" spans="1:2" x14ac:dyDescent="0.3">
      <c r="A1467" s="4">
        <v>45950</v>
      </c>
      <c r="B1467" s="5">
        <v>4294.3500000000004</v>
      </c>
    </row>
    <row r="1468" spans="1:2" x14ac:dyDescent="0.3">
      <c r="A1468" s="4">
        <v>45951</v>
      </c>
      <c r="B1468" s="5">
        <v>4169.6000000000004</v>
      </c>
    </row>
    <row r="1469" spans="1:2" x14ac:dyDescent="0.3">
      <c r="A1469" s="4">
        <v>45952</v>
      </c>
      <c r="B1469" s="5">
        <v>4070</v>
      </c>
    </row>
    <row r="1470" spans="1:2" x14ac:dyDescent="0.3">
      <c r="A1470" s="4">
        <v>45953</v>
      </c>
      <c r="B1470" s="5">
        <v>4143.75</v>
      </c>
    </row>
    <row r="1471" spans="1:2" x14ac:dyDescent="0.3">
      <c r="A1471" s="4">
        <v>45954</v>
      </c>
      <c r="B1471" s="5">
        <v>4104.3999999999996</v>
      </c>
    </row>
    <row r="1472" spans="1:2" x14ac:dyDescent="0.3">
      <c r="A1472" s="4">
        <v>45957</v>
      </c>
      <c r="B1472" s="5">
        <v>3970.8</v>
      </c>
    </row>
    <row r="1473" spans="1:2" x14ac:dyDescent="0.3">
      <c r="A1473" s="4">
        <v>45958</v>
      </c>
      <c r="B1473" s="5">
        <v>3948.5</v>
      </c>
    </row>
    <row r="1474" spans="1:2" x14ac:dyDescent="0.3">
      <c r="A1474" s="4">
        <v>45959</v>
      </c>
      <c r="B1474" s="5">
        <v>4006.7</v>
      </c>
    </row>
    <row r="1475" spans="1:2" x14ac:dyDescent="0.3">
      <c r="A1475" s="4">
        <v>45960</v>
      </c>
      <c r="B1475" s="5">
        <v>3994.15</v>
      </c>
    </row>
    <row r="1476" spans="1:2" x14ac:dyDescent="0.3">
      <c r="A1476" s="4">
        <v>45961</v>
      </c>
      <c r="B1476" s="5">
        <v>4011.5</v>
      </c>
    </row>
    <row r="1477" spans="1:2" x14ac:dyDescent="0.3">
      <c r="A1477" s="4">
        <v>45964</v>
      </c>
      <c r="B1477" s="5">
        <v>4025.25</v>
      </c>
    </row>
    <row r="1478" spans="1:2" x14ac:dyDescent="0.3">
      <c r="A1478" s="4">
        <v>45965</v>
      </c>
      <c r="B1478" s="5">
        <v>3951.1</v>
      </c>
    </row>
    <row r="1479" spans="1:2" x14ac:dyDescent="0.3">
      <c r="A1479" s="4">
        <v>45966</v>
      </c>
      <c r="B1479" s="5">
        <v>3968.2</v>
      </c>
    </row>
    <row r="1480" spans="1:2" x14ac:dyDescent="0.3">
      <c r="A1480" s="4">
        <v>45967</v>
      </c>
      <c r="B1480" s="5">
        <v>3986.5</v>
      </c>
    </row>
    <row r="1481" spans="1:2" x14ac:dyDescent="0.3">
      <c r="A1481" s="4">
        <v>45968</v>
      </c>
      <c r="B1481" s="5">
        <v>3994.1</v>
      </c>
    </row>
    <row r="1482" spans="1:2" x14ac:dyDescent="0.3">
      <c r="A1482" s="4">
        <v>45971</v>
      </c>
      <c r="B1482" s="5">
        <v>4090.25</v>
      </c>
    </row>
    <row r="1483" spans="1:2" x14ac:dyDescent="0.3">
      <c r="A1483" s="4">
        <v>45972</v>
      </c>
      <c r="B1483" s="5">
        <v>4123.3</v>
      </c>
    </row>
    <row r="1484" spans="1:2" x14ac:dyDescent="0.3">
      <c r="A1484" s="4">
        <v>45973</v>
      </c>
      <c r="B1484" s="5">
        <v>4136.75</v>
      </c>
    </row>
    <row r="1485" spans="1:2" x14ac:dyDescent="0.3">
      <c r="A1485" s="4">
        <v>45974</v>
      </c>
      <c r="B1485" s="5">
        <v>4195.6499999999996</v>
      </c>
    </row>
    <row r="1486" spans="1:2" x14ac:dyDescent="0.3">
      <c r="A1486" s="4">
        <v>45975</v>
      </c>
      <c r="B1486" s="5">
        <v>4071.1</v>
      </c>
    </row>
    <row r="1487" spans="1:2" x14ac:dyDescent="0.3">
      <c r="A1487" s="4">
        <v>45978</v>
      </c>
      <c r="B1487" s="5">
        <v>4072.5</v>
      </c>
    </row>
    <row r="1488" spans="1:2" x14ac:dyDescent="0.3">
      <c r="A1488" s="4">
        <v>45979</v>
      </c>
      <c r="B1488" s="5">
        <v>4060.85</v>
      </c>
    </row>
    <row r="1489" spans="1:2" x14ac:dyDescent="0.3">
      <c r="A1489" s="4">
        <v>45980</v>
      </c>
      <c r="B1489" s="5">
        <v>4126.95</v>
      </c>
    </row>
    <row r="1490" spans="1:2" x14ac:dyDescent="0.3">
      <c r="A1490" s="4">
        <v>45981</v>
      </c>
      <c r="B1490" s="5">
        <v>4090.6</v>
      </c>
    </row>
    <row r="1491" spans="1:2" x14ac:dyDescent="0.3">
      <c r="A1491" s="4">
        <v>45982</v>
      </c>
      <c r="B1491" s="5">
        <v>4072.85</v>
      </c>
    </row>
    <row r="1492" spans="1:2" x14ac:dyDescent="0.3">
      <c r="A1492" s="4">
        <v>45985</v>
      </c>
      <c r="B1492" s="5">
        <v>4082.05</v>
      </c>
    </row>
    <row r="1493" spans="1:2" x14ac:dyDescent="0.3">
      <c r="A1493" s="4">
        <v>45986</v>
      </c>
      <c r="B1493" s="5">
        <v>4126.45</v>
      </c>
    </row>
    <row r="1494" spans="1:2" x14ac:dyDescent="0.3">
      <c r="A1494" s="4">
        <v>45987</v>
      </c>
      <c r="B1494" s="5">
        <v>4139.6000000000004</v>
      </c>
    </row>
    <row r="1495" spans="1:2" x14ac:dyDescent="0.3">
      <c r="A1495" s="4">
        <v>45988</v>
      </c>
      <c r="B1495" s="5">
        <v>4153.95</v>
      </c>
    </row>
    <row r="1496" spans="1:2" x14ac:dyDescent="0.3">
      <c r="A1496" s="4">
        <v>45989</v>
      </c>
      <c r="B1496" s="5">
        <v>4191.05</v>
      </c>
    </row>
    <row r="1497" spans="1:2" x14ac:dyDescent="0.3">
      <c r="A1497" s="4">
        <v>45992</v>
      </c>
      <c r="B1497" s="5">
        <v>4238.8500000000004</v>
      </c>
    </row>
    <row r="1498" spans="1:2" x14ac:dyDescent="0.3">
      <c r="A1498" s="4">
        <v>45993</v>
      </c>
      <c r="B1498" s="5">
        <v>4214.75</v>
      </c>
    </row>
    <row r="1499" spans="1:2" x14ac:dyDescent="0.3">
      <c r="A1499" s="4">
        <v>45994</v>
      </c>
      <c r="B1499" s="5">
        <v>4210.3</v>
      </c>
    </row>
    <row r="1500" spans="1:2" x14ac:dyDescent="0.3">
      <c r="A1500" s="4">
        <v>45995</v>
      </c>
      <c r="B1500" s="5">
        <v>4200.6000000000004</v>
      </c>
    </row>
    <row r="1501" spans="1:2" x14ac:dyDescent="0.3">
      <c r="A1501" s="4">
        <v>45996</v>
      </c>
      <c r="B1501" s="5">
        <v>4243</v>
      </c>
    </row>
    <row r="1502" spans="1:2" x14ac:dyDescent="0.3">
      <c r="A1502" s="4">
        <v>45999</v>
      </c>
      <c r="B1502" s="5">
        <v>4188.25</v>
      </c>
    </row>
    <row r="1503" spans="1:2" x14ac:dyDescent="0.3">
      <c r="A1503" s="4">
        <v>46000</v>
      </c>
      <c r="B1503" s="5">
        <v>4198</v>
      </c>
    </row>
    <row r="1504" spans="1:2" x14ac:dyDescent="0.3">
      <c r="A1504" s="4">
        <v>46001</v>
      </c>
      <c r="B1504" s="5">
        <v>4200.1499999999996</v>
      </c>
    </row>
    <row r="1505" spans="1:2" x14ac:dyDescent="0.3">
      <c r="A1505" s="4">
        <v>46002</v>
      </c>
      <c r="B1505" s="5">
        <v>4230.3500000000004</v>
      </c>
    </row>
    <row r="1506" spans="1:2" x14ac:dyDescent="0.3">
      <c r="A1506" s="4">
        <v>46003</v>
      </c>
      <c r="B1506" s="5">
        <v>4346.95</v>
      </c>
    </row>
    <row r="1507" spans="1:2" x14ac:dyDescent="0.3">
      <c r="A1507" s="4">
        <v>46006</v>
      </c>
      <c r="B1507" s="5">
        <v>4315.8500000000004</v>
      </c>
    </row>
    <row r="1508" spans="1:2" x14ac:dyDescent="0.3">
      <c r="A1508" s="4">
        <v>46007</v>
      </c>
      <c r="B1508" s="5">
        <v>4324.2</v>
      </c>
    </row>
    <row r="1509" spans="1:2" x14ac:dyDescent="0.3">
      <c r="A1509" s="4">
        <v>46008</v>
      </c>
      <c r="B1509" s="5">
        <v>4342.1000000000004</v>
      </c>
    </row>
    <row r="1510" spans="1:2" x14ac:dyDescent="0.3">
      <c r="A1510" s="4">
        <v>46009</v>
      </c>
      <c r="B1510" s="5">
        <v>4333.3500000000004</v>
      </c>
    </row>
    <row r="1511" spans="1:2" x14ac:dyDescent="0.3">
      <c r="A1511" s="4">
        <v>46010</v>
      </c>
      <c r="B1511" s="5">
        <v>4337.6000000000004</v>
      </c>
    </row>
    <row r="1512" spans="1:2" x14ac:dyDescent="0.3">
      <c r="A1512" s="4">
        <v>46013</v>
      </c>
      <c r="B1512" s="5">
        <v>4421.6499999999996</v>
      </c>
    </row>
    <row r="1513" spans="1:2" x14ac:dyDescent="0.3">
      <c r="A1513" s="4">
        <v>46014</v>
      </c>
      <c r="B1513" s="5">
        <v>4449.3999999999996</v>
      </c>
    </row>
    <row r="1514" spans="1:2" x14ac:dyDescent="0.3">
      <c r="A1514" s="4">
        <v>46015</v>
      </c>
      <c r="B1514" s="5">
        <v>4480.8</v>
      </c>
    </row>
    <row r="1515" spans="1:2" x14ac:dyDescent="0.3">
      <c r="A1515" s="4">
        <v>46020</v>
      </c>
      <c r="B1515" s="5">
        <v>4337.05</v>
      </c>
    </row>
    <row r="1516" spans="1:2" x14ac:dyDescent="0.3">
      <c r="A1516" s="4">
        <v>46021</v>
      </c>
      <c r="B1516" s="5">
        <v>4367.8</v>
      </c>
    </row>
    <row r="1517" spans="1:2" x14ac:dyDescent="0.3">
      <c r="A1517" s="4">
        <v>46022</v>
      </c>
      <c r="B1517" s="5">
        <v>4307.95</v>
      </c>
    </row>
    <row r="1518" spans="1:2" x14ac:dyDescent="0.3">
      <c r="A1518" s="4">
        <v>46024</v>
      </c>
      <c r="B1518" s="5">
        <v>4352.95</v>
      </c>
    </row>
    <row r="1519" spans="1:2" x14ac:dyDescent="0.3">
      <c r="A1519" s="4">
        <v>46027</v>
      </c>
      <c r="B1519" s="5">
        <v>4456.3999999999996</v>
      </c>
    </row>
    <row r="1520" spans="1:2" x14ac:dyDescent="0.3">
      <c r="A1520" s="4">
        <v>46028</v>
      </c>
      <c r="B1520" s="5">
        <v>4490.3500000000004</v>
      </c>
    </row>
    <row r="1521" spans="1:2" x14ac:dyDescent="0.3">
      <c r="A1521" s="4">
        <v>46029</v>
      </c>
      <c r="B1521" s="5">
        <v>4438</v>
      </c>
    </row>
    <row r="1522" spans="1:2" x14ac:dyDescent="0.3">
      <c r="A1522" s="4">
        <v>46030</v>
      </c>
      <c r="B1522" s="5">
        <v>4429.3500000000004</v>
      </c>
    </row>
    <row r="1523" spans="1:2" x14ac:dyDescent="0.3">
      <c r="A1523" s="4">
        <v>46031</v>
      </c>
      <c r="B1523" s="5">
        <v>4493.8500000000004</v>
      </c>
    </row>
    <row r="1524" spans="1:2" x14ac:dyDescent="0.3">
      <c r="A1524" s="4">
        <v>46034</v>
      </c>
      <c r="B1524" s="5">
        <v>4612.95</v>
      </c>
    </row>
    <row r="1525" spans="1:2" x14ac:dyDescent="0.3">
      <c r="A1525" s="4">
        <v>46035</v>
      </c>
      <c r="B1525" s="5">
        <v>4623.05</v>
      </c>
    </row>
    <row r="1526" spans="1:2" x14ac:dyDescent="0.3">
      <c r="A1526" s="4">
        <v>46036</v>
      </c>
      <c r="B1526" s="5">
        <v>4606.5</v>
      </c>
    </row>
    <row r="1527" spans="1:2" x14ac:dyDescent="0.3">
      <c r="A1527" s="4">
        <v>46037</v>
      </c>
      <c r="B1527" s="5">
        <v>4610.8500000000004</v>
      </c>
    </row>
    <row r="1528" spans="1:2" x14ac:dyDescent="0.3">
      <c r="A1528" s="4">
        <v>46038</v>
      </c>
      <c r="B1528" s="5">
        <v>4611.05</v>
      </c>
    </row>
    <row r="1529" spans="1:2" x14ac:dyDescent="0.3">
      <c r="A1529" s="4">
        <v>46041</v>
      </c>
      <c r="B1529" s="5">
        <v>4666.8500000000004</v>
      </c>
    </row>
    <row r="1530" spans="1:2" x14ac:dyDescent="0.3">
      <c r="A1530" s="4">
        <v>46042</v>
      </c>
      <c r="B1530" s="5">
        <v>4747.8</v>
      </c>
    </row>
    <row r="1531" spans="1:2" x14ac:dyDescent="0.3">
      <c r="A1531" s="4">
        <v>46043</v>
      </c>
      <c r="B1531" s="5">
        <v>4866.5</v>
      </c>
    </row>
    <row r="1532" spans="1:2" x14ac:dyDescent="0.3">
      <c r="A1532" s="4">
        <v>46044</v>
      </c>
      <c r="B1532" s="5">
        <v>4832.05</v>
      </c>
    </row>
    <row r="1533" spans="1:2" x14ac:dyDescent="0.3">
      <c r="A1533" s="4">
        <v>46045</v>
      </c>
      <c r="B1533" s="5">
        <v>4946.25</v>
      </c>
    </row>
    <row r="1534" spans="1:2" x14ac:dyDescent="0.3">
      <c r="A1534" s="4">
        <v>46048</v>
      </c>
      <c r="B1534" s="5">
        <v>5090.8</v>
      </c>
    </row>
    <row r="1535" spans="1:2" x14ac:dyDescent="0.3">
      <c r="A1535" s="4">
        <v>46049</v>
      </c>
      <c r="B1535" s="5">
        <v>5064.25</v>
      </c>
    </row>
    <row r="1536" spans="1:2" x14ac:dyDescent="0.3">
      <c r="A1536" s="4">
        <v>46050</v>
      </c>
      <c r="B1536" s="5">
        <v>5306.95</v>
      </c>
    </row>
    <row r="1537" spans="1:2" x14ac:dyDescent="0.3">
      <c r="A1537" s="4">
        <v>46051</v>
      </c>
      <c r="B1537" s="5">
        <v>5405</v>
      </c>
    </row>
    <row r="1538" spans="1:2" x14ac:dyDescent="0.3">
      <c r="A1538" s="4">
        <v>46052</v>
      </c>
      <c r="B1538" s="5">
        <v>4981.8500000000004</v>
      </c>
    </row>
    <row r="1539" spans="1:2" x14ac:dyDescent="0.3">
      <c r="A1539" s="4">
        <v>46055</v>
      </c>
      <c r="B1539" s="5">
        <v>4714.75</v>
      </c>
    </row>
    <row r="1540" spans="1:2" x14ac:dyDescent="0.3">
      <c r="A1540" s="4">
        <v>46056</v>
      </c>
      <c r="B1540" s="5">
        <v>4920.95</v>
      </c>
    </row>
    <row r="1541" spans="1:2" x14ac:dyDescent="0.3">
      <c r="A1541" s="4">
        <v>46057</v>
      </c>
      <c r="B1541" s="5">
        <v>4985.1000000000004</v>
      </c>
    </row>
    <row r="1542" spans="1:2" x14ac:dyDescent="0.3">
      <c r="A1542" s="4">
        <v>46058</v>
      </c>
      <c r="B1542" s="5">
        <v>4847.25</v>
      </c>
    </row>
    <row r="1543" spans="1:2" x14ac:dyDescent="0.3">
      <c r="A1543" s="4">
        <v>46059</v>
      </c>
      <c r="B1543" s="5">
        <v>4948</v>
      </c>
    </row>
    <row r="1544" spans="1:2" x14ac:dyDescent="0.3">
      <c r="A1544" s="4">
        <v>46062</v>
      </c>
      <c r="B1544" s="5">
        <v>5039.55</v>
      </c>
    </row>
    <row r="1545" spans="1:2" x14ac:dyDescent="0.3">
      <c r="A1545" s="4">
        <v>46063</v>
      </c>
      <c r="B1545" s="5">
        <v>5031.3999999999996</v>
      </c>
    </row>
    <row r="1546" spans="1:2" x14ac:dyDescent="0.3">
      <c r="A1546" s="4">
        <v>46064</v>
      </c>
      <c r="B1546" s="5">
        <v>5077.8500000000004</v>
      </c>
    </row>
    <row r="1547" spans="1:2" x14ac:dyDescent="0.3">
      <c r="A1547" s="4">
        <v>46065</v>
      </c>
      <c r="B1547" s="5">
        <v>5043.1499999999996</v>
      </c>
    </row>
    <row r="1548" spans="1:2" x14ac:dyDescent="0.3">
      <c r="A1548" s="4">
        <v>46066</v>
      </c>
      <c r="B1548" s="5">
        <v>4994.95</v>
      </c>
    </row>
    <row r="1549" spans="1:2" x14ac:dyDescent="0.3">
      <c r="A1549" s="4">
        <v>46069</v>
      </c>
      <c r="B1549" s="5">
        <v>4972.1000000000004</v>
      </c>
    </row>
    <row r="1550" spans="1:2" x14ac:dyDescent="0.3">
      <c r="A1550" s="4">
        <v>46070</v>
      </c>
      <c r="B1550" s="5">
        <v>4861.45</v>
      </c>
    </row>
    <row r="1551" spans="1:2" x14ac:dyDescent="0.3">
      <c r="A1551" s="4">
        <v>46071</v>
      </c>
      <c r="B1551" s="5">
        <v>5003.3</v>
      </c>
    </row>
    <row r="1552" spans="1:2" x14ac:dyDescent="0.3">
      <c r="A1552" s="4">
        <v>46072</v>
      </c>
      <c r="B1552" s="5">
        <v>5004.8</v>
      </c>
    </row>
    <row r="1553" spans="1:2" x14ac:dyDescent="0.3">
      <c r="A1553" s="4">
        <v>46073</v>
      </c>
      <c r="B1553" s="5">
        <v>5053.2</v>
      </c>
    </row>
    <row r="1554" spans="1:2" x14ac:dyDescent="0.3">
      <c r="A1554" s="4">
        <v>46076</v>
      </c>
      <c r="B1554" s="5">
        <v>5191.3999999999996</v>
      </c>
    </row>
    <row r="1555" spans="1:2" x14ac:dyDescent="0.3">
      <c r="A1555" s="4">
        <v>46077</v>
      </c>
      <c r="B1555" s="5">
        <v>5120.25</v>
      </c>
    </row>
    <row r="1556" spans="1:2" x14ac:dyDescent="0.3">
      <c r="A1556" s="4">
        <v>46078</v>
      </c>
      <c r="B1556" s="5">
        <v>5191.55</v>
      </c>
    </row>
    <row r="1557" spans="1:2" x14ac:dyDescent="0.3">
      <c r="A1557" s="4">
        <v>46079</v>
      </c>
      <c r="B1557" s="5">
        <v>5167.3500000000004</v>
      </c>
    </row>
    <row r="1558" spans="1:2" x14ac:dyDescent="0.3">
      <c r="A1558" s="4">
        <v>46080</v>
      </c>
      <c r="B1558" s="5">
        <v>5222.3</v>
      </c>
    </row>
    <row r="1559" spans="1:2" x14ac:dyDescent="0.3">
      <c r="A1559" s="4">
        <v>46083</v>
      </c>
      <c r="B1559" s="5">
        <v>5313.9</v>
      </c>
    </row>
    <row r="1560" spans="1:2" x14ac:dyDescent="0.3">
      <c r="A1560" s="4">
        <v>46084</v>
      </c>
      <c r="B1560" s="5">
        <v>5033.6499999999996</v>
      </c>
    </row>
    <row r="1561" spans="1:2" x14ac:dyDescent="0.3">
      <c r="A1561" s="4">
        <v>46085</v>
      </c>
      <c r="B1561" s="5">
        <v>5148.55</v>
      </c>
    </row>
    <row r="1562" spans="1:2" x14ac:dyDescent="0.3">
      <c r="A1562" s="4">
        <v>46086</v>
      </c>
      <c r="B1562" s="5">
        <v>5104.05</v>
      </c>
    </row>
    <row r="1563" spans="1:2" x14ac:dyDescent="0.3">
      <c r="A1563" s="4">
        <v>46087</v>
      </c>
      <c r="B1563" s="5">
        <v>5127.55</v>
      </c>
    </row>
    <row r="1564" spans="1:2" x14ac:dyDescent="0.3">
      <c r="A1564" s="4">
        <v>46090</v>
      </c>
      <c r="B1564" s="5">
        <v>5086.3500000000004</v>
      </c>
    </row>
    <row r="1565" spans="1:2" x14ac:dyDescent="0.3">
      <c r="A1565" s="4">
        <v>46091</v>
      </c>
      <c r="B1565" s="5">
        <v>5209.7</v>
      </c>
    </row>
    <row r="1566" spans="1:2" x14ac:dyDescent="0.3">
      <c r="A1566" s="4">
        <v>46092</v>
      </c>
      <c r="B1566" s="5">
        <v>5182.3999999999996</v>
      </c>
    </row>
    <row r="1567" spans="1:2" x14ac:dyDescent="0.3">
      <c r="A1567" s="4">
        <v>46093</v>
      </c>
      <c r="B1567" s="5">
        <v>5130.1000000000004</v>
      </c>
    </row>
    <row r="1568" spans="1:2" x14ac:dyDescent="0.3">
      <c r="A1568" s="4">
        <v>46094</v>
      </c>
      <c r="B1568" s="5">
        <v>5044.6000000000004</v>
      </c>
    </row>
    <row r="1569" spans="1:2" x14ac:dyDescent="0.3">
      <c r="A1569" s="4">
        <v>46097</v>
      </c>
      <c r="B1569" s="5">
        <v>4994.8500000000004</v>
      </c>
    </row>
    <row r="1570" spans="1:2" x14ac:dyDescent="0.3">
      <c r="A1570" s="4">
        <v>46098</v>
      </c>
      <c r="B1570" s="5">
        <v>5016.8</v>
      </c>
    </row>
    <row r="1571" spans="1:2" x14ac:dyDescent="0.3">
      <c r="A1571" s="4">
        <v>46099</v>
      </c>
      <c r="B1571" s="5">
        <v>4869.95</v>
      </c>
    </row>
    <row r="1572" spans="1:2" x14ac:dyDescent="0.3">
      <c r="A1572" s="4">
        <v>46100</v>
      </c>
      <c r="B1572" s="5">
        <v>4600.3500000000004</v>
      </c>
    </row>
    <row r="1573" spans="1:2" x14ac:dyDescent="0.3">
      <c r="A1573" s="4">
        <v>46101</v>
      </c>
      <c r="B1573" s="5">
        <v>4562.55</v>
      </c>
    </row>
    <row r="1574" spans="1:2" x14ac:dyDescent="0.3">
      <c r="A1574" s="4">
        <v>46104</v>
      </c>
      <c r="B1574" s="5">
        <v>4466.25</v>
      </c>
    </row>
    <row r="1575" spans="1:2" x14ac:dyDescent="0.3">
      <c r="A1575" s="4">
        <v>46105</v>
      </c>
      <c r="B1575" s="5">
        <v>4413.55</v>
      </c>
    </row>
    <row r="1576" spans="1:2" x14ac:dyDescent="0.3">
      <c r="A1576" s="4">
        <v>46106</v>
      </c>
      <c r="B1576" s="5">
        <v>4564.55</v>
      </c>
    </row>
    <row r="1577" spans="1:2" x14ac:dyDescent="0.3">
      <c r="A1577" s="4">
        <v>46107</v>
      </c>
      <c r="B1577" s="5">
        <v>4456.45</v>
      </c>
    </row>
    <row r="1578" spans="1:2" x14ac:dyDescent="0.3">
      <c r="A1578" s="4">
        <v>46108</v>
      </c>
      <c r="B1578" s="5">
        <v>4504.1499999999996</v>
      </c>
    </row>
    <row r="1579" spans="1:2" x14ac:dyDescent="0.3">
      <c r="A1579" s="4">
        <v>46111</v>
      </c>
      <c r="B1579" s="5">
        <v>4529.1499999999996</v>
      </c>
    </row>
    <row r="1580" spans="1:2" x14ac:dyDescent="0.3">
      <c r="A1580" s="4">
        <v>46112</v>
      </c>
      <c r="B1580" s="5">
        <v>4608.3500000000004</v>
      </c>
    </row>
    <row r="1581" spans="1:2" x14ac:dyDescent="0.3">
      <c r="A1581" s="4">
        <v>46113</v>
      </c>
      <c r="B1581" s="5">
        <v>4739</v>
      </c>
    </row>
    <row r="1582" spans="1:2" x14ac:dyDescent="0.3">
      <c r="A1582" s="4">
        <v>46114</v>
      </c>
      <c r="B1582" s="5">
        <v>4639.3500000000004</v>
      </c>
    </row>
    <row r="1583" spans="1:2" x14ac:dyDescent="0.3">
      <c r="A1583" s="4">
        <v>46119</v>
      </c>
      <c r="B1583" s="5">
        <v>4611.7</v>
      </c>
    </row>
    <row r="1584" spans="1:2" x14ac:dyDescent="0.3">
      <c r="A1584" s="4">
        <v>46120</v>
      </c>
      <c r="B1584" s="5">
        <v>4792.55</v>
      </c>
    </row>
    <row r="1585" spans="1:2" x14ac:dyDescent="0.3">
      <c r="A1585" s="4">
        <v>46121</v>
      </c>
      <c r="B1585" s="5">
        <v>4762.6000000000004</v>
      </c>
    </row>
    <row r="1586" spans="1:2" x14ac:dyDescent="0.3">
      <c r="A1586" s="4">
        <v>46122</v>
      </c>
      <c r="B1586" s="5">
        <v>4773.75</v>
      </c>
    </row>
    <row r="1587" spans="1:2" x14ac:dyDescent="0.3">
      <c r="A1587" s="4">
        <v>46125</v>
      </c>
      <c r="B1587" s="5">
        <v>4722.6499999999996</v>
      </c>
    </row>
    <row r="1588" spans="1:2" x14ac:dyDescent="0.3">
      <c r="A1588" s="4">
        <v>46126</v>
      </c>
      <c r="B1588" s="5">
        <v>4794.75</v>
      </c>
    </row>
    <row r="1589" spans="1:2" x14ac:dyDescent="0.3">
      <c r="A1589" s="4">
        <v>46127</v>
      </c>
      <c r="B1589" s="5">
        <v>4823.25</v>
      </c>
    </row>
    <row r="1590" spans="1:2" x14ac:dyDescent="0.3">
      <c r="A1590" s="4">
        <v>46128</v>
      </c>
      <c r="B1590" s="5">
        <v>4793.6000000000004</v>
      </c>
    </row>
    <row r="1591" spans="1:2" x14ac:dyDescent="0.3">
      <c r="A1591" s="4">
        <v>46129</v>
      </c>
      <c r="B1591" s="5">
        <v>4870.5</v>
      </c>
    </row>
    <row r="1592" spans="1:2" x14ac:dyDescent="0.3">
      <c r="A1592" s="4">
        <v>46132</v>
      </c>
      <c r="B1592" s="5">
        <v>4813.55</v>
      </c>
    </row>
    <row r="1593" spans="1:2" x14ac:dyDescent="0.3">
      <c r="A1593" s="4">
        <v>46133</v>
      </c>
      <c r="B1593" s="5">
        <v>4776.75</v>
      </c>
    </row>
    <row r="1594" spans="1:2" x14ac:dyDescent="0.3">
      <c r="A1594" s="4">
        <v>46134</v>
      </c>
      <c r="B1594" s="5">
        <v>4742.1000000000004</v>
      </c>
    </row>
    <row r="1595" spans="1:2" x14ac:dyDescent="0.3">
      <c r="A1595" s="4">
        <v>46135</v>
      </c>
      <c r="B1595" s="5">
        <v>4719.1499999999996</v>
      </c>
    </row>
    <row r="1596" spans="1:2" x14ac:dyDescent="0.3">
      <c r="A1596" s="4">
        <v>46136</v>
      </c>
      <c r="B1596" s="5">
        <v>4711.6499999999996</v>
      </c>
    </row>
    <row r="1597" spans="1:2" x14ac:dyDescent="0.3">
      <c r="A1597" s="4">
        <v>46139</v>
      </c>
      <c r="B1597" s="5">
        <v>4692.25</v>
      </c>
    </row>
    <row r="1598" spans="1:2" x14ac:dyDescent="0.3">
      <c r="A1598" s="4">
        <v>46140</v>
      </c>
      <c r="B1598" s="5">
        <v>4564.8999999999996</v>
      </c>
    </row>
    <row r="1599" spans="1:2" x14ac:dyDescent="0.3">
      <c r="A1599" s="4">
        <v>46141</v>
      </c>
      <c r="B1599" s="5">
        <v>4522.1000000000004</v>
      </c>
    </row>
    <row r="1600" spans="1:2" x14ac:dyDescent="0.3">
      <c r="A1600" s="4">
        <v>46142</v>
      </c>
      <c r="B1600" s="5">
        <v>4611.3500000000004</v>
      </c>
    </row>
    <row r="1601" spans="1:2" x14ac:dyDescent="0.3">
      <c r="A1601" s="4">
        <v>46143</v>
      </c>
      <c r="B1601" s="5">
        <v>4636.8999999999996</v>
      </c>
    </row>
    <row r="1602" spans="1:2" x14ac:dyDescent="0.3">
      <c r="A1602" s="4">
        <v>46147</v>
      </c>
      <c r="B1602" s="5">
        <v>4576.8</v>
      </c>
    </row>
    <row r="1603" spans="1:2" x14ac:dyDescent="0.3">
      <c r="A1603" s="4">
        <v>46148</v>
      </c>
      <c r="B1603" s="5">
        <v>4706.8999999999996</v>
      </c>
    </row>
    <row r="1604" spans="1:2" x14ac:dyDescent="0.3">
      <c r="A1604" s="4">
        <v>46149</v>
      </c>
      <c r="B1604" s="5">
        <v>4743.3500000000004</v>
      </c>
    </row>
    <row r="1605" spans="1:2" x14ac:dyDescent="0.3">
      <c r="A1605" s="4">
        <v>46150</v>
      </c>
      <c r="B1605" s="5">
        <v>4741.3999999999996</v>
      </c>
    </row>
    <row r="1606" spans="1:2" x14ac:dyDescent="0.3">
      <c r="A1606" s="4">
        <v>46153</v>
      </c>
      <c r="B1606" s="5">
        <v>4729.1499999999996</v>
      </c>
    </row>
    <row r="1607" spans="1:2" x14ac:dyDescent="0.3">
      <c r="A1607" s="4">
        <v>46154</v>
      </c>
      <c r="B1607" s="5">
        <v>4678.3999999999996</v>
      </c>
    </row>
  </sheetData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U255"/>
  <sheetViews>
    <sheetView workbookViewId="0">
      <pane ySplit="13" topLeftCell="A14" activePane="bottomLeft" state="frozen"/>
      <selection pane="bottomLeft" activeCell="J15" sqref="J15"/>
    </sheetView>
  </sheetViews>
  <sheetFormatPr defaultColWidth="9" defaultRowHeight="13.5" x14ac:dyDescent="0.3"/>
  <cols>
    <col min="1" max="1" width="11.1328125" bestFit="1" customWidth="1"/>
    <col min="2" max="2" width="17.59765625" customWidth="1"/>
    <col min="3" max="3" width="14.59765625" customWidth="1"/>
    <col min="4" max="4" width="10.59765625" customWidth="1"/>
    <col min="5" max="5" width="19.59765625" customWidth="1"/>
    <col min="6" max="6" width="18.59765625" customWidth="1"/>
    <col min="7" max="7" width="21.59765625" customWidth="1"/>
    <col min="8" max="8" width="16.59765625" customWidth="1"/>
    <col min="9" max="9" width="21.59765625" customWidth="1"/>
    <col min="10" max="10" width="20.59765625" customWidth="1"/>
    <col min="11" max="11" width="8.6640625" customWidth="1"/>
    <col min="12" max="12" width="11.46484375" customWidth="1"/>
    <col min="13" max="13" width="13.3984375" customWidth="1"/>
    <col min="14" max="14" width="14" customWidth="1"/>
    <col min="15" max="15" width="13.59765625" customWidth="1"/>
    <col min="16" max="17" width="10.3984375" customWidth="1"/>
    <col min="18" max="18" width="8.59765625" customWidth="1"/>
    <col min="19" max="21" width="10.3984375" customWidth="1"/>
  </cols>
  <sheetData>
    <row r="1" spans="1:21" hidden="1" x14ac:dyDescent="0.3">
      <c r="A1" s="55" t="s">
        <v>70</v>
      </c>
      <c r="B1" s="55"/>
      <c r="C1" s="55"/>
      <c r="D1" s="55"/>
      <c r="E1" s="55"/>
      <c r="F1" s="55"/>
      <c r="G1" s="55"/>
      <c r="H1" s="55"/>
      <c r="I1" s="55"/>
    </row>
    <row r="2" spans="1:21" hidden="1" x14ac:dyDescent="0.3">
      <c r="A2" s="55"/>
      <c r="B2" s="55"/>
      <c r="C2" s="55"/>
      <c r="D2" s="55"/>
      <c r="E2" s="55"/>
      <c r="F2" s="55"/>
      <c r="G2" s="55"/>
      <c r="H2" s="55"/>
      <c r="I2" s="55"/>
    </row>
    <row r="3" spans="1:21" hidden="1" x14ac:dyDescent="0.3">
      <c r="A3" s="55"/>
      <c r="B3" s="55"/>
      <c r="C3" s="55"/>
      <c r="D3" s="55"/>
      <c r="E3" s="55"/>
      <c r="F3" s="55"/>
      <c r="G3" s="55"/>
      <c r="H3" s="55"/>
      <c r="I3" s="55"/>
    </row>
    <row r="4" spans="1:21" hidden="1" x14ac:dyDescent="0.3">
      <c r="A4" s="55"/>
      <c r="B4" s="55"/>
      <c r="C4" s="55"/>
      <c r="D4" s="55"/>
      <c r="E4" s="55"/>
      <c r="F4" s="55"/>
      <c r="G4" s="55"/>
      <c r="H4" s="55"/>
      <c r="I4" s="55"/>
      <c r="M4" s="21"/>
      <c r="N4" s="4"/>
    </row>
    <row r="5" spans="1:21" hidden="1" x14ac:dyDescent="0.3">
      <c r="A5" s="55"/>
      <c r="B5" s="55"/>
      <c r="C5" s="55"/>
      <c r="D5" s="55"/>
      <c r="E5" s="55"/>
      <c r="F5" s="55"/>
      <c r="G5" s="55"/>
      <c r="H5" s="55"/>
      <c r="I5" s="55"/>
      <c r="L5" s="4"/>
      <c r="M5" s="21"/>
      <c r="N5" s="4"/>
    </row>
    <row r="6" spans="1:21" x14ac:dyDescent="0.3">
      <c r="E6" s="4"/>
      <c r="L6" s="4"/>
      <c r="M6" s="21"/>
      <c r="N6" s="21"/>
    </row>
    <row r="7" spans="1:21" x14ac:dyDescent="0.3">
      <c r="A7" t="s">
        <v>28</v>
      </c>
      <c r="B7" s="17" t="s">
        <v>73</v>
      </c>
      <c r="E7" s="4"/>
      <c r="L7" s="4"/>
      <c r="M7" s="21"/>
      <c r="N7" s="21"/>
      <c r="O7" s="21"/>
      <c r="P7" s="21"/>
      <c r="Q7" s="21"/>
      <c r="R7" s="19"/>
      <c r="S7" s="21"/>
      <c r="T7" s="21"/>
      <c r="U7" s="21"/>
    </row>
    <row r="8" spans="1:21" x14ac:dyDescent="0.3">
      <c r="A8" t="s">
        <v>0</v>
      </c>
      <c r="B8" s="18" t="s">
        <v>57</v>
      </c>
      <c r="E8" s="4"/>
      <c r="L8" s="4"/>
      <c r="M8" s="18"/>
      <c r="N8" s="18"/>
      <c r="O8" s="21"/>
      <c r="P8" s="21"/>
      <c r="Q8" s="21"/>
      <c r="R8" s="19"/>
      <c r="S8" s="21"/>
      <c r="T8" s="21"/>
      <c r="U8" s="21"/>
    </row>
    <row r="9" spans="1:21" x14ac:dyDescent="0.3">
      <c r="A9" t="s">
        <v>34</v>
      </c>
      <c r="B9" s="18"/>
      <c r="L9" s="4"/>
      <c r="M9" s="18"/>
      <c r="N9" s="18"/>
      <c r="O9" s="21"/>
      <c r="P9" s="21"/>
      <c r="Q9" s="21"/>
      <c r="R9" s="19"/>
      <c r="S9" s="21"/>
      <c r="T9" s="21"/>
      <c r="U9" s="21"/>
    </row>
    <row r="10" spans="1:21" x14ac:dyDescent="0.3">
      <c r="A10" t="s">
        <v>74</v>
      </c>
      <c r="B10" s="18" t="s">
        <v>75</v>
      </c>
      <c r="L10" s="4"/>
      <c r="M10" s="18"/>
      <c r="N10" s="18"/>
      <c r="O10" s="21"/>
      <c r="P10" s="21"/>
      <c r="Q10" s="21"/>
      <c r="R10" s="19"/>
      <c r="S10" s="21"/>
      <c r="T10" s="21"/>
      <c r="U10" s="21"/>
    </row>
    <row r="11" spans="1:21" x14ac:dyDescent="0.3">
      <c r="A11" t="s">
        <v>76</v>
      </c>
      <c r="B11" s="18" t="s">
        <v>77</v>
      </c>
      <c r="L11" s="4"/>
      <c r="M11" s="18"/>
      <c r="N11" s="18"/>
      <c r="O11" s="21"/>
      <c r="P11" s="21"/>
      <c r="Q11" s="21"/>
      <c r="R11" s="19"/>
      <c r="S11" s="21"/>
      <c r="T11" s="21"/>
      <c r="U11" s="21"/>
    </row>
    <row r="12" spans="1:21" x14ac:dyDescent="0.3">
      <c r="A12" t="s">
        <v>62</v>
      </c>
      <c r="B12" s="18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L12" s="4"/>
      <c r="M12" s="18"/>
      <c r="N12" s="18"/>
      <c r="O12" s="21"/>
      <c r="P12" s="21"/>
      <c r="Q12" s="21"/>
      <c r="R12" s="19"/>
      <c r="S12" s="21"/>
      <c r="T12" s="21"/>
      <c r="U12" s="21"/>
    </row>
    <row r="13" spans="1:21" x14ac:dyDescent="0.3">
      <c r="A13" t="s">
        <v>66</v>
      </c>
      <c r="B13" s="18" t="s">
        <v>87</v>
      </c>
      <c r="C13" t="s">
        <v>88</v>
      </c>
      <c r="D13" t="s">
        <v>89</v>
      </c>
      <c r="E13" s="20" t="s">
        <v>71</v>
      </c>
      <c r="F13" s="20" t="s">
        <v>72</v>
      </c>
      <c r="G13" t="s">
        <v>90</v>
      </c>
      <c r="H13" t="s">
        <v>91</v>
      </c>
      <c r="I13" t="s">
        <v>92</v>
      </c>
      <c r="J13" t="s">
        <v>93</v>
      </c>
      <c r="L13" s="4"/>
      <c r="M13" s="18"/>
      <c r="N13" s="18"/>
      <c r="O13" s="21"/>
      <c r="P13" s="21"/>
      <c r="Q13" s="21"/>
      <c r="R13" s="19"/>
      <c r="S13" s="21"/>
      <c r="T13" s="21"/>
      <c r="U13" s="21"/>
    </row>
    <row r="14" spans="1:21" x14ac:dyDescent="0.3">
      <c r="A14" s="4">
        <f>[1]!wset("optiondailytransactionstastics","startdate="&amp;B8,"enddate="&amp;B9,"exchange="&amp;B10,"windcode="&amp;B11,"field=date,mark_code,mark_name,daily_volume,daily_call_volume,daily_put_volume,daily_contract_rate,daily_position,daily_call_position,daily_put_position","cols=10;rows=242")</f>
        <v>46154</v>
      </c>
      <c r="B14" s="18" t="s">
        <v>115</v>
      </c>
      <c r="C14" s="18" t="s">
        <v>119</v>
      </c>
      <c r="D14" s="21">
        <v>617685</v>
      </c>
      <c r="E14" s="21">
        <v>391506</v>
      </c>
      <c r="F14" s="21">
        <v>226179</v>
      </c>
      <c r="G14" s="19">
        <v>57.77</v>
      </c>
      <c r="H14" s="21">
        <v>1385401</v>
      </c>
      <c r="I14" s="21">
        <v>792600</v>
      </c>
      <c r="J14" s="21">
        <v>592801</v>
      </c>
      <c r="K14">
        <f t="shared" ref="K14:K19" si="0">E14/10000</f>
        <v>39.150599999999997</v>
      </c>
      <c r="L14" s="4"/>
      <c r="M14" s="18"/>
      <c r="N14" s="18"/>
      <c r="O14" s="21"/>
      <c r="P14" s="21"/>
      <c r="Q14" s="21"/>
      <c r="R14" s="19">
        <v>90.09</v>
      </c>
      <c r="S14" s="21">
        <v>3493707</v>
      </c>
      <c r="T14" s="21">
        <v>2158180</v>
      </c>
      <c r="U14" s="21">
        <v>1335527</v>
      </c>
    </row>
    <row r="15" spans="1:21" x14ac:dyDescent="0.3">
      <c r="A15" s="4">
        <v>46153</v>
      </c>
      <c r="B15" s="18" t="s">
        <v>77</v>
      </c>
      <c r="C15" s="18" t="s">
        <v>118</v>
      </c>
      <c r="D15" s="21">
        <v>1132735</v>
      </c>
      <c r="E15" s="21">
        <v>734123</v>
      </c>
      <c r="F15" s="21">
        <v>398612</v>
      </c>
      <c r="G15" s="19">
        <v>54.3</v>
      </c>
      <c r="H15" s="21">
        <v>1376325</v>
      </c>
      <c r="I15" s="21">
        <v>784138</v>
      </c>
      <c r="J15" s="21">
        <v>592187</v>
      </c>
      <c r="K15">
        <f t="shared" si="0"/>
        <v>73.412300000000002</v>
      </c>
      <c r="L15" s="4">
        <v>44568</v>
      </c>
      <c r="M15" s="18" t="s">
        <v>77</v>
      </c>
      <c r="N15" s="18" t="s">
        <v>94</v>
      </c>
      <c r="O15" s="21">
        <v>1701209</v>
      </c>
      <c r="P15" s="21">
        <v>921348</v>
      </c>
      <c r="Q15" s="21">
        <v>779861</v>
      </c>
      <c r="R15" s="19">
        <v>84.64</v>
      </c>
      <c r="S15" s="21">
        <v>3451548</v>
      </c>
      <c r="T15" s="21">
        <v>2136976</v>
      </c>
      <c r="U15" s="21">
        <v>1314572</v>
      </c>
    </row>
    <row r="16" spans="1:21" x14ac:dyDescent="0.3">
      <c r="A16" s="4">
        <v>46150</v>
      </c>
      <c r="B16" s="18" t="s">
        <v>77</v>
      </c>
      <c r="C16" s="18" t="s">
        <v>118</v>
      </c>
      <c r="D16" s="21">
        <v>730614</v>
      </c>
      <c r="E16" s="21">
        <v>428203</v>
      </c>
      <c r="F16" s="21">
        <v>302411</v>
      </c>
      <c r="G16" s="19">
        <v>70.62</v>
      </c>
      <c r="H16" s="21">
        <v>1371739</v>
      </c>
      <c r="I16" s="21">
        <v>812476</v>
      </c>
      <c r="J16" s="21">
        <v>559263</v>
      </c>
      <c r="K16">
        <f t="shared" si="0"/>
        <v>42.820300000000003</v>
      </c>
      <c r="L16" s="4">
        <v>44567</v>
      </c>
      <c r="M16" s="18" t="s">
        <v>77</v>
      </c>
      <c r="N16" s="18" t="s">
        <v>94</v>
      </c>
      <c r="O16" s="21">
        <v>2641216</v>
      </c>
      <c r="P16" s="21">
        <v>1371495</v>
      </c>
      <c r="Q16" s="21">
        <v>1269721</v>
      </c>
      <c r="R16" s="19">
        <v>92.58</v>
      </c>
      <c r="S16" s="21">
        <v>3443051</v>
      </c>
      <c r="T16" s="21">
        <v>2135541</v>
      </c>
      <c r="U16" s="21">
        <v>1307510</v>
      </c>
    </row>
    <row r="17" spans="1:21" x14ac:dyDescent="0.3">
      <c r="A17" s="4">
        <v>46149</v>
      </c>
      <c r="B17" s="18" t="s">
        <v>77</v>
      </c>
      <c r="C17" s="18" t="s">
        <v>118</v>
      </c>
      <c r="D17" s="21">
        <v>634072</v>
      </c>
      <c r="E17" s="21">
        <v>417432</v>
      </c>
      <c r="F17" s="21">
        <v>216640</v>
      </c>
      <c r="G17" s="19">
        <v>51.9</v>
      </c>
      <c r="H17" s="21">
        <v>1309575</v>
      </c>
      <c r="I17" s="21">
        <v>747635</v>
      </c>
      <c r="J17" s="21">
        <v>561940</v>
      </c>
      <c r="K17">
        <f t="shared" si="0"/>
        <v>41.743200000000002</v>
      </c>
      <c r="L17" s="4">
        <v>44566</v>
      </c>
      <c r="M17" s="18" t="s">
        <v>77</v>
      </c>
      <c r="N17" s="18" t="s">
        <v>94</v>
      </c>
      <c r="O17" s="21">
        <v>2121145</v>
      </c>
      <c r="P17" s="21">
        <v>1142278</v>
      </c>
      <c r="Q17" s="21">
        <v>978867</v>
      </c>
      <c r="R17" s="19">
        <v>85.69</v>
      </c>
      <c r="S17" s="21">
        <v>3202277</v>
      </c>
      <c r="T17" s="21">
        <v>1936609</v>
      </c>
      <c r="U17" s="21">
        <v>1265668</v>
      </c>
    </row>
    <row r="18" spans="1:21" x14ac:dyDescent="0.3">
      <c r="A18" s="4">
        <v>46148</v>
      </c>
      <c r="B18" s="18" t="s">
        <v>77</v>
      </c>
      <c r="C18" s="18" t="s">
        <v>118</v>
      </c>
      <c r="D18" s="21">
        <v>1220038</v>
      </c>
      <c r="E18" s="21">
        <v>721780</v>
      </c>
      <c r="F18" s="21">
        <v>498258</v>
      </c>
      <c r="G18" s="19">
        <v>69.03</v>
      </c>
      <c r="H18" s="21">
        <v>1274907</v>
      </c>
      <c r="I18" s="21">
        <v>720400</v>
      </c>
      <c r="J18" s="21">
        <v>554507</v>
      </c>
      <c r="K18">
        <f t="shared" si="0"/>
        <v>72.177999999999997</v>
      </c>
      <c r="L18" s="4">
        <v>44565</v>
      </c>
      <c r="M18" s="18" t="s">
        <v>77</v>
      </c>
      <c r="N18" s="18" t="s">
        <v>94</v>
      </c>
      <c r="O18" s="21">
        <v>2087609</v>
      </c>
      <c r="P18" s="21">
        <v>1133972</v>
      </c>
      <c r="Q18" s="21">
        <v>953637</v>
      </c>
      <c r="R18" s="19">
        <v>84.1</v>
      </c>
      <c r="S18" s="21">
        <v>3144467</v>
      </c>
      <c r="T18" s="21">
        <v>1889520</v>
      </c>
      <c r="U18" s="21">
        <v>1254947</v>
      </c>
    </row>
    <row r="19" spans="1:21" x14ac:dyDescent="0.3">
      <c r="A19" s="4">
        <v>46142</v>
      </c>
      <c r="B19" s="18" t="s">
        <v>77</v>
      </c>
      <c r="C19" s="18" t="s">
        <v>118</v>
      </c>
      <c r="D19" s="21">
        <v>710387</v>
      </c>
      <c r="E19" s="22">
        <v>400963</v>
      </c>
      <c r="F19" s="22">
        <v>309424</v>
      </c>
      <c r="G19" s="19">
        <v>77.17</v>
      </c>
      <c r="H19" s="21">
        <v>1271411</v>
      </c>
      <c r="I19" s="21">
        <v>735929</v>
      </c>
      <c r="J19" s="21">
        <v>535482</v>
      </c>
      <c r="K19">
        <f t="shared" si="0"/>
        <v>40.096299999999999</v>
      </c>
      <c r="L19" s="4">
        <v>44561</v>
      </c>
      <c r="M19" s="18" t="s">
        <v>77</v>
      </c>
      <c r="N19" s="18" t="s">
        <v>94</v>
      </c>
      <c r="O19" s="21">
        <v>1270721</v>
      </c>
      <c r="P19" s="21">
        <v>694421</v>
      </c>
      <c r="Q19" s="21">
        <v>576300</v>
      </c>
      <c r="R19" s="19">
        <v>82.99</v>
      </c>
      <c r="S19" s="21">
        <v>3020657</v>
      </c>
      <c r="T19" s="21">
        <v>1791627</v>
      </c>
      <c r="U19" s="21">
        <v>1229030</v>
      </c>
    </row>
    <row r="20" spans="1:21" x14ac:dyDescent="0.3">
      <c r="A20" s="4">
        <v>46141</v>
      </c>
      <c r="B20" s="18" t="s">
        <v>77</v>
      </c>
      <c r="C20" s="18" t="s">
        <v>118</v>
      </c>
      <c r="D20" s="21">
        <v>532556</v>
      </c>
      <c r="E20" s="21">
        <v>294907</v>
      </c>
      <c r="F20" s="21">
        <v>237649</v>
      </c>
      <c r="G20" s="19">
        <v>80.58</v>
      </c>
      <c r="H20" s="21">
        <v>1205537</v>
      </c>
      <c r="I20" s="21">
        <v>689578</v>
      </c>
      <c r="J20" s="21">
        <v>515959</v>
      </c>
      <c r="K20" t="s">
        <v>90</v>
      </c>
      <c r="L20" s="4">
        <v>44560</v>
      </c>
      <c r="M20" s="18" t="s">
        <v>77</v>
      </c>
      <c r="N20" s="18" t="s">
        <v>94</v>
      </c>
      <c r="O20" s="21">
        <v>1596967</v>
      </c>
      <c r="P20" s="21">
        <v>845518</v>
      </c>
      <c r="Q20" s="21">
        <v>751449</v>
      </c>
      <c r="R20" s="19">
        <v>88.87</v>
      </c>
      <c r="S20" s="21">
        <v>2960733</v>
      </c>
      <c r="T20" s="21">
        <v>1759407</v>
      </c>
      <c r="U20" s="21">
        <v>1201326</v>
      </c>
    </row>
    <row r="21" spans="1:21" x14ac:dyDescent="0.3">
      <c r="A21" s="4">
        <v>46140</v>
      </c>
      <c r="B21" s="18" t="s">
        <v>77</v>
      </c>
      <c r="C21" s="18" t="s">
        <v>118</v>
      </c>
      <c r="D21" s="21">
        <v>472128</v>
      </c>
      <c r="E21" s="21">
        <v>271738</v>
      </c>
      <c r="F21" s="21">
        <v>200390</v>
      </c>
      <c r="G21" s="19">
        <v>73.739999999999995</v>
      </c>
      <c r="H21" s="21">
        <v>1189548</v>
      </c>
      <c r="I21" s="21">
        <v>680412</v>
      </c>
      <c r="J21" s="21">
        <v>509136</v>
      </c>
      <c r="K21" s="19">
        <v>91.09</v>
      </c>
      <c r="L21" s="4">
        <v>44559</v>
      </c>
      <c r="M21" s="18" t="s">
        <v>77</v>
      </c>
      <c r="N21" s="18" t="s">
        <v>94</v>
      </c>
      <c r="O21" s="21">
        <v>2203402</v>
      </c>
      <c r="P21" s="21">
        <v>1151240</v>
      </c>
      <c r="Q21" s="21">
        <v>1052162</v>
      </c>
      <c r="R21" s="19">
        <v>91.39</v>
      </c>
      <c r="S21" s="21">
        <v>2930217</v>
      </c>
      <c r="T21" s="21">
        <v>1743627</v>
      </c>
      <c r="U21" s="21">
        <v>1186590</v>
      </c>
    </row>
    <row r="22" spans="1:21" x14ac:dyDescent="0.3">
      <c r="A22" s="4">
        <v>46139</v>
      </c>
      <c r="B22" s="18" t="s">
        <v>77</v>
      </c>
      <c r="C22" s="18" t="s">
        <v>118</v>
      </c>
      <c r="D22" s="21">
        <v>466119</v>
      </c>
      <c r="E22" s="21">
        <v>273853</v>
      </c>
      <c r="F22" s="21">
        <v>192266</v>
      </c>
      <c r="G22" s="19">
        <v>70.209999999999994</v>
      </c>
      <c r="H22" s="21">
        <v>1178052</v>
      </c>
      <c r="I22" s="21">
        <v>674737</v>
      </c>
      <c r="J22" s="21">
        <v>503315</v>
      </c>
      <c r="K22" s="19">
        <v>83.82</v>
      </c>
      <c r="L22" s="4">
        <v>44558</v>
      </c>
      <c r="M22" s="18" t="s">
        <v>77</v>
      </c>
      <c r="N22" s="18" t="s">
        <v>94</v>
      </c>
      <c r="O22" s="21">
        <v>1568114</v>
      </c>
      <c r="P22" s="21">
        <v>847420</v>
      </c>
      <c r="Q22" s="21">
        <v>720694</v>
      </c>
      <c r="R22" s="19">
        <v>85.05</v>
      </c>
      <c r="S22" s="21">
        <v>2670491</v>
      </c>
      <c r="T22" s="21">
        <v>1513328</v>
      </c>
      <c r="U22" s="21">
        <v>1157163</v>
      </c>
    </row>
    <row r="23" spans="1:21" x14ac:dyDescent="0.3">
      <c r="A23" s="4">
        <v>46136</v>
      </c>
      <c r="B23" s="18" t="s">
        <v>77</v>
      </c>
      <c r="C23" s="18" t="s">
        <v>118</v>
      </c>
      <c r="D23" s="21">
        <v>598817</v>
      </c>
      <c r="E23" s="21">
        <v>331057</v>
      </c>
      <c r="F23" s="21">
        <v>267760</v>
      </c>
      <c r="G23" s="19">
        <v>80.88</v>
      </c>
      <c r="H23" s="21">
        <v>1120285</v>
      </c>
      <c r="I23" s="21">
        <v>632222</v>
      </c>
      <c r="J23" s="21">
        <v>488063</v>
      </c>
      <c r="K23" s="19">
        <v>88.91</v>
      </c>
      <c r="L23" s="4">
        <v>44557</v>
      </c>
      <c r="M23" s="18" t="s">
        <v>77</v>
      </c>
      <c r="N23" s="18" t="s">
        <v>94</v>
      </c>
      <c r="O23" s="21">
        <v>1265826</v>
      </c>
      <c r="P23" s="21">
        <v>644613</v>
      </c>
      <c r="Q23" s="21">
        <v>621213</v>
      </c>
      <c r="R23" s="19">
        <v>96.37</v>
      </c>
      <c r="S23" s="21">
        <v>2600904</v>
      </c>
      <c r="T23" s="21">
        <v>1489633</v>
      </c>
      <c r="U23" s="21">
        <v>1111271</v>
      </c>
    </row>
    <row r="24" spans="1:21" x14ac:dyDescent="0.3">
      <c r="A24" s="4">
        <v>46135</v>
      </c>
      <c r="B24" s="18" t="s">
        <v>77</v>
      </c>
      <c r="C24" s="18" t="s">
        <v>118</v>
      </c>
      <c r="D24" s="21">
        <v>636136</v>
      </c>
      <c r="E24" s="21">
        <v>356975</v>
      </c>
      <c r="F24" s="21">
        <v>279161</v>
      </c>
      <c r="G24" s="19">
        <v>78.2</v>
      </c>
      <c r="H24" s="21">
        <v>1085534</v>
      </c>
      <c r="I24" s="21">
        <v>621426</v>
      </c>
      <c r="J24" s="21">
        <v>464108</v>
      </c>
      <c r="K24" s="19">
        <v>79.97</v>
      </c>
      <c r="L24" s="4">
        <v>44554</v>
      </c>
      <c r="M24" s="18" t="s">
        <v>77</v>
      </c>
      <c r="N24" s="18" t="s">
        <v>94</v>
      </c>
      <c r="O24" s="21">
        <v>1370982</v>
      </c>
      <c r="P24" s="21">
        <v>710967</v>
      </c>
      <c r="Q24" s="21">
        <v>660015</v>
      </c>
      <c r="R24" s="19">
        <v>92.83</v>
      </c>
      <c r="S24" s="21">
        <v>2502845</v>
      </c>
      <c r="T24" s="21">
        <v>1419089</v>
      </c>
      <c r="U24" s="21">
        <v>1083756</v>
      </c>
    </row>
    <row r="25" spans="1:21" x14ac:dyDescent="0.3">
      <c r="A25" s="4">
        <v>46134</v>
      </c>
      <c r="B25" s="18" t="s">
        <v>77</v>
      </c>
      <c r="C25" s="18" t="s">
        <v>118</v>
      </c>
      <c r="D25" s="21">
        <v>814720</v>
      </c>
      <c r="E25" s="21">
        <v>514135</v>
      </c>
      <c r="F25" s="21">
        <v>300585</v>
      </c>
      <c r="G25" s="19">
        <v>58.46</v>
      </c>
      <c r="H25" s="21">
        <v>999533</v>
      </c>
      <c r="I25" s="21">
        <v>576506</v>
      </c>
      <c r="J25" s="21">
        <v>423027</v>
      </c>
      <c r="K25" s="19">
        <v>83.42</v>
      </c>
      <c r="L25" s="4">
        <v>44553</v>
      </c>
      <c r="M25" s="18" t="s">
        <v>77</v>
      </c>
      <c r="N25" s="18" t="s">
        <v>94</v>
      </c>
      <c r="O25" s="21">
        <v>1796988</v>
      </c>
      <c r="P25" s="21">
        <v>961969</v>
      </c>
      <c r="Q25" s="21">
        <v>835019</v>
      </c>
      <c r="R25" s="19">
        <v>86.8</v>
      </c>
      <c r="S25" s="21">
        <v>2421596</v>
      </c>
      <c r="T25" s="21">
        <v>1373138</v>
      </c>
      <c r="U25" s="21">
        <v>1048458</v>
      </c>
    </row>
    <row r="26" spans="1:21" x14ac:dyDescent="0.3">
      <c r="A26" s="4">
        <v>46133</v>
      </c>
      <c r="B26" s="18" t="s">
        <v>77</v>
      </c>
      <c r="C26" s="18" t="s">
        <v>118</v>
      </c>
      <c r="D26" s="21">
        <v>687501</v>
      </c>
      <c r="E26" s="21">
        <v>429604</v>
      </c>
      <c r="F26" s="21">
        <v>257897</v>
      </c>
      <c r="G26" s="19">
        <v>60.03</v>
      </c>
      <c r="H26" s="21">
        <v>1391260</v>
      </c>
      <c r="I26" s="21">
        <v>776637</v>
      </c>
      <c r="J26" s="21">
        <v>614623</v>
      </c>
      <c r="K26" s="19">
        <v>94.64</v>
      </c>
      <c r="L26" s="4">
        <v>44552</v>
      </c>
      <c r="M26" s="18" t="s">
        <v>77</v>
      </c>
      <c r="N26" s="18" t="s">
        <v>94</v>
      </c>
      <c r="O26" s="21">
        <v>2268734</v>
      </c>
      <c r="P26" s="21">
        <v>1139630</v>
      </c>
      <c r="Q26" s="21">
        <v>1129104</v>
      </c>
      <c r="R26" s="19">
        <v>99.08</v>
      </c>
      <c r="S26" s="21">
        <v>2221193</v>
      </c>
      <c r="T26" s="21">
        <v>1263829</v>
      </c>
      <c r="U26" s="21">
        <v>957364</v>
      </c>
    </row>
    <row r="27" spans="1:21" x14ac:dyDescent="0.3">
      <c r="A27" s="4">
        <v>46132</v>
      </c>
      <c r="B27" s="18" t="s">
        <v>77</v>
      </c>
      <c r="C27" s="18" t="s">
        <v>118</v>
      </c>
      <c r="D27" s="21">
        <v>785246</v>
      </c>
      <c r="E27" s="21">
        <v>448817</v>
      </c>
      <c r="F27" s="21">
        <v>336429</v>
      </c>
      <c r="G27" s="19">
        <v>74.959999999999994</v>
      </c>
      <c r="H27" s="21">
        <v>1379996</v>
      </c>
      <c r="I27" s="21">
        <v>764349</v>
      </c>
      <c r="J27" s="21">
        <v>615647</v>
      </c>
      <c r="K27" s="19">
        <v>75.77</v>
      </c>
      <c r="L27" s="4">
        <v>44551</v>
      </c>
      <c r="M27" s="18" t="s">
        <v>77</v>
      </c>
      <c r="N27" s="18" t="s">
        <v>94</v>
      </c>
      <c r="O27" s="21">
        <v>2296848</v>
      </c>
      <c r="P27" s="21">
        <v>1206226</v>
      </c>
      <c r="Q27" s="21">
        <v>1090622</v>
      </c>
      <c r="R27" s="19">
        <v>90.42</v>
      </c>
      <c r="S27" s="21">
        <v>3389979</v>
      </c>
      <c r="T27" s="21">
        <v>1973056</v>
      </c>
      <c r="U27" s="21">
        <v>1416923</v>
      </c>
    </row>
    <row r="28" spans="1:21" x14ac:dyDescent="0.3">
      <c r="A28" s="4">
        <v>46129</v>
      </c>
      <c r="B28" s="18" t="s">
        <v>77</v>
      </c>
      <c r="C28" s="18" t="s">
        <v>118</v>
      </c>
      <c r="D28" s="21">
        <v>894972</v>
      </c>
      <c r="E28" s="21">
        <v>521867</v>
      </c>
      <c r="F28" s="21">
        <v>373105</v>
      </c>
      <c r="G28" s="19">
        <v>71.489999999999995</v>
      </c>
      <c r="H28" s="21">
        <v>1398673</v>
      </c>
      <c r="I28" s="21">
        <v>790511</v>
      </c>
      <c r="J28" s="21">
        <v>608162</v>
      </c>
      <c r="K28" s="19">
        <v>94.96</v>
      </c>
      <c r="L28" s="4">
        <v>44550</v>
      </c>
      <c r="M28" s="18" t="s">
        <v>77</v>
      </c>
      <c r="N28" s="18" t="s">
        <v>94</v>
      </c>
      <c r="O28" s="21">
        <v>3020483</v>
      </c>
      <c r="P28" s="21">
        <v>1572545</v>
      </c>
      <c r="Q28" s="21">
        <v>1447938</v>
      </c>
      <c r="R28" s="19">
        <v>92.08</v>
      </c>
      <c r="S28" s="21">
        <v>3426317</v>
      </c>
      <c r="T28" s="21">
        <v>1996201</v>
      </c>
      <c r="U28" s="21">
        <v>1430116</v>
      </c>
    </row>
    <row r="29" spans="1:21" x14ac:dyDescent="0.3">
      <c r="A29" s="4">
        <v>46128</v>
      </c>
      <c r="B29" s="18" t="s">
        <v>77</v>
      </c>
      <c r="C29" s="18" t="s">
        <v>118</v>
      </c>
      <c r="D29" s="21">
        <v>800835</v>
      </c>
      <c r="E29" s="21">
        <v>485362</v>
      </c>
      <c r="F29" s="21">
        <v>315473</v>
      </c>
      <c r="G29" s="19">
        <v>65</v>
      </c>
      <c r="H29" s="21">
        <v>1372440</v>
      </c>
      <c r="I29" s="21">
        <v>739190</v>
      </c>
      <c r="J29" s="21">
        <v>633250</v>
      </c>
      <c r="K29" s="19">
        <v>67.64</v>
      </c>
      <c r="L29" s="4">
        <v>44547</v>
      </c>
      <c r="M29" s="18" t="s">
        <v>77</v>
      </c>
      <c r="N29" s="18" t="s">
        <v>94</v>
      </c>
      <c r="O29" s="21">
        <v>3263045</v>
      </c>
      <c r="P29" s="21">
        <v>1668961</v>
      </c>
      <c r="Q29" s="21">
        <v>1594084</v>
      </c>
      <c r="R29" s="19">
        <v>95.51</v>
      </c>
      <c r="S29" s="21">
        <v>3447538</v>
      </c>
      <c r="T29" s="21">
        <v>1931721</v>
      </c>
      <c r="U29" s="21">
        <v>1515817</v>
      </c>
    </row>
    <row r="30" spans="1:21" x14ac:dyDescent="0.3">
      <c r="A30" s="4">
        <v>46127</v>
      </c>
      <c r="B30" s="18" t="s">
        <v>77</v>
      </c>
      <c r="C30" s="18" t="s">
        <v>118</v>
      </c>
      <c r="D30" s="21">
        <v>995703</v>
      </c>
      <c r="E30" s="21">
        <v>623478</v>
      </c>
      <c r="F30" s="21">
        <v>372225</v>
      </c>
      <c r="G30" s="19">
        <v>59.7</v>
      </c>
      <c r="H30" s="21">
        <v>1361341</v>
      </c>
      <c r="I30" s="21">
        <v>734872</v>
      </c>
      <c r="J30" s="21">
        <v>626469</v>
      </c>
      <c r="K30" s="19">
        <v>68.25</v>
      </c>
      <c r="L30" s="4">
        <v>44546</v>
      </c>
      <c r="M30" s="18" t="s">
        <v>77</v>
      </c>
      <c r="N30" s="18" t="s">
        <v>94</v>
      </c>
      <c r="O30" s="21">
        <v>2405514</v>
      </c>
      <c r="P30" s="21">
        <v>1306154</v>
      </c>
      <c r="Q30" s="21">
        <v>1099360</v>
      </c>
      <c r="R30" s="19">
        <v>84.17</v>
      </c>
      <c r="S30" s="21">
        <v>3432977</v>
      </c>
      <c r="T30" s="21">
        <v>1836944</v>
      </c>
      <c r="U30" s="21">
        <v>1596033</v>
      </c>
    </row>
    <row r="31" spans="1:21" x14ac:dyDescent="0.3">
      <c r="A31" s="4">
        <v>46126</v>
      </c>
      <c r="B31" s="18" t="s">
        <v>77</v>
      </c>
      <c r="C31" s="18" t="s">
        <v>118</v>
      </c>
      <c r="D31" s="21">
        <v>814214</v>
      </c>
      <c r="E31" s="21">
        <v>513297</v>
      </c>
      <c r="F31" s="21">
        <v>300917</v>
      </c>
      <c r="G31" s="19">
        <v>58.62</v>
      </c>
      <c r="H31" s="21">
        <v>1354232</v>
      </c>
      <c r="I31" s="21">
        <v>739877</v>
      </c>
      <c r="J31" s="21">
        <v>614355</v>
      </c>
      <c r="K31" s="19">
        <v>77.989999999999995</v>
      </c>
      <c r="L31" s="4">
        <v>44545</v>
      </c>
      <c r="M31" s="18" t="s">
        <v>77</v>
      </c>
      <c r="N31" s="18" t="s">
        <v>94</v>
      </c>
      <c r="O31" s="21">
        <v>2645790</v>
      </c>
      <c r="P31" s="21">
        <v>1445910</v>
      </c>
      <c r="Q31" s="21">
        <v>1199880</v>
      </c>
      <c r="R31" s="19">
        <v>82.98</v>
      </c>
      <c r="S31" s="21">
        <v>3368358</v>
      </c>
      <c r="T31" s="21">
        <v>1779063</v>
      </c>
      <c r="U31" s="21">
        <v>1589295</v>
      </c>
    </row>
    <row r="32" spans="1:21" x14ac:dyDescent="0.3">
      <c r="A32" s="4">
        <v>46125</v>
      </c>
      <c r="B32" s="18" t="s">
        <v>77</v>
      </c>
      <c r="C32" s="18" t="s">
        <v>118</v>
      </c>
      <c r="D32" s="21">
        <v>477452</v>
      </c>
      <c r="E32" s="21">
        <v>282831</v>
      </c>
      <c r="F32" s="21">
        <v>194621</v>
      </c>
      <c r="G32" s="19">
        <v>68.81</v>
      </c>
      <c r="H32" s="21">
        <v>1355590</v>
      </c>
      <c r="I32" s="21">
        <v>755973</v>
      </c>
      <c r="J32" s="21">
        <v>599617</v>
      </c>
      <c r="K32" s="19">
        <v>67.38</v>
      </c>
      <c r="L32" s="4">
        <v>44544</v>
      </c>
      <c r="M32" s="18" t="s">
        <v>77</v>
      </c>
      <c r="N32" s="18" t="s">
        <v>94</v>
      </c>
      <c r="O32" s="21">
        <v>2406641</v>
      </c>
      <c r="P32" s="21">
        <v>1310812</v>
      </c>
      <c r="Q32" s="21">
        <v>1095829</v>
      </c>
      <c r="R32" s="19">
        <v>83.6</v>
      </c>
      <c r="S32" s="21">
        <v>3358598</v>
      </c>
      <c r="T32" s="21">
        <v>1703503</v>
      </c>
      <c r="U32" s="21">
        <v>1655095</v>
      </c>
    </row>
    <row r="33" spans="1:21" x14ac:dyDescent="0.3">
      <c r="A33" s="4">
        <v>46122</v>
      </c>
      <c r="B33" s="18" t="s">
        <v>77</v>
      </c>
      <c r="C33" s="18" t="s">
        <v>118</v>
      </c>
      <c r="D33" s="21">
        <v>860028</v>
      </c>
      <c r="E33" s="21">
        <v>519025</v>
      </c>
      <c r="F33" s="21">
        <v>341003</v>
      </c>
      <c r="G33" s="19">
        <v>65.7</v>
      </c>
      <c r="H33" s="21">
        <v>1332970</v>
      </c>
      <c r="I33" s="21">
        <v>743143</v>
      </c>
      <c r="J33" s="21">
        <v>589827</v>
      </c>
      <c r="K33" s="19">
        <v>70.75</v>
      </c>
      <c r="L33" s="4">
        <v>44543</v>
      </c>
      <c r="M33" s="18" t="s">
        <v>77</v>
      </c>
      <c r="N33" s="18" t="s">
        <v>94</v>
      </c>
      <c r="O33" s="21">
        <v>3977792</v>
      </c>
      <c r="P33" s="21">
        <v>2333676</v>
      </c>
      <c r="Q33" s="21">
        <v>1644116</v>
      </c>
      <c r="R33" s="19">
        <v>70.45</v>
      </c>
      <c r="S33" s="21">
        <v>3315669</v>
      </c>
      <c r="T33" s="21">
        <v>1630002</v>
      </c>
      <c r="U33" s="21">
        <v>1685667</v>
      </c>
    </row>
    <row r="34" spans="1:21" x14ac:dyDescent="0.3">
      <c r="A34" s="4">
        <v>46121</v>
      </c>
      <c r="B34" s="18" t="s">
        <v>77</v>
      </c>
      <c r="C34" s="18" t="s">
        <v>118</v>
      </c>
      <c r="D34" s="21">
        <v>571349</v>
      </c>
      <c r="E34" s="21">
        <v>334148</v>
      </c>
      <c r="F34" s="21">
        <v>237201</v>
      </c>
      <c r="G34" s="19">
        <v>70.989999999999995</v>
      </c>
      <c r="H34" s="21">
        <v>1357420</v>
      </c>
      <c r="I34" s="21">
        <v>766144</v>
      </c>
      <c r="J34" s="21">
        <v>591276</v>
      </c>
      <c r="K34" s="19">
        <v>85.97</v>
      </c>
      <c r="L34" s="4">
        <v>44540</v>
      </c>
      <c r="M34" s="18" t="s">
        <v>77</v>
      </c>
      <c r="N34" s="18" t="s">
        <v>94</v>
      </c>
      <c r="O34" s="21">
        <v>2365550</v>
      </c>
      <c r="P34" s="21">
        <v>1356081</v>
      </c>
      <c r="Q34" s="21">
        <v>1009469</v>
      </c>
      <c r="R34" s="19">
        <v>74.44</v>
      </c>
      <c r="S34" s="21">
        <v>3222653</v>
      </c>
      <c r="T34" s="21">
        <v>1586280</v>
      </c>
      <c r="U34" s="21">
        <v>1636373</v>
      </c>
    </row>
    <row r="35" spans="1:21" x14ac:dyDescent="0.3">
      <c r="A35" s="4">
        <v>46120</v>
      </c>
      <c r="B35" s="18" t="s">
        <v>77</v>
      </c>
      <c r="C35" s="18" t="s">
        <v>118</v>
      </c>
      <c r="D35" s="21">
        <v>1263535</v>
      </c>
      <c r="E35" s="21">
        <v>731970</v>
      </c>
      <c r="F35" s="21">
        <v>531565</v>
      </c>
      <c r="G35" s="19">
        <v>72.62</v>
      </c>
      <c r="H35" s="21">
        <v>1319793</v>
      </c>
      <c r="I35" s="21">
        <v>736783</v>
      </c>
      <c r="J35" s="21">
        <v>583010</v>
      </c>
      <c r="K35" s="19">
        <v>108.87</v>
      </c>
      <c r="L35" s="4">
        <v>44539</v>
      </c>
      <c r="M35" s="18" t="s">
        <v>77</v>
      </c>
      <c r="N35" s="18" t="s">
        <v>94</v>
      </c>
      <c r="O35" s="21">
        <v>5232082</v>
      </c>
      <c r="P35" s="21">
        <v>3115634</v>
      </c>
      <c r="Q35" s="21">
        <v>2116448</v>
      </c>
      <c r="R35" s="19">
        <v>67.930000000000007</v>
      </c>
      <c r="S35" s="21">
        <v>3199830</v>
      </c>
      <c r="T35" s="21">
        <v>1541279</v>
      </c>
      <c r="U35" s="21">
        <v>1658551</v>
      </c>
    </row>
    <row r="36" spans="1:21" x14ac:dyDescent="0.3">
      <c r="A36" s="4">
        <v>46119</v>
      </c>
      <c r="B36" s="18" t="s">
        <v>77</v>
      </c>
      <c r="C36" s="18" t="s">
        <v>118</v>
      </c>
      <c r="D36" s="21">
        <v>589358</v>
      </c>
      <c r="E36" s="21">
        <v>317315</v>
      </c>
      <c r="F36" s="21">
        <v>272043</v>
      </c>
      <c r="G36" s="19">
        <v>85.73</v>
      </c>
      <c r="H36" s="21">
        <v>1388811</v>
      </c>
      <c r="I36" s="21">
        <v>814821</v>
      </c>
      <c r="J36" s="21">
        <v>573990</v>
      </c>
      <c r="K36" s="19">
        <v>122.54</v>
      </c>
      <c r="L36" s="4">
        <v>44538</v>
      </c>
      <c r="M36" s="18" t="s">
        <v>77</v>
      </c>
      <c r="N36" s="18" t="s">
        <v>94</v>
      </c>
      <c r="O36" s="21">
        <v>3208899</v>
      </c>
      <c r="P36" s="21">
        <v>1804329</v>
      </c>
      <c r="Q36" s="21">
        <v>1404570</v>
      </c>
      <c r="R36" s="19">
        <v>77.84</v>
      </c>
      <c r="S36" s="21">
        <v>3045306</v>
      </c>
      <c r="T36" s="21">
        <v>1522780</v>
      </c>
      <c r="U36" s="21">
        <v>1522526</v>
      </c>
    </row>
    <row r="37" spans="1:21" x14ac:dyDescent="0.3">
      <c r="A37" s="4">
        <v>46115</v>
      </c>
      <c r="B37" s="18" t="s">
        <v>77</v>
      </c>
      <c r="C37" s="18" t="s">
        <v>118</v>
      </c>
      <c r="D37" s="21">
        <v>704659</v>
      </c>
      <c r="E37" s="21">
        <v>404779</v>
      </c>
      <c r="F37" s="21">
        <v>299880</v>
      </c>
      <c r="G37" s="19">
        <v>74.08</v>
      </c>
      <c r="H37" s="21">
        <v>1368970</v>
      </c>
      <c r="I37" s="21">
        <v>798729</v>
      </c>
      <c r="J37" s="21">
        <v>570241</v>
      </c>
      <c r="K37" s="19">
        <v>100.07</v>
      </c>
      <c r="L37" s="4">
        <v>44537</v>
      </c>
      <c r="M37" s="18" t="s">
        <v>77</v>
      </c>
      <c r="N37" s="18" t="s">
        <v>94</v>
      </c>
      <c r="O37" s="21">
        <v>2116173</v>
      </c>
      <c r="P37" s="21">
        <v>1170962</v>
      </c>
      <c r="Q37" s="21">
        <v>945211</v>
      </c>
      <c r="R37" s="19">
        <v>80.72</v>
      </c>
      <c r="S37" s="21">
        <v>2944469</v>
      </c>
      <c r="T37" s="21">
        <v>1563550</v>
      </c>
      <c r="U37" s="21">
        <v>1380919</v>
      </c>
    </row>
    <row r="38" spans="1:21" x14ac:dyDescent="0.3">
      <c r="A38" s="4">
        <v>46114</v>
      </c>
      <c r="B38" s="18" t="s">
        <v>77</v>
      </c>
      <c r="C38" s="18" t="s">
        <v>118</v>
      </c>
      <c r="D38" s="21">
        <v>687941</v>
      </c>
      <c r="E38" s="21">
        <v>328273</v>
      </c>
      <c r="F38" s="21">
        <v>359668</v>
      </c>
      <c r="G38" s="19">
        <v>109.56</v>
      </c>
      <c r="H38" s="21">
        <v>1316176</v>
      </c>
      <c r="I38" s="21">
        <v>755160</v>
      </c>
      <c r="J38" s="21">
        <v>561016</v>
      </c>
      <c r="K38" s="19">
        <v>63.96</v>
      </c>
      <c r="L38" s="4">
        <v>44536</v>
      </c>
      <c r="M38" s="18" t="s">
        <v>77</v>
      </c>
      <c r="N38" s="18" t="s">
        <v>94</v>
      </c>
      <c r="O38" s="21">
        <v>2210932</v>
      </c>
      <c r="P38" s="21">
        <v>1228244</v>
      </c>
      <c r="Q38" s="21">
        <v>982688</v>
      </c>
      <c r="R38" s="19">
        <v>80.010000000000005</v>
      </c>
      <c r="S38" s="21">
        <v>2841819</v>
      </c>
      <c r="T38" s="21">
        <v>1547828</v>
      </c>
      <c r="U38" s="21">
        <v>1293991</v>
      </c>
    </row>
    <row r="39" spans="1:21" x14ac:dyDescent="0.3">
      <c r="A39" s="4">
        <v>46113</v>
      </c>
      <c r="B39" s="18" t="s">
        <v>77</v>
      </c>
      <c r="C39" s="18" t="s">
        <v>118</v>
      </c>
      <c r="D39" s="21">
        <v>931644</v>
      </c>
      <c r="E39" s="21">
        <v>581160</v>
      </c>
      <c r="F39" s="21">
        <v>350484</v>
      </c>
      <c r="G39" s="19">
        <v>60.31</v>
      </c>
      <c r="H39" s="21">
        <v>1267066</v>
      </c>
      <c r="I39" s="21">
        <v>716137</v>
      </c>
      <c r="J39" s="21">
        <v>550929</v>
      </c>
      <c r="K39" s="19">
        <v>67.67</v>
      </c>
      <c r="L39" s="4">
        <v>44533</v>
      </c>
      <c r="M39" s="18" t="s">
        <v>77</v>
      </c>
      <c r="N39" s="18" t="s">
        <v>94</v>
      </c>
      <c r="O39" s="21">
        <v>2025530</v>
      </c>
      <c r="P39" s="21">
        <v>1096327</v>
      </c>
      <c r="Q39" s="21">
        <v>929203</v>
      </c>
      <c r="R39" s="19">
        <v>84.76</v>
      </c>
      <c r="S39" s="21">
        <v>2782852</v>
      </c>
      <c r="T39" s="21">
        <v>1576829</v>
      </c>
      <c r="U39" s="21">
        <v>1206023</v>
      </c>
    </row>
    <row r="40" spans="1:21" x14ac:dyDescent="0.3">
      <c r="A40" s="4">
        <v>46112</v>
      </c>
      <c r="B40" s="18" t="s">
        <v>77</v>
      </c>
      <c r="C40" s="18" t="s">
        <v>118</v>
      </c>
      <c r="D40" s="21">
        <v>836999</v>
      </c>
      <c r="E40" s="21">
        <v>451311</v>
      </c>
      <c r="F40" s="21">
        <v>385688</v>
      </c>
      <c r="G40" s="19">
        <v>85.46</v>
      </c>
      <c r="H40" s="21">
        <v>1294850</v>
      </c>
      <c r="I40" s="21">
        <v>751907</v>
      </c>
      <c r="J40" s="21">
        <v>542943</v>
      </c>
      <c r="K40" s="19">
        <v>63.44</v>
      </c>
      <c r="L40" s="4">
        <v>44532</v>
      </c>
      <c r="M40" s="18" t="s">
        <v>77</v>
      </c>
      <c r="N40" s="18" t="s">
        <v>94</v>
      </c>
      <c r="O40" s="21">
        <v>1516940</v>
      </c>
      <c r="P40" s="21">
        <v>803511</v>
      </c>
      <c r="Q40" s="21">
        <v>713429</v>
      </c>
      <c r="R40" s="19">
        <v>88.79</v>
      </c>
      <c r="S40" s="21">
        <v>2779538</v>
      </c>
      <c r="T40" s="21">
        <v>1622202</v>
      </c>
      <c r="U40" s="21">
        <v>1157336</v>
      </c>
    </row>
    <row r="41" spans="1:21" x14ac:dyDescent="0.3">
      <c r="A41" s="4">
        <v>46111</v>
      </c>
      <c r="B41" s="18" t="s">
        <v>77</v>
      </c>
      <c r="C41" s="18" t="s">
        <v>118</v>
      </c>
      <c r="D41" s="21">
        <v>807417</v>
      </c>
      <c r="E41" s="21">
        <v>457721</v>
      </c>
      <c r="F41" s="21">
        <v>349696</v>
      </c>
      <c r="G41" s="19">
        <v>76.400000000000006</v>
      </c>
      <c r="H41" s="21">
        <v>1257895</v>
      </c>
      <c r="I41" s="21">
        <v>729268</v>
      </c>
      <c r="J41" s="21">
        <v>528627</v>
      </c>
      <c r="K41" s="19">
        <v>90.07</v>
      </c>
      <c r="L41" s="4">
        <v>44531</v>
      </c>
      <c r="M41" s="18" t="s">
        <v>77</v>
      </c>
      <c r="N41" s="18" t="s">
        <v>94</v>
      </c>
      <c r="O41" s="21">
        <v>1195625</v>
      </c>
      <c r="P41" s="21">
        <v>644126</v>
      </c>
      <c r="Q41" s="21">
        <v>551499</v>
      </c>
      <c r="R41" s="19">
        <v>85.62</v>
      </c>
      <c r="S41" s="21">
        <v>2770910</v>
      </c>
      <c r="T41" s="21">
        <v>1642152</v>
      </c>
      <c r="U41" s="21">
        <v>1128758</v>
      </c>
    </row>
    <row r="42" spans="1:21" x14ac:dyDescent="0.3">
      <c r="A42" s="4">
        <v>46108</v>
      </c>
      <c r="B42" s="18" t="s">
        <v>77</v>
      </c>
      <c r="C42" s="18" t="s">
        <v>118</v>
      </c>
      <c r="D42" s="21">
        <v>706893</v>
      </c>
      <c r="E42" s="21">
        <v>387140</v>
      </c>
      <c r="F42" s="21">
        <v>319753</v>
      </c>
      <c r="G42" s="19">
        <v>82.59</v>
      </c>
      <c r="H42" s="21">
        <v>1222679</v>
      </c>
      <c r="I42" s="21">
        <v>712715</v>
      </c>
      <c r="J42" s="21">
        <v>509964</v>
      </c>
      <c r="K42" s="19">
        <v>93.16</v>
      </c>
      <c r="L42" s="4">
        <v>44530</v>
      </c>
      <c r="M42" s="18" t="s">
        <v>77</v>
      </c>
      <c r="N42" s="18" t="s">
        <v>94</v>
      </c>
      <c r="O42" s="21">
        <v>1759099</v>
      </c>
      <c r="P42" s="21">
        <v>929056</v>
      </c>
      <c r="Q42" s="21">
        <v>830043</v>
      </c>
      <c r="R42" s="19">
        <v>89.34</v>
      </c>
      <c r="S42" s="21">
        <v>2738329</v>
      </c>
      <c r="T42" s="21">
        <v>1637590</v>
      </c>
      <c r="U42" s="21">
        <v>1100739</v>
      </c>
    </row>
    <row r="43" spans="1:21" x14ac:dyDescent="0.3">
      <c r="A43" s="4">
        <v>46107</v>
      </c>
      <c r="B43" s="18" t="s">
        <v>77</v>
      </c>
      <c r="C43" s="18" t="s">
        <v>118</v>
      </c>
      <c r="D43" s="21">
        <v>1133727</v>
      </c>
      <c r="E43" s="21">
        <v>735225</v>
      </c>
      <c r="F43" s="21">
        <v>398502</v>
      </c>
      <c r="G43" s="19">
        <v>54.2</v>
      </c>
      <c r="H43" s="21">
        <v>1163636</v>
      </c>
      <c r="I43" s="21">
        <v>681286</v>
      </c>
      <c r="J43" s="21">
        <v>482350</v>
      </c>
      <c r="K43" s="19">
        <v>70.97</v>
      </c>
      <c r="L43" s="4">
        <v>44529</v>
      </c>
      <c r="M43" s="18" t="s">
        <v>77</v>
      </c>
      <c r="N43" s="18" t="s">
        <v>94</v>
      </c>
      <c r="O43" s="21">
        <v>1674826</v>
      </c>
      <c r="P43" s="21">
        <v>864255</v>
      </c>
      <c r="Q43" s="21">
        <v>810571</v>
      </c>
      <c r="R43" s="19">
        <v>93.79</v>
      </c>
      <c r="S43" s="21">
        <v>2582821</v>
      </c>
      <c r="T43" s="21">
        <v>1520254</v>
      </c>
      <c r="U43" s="21">
        <v>1062567</v>
      </c>
    </row>
    <row r="44" spans="1:21" x14ac:dyDescent="0.3">
      <c r="A44" s="4">
        <v>46106</v>
      </c>
      <c r="B44" s="18" t="s">
        <v>77</v>
      </c>
      <c r="C44" s="18" t="s">
        <v>118</v>
      </c>
      <c r="D44" s="21">
        <v>1131114</v>
      </c>
      <c r="E44" s="21">
        <v>686722</v>
      </c>
      <c r="F44" s="21">
        <v>444392</v>
      </c>
      <c r="G44" s="19">
        <v>64.709999999999994</v>
      </c>
      <c r="H44" s="21">
        <v>1054666</v>
      </c>
      <c r="I44" s="21">
        <v>612371</v>
      </c>
      <c r="J44" s="21">
        <v>442295</v>
      </c>
      <c r="K44" s="19">
        <v>65.66</v>
      </c>
      <c r="L44" s="4">
        <v>44526</v>
      </c>
      <c r="M44" s="18" t="s">
        <v>77</v>
      </c>
      <c r="N44" s="18" t="s">
        <v>94</v>
      </c>
      <c r="O44" s="21">
        <v>1627158</v>
      </c>
      <c r="P44" s="21">
        <v>826035</v>
      </c>
      <c r="Q44" s="21">
        <v>801123</v>
      </c>
      <c r="R44" s="19">
        <v>96.98</v>
      </c>
      <c r="S44" s="21">
        <v>2370333</v>
      </c>
      <c r="T44" s="21">
        <v>1397220</v>
      </c>
      <c r="U44" s="21">
        <v>973113</v>
      </c>
    </row>
    <row r="45" spans="1:21" x14ac:dyDescent="0.3">
      <c r="A45" s="4">
        <v>46105</v>
      </c>
      <c r="B45" s="18" t="s">
        <v>77</v>
      </c>
      <c r="C45" s="18" t="s">
        <v>118</v>
      </c>
      <c r="D45" s="21">
        <v>1537387</v>
      </c>
      <c r="E45" s="21">
        <v>900620</v>
      </c>
      <c r="F45" s="21">
        <v>636767</v>
      </c>
      <c r="G45" s="19">
        <v>70.7</v>
      </c>
      <c r="H45" s="21">
        <v>1629698</v>
      </c>
      <c r="I45" s="21">
        <v>1054649</v>
      </c>
      <c r="J45" s="21">
        <v>575049</v>
      </c>
      <c r="K45" s="19">
        <v>58.84</v>
      </c>
      <c r="L45" s="4">
        <v>44525</v>
      </c>
      <c r="M45" s="18" t="s">
        <v>77</v>
      </c>
      <c r="N45" s="18" t="s">
        <v>94</v>
      </c>
      <c r="O45" s="21">
        <v>1377868</v>
      </c>
      <c r="P45" s="21">
        <v>708718</v>
      </c>
      <c r="Q45" s="21">
        <v>669150</v>
      </c>
      <c r="R45" s="19">
        <v>94.42</v>
      </c>
      <c r="S45" s="21">
        <v>2155309</v>
      </c>
      <c r="T45" s="21">
        <v>1213577</v>
      </c>
      <c r="U45" s="21">
        <v>941732</v>
      </c>
    </row>
    <row r="46" spans="1:21" x14ac:dyDescent="0.3">
      <c r="A46" s="4">
        <v>46104</v>
      </c>
      <c r="B46" s="18" t="s">
        <v>77</v>
      </c>
      <c r="C46" s="18" t="s">
        <v>118</v>
      </c>
      <c r="D46" s="21">
        <v>2183594</v>
      </c>
      <c r="E46" s="21">
        <v>1185148</v>
      </c>
      <c r="F46" s="21">
        <v>998446</v>
      </c>
      <c r="G46" s="19">
        <v>84.25</v>
      </c>
      <c r="H46" s="21">
        <v>1665561</v>
      </c>
      <c r="I46" s="21">
        <v>1080213</v>
      </c>
      <c r="J46" s="21">
        <v>585348</v>
      </c>
      <c r="K46" s="19">
        <v>59.17</v>
      </c>
      <c r="L46" s="4">
        <v>44524</v>
      </c>
      <c r="M46" s="18" t="s">
        <v>77</v>
      </c>
      <c r="N46" s="18" t="s">
        <v>94</v>
      </c>
      <c r="O46" s="21">
        <v>1975154</v>
      </c>
      <c r="P46" s="21">
        <v>1037126</v>
      </c>
      <c r="Q46" s="21">
        <v>938028</v>
      </c>
      <c r="R46" s="19">
        <v>90.44</v>
      </c>
      <c r="S46" s="21">
        <v>1943689</v>
      </c>
      <c r="T46" s="21">
        <v>1073866</v>
      </c>
      <c r="U46" s="21">
        <v>869823</v>
      </c>
    </row>
    <row r="47" spans="1:21" x14ac:dyDescent="0.3">
      <c r="A47" s="4">
        <v>46101</v>
      </c>
      <c r="B47" s="18" t="s">
        <v>77</v>
      </c>
      <c r="C47" s="18" t="s">
        <v>118</v>
      </c>
      <c r="D47" s="21">
        <v>1148955</v>
      </c>
      <c r="E47" s="21">
        <v>686311</v>
      </c>
      <c r="F47" s="21">
        <v>462644</v>
      </c>
      <c r="G47" s="19">
        <v>67.41</v>
      </c>
      <c r="H47" s="21">
        <v>1573003</v>
      </c>
      <c r="I47" s="21">
        <v>954117</v>
      </c>
      <c r="J47" s="21">
        <v>618886</v>
      </c>
      <c r="K47" s="19">
        <v>48.94</v>
      </c>
      <c r="L47" s="4">
        <v>44523</v>
      </c>
      <c r="M47" s="18" t="s">
        <v>77</v>
      </c>
      <c r="N47" s="18" t="s">
        <v>94</v>
      </c>
      <c r="O47" s="21">
        <v>1913377</v>
      </c>
      <c r="P47" s="21">
        <v>1048867</v>
      </c>
      <c r="Q47" s="21">
        <v>864510</v>
      </c>
      <c r="R47" s="19">
        <v>82.42</v>
      </c>
      <c r="S47" s="21">
        <v>2908325</v>
      </c>
      <c r="T47" s="21">
        <v>1689644</v>
      </c>
      <c r="U47" s="21">
        <v>1218681</v>
      </c>
    </row>
    <row r="48" spans="1:21" x14ac:dyDescent="0.3">
      <c r="A48" s="4">
        <v>46100</v>
      </c>
      <c r="B48" s="18" t="s">
        <v>77</v>
      </c>
      <c r="C48" s="18" t="s">
        <v>118</v>
      </c>
      <c r="D48" s="21">
        <v>1215503</v>
      </c>
      <c r="E48" s="21">
        <v>605939</v>
      </c>
      <c r="F48" s="21">
        <v>609564</v>
      </c>
      <c r="G48" s="19">
        <v>100.6</v>
      </c>
      <c r="H48" s="21">
        <v>1525869</v>
      </c>
      <c r="I48" s="21">
        <v>910731</v>
      </c>
      <c r="J48" s="21">
        <v>615138</v>
      </c>
      <c r="K48" s="19">
        <v>55.35</v>
      </c>
      <c r="L48" s="4">
        <v>44522</v>
      </c>
      <c r="M48" s="18" t="s">
        <v>77</v>
      </c>
      <c r="N48" s="18" t="s">
        <v>94</v>
      </c>
      <c r="O48" s="21">
        <v>1739998</v>
      </c>
      <c r="P48" s="21">
        <v>998937</v>
      </c>
      <c r="Q48" s="21">
        <v>741061</v>
      </c>
      <c r="R48" s="19">
        <v>74.180000000000007</v>
      </c>
      <c r="S48" s="21">
        <v>2961004</v>
      </c>
      <c r="T48" s="21">
        <v>1758257</v>
      </c>
      <c r="U48" s="21">
        <v>1202747</v>
      </c>
    </row>
    <row r="49" spans="1:21" x14ac:dyDescent="0.3">
      <c r="A49" s="4">
        <v>46099</v>
      </c>
      <c r="B49" s="18" t="s">
        <v>77</v>
      </c>
      <c r="C49" s="18" t="s">
        <v>118</v>
      </c>
      <c r="D49" s="21">
        <v>900064</v>
      </c>
      <c r="E49" s="21">
        <v>516859</v>
      </c>
      <c r="F49" s="21">
        <v>383205</v>
      </c>
      <c r="G49" s="19">
        <v>74.14</v>
      </c>
      <c r="H49" s="21">
        <v>1460448</v>
      </c>
      <c r="I49" s="21">
        <v>847993</v>
      </c>
      <c r="J49" s="21">
        <v>612455</v>
      </c>
      <c r="K49" s="19">
        <v>51.4</v>
      </c>
      <c r="L49" s="4">
        <v>44519</v>
      </c>
      <c r="M49" s="18" t="s">
        <v>77</v>
      </c>
      <c r="N49" s="18" t="s">
        <v>94</v>
      </c>
      <c r="O49" s="21">
        <v>2890387</v>
      </c>
      <c r="P49" s="21">
        <v>1657905</v>
      </c>
      <c r="Q49" s="21">
        <v>1232482</v>
      </c>
      <c r="R49" s="19">
        <v>74.34</v>
      </c>
      <c r="S49" s="21">
        <v>3045556</v>
      </c>
      <c r="T49" s="21">
        <v>1826343</v>
      </c>
      <c r="U49" s="21">
        <v>1219213</v>
      </c>
    </row>
    <row r="50" spans="1:21" x14ac:dyDescent="0.3">
      <c r="A50" s="4">
        <v>46098</v>
      </c>
      <c r="B50" s="18" t="s">
        <v>77</v>
      </c>
      <c r="C50" s="18" t="s">
        <v>118</v>
      </c>
      <c r="D50" s="21">
        <v>1196985</v>
      </c>
      <c r="E50" s="21">
        <v>690612</v>
      </c>
      <c r="F50" s="21">
        <v>506373</v>
      </c>
      <c r="G50" s="19">
        <v>73.319999999999993</v>
      </c>
      <c r="H50" s="21">
        <v>1413881</v>
      </c>
      <c r="I50" s="21">
        <v>810167</v>
      </c>
      <c r="J50" s="21">
        <v>603714</v>
      </c>
      <c r="K50" s="19">
        <v>57.38</v>
      </c>
      <c r="L50" s="4">
        <v>44518</v>
      </c>
      <c r="M50" s="18" t="s">
        <v>77</v>
      </c>
      <c r="N50" s="18" t="s">
        <v>94</v>
      </c>
      <c r="O50" s="21">
        <v>2238878</v>
      </c>
      <c r="P50" s="21">
        <v>1214088</v>
      </c>
      <c r="Q50" s="21">
        <v>1024790</v>
      </c>
      <c r="R50" s="19">
        <v>84.41</v>
      </c>
      <c r="S50" s="21">
        <v>3234577</v>
      </c>
      <c r="T50" s="21">
        <v>1990409</v>
      </c>
      <c r="U50" s="21">
        <v>1244168</v>
      </c>
    </row>
    <row r="51" spans="1:21" x14ac:dyDescent="0.3">
      <c r="A51" s="4">
        <v>46097</v>
      </c>
      <c r="B51" s="18" t="s">
        <v>77</v>
      </c>
      <c r="C51" s="18" t="s">
        <v>118</v>
      </c>
      <c r="D51" s="21">
        <v>886952</v>
      </c>
      <c r="E51" s="21">
        <v>455830</v>
      </c>
      <c r="F51" s="21">
        <v>431122</v>
      </c>
      <c r="G51" s="19">
        <v>94.58</v>
      </c>
      <c r="H51" s="21">
        <v>1441395</v>
      </c>
      <c r="I51" s="21">
        <v>831581</v>
      </c>
      <c r="J51" s="21">
        <v>609814</v>
      </c>
      <c r="K51" s="19">
        <v>61.96</v>
      </c>
      <c r="L51" s="4">
        <v>44517</v>
      </c>
      <c r="M51" s="18" t="s">
        <v>77</v>
      </c>
      <c r="N51" s="18" t="s">
        <v>94</v>
      </c>
      <c r="O51" s="21">
        <v>1716877</v>
      </c>
      <c r="P51" s="21">
        <v>939741</v>
      </c>
      <c r="Q51" s="21">
        <v>777136</v>
      </c>
      <c r="R51" s="19">
        <v>82.7</v>
      </c>
      <c r="S51" s="21">
        <v>3188664</v>
      </c>
      <c r="T51" s="21">
        <v>1930024</v>
      </c>
      <c r="U51" s="21">
        <v>1258640</v>
      </c>
    </row>
    <row r="52" spans="1:21" x14ac:dyDescent="0.3">
      <c r="A52" s="4">
        <v>46094</v>
      </c>
      <c r="B52" s="18" t="s">
        <v>77</v>
      </c>
      <c r="C52" s="18" t="s">
        <v>118</v>
      </c>
      <c r="D52" s="21">
        <v>645748</v>
      </c>
      <c r="E52" s="21">
        <v>333283</v>
      </c>
      <c r="F52" s="21">
        <v>312465</v>
      </c>
      <c r="G52" s="19">
        <v>93.75</v>
      </c>
      <c r="H52" s="21">
        <v>1441879</v>
      </c>
      <c r="I52" s="21">
        <v>825023</v>
      </c>
      <c r="J52" s="21">
        <v>616856</v>
      </c>
      <c r="K52" s="19">
        <v>65.64</v>
      </c>
      <c r="L52" s="4">
        <v>44516</v>
      </c>
      <c r="M52" s="18" t="s">
        <v>77</v>
      </c>
      <c r="N52" s="18" t="s">
        <v>94</v>
      </c>
      <c r="O52" s="21">
        <v>1963241</v>
      </c>
      <c r="P52" s="21">
        <v>1077438</v>
      </c>
      <c r="Q52" s="21">
        <v>885803</v>
      </c>
      <c r="R52" s="19">
        <v>82.21</v>
      </c>
      <c r="S52" s="21">
        <v>3132641</v>
      </c>
      <c r="T52" s="21">
        <v>1858332</v>
      </c>
      <c r="U52" s="21">
        <v>1274309</v>
      </c>
    </row>
    <row r="53" spans="1:21" x14ac:dyDescent="0.3">
      <c r="A53" s="4">
        <v>46093</v>
      </c>
      <c r="B53" s="18" t="s">
        <v>77</v>
      </c>
      <c r="C53" s="18" t="s">
        <v>118</v>
      </c>
      <c r="D53" s="21">
        <v>683511</v>
      </c>
      <c r="E53" s="21">
        <v>345929</v>
      </c>
      <c r="F53" s="21">
        <v>337582</v>
      </c>
      <c r="G53" s="19">
        <v>97.59</v>
      </c>
      <c r="H53" s="21">
        <v>1425994</v>
      </c>
      <c r="I53" s="21">
        <v>819228</v>
      </c>
      <c r="J53" s="21">
        <v>606766</v>
      </c>
      <c r="K53" s="19">
        <v>83.12</v>
      </c>
      <c r="L53" s="4">
        <v>44515</v>
      </c>
      <c r="M53" s="18" t="s">
        <v>77</v>
      </c>
      <c r="N53" s="18" t="s">
        <v>94</v>
      </c>
      <c r="O53" s="21">
        <v>1492018</v>
      </c>
      <c r="P53" s="21">
        <v>833562</v>
      </c>
      <c r="Q53" s="21">
        <v>658456</v>
      </c>
      <c r="R53" s="19">
        <v>78.989999999999995</v>
      </c>
      <c r="S53" s="21">
        <v>3141145</v>
      </c>
      <c r="T53" s="21">
        <v>1872423</v>
      </c>
      <c r="U53" s="21">
        <v>1268722</v>
      </c>
    </row>
    <row r="54" spans="1:21" x14ac:dyDescent="0.3">
      <c r="A54" s="4">
        <v>46092</v>
      </c>
      <c r="B54" s="18" t="s">
        <v>77</v>
      </c>
      <c r="C54" s="18" t="s">
        <v>118</v>
      </c>
      <c r="D54" s="21">
        <v>491588</v>
      </c>
      <c r="E54" s="21">
        <v>288099</v>
      </c>
      <c r="F54" s="21">
        <v>203489</v>
      </c>
      <c r="G54" s="19">
        <v>70.63</v>
      </c>
      <c r="H54" s="21">
        <v>1397666</v>
      </c>
      <c r="I54" s="21">
        <v>791882</v>
      </c>
      <c r="J54" s="21">
        <v>605784</v>
      </c>
      <c r="K54" s="19">
        <v>99.94</v>
      </c>
      <c r="L54" s="4">
        <v>44512</v>
      </c>
      <c r="M54" s="18" t="s">
        <v>77</v>
      </c>
      <c r="N54" s="18" t="s">
        <v>94</v>
      </c>
      <c r="O54" s="21">
        <v>1529443</v>
      </c>
      <c r="P54" s="21">
        <v>846394</v>
      </c>
      <c r="Q54" s="21">
        <v>683049</v>
      </c>
      <c r="R54" s="19">
        <v>80.7</v>
      </c>
      <c r="S54" s="21">
        <v>3079670</v>
      </c>
      <c r="T54" s="21">
        <v>1810797</v>
      </c>
      <c r="U54" s="21">
        <v>1268873</v>
      </c>
    </row>
    <row r="55" spans="1:21" x14ac:dyDescent="0.3">
      <c r="A55" s="4">
        <v>46091</v>
      </c>
      <c r="B55" s="18" t="s">
        <v>77</v>
      </c>
      <c r="C55" s="18" t="s">
        <v>118</v>
      </c>
      <c r="D55" s="21">
        <v>552326</v>
      </c>
      <c r="E55" s="21">
        <v>297096</v>
      </c>
      <c r="F55" s="21">
        <v>255230</v>
      </c>
      <c r="G55" s="19">
        <v>85.91</v>
      </c>
      <c r="H55" s="21">
        <v>1374764</v>
      </c>
      <c r="I55" s="21">
        <v>785728</v>
      </c>
      <c r="J55" s="21">
        <v>589036</v>
      </c>
      <c r="K55" s="19">
        <v>103.78</v>
      </c>
      <c r="L55" s="4">
        <v>44511</v>
      </c>
      <c r="M55" s="18" t="s">
        <v>77</v>
      </c>
      <c r="N55" s="18" t="s">
        <v>94</v>
      </c>
      <c r="O55" s="21">
        <v>2734703</v>
      </c>
      <c r="P55" s="21">
        <v>1539090</v>
      </c>
      <c r="Q55" s="21">
        <v>1195613</v>
      </c>
      <c r="R55" s="19">
        <v>77.680000000000007</v>
      </c>
      <c r="S55" s="21">
        <v>3016753</v>
      </c>
      <c r="T55" s="21">
        <v>1744445</v>
      </c>
      <c r="U55" s="21">
        <v>1272308</v>
      </c>
    </row>
    <row r="56" spans="1:21" x14ac:dyDescent="0.3">
      <c r="A56" s="4">
        <v>46090</v>
      </c>
      <c r="B56" s="18" t="s">
        <v>77</v>
      </c>
      <c r="C56" s="18" t="s">
        <v>118</v>
      </c>
      <c r="D56" s="21">
        <v>1115879</v>
      </c>
      <c r="E56" s="21">
        <v>560910</v>
      </c>
      <c r="F56" s="21">
        <v>554969</v>
      </c>
      <c r="G56" s="19">
        <v>98.94</v>
      </c>
      <c r="H56" s="21">
        <v>1360048</v>
      </c>
      <c r="I56" s="21">
        <v>781036</v>
      </c>
      <c r="J56" s="21">
        <v>579012</v>
      </c>
      <c r="K56" s="19">
        <v>78.75</v>
      </c>
      <c r="L56" s="4">
        <v>44510</v>
      </c>
      <c r="M56" s="18" t="s">
        <v>77</v>
      </c>
      <c r="N56" s="18" t="s">
        <v>94</v>
      </c>
      <c r="O56" s="21">
        <v>2750699</v>
      </c>
      <c r="P56" s="21">
        <v>1502964</v>
      </c>
      <c r="Q56" s="21">
        <v>1247735</v>
      </c>
      <c r="R56" s="19">
        <v>83.02</v>
      </c>
      <c r="S56" s="21">
        <v>3250742</v>
      </c>
      <c r="T56" s="21">
        <v>2029839</v>
      </c>
      <c r="U56" s="21">
        <v>1220903</v>
      </c>
    </row>
    <row r="57" spans="1:21" x14ac:dyDescent="0.3">
      <c r="A57" s="4">
        <v>46087</v>
      </c>
      <c r="B57" s="18" t="s">
        <v>77</v>
      </c>
      <c r="C57" s="18" t="s">
        <v>118</v>
      </c>
      <c r="D57" s="21">
        <v>563391</v>
      </c>
      <c r="E57" s="21">
        <v>325015</v>
      </c>
      <c r="F57" s="21">
        <v>238376</v>
      </c>
      <c r="G57" s="19">
        <v>73.34</v>
      </c>
      <c r="H57" s="21">
        <v>1352035</v>
      </c>
      <c r="I57" s="21">
        <v>764239</v>
      </c>
      <c r="J57" s="21">
        <v>587796</v>
      </c>
      <c r="K57" s="19">
        <v>95.35</v>
      </c>
      <c r="L57" s="4">
        <v>44509</v>
      </c>
      <c r="M57" s="18" t="s">
        <v>77</v>
      </c>
      <c r="N57" s="18" t="s">
        <v>94</v>
      </c>
      <c r="O57" s="21">
        <v>1658371</v>
      </c>
      <c r="P57" s="21">
        <v>936766</v>
      </c>
      <c r="Q57" s="21">
        <v>721605</v>
      </c>
      <c r="R57" s="19">
        <v>77.03</v>
      </c>
      <c r="S57" s="21">
        <v>3162634</v>
      </c>
      <c r="T57" s="21">
        <v>1944668</v>
      </c>
      <c r="U57" s="21">
        <v>1217966</v>
      </c>
    </row>
    <row r="58" spans="1:21" x14ac:dyDescent="0.3">
      <c r="A58" s="4">
        <v>46086</v>
      </c>
      <c r="B58" s="18" t="s">
        <v>77</v>
      </c>
      <c r="C58" s="18" t="s">
        <v>118</v>
      </c>
      <c r="D58" s="21">
        <v>670926</v>
      </c>
      <c r="E58" s="21">
        <v>345767</v>
      </c>
      <c r="F58" s="21">
        <v>325159</v>
      </c>
      <c r="G58" s="19">
        <v>94.04</v>
      </c>
      <c r="H58" s="21">
        <v>1311527</v>
      </c>
      <c r="I58" s="21">
        <v>743481</v>
      </c>
      <c r="J58" s="21">
        <v>568046</v>
      </c>
      <c r="K58" s="19">
        <v>83.87</v>
      </c>
      <c r="L58" s="4">
        <v>44508</v>
      </c>
      <c r="M58" s="18" t="s">
        <v>77</v>
      </c>
      <c r="N58" s="18" t="s">
        <v>94</v>
      </c>
      <c r="O58" s="21">
        <v>1473373</v>
      </c>
      <c r="P58" s="21">
        <v>789668</v>
      </c>
      <c r="Q58" s="21">
        <v>683705</v>
      </c>
      <c r="R58" s="19">
        <v>86.58</v>
      </c>
      <c r="S58" s="21">
        <v>3037237</v>
      </c>
      <c r="T58" s="21">
        <v>1839431</v>
      </c>
      <c r="U58" s="21">
        <v>1197806</v>
      </c>
    </row>
    <row r="59" spans="1:21" x14ac:dyDescent="0.3">
      <c r="A59" s="4">
        <v>46085</v>
      </c>
      <c r="B59" s="18" t="s">
        <v>77</v>
      </c>
      <c r="C59" s="18" t="s">
        <v>118</v>
      </c>
      <c r="D59" s="21">
        <v>1227792</v>
      </c>
      <c r="E59" s="21">
        <v>573864</v>
      </c>
      <c r="F59" s="21">
        <v>653928</v>
      </c>
      <c r="G59" s="19">
        <v>113.95</v>
      </c>
      <c r="H59" s="21">
        <v>1303445</v>
      </c>
      <c r="I59" s="21">
        <v>732425</v>
      </c>
      <c r="J59" s="21">
        <v>571020</v>
      </c>
      <c r="K59" s="19">
        <v>91</v>
      </c>
      <c r="L59" s="4">
        <v>44505</v>
      </c>
      <c r="M59" s="18" t="s">
        <v>77</v>
      </c>
      <c r="N59" s="18" t="s">
        <v>94</v>
      </c>
      <c r="O59" s="21">
        <v>1724546</v>
      </c>
      <c r="P59" s="21">
        <v>910865</v>
      </c>
      <c r="Q59" s="21">
        <v>813681</v>
      </c>
      <c r="R59" s="19">
        <v>89.33</v>
      </c>
      <c r="S59" s="21">
        <v>2916903</v>
      </c>
      <c r="T59" s="21">
        <v>1731919</v>
      </c>
      <c r="U59" s="21">
        <v>1184984</v>
      </c>
    </row>
    <row r="60" spans="1:21" x14ac:dyDescent="0.3">
      <c r="A60" s="4">
        <v>46084</v>
      </c>
      <c r="B60" s="18" t="s">
        <v>77</v>
      </c>
      <c r="C60" s="18" t="s">
        <v>118</v>
      </c>
      <c r="D60" s="21">
        <v>1223351</v>
      </c>
      <c r="E60" s="21">
        <v>552619</v>
      </c>
      <c r="F60" s="21">
        <v>670732</v>
      </c>
      <c r="G60" s="19">
        <v>121.37</v>
      </c>
      <c r="H60" s="21">
        <v>1193452</v>
      </c>
      <c r="I60" s="21">
        <v>661982</v>
      </c>
      <c r="J60" s="21">
        <v>531470</v>
      </c>
      <c r="K60" s="19">
        <v>96.75</v>
      </c>
      <c r="L60" s="4">
        <v>44504</v>
      </c>
      <c r="M60" s="18" t="s">
        <v>77</v>
      </c>
      <c r="N60" s="18" t="s">
        <v>94</v>
      </c>
      <c r="O60" s="21">
        <v>1459303</v>
      </c>
      <c r="P60" s="21">
        <v>777334</v>
      </c>
      <c r="Q60" s="21">
        <v>681969</v>
      </c>
      <c r="R60" s="19">
        <v>87.73</v>
      </c>
      <c r="S60" s="21">
        <v>2939497</v>
      </c>
      <c r="T60" s="21">
        <v>1769377</v>
      </c>
      <c r="U60" s="21">
        <v>1170120</v>
      </c>
    </row>
    <row r="61" spans="1:21" x14ac:dyDescent="0.3">
      <c r="A61" s="4">
        <v>46083</v>
      </c>
      <c r="B61" s="18" t="s">
        <v>77</v>
      </c>
      <c r="C61" s="18" t="s">
        <v>118</v>
      </c>
      <c r="D61" s="21">
        <v>900759</v>
      </c>
      <c r="E61" s="21">
        <v>445558</v>
      </c>
      <c r="F61" s="21">
        <v>455201</v>
      </c>
      <c r="G61" s="19">
        <v>102.16</v>
      </c>
      <c r="H61" s="21">
        <v>1123121</v>
      </c>
      <c r="I61" s="21">
        <v>615652</v>
      </c>
      <c r="J61" s="21">
        <v>507469</v>
      </c>
      <c r="K61" s="19">
        <v>107.12</v>
      </c>
      <c r="L61" s="4">
        <v>44503</v>
      </c>
      <c r="M61" s="18" t="s">
        <v>77</v>
      </c>
      <c r="N61" s="18" t="s">
        <v>94</v>
      </c>
      <c r="O61" s="21">
        <v>1898002</v>
      </c>
      <c r="P61" s="21">
        <v>998617</v>
      </c>
      <c r="Q61" s="21">
        <v>899385</v>
      </c>
      <c r="R61" s="19">
        <v>90.06</v>
      </c>
      <c r="S61" s="21">
        <v>2946766</v>
      </c>
      <c r="T61" s="21">
        <v>1797196</v>
      </c>
      <c r="U61" s="21">
        <v>1149570</v>
      </c>
    </row>
    <row r="62" spans="1:21" x14ac:dyDescent="0.3">
      <c r="A62" s="4">
        <v>46080</v>
      </c>
      <c r="B62" s="18" t="s">
        <v>77</v>
      </c>
      <c r="C62" s="18" t="s">
        <v>118</v>
      </c>
      <c r="D62" s="21">
        <v>421453</v>
      </c>
      <c r="E62" s="21">
        <v>228995</v>
      </c>
      <c r="F62" s="21">
        <v>192458</v>
      </c>
      <c r="G62" s="19">
        <v>84.04</v>
      </c>
      <c r="H62" s="21">
        <v>1095404</v>
      </c>
      <c r="I62" s="21">
        <v>610320</v>
      </c>
      <c r="J62" s="21">
        <v>485084</v>
      </c>
      <c r="K62" s="19">
        <v>99.51</v>
      </c>
      <c r="L62" s="4">
        <v>44502</v>
      </c>
      <c r="M62" s="18" t="s">
        <v>77</v>
      </c>
      <c r="N62" s="18" t="s">
        <v>94</v>
      </c>
      <c r="O62" s="21">
        <v>2868093</v>
      </c>
      <c r="P62" s="21">
        <v>1530265</v>
      </c>
      <c r="Q62" s="21">
        <v>1337828</v>
      </c>
      <c r="R62" s="19">
        <v>87.42</v>
      </c>
      <c r="S62" s="21">
        <v>2749048</v>
      </c>
      <c r="T62" s="21">
        <v>1656745</v>
      </c>
      <c r="U62" s="21">
        <v>1092303</v>
      </c>
    </row>
    <row r="63" spans="1:21" x14ac:dyDescent="0.3">
      <c r="A63" s="4">
        <v>46079</v>
      </c>
      <c r="B63" s="18" t="s">
        <v>77</v>
      </c>
      <c r="C63" s="18" t="s">
        <v>118</v>
      </c>
      <c r="D63" s="21">
        <v>646530</v>
      </c>
      <c r="E63" s="21">
        <v>345703</v>
      </c>
      <c r="F63" s="21">
        <v>300827</v>
      </c>
      <c r="G63" s="19">
        <v>87.02</v>
      </c>
      <c r="H63" s="21">
        <v>1069985</v>
      </c>
      <c r="I63" s="21">
        <v>601590</v>
      </c>
      <c r="J63" s="21">
        <v>468395</v>
      </c>
      <c r="K63" s="19">
        <v>108.47</v>
      </c>
      <c r="L63" s="4">
        <v>44501</v>
      </c>
      <c r="M63" s="18" t="s">
        <v>77</v>
      </c>
      <c r="N63" s="18" t="s">
        <v>94</v>
      </c>
      <c r="O63" s="21">
        <v>1489669</v>
      </c>
      <c r="P63" s="21">
        <v>767324</v>
      </c>
      <c r="Q63" s="21">
        <v>722345</v>
      </c>
      <c r="R63" s="19">
        <v>94.14</v>
      </c>
      <c r="S63" s="21">
        <v>2496531</v>
      </c>
      <c r="T63" s="21">
        <v>1450526</v>
      </c>
      <c r="U63" s="21">
        <v>1046005</v>
      </c>
    </row>
    <row r="64" spans="1:21" x14ac:dyDescent="0.3">
      <c r="A64" s="4">
        <v>46078</v>
      </c>
      <c r="B64" s="18" t="s">
        <v>77</v>
      </c>
      <c r="C64" s="18" t="s">
        <v>118</v>
      </c>
      <c r="D64" s="21">
        <v>837423</v>
      </c>
      <c r="E64" s="21">
        <v>480681</v>
      </c>
      <c r="F64" s="21">
        <v>356742</v>
      </c>
      <c r="G64" s="19">
        <v>74.22</v>
      </c>
      <c r="H64" s="21">
        <v>930636</v>
      </c>
      <c r="I64" s="21">
        <v>520627</v>
      </c>
      <c r="J64" s="21">
        <v>410009</v>
      </c>
      <c r="K64" s="19">
        <v>123.71</v>
      </c>
      <c r="L64" s="4">
        <v>44498</v>
      </c>
      <c r="M64" s="18" t="s">
        <v>77</v>
      </c>
      <c r="N64" s="18" t="s">
        <v>94</v>
      </c>
      <c r="O64" s="21">
        <v>1433122</v>
      </c>
      <c r="P64" s="21">
        <v>811538</v>
      </c>
      <c r="Q64" s="21">
        <v>621584</v>
      </c>
      <c r="R64" s="19">
        <v>76.59</v>
      </c>
      <c r="S64" s="21">
        <v>2381754</v>
      </c>
      <c r="T64" s="21">
        <v>1385162</v>
      </c>
      <c r="U64" s="21">
        <v>996592</v>
      </c>
    </row>
    <row r="65" spans="1:21" x14ac:dyDescent="0.3">
      <c r="A65" s="4">
        <v>46077</v>
      </c>
      <c r="B65" s="18" t="s">
        <v>77</v>
      </c>
      <c r="C65" s="18" t="s">
        <v>118</v>
      </c>
      <c r="D65" s="21">
        <v>775761</v>
      </c>
      <c r="E65" s="21">
        <v>447032</v>
      </c>
      <c r="F65" s="21">
        <v>328729</v>
      </c>
      <c r="G65" s="19">
        <v>73.540000000000006</v>
      </c>
      <c r="H65" s="21">
        <v>1302437</v>
      </c>
      <c r="I65" s="21">
        <v>766668</v>
      </c>
      <c r="J65" s="21">
        <v>535769</v>
      </c>
      <c r="K65" s="19">
        <v>103.51</v>
      </c>
      <c r="L65" s="4">
        <v>44497</v>
      </c>
      <c r="M65" s="18" t="s">
        <v>77</v>
      </c>
      <c r="N65" s="18" t="s">
        <v>94</v>
      </c>
      <c r="O65" s="21">
        <v>1700306</v>
      </c>
      <c r="P65" s="21">
        <v>908386</v>
      </c>
      <c r="Q65" s="21">
        <v>791920</v>
      </c>
      <c r="R65" s="19">
        <v>87.18</v>
      </c>
      <c r="S65" s="21">
        <v>2322185</v>
      </c>
      <c r="T65" s="21">
        <v>1366239</v>
      </c>
      <c r="U65" s="21">
        <v>955946</v>
      </c>
    </row>
    <row r="66" spans="1:21" x14ac:dyDescent="0.3">
      <c r="A66" s="4">
        <v>46066</v>
      </c>
      <c r="B66" s="18" t="s">
        <v>77</v>
      </c>
      <c r="C66" s="18" t="s">
        <v>118</v>
      </c>
      <c r="D66" s="21">
        <v>1135520</v>
      </c>
      <c r="E66" s="21">
        <v>593018</v>
      </c>
      <c r="F66" s="21">
        <v>542502</v>
      </c>
      <c r="G66" s="19">
        <v>91.48</v>
      </c>
      <c r="H66" s="21">
        <v>1277135</v>
      </c>
      <c r="I66" s="21">
        <v>749246</v>
      </c>
      <c r="J66" s="21">
        <v>527889</v>
      </c>
      <c r="K66" s="19">
        <v>95.29</v>
      </c>
      <c r="L66" s="4">
        <v>44496</v>
      </c>
      <c r="M66" s="18" t="s">
        <v>77</v>
      </c>
      <c r="N66" s="18" t="s">
        <v>94</v>
      </c>
      <c r="O66" s="21">
        <v>2997280</v>
      </c>
      <c r="P66" s="21">
        <v>1514540</v>
      </c>
      <c r="Q66" s="21">
        <v>1482740</v>
      </c>
      <c r="R66" s="19">
        <v>97.9</v>
      </c>
      <c r="S66" s="21">
        <v>2104250</v>
      </c>
      <c r="T66" s="21">
        <v>1231778</v>
      </c>
      <c r="U66" s="21">
        <v>872472</v>
      </c>
    </row>
    <row r="67" spans="1:21" x14ac:dyDescent="0.3">
      <c r="A67" s="4">
        <v>46065</v>
      </c>
      <c r="B67" s="18" t="s">
        <v>77</v>
      </c>
      <c r="C67" s="18" t="s">
        <v>118</v>
      </c>
      <c r="D67" s="21">
        <v>483438</v>
      </c>
      <c r="E67" s="21">
        <v>253143</v>
      </c>
      <c r="F67" s="21">
        <v>230295</v>
      </c>
      <c r="G67" s="19">
        <v>90.97</v>
      </c>
      <c r="H67" s="21">
        <v>1283697</v>
      </c>
      <c r="I67" s="21">
        <v>733821</v>
      </c>
      <c r="J67" s="21">
        <v>549876</v>
      </c>
      <c r="K67" s="19">
        <v>83.37</v>
      </c>
      <c r="L67" s="4">
        <v>44495</v>
      </c>
      <c r="M67" s="18" t="s">
        <v>77</v>
      </c>
      <c r="N67" s="18" t="s">
        <v>94</v>
      </c>
      <c r="O67" s="21">
        <v>2734026</v>
      </c>
      <c r="P67" s="21">
        <v>1531107</v>
      </c>
      <c r="Q67" s="21">
        <v>1202919</v>
      </c>
      <c r="R67" s="19">
        <v>78.569999999999993</v>
      </c>
      <c r="S67" s="21">
        <v>2988576</v>
      </c>
      <c r="T67" s="21">
        <v>1564148</v>
      </c>
      <c r="U67" s="21">
        <v>1424428</v>
      </c>
    </row>
    <row r="68" spans="1:21" x14ac:dyDescent="0.3">
      <c r="A68" s="4">
        <v>46064</v>
      </c>
      <c r="B68" s="18" t="s">
        <v>77</v>
      </c>
      <c r="C68" s="18" t="s">
        <v>118</v>
      </c>
      <c r="D68" s="21">
        <v>568288</v>
      </c>
      <c r="E68" s="21">
        <v>265443</v>
      </c>
      <c r="F68" s="21">
        <v>302845</v>
      </c>
      <c r="G68" s="19">
        <v>114.09</v>
      </c>
      <c r="H68" s="21">
        <v>1278132</v>
      </c>
      <c r="I68" s="21">
        <v>717317</v>
      </c>
      <c r="J68" s="21">
        <v>560815</v>
      </c>
      <c r="K68" s="19">
        <v>79.11</v>
      </c>
      <c r="L68" s="4">
        <v>44494</v>
      </c>
      <c r="M68" s="18" t="s">
        <v>77</v>
      </c>
      <c r="N68" s="18" t="s">
        <v>94</v>
      </c>
      <c r="O68" s="21">
        <v>2246949</v>
      </c>
      <c r="P68" s="21">
        <v>1209766</v>
      </c>
      <c r="Q68" s="21">
        <v>1037183</v>
      </c>
      <c r="R68" s="19">
        <v>85.73</v>
      </c>
      <c r="S68" s="21">
        <v>2991532</v>
      </c>
      <c r="T68" s="21">
        <v>1509428</v>
      </c>
      <c r="U68" s="21">
        <v>1482104</v>
      </c>
    </row>
    <row r="69" spans="1:21" x14ac:dyDescent="0.3">
      <c r="A69" s="4">
        <v>46063</v>
      </c>
      <c r="B69" s="18" t="s">
        <v>77</v>
      </c>
      <c r="C69" s="18" t="s">
        <v>118</v>
      </c>
      <c r="D69" s="21">
        <v>524025</v>
      </c>
      <c r="E69" s="21">
        <v>260717</v>
      </c>
      <c r="F69" s="21">
        <v>263308</v>
      </c>
      <c r="G69" s="19">
        <v>100.99</v>
      </c>
      <c r="H69" s="21">
        <v>1327178</v>
      </c>
      <c r="I69" s="21">
        <v>739068</v>
      </c>
      <c r="J69" s="21">
        <v>588110</v>
      </c>
      <c r="K69" s="19">
        <v>91.32</v>
      </c>
      <c r="L69" s="4">
        <v>44491</v>
      </c>
      <c r="M69" s="18" t="s">
        <v>77</v>
      </c>
      <c r="N69" s="18" t="s">
        <v>94</v>
      </c>
      <c r="O69" s="21">
        <v>3556213</v>
      </c>
      <c r="P69" s="21">
        <v>1931543</v>
      </c>
      <c r="Q69" s="21">
        <v>1624670</v>
      </c>
      <c r="R69" s="19">
        <v>84.11</v>
      </c>
      <c r="S69" s="21">
        <v>3083015</v>
      </c>
      <c r="T69" s="21">
        <v>1498523</v>
      </c>
      <c r="U69" s="21">
        <v>1584492</v>
      </c>
    </row>
    <row r="70" spans="1:21" x14ac:dyDescent="0.3">
      <c r="A70" s="4">
        <v>46062</v>
      </c>
      <c r="B70" s="18" t="s">
        <v>77</v>
      </c>
      <c r="C70" s="18" t="s">
        <v>118</v>
      </c>
      <c r="D70" s="21">
        <v>823591</v>
      </c>
      <c r="E70" s="21">
        <v>396493</v>
      </c>
      <c r="F70" s="21">
        <v>427098</v>
      </c>
      <c r="G70" s="19">
        <v>107.72</v>
      </c>
      <c r="H70" s="21">
        <v>1341075</v>
      </c>
      <c r="I70" s="21">
        <v>755761</v>
      </c>
      <c r="J70" s="21">
        <v>585314</v>
      </c>
      <c r="K70" s="19">
        <v>86.57</v>
      </c>
      <c r="L70" s="4">
        <v>44490</v>
      </c>
      <c r="M70" s="18" t="s">
        <v>77</v>
      </c>
      <c r="N70" s="18" t="s">
        <v>94</v>
      </c>
      <c r="O70" s="21">
        <v>2928845</v>
      </c>
      <c r="P70" s="21">
        <v>1603136</v>
      </c>
      <c r="Q70" s="21">
        <v>1325709</v>
      </c>
      <c r="R70" s="19">
        <v>82.69</v>
      </c>
      <c r="S70" s="21">
        <v>2989187</v>
      </c>
      <c r="T70" s="21">
        <v>1550026</v>
      </c>
      <c r="U70" s="21">
        <v>1439161</v>
      </c>
    </row>
    <row r="71" spans="1:21" x14ac:dyDescent="0.3">
      <c r="A71" s="4">
        <v>46059</v>
      </c>
      <c r="B71" s="18" t="s">
        <v>77</v>
      </c>
      <c r="C71" s="18" t="s">
        <v>118</v>
      </c>
      <c r="D71" s="21">
        <v>793342</v>
      </c>
      <c r="E71" s="21">
        <v>404138</v>
      </c>
      <c r="F71" s="21">
        <v>389204</v>
      </c>
      <c r="G71" s="19">
        <v>96.3</v>
      </c>
      <c r="H71" s="21">
        <v>1376898</v>
      </c>
      <c r="I71" s="21">
        <v>801275</v>
      </c>
      <c r="J71" s="21">
        <v>575623</v>
      </c>
      <c r="K71" s="19">
        <v>69.67</v>
      </c>
      <c r="L71" s="4">
        <v>44489</v>
      </c>
      <c r="M71" s="18" t="s">
        <v>77</v>
      </c>
      <c r="N71" s="18" t="s">
        <v>94</v>
      </c>
      <c r="O71" s="21">
        <v>1988046</v>
      </c>
      <c r="P71" s="21">
        <v>1056679</v>
      </c>
      <c r="Q71" s="21">
        <v>931367</v>
      </c>
      <c r="R71" s="19">
        <v>88.14</v>
      </c>
      <c r="S71" s="21">
        <v>2971342</v>
      </c>
      <c r="T71" s="21">
        <v>1588193</v>
      </c>
      <c r="U71" s="21">
        <v>1383149</v>
      </c>
    </row>
    <row r="72" spans="1:21" x14ac:dyDescent="0.3">
      <c r="A72" s="4">
        <v>46058</v>
      </c>
      <c r="B72" s="18" t="s">
        <v>77</v>
      </c>
      <c r="C72" s="18" t="s">
        <v>118</v>
      </c>
      <c r="D72" s="21">
        <v>799237</v>
      </c>
      <c r="E72" s="21">
        <v>407603</v>
      </c>
      <c r="F72" s="21">
        <v>391634</v>
      </c>
      <c r="G72" s="19">
        <v>96.08</v>
      </c>
      <c r="H72" s="21">
        <v>1346326</v>
      </c>
      <c r="I72" s="21">
        <v>775595</v>
      </c>
      <c r="J72" s="21">
        <v>570731</v>
      </c>
      <c r="K72" s="19">
        <v>87.45</v>
      </c>
      <c r="L72" s="4">
        <v>44488</v>
      </c>
      <c r="M72" s="18" t="s">
        <v>77</v>
      </c>
      <c r="N72" s="18" t="s">
        <v>94</v>
      </c>
      <c r="O72" s="21">
        <v>2008316</v>
      </c>
      <c r="P72" s="21">
        <v>1059995</v>
      </c>
      <c r="Q72" s="21">
        <v>948321</v>
      </c>
      <c r="R72" s="19">
        <v>89.46</v>
      </c>
      <c r="S72" s="21">
        <v>2911239</v>
      </c>
      <c r="T72" s="21">
        <v>1533529</v>
      </c>
      <c r="U72" s="21">
        <v>1377710</v>
      </c>
    </row>
    <row r="73" spans="1:21" x14ac:dyDescent="0.3">
      <c r="A73" s="4">
        <v>46057</v>
      </c>
      <c r="B73" s="18" t="s">
        <v>77</v>
      </c>
      <c r="C73" s="18" t="s">
        <v>118</v>
      </c>
      <c r="D73" s="21">
        <v>834904</v>
      </c>
      <c r="E73" s="21">
        <v>447109</v>
      </c>
      <c r="F73" s="21">
        <v>387795</v>
      </c>
      <c r="G73" s="19">
        <v>86.73</v>
      </c>
      <c r="H73" s="21">
        <v>1317967</v>
      </c>
      <c r="I73" s="21">
        <v>755457</v>
      </c>
      <c r="J73" s="21">
        <v>562510</v>
      </c>
      <c r="K73" s="19">
        <v>94.47</v>
      </c>
      <c r="L73" s="4">
        <v>44487</v>
      </c>
      <c r="M73" s="18" t="s">
        <v>77</v>
      </c>
      <c r="N73" s="18" t="s">
        <v>94</v>
      </c>
      <c r="O73" s="21">
        <v>3078141</v>
      </c>
      <c r="P73" s="21">
        <v>1571126</v>
      </c>
      <c r="Q73" s="21">
        <v>1507015</v>
      </c>
      <c r="R73" s="19">
        <v>95.92</v>
      </c>
      <c r="S73" s="21">
        <v>2990609</v>
      </c>
      <c r="T73" s="21">
        <v>1634125</v>
      </c>
      <c r="U73" s="21">
        <v>1356484</v>
      </c>
    </row>
    <row r="74" spans="1:21" x14ac:dyDescent="0.3">
      <c r="A74" s="4">
        <v>46056</v>
      </c>
      <c r="B74" s="18" t="s">
        <v>77</v>
      </c>
      <c r="C74" s="18" t="s">
        <v>118</v>
      </c>
      <c r="D74" s="21">
        <v>1056220</v>
      </c>
      <c r="E74" s="21">
        <v>532613</v>
      </c>
      <c r="F74" s="21">
        <v>523607</v>
      </c>
      <c r="G74" s="19">
        <v>98.31</v>
      </c>
      <c r="H74" s="21">
        <v>1334303</v>
      </c>
      <c r="I74" s="21">
        <v>792435</v>
      </c>
      <c r="J74" s="21">
        <v>541868</v>
      </c>
      <c r="K74" s="19">
        <v>114.45</v>
      </c>
      <c r="L74" s="4">
        <v>44484</v>
      </c>
      <c r="M74" s="18" t="s">
        <v>77</v>
      </c>
      <c r="N74" s="18" t="s">
        <v>94</v>
      </c>
      <c r="O74" s="21">
        <v>2189841</v>
      </c>
      <c r="P74" s="21">
        <v>1205581</v>
      </c>
      <c r="Q74" s="21">
        <v>984260</v>
      </c>
      <c r="R74" s="19">
        <v>81.64</v>
      </c>
      <c r="S74" s="21">
        <v>2852093</v>
      </c>
      <c r="T74" s="21">
        <v>1394019</v>
      </c>
      <c r="U74" s="21">
        <v>1458074</v>
      </c>
    </row>
    <row r="75" spans="1:21" x14ac:dyDescent="0.3">
      <c r="A75" s="4">
        <v>46055</v>
      </c>
      <c r="B75" s="18" t="s">
        <v>77</v>
      </c>
      <c r="C75" s="18" t="s">
        <v>118</v>
      </c>
      <c r="D75" s="21">
        <v>1369598</v>
      </c>
      <c r="E75" s="21">
        <v>669842</v>
      </c>
      <c r="F75" s="21">
        <v>699756</v>
      </c>
      <c r="G75" s="19">
        <v>104.47</v>
      </c>
      <c r="H75" s="21">
        <v>1303286</v>
      </c>
      <c r="I75" s="21">
        <v>778835</v>
      </c>
      <c r="J75" s="21">
        <v>524451</v>
      </c>
      <c r="K75" s="19">
        <v>107.02</v>
      </c>
      <c r="L75" s="4">
        <v>44483</v>
      </c>
      <c r="M75" s="18" t="s">
        <v>77</v>
      </c>
      <c r="N75" s="18" t="s">
        <v>94</v>
      </c>
      <c r="O75" s="21">
        <v>1960726</v>
      </c>
      <c r="P75" s="21">
        <v>1051541</v>
      </c>
      <c r="Q75" s="21">
        <v>909185</v>
      </c>
      <c r="R75" s="19">
        <v>86.46</v>
      </c>
      <c r="S75" s="21">
        <v>2789982</v>
      </c>
      <c r="T75" s="21">
        <v>1417813</v>
      </c>
      <c r="U75" s="21">
        <v>1372169</v>
      </c>
    </row>
    <row r="76" spans="1:21" x14ac:dyDescent="0.3">
      <c r="A76" s="4">
        <v>46052</v>
      </c>
      <c r="B76" s="18" t="s">
        <v>77</v>
      </c>
      <c r="C76" s="18" t="s">
        <v>118</v>
      </c>
      <c r="D76" s="21">
        <v>1111008</v>
      </c>
      <c r="E76" s="21">
        <v>588632</v>
      </c>
      <c r="F76" s="21">
        <v>522376</v>
      </c>
      <c r="G76" s="19">
        <v>88.74</v>
      </c>
      <c r="H76" s="21">
        <v>1159951</v>
      </c>
      <c r="I76" s="21">
        <v>664866</v>
      </c>
      <c r="J76" s="21">
        <v>495085</v>
      </c>
      <c r="K76" s="19">
        <v>90</v>
      </c>
      <c r="L76" s="4">
        <v>44482</v>
      </c>
      <c r="M76" s="18" t="s">
        <v>77</v>
      </c>
      <c r="N76" s="18" t="s">
        <v>94</v>
      </c>
      <c r="O76" s="21">
        <v>2453812</v>
      </c>
      <c r="P76" s="21">
        <v>1306214</v>
      </c>
      <c r="Q76" s="21">
        <v>1147598</v>
      </c>
      <c r="R76" s="19">
        <v>87.86</v>
      </c>
      <c r="S76" s="21">
        <v>2757171</v>
      </c>
      <c r="T76" s="21">
        <v>1366831</v>
      </c>
      <c r="U76" s="21">
        <v>1390340</v>
      </c>
    </row>
    <row r="77" spans="1:21" x14ac:dyDescent="0.3">
      <c r="A77" s="4">
        <v>46051</v>
      </c>
      <c r="B77" s="18" t="s">
        <v>77</v>
      </c>
      <c r="C77" s="18" t="s">
        <v>118</v>
      </c>
      <c r="D77" s="21">
        <v>1299591</v>
      </c>
      <c r="E77" s="21">
        <v>767700</v>
      </c>
      <c r="F77" s="21">
        <v>531891</v>
      </c>
      <c r="G77" s="19">
        <v>69.28</v>
      </c>
      <c r="H77" s="21">
        <v>1116778</v>
      </c>
      <c r="I77" s="21">
        <v>606950</v>
      </c>
      <c r="J77" s="21">
        <v>509828</v>
      </c>
      <c r="K77" s="19">
        <v>92.05</v>
      </c>
      <c r="L77" s="4">
        <v>44481</v>
      </c>
      <c r="M77" s="18" t="s">
        <v>77</v>
      </c>
      <c r="N77" s="18" t="s">
        <v>94</v>
      </c>
      <c r="O77" s="21">
        <v>2612931</v>
      </c>
      <c r="P77" s="21">
        <v>1334392</v>
      </c>
      <c r="Q77" s="21">
        <v>1278539</v>
      </c>
      <c r="R77" s="19">
        <v>95.81</v>
      </c>
      <c r="S77" s="21">
        <v>2703488</v>
      </c>
      <c r="T77" s="21">
        <v>1407770</v>
      </c>
      <c r="U77" s="21">
        <v>1295718</v>
      </c>
    </row>
    <row r="78" spans="1:21" x14ac:dyDescent="0.3">
      <c r="A78" s="4">
        <v>46050</v>
      </c>
      <c r="B78" s="18" t="s">
        <v>77</v>
      </c>
      <c r="C78" s="18" t="s">
        <v>118</v>
      </c>
      <c r="D78" s="21">
        <v>1045394</v>
      </c>
      <c r="E78" s="21">
        <v>560466</v>
      </c>
      <c r="F78" s="21">
        <v>484928</v>
      </c>
      <c r="G78" s="19">
        <v>86.52</v>
      </c>
      <c r="H78" s="21">
        <v>1050093</v>
      </c>
      <c r="I78" s="21">
        <v>603925</v>
      </c>
      <c r="J78" s="21">
        <v>446168</v>
      </c>
      <c r="K78" s="19">
        <v>98.75</v>
      </c>
      <c r="L78" s="4">
        <v>44480</v>
      </c>
      <c r="M78" s="18" t="s">
        <v>77</v>
      </c>
      <c r="N78" s="18" t="s">
        <v>94</v>
      </c>
      <c r="O78" s="21">
        <v>2442439</v>
      </c>
      <c r="P78" s="21">
        <v>1290237</v>
      </c>
      <c r="Q78" s="21">
        <v>1152202</v>
      </c>
      <c r="R78" s="19">
        <v>89.3</v>
      </c>
      <c r="S78" s="21">
        <v>2703687</v>
      </c>
      <c r="T78" s="21">
        <v>1342186</v>
      </c>
      <c r="U78" s="21">
        <v>1361501</v>
      </c>
    </row>
    <row r="79" spans="1:21" x14ac:dyDescent="0.3">
      <c r="A79" s="4">
        <v>46049</v>
      </c>
      <c r="B79" s="18" t="s">
        <v>77</v>
      </c>
      <c r="C79" s="18" t="s">
        <v>118</v>
      </c>
      <c r="D79" s="21">
        <v>1161663</v>
      </c>
      <c r="E79" s="21">
        <v>659698</v>
      </c>
      <c r="F79" s="21">
        <v>501965</v>
      </c>
      <c r="G79" s="19">
        <v>76.09</v>
      </c>
      <c r="H79" s="21">
        <v>1545525</v>
      </c>
      <c r="I79" s="21">
        <v>900035</v>
      </c>
      <c r="J79" s="21">
        <v>645490</v>
      </c>
      <c r="K79" s="19">
        <v>99.33</v>
      </c>
      <c r="L79" s="4">
        <v>44477</v>
      </c>
      <c r="M79" s="18" t="s">
        <v>77</v>
      </c>
      <c r="N79" s="18" t="s">
        <v>94</v>
      </c>
      <c r="O79" s="21">
        <v>2762790</v>
      </c>
      <c r="P79" s="21">
        <v>1461207</v>
      </c>
      <c r="Q79" s="21">
        <v>1301583</v>
      </c>
      <c r="R79" s="19">
        <v>89.08</v>
      </c>
      <c r="S79" s="21">
        <v>2603416</v>
      </c>
      <c r="T79" s="21">
        <v>1318837</v>
      </c>
      <c r="U79" s="21">
        <v>1284579</v>
      </c>
    </row>
    <row r="80" spans="1:21" x14ac:dyDescent="0.3">
      <c r="A80" s="4">
        <v>46048</v>
      </c>
      <c r="B80" s="18" t="s">
        <v>77</v>
      </c>
      <c r="C80" s="18" t="s">
        <v>118</v>
      </c>
      <c r="D80" s="21">
        <v>1686836</v>
      </c>
      <c r="E80" s="21">
        <v>957176</v>
      </c>
      <c r="F80" s="21">
        <v>729660</v>
      </c>
      <c r="G80" s="19">
        <v>76.23</v>
      </c>
      <c r="H80" s="21">
        <v>1515973</v>
      </c>
      <c r="I80" s="21">
        <v>889577</v>
      </c>
      <c r="J80" s="21">
        <v>626396</v>
      </c>
      <c r="K80" s="19">
        <v>89.41</v>
      </c>
      <c r="L80" s="4">
        <v>44469</v>
      </c>
      <c r="M80" s="18" t="s">
        <v>77</v>
      </c>
      <c r="N80" s="18" t="s">
        <v>94</v>
      </c>
      <c r="O80" s="21">
        <v>1805683</v>
      </c>
      <c r="P80" s="21">
        <v>989941</v>
      </c>
      <c r="Q80" s="21">
        <v>815742</v>
      </c>
      <c r="R80" s="19">
        <v>82.4</v>
      </c>
      <c r="S80" s="21">
        <v>2498726</v>
      </c>
      <c r="T80" s="21">
        <v>1360650</v>
      </c>
      <c r="U80" s="21">
        <v>1138076</v>
      </c>
    </row>
    <row r="81" spans="1:21" x14ac:dyDescent="0.3">
      <c r="A81" s="4">
        <v>46045</v>
      </c>
      <c r="B81" s="18" t="s">
        <v>77</v>
      </c>
      <c r="C81" s="18" t="s">
        <v>118</v>
      </c>
      <c r="D81" s="21">
        <v>1246379</v>
      </c>
      <c r="E81" s="21">
        <v>630947</v>
      </c>
      <c r="F81" s="21">
        <v>615432</v>
      </c>
      <c r="G81" s="19">
        <v>97.54</v>
      </c>
      <c r="H81" s="21">
        <v>1622291</v>
      </c>
      <c r="I81" s="21">
        <v>972906</v>
      </c>
      <c r="J81" s="21">
        <v>649385</v>
      </c>
      <c r="K81" s="19">
        <v>83.69</v>
      </c>
      <c r="L81" s="4">
        <v>44468</v>
      </c>
      <c r="M81" s="18" t="s">
        <v>77</v>
      </c>
      <c r="N81" s="18" t="s">
        <v>94</v>
      </c>
      <c r="O81" s="21">
        <v>2809255</v>
      </c>
      <c r="P81" s="21">
        <v>1481424</v>
      </c>
      <c r="Q81" s="21">
        <v>1327831</v>
      </c>
      <c r="R81" s="19">
        <v>89.63</v>
      </c>
      <c r="S81" s="21">
        <v>2436745</v>
      </c>
      <c r="T81" s="21">
        <v>1299724</v>
      </c>
      <c r="U81" s="21">
        <v>1137021</v>
      </c>
    </row>
    <row r="82" spans="1:21" x14ac:dyDescent="0.3">
      <c r="A82" s="4">
        <v>46044</v>
      </c>
      <c r="B82" s="18" t="s">
        <v>77</v>
      </c>
      <c r="C82" s="18" t="s">
        <v>118</v>
      </c>
      <c r="D82" s="21">
        <v>936869</v>
      </c>
      <c r="E82" s="21">
        <v>514334</v>
      </c>
      <c r="F82" s="21">
        <v>422535</v>
      </c>
      <c r="G82" s="19">
        <v>82.15</v>
      </c>
      <c r="H82" s="21">
        <v>1546580</v>
      </c>
      <c r="I82" s="21">
        <v>899616</v>
      </c>
      <c r="J82" s="21">
        <v>646964</v>
      </c>
      <c r="K82" s="19">
        <v>83.06</v>
      </c>
      <c r="L82" s="4">
        <v>44467</v>
      </c>
      <c r="M82" s="18" t="s">
        <v>77</v>
      </c>
      <c r="N82" s="18" t="s">
        <v>94</v>
      </c>
      <c r="O82" s="21">
        <v>1903479</v>
      </c>
      <c r="P82" s="21">
        <v>1055761</v>
      </c>
      <c r="Q82" s="21">
        <v>847718</v>
      </c>
      <c r="R82" s="19">
        <v>80.290000000000006</v>
      </c>
      <c r="S82" s="21">
        <v>2359869</v>
      </c>
      <c r="T82" s="21">
        <v>1234080</v>
      </c>
      <c r="U82" s="21">
        <v>1125789</v>
      </c>
    </row>
    <row r="83" spans="1:21" x14ac:dyDescent="0.3">
      <c r="A83" s="4">
        <v>46043</v>
      </c>
      <c r="B83" s="18" t="s">
        <v>77</v>
      </c>
      <c r="C83" s="18" t="s">
        <v>118</v>
      </c>
      <c r="D83" s="21">
        <v>945085</v>
      </c>
      <c r="E83" s="21">
        <v>538077</v>
      </c>
      <c r="F83" s="21">
        <v>407008</v>
      </c>
      <c r="G83" s="19">
        <v>75.64</v>
      </c>
      <c r="H83" s="21">
        <v>1475448</v>
      </c>
      <c r="I83" s="21">
        <v>837209</v>
      </c>
      <c r="J83" s="21">
        <v>638239</v>
      </c>
      <c r="K83" s="19">
        <v>87.93</v>
      </c>
      <c r="L83" s="4">
        <v>44466</v>
      </c>
      <c r="M83" s="18" t="s">
        <v>77</v>
      </c>
      <c r="N83" s="18" t="s">
        <v>94</v>
      </c>
      <c r="O83" s="21">
        <v>2778058</v>
      </c>
      <c r="P83" s="21">
        <v>1522831</v>
      </c>
      <c r="Q83" s="21">
        <v>1255227</v>
      </c>
      <c r="R83" s="19">
        <v>82.43</v>
      </c>
      <c r="S83" s="21">
        <v>2267803</v>
      </c>
      <c r="T83" s="21">
        <v>1202065</v>
      </c>
      <c r="U83" s="21">
        <v>1065738</v>
      </c>
    </row>
    <row r="84" spans="1:21" x14ac:dyDescent="0.3">
      <c r="A84" s="4">
        <v>46042</v>
      </c>
      <c r="B84" s="18" t="s">
        <v>77</v>
      </c>
      <c r="C84" s="18" t="s">
        <v>118</v>
      </c>
      <c r="D84" s="21">
        <v>887672</v>
      </c>
      <c r="E84" s="21">
        <v>476660</v>
      </c>
      <c r="F84" s="21">
        <v>411012</v>
      </c>
      <c r="G84" s="19">
        <v>86.23</v>
      </c>
      <c r="H84" s="21">
        <v>1451794</v>
      </c>
      <c r="I84" s="21">
        <v>819088</v>
      </c>
      <c r="J84" s="21">
        <v>632706</v>
      </c>
      <c r="K84" s="19">
        <v>84.65</v>
      </c>
      <c r="L84" s="4">
        <v>44463</v>
      </c>
      <c r="M84" s="18" t="s">
        <v>77</v>
      </c>
      <c r="N84" s="18" t="s">
        <v>94</v>
      </c>
      <c r="O84" s="21">
        <v>1952338</v>
      </c>
      <c r="P84" s="21">
        <v>1081879</v>
      </c>
      <c r="Q84" s="21">
        <v>870459</v>
      </c>
      <c r="R84" s="19">
        <v>80.459999999999994</v>
      </c>
      <c r="S84" s="21">
        <v>2276727</v>
      </c>
      <c r="T84" s="21">
        <v>1267244</v>
      </c>
      <c r="U84" s="21">
        <v>1009483</v>
      </c>
    </row>
    <row r="85" spans="1:21" x14ac:dyDescent="0.3">
      <c r="A85" s="4">
        <v>46041</v>
      </c>
      <c r="B85" s="18" t="s">
        <v>77</v>
      </c>
      <c r="C85" s="18" t="s">
        <v>118</v>
      </c>
      <c r="D85" s="21">
        <v>1065915</v>
      </c>
      <c r="E85" s="21">
        <v>490045</v>
      </c>
      <c r="F85" s="21">
        <v>575870</v>
      </c>
      <c r="G85" s="19">
        <v>117.51</v>
      </c>
      <c r="H85" s="21">
        <v>1438497</v>
      </c>
      <c r="I85" s="21">
        <v>810130</v>
      </c>
      <c r="J85" s="21">
        <v>628367</v>
      </c>
      <c r="K85" s="19">
        <v>86.59</v>
      </c>
      <c r="L85" s="4">
        <v>44462</v>
      </c>
      <c r="M85" s="18" t="s">
        <v>77</v>
      </c>
      <c r="N85" s="18" t="s">
        <v>94</v>
      </c>
      <c r="O85" s="21">
        <v>1964826</v>
      </c>
      <c r="P85" s="21">
        <v>1078194</v>
      </c>
      <c r="Q85" s="21">
        <v>886632</v>
      </c>
      <c r="R85" s="19">
        <v>82.23</v>
      </c>
      <c r="S85" s="21">
        <v>2215316</v>
      </c>
      <c r="T85" s="21">
        <v>1268577</v>
      </c>
      <c r="U85" s="21">
        <v>946739</v>
      </c>
    </row>
    <row r="86" spans="1:21" x14ac:dyDescent="0.3">
      <c r="A86" s="4">
        <v>46038</v>
      </c>
      <c r="B86" s="18" t="s">
        <v>77</v>
      </c>
      <c r="C86" s="18" t="s">
        <v>118</v>
      </c>
      <c r="D86" s="21">
        <v>1199636</v>
      </c>
      <c r="E86" s="21">
        <v>664758</v>
      </c>
      <c r="F86" s="21">
        <v>534878</v>
      </c>
      <c r="G86" s="19">
        <v>80.459999999999994</v>
      </c>
      <c r="H86" s="21">
        <v>1467287</v>
      </c>
      <c r="I86" s="21">
        <v>817031</v>
      </c>
      <c r="J86" s="21">
        <v>650256</v>
      </c>
      <c r="K86" s="19">
        <v>93.72</v>
      </c>
      <c r="L86" s="4">
        <v>44461</v>
      </c>
      <c r="M86" s="18" t="s">
        <v>77</v>
      </c>
      <c r="N86" s="18" t="s">
        <v>94</v>
      </c>
      <c r="O86" s="21">
        <v>2713251</v>
      </c>
      <c r="P86" s="21">
        <v>1327203</v>
      </c>
      <c r="Q86" s="21">
        <v>1386048</v>
      </c>
      <c r="R86" s="19">
        <v>104.43</v>
      </c>
      <c r="S86" s="21">
        <v>1958493</v>
      </c>
      <c r="T86" s="21">
        <v>1118655</v>
      </c>
      <c r="U86" s="21">
        <v>839838</v>
      </c>
    </row>
    <row r="87" spans="1:21" x14ac:dyDescent="0.3">
      <c r="A87" s="4">
        <v>46037</v>
      </c>
      <c r="B87" s="18" t="s">
        <v>77</v>
      </c>
      <c r="C87" s="18" t="s">
        <v>118</v>
      </c>
      <c r="D87" s="21">
        <v>951261</v>
      </c>
      <c r="E87" s="21">
        <v>507681</v>
      </c>
      <c r="F87" s="21">
        <v>443580</v>
      </c>
      <c r="G87" s="19">
        <v>87.37</v>
      </c>
      <c r="H87" s="21">
        <v>1408374</v>
      </c>
      <c r="I87" s="21">
        <v>752362</v>
      </c>
      <c r="J87" s="21">
        <v>656012</v>
      </c>
      <c r="K87" s="19">
        <v>89.93</v>
      </c>
      <c r="L87" s="4">
        <v>44456</v>
      </c>
      <c r="M87" s="18" t="s">
        <v>77</v>
      </c>
      <c r="N87" s="18" t="s">
        <v>94</v>
      </c>
      <c r="O87" s="21">
        <v>3524952</v>
      </c>
      <c r="P87" s="21">
        <v>1975581</v>
      </c>
      <c r="Q87" s="21">
        <v>1549371</v>
      </c>
      <c r="R87" s="19">
        <v>78.430000000000007</v>
      </c>
      <c r="S87" s="21">
        <v>3234059</v>
      </c>
      <c r="T87" s="21">
        <v>1970611</v>
      </c>
      <c r="U87" s="21">
        <v>1263448</v>
      </c>
    </row>
    <row r="88" spans="1:21" x14ac:dyDescent="0.3">
      <c r="A88" s="4">
        <v>46036</v>
      </c>
      <c r="B88" s="18" t="s">
        <v>77</v>
      </c>
      <c r="C88" s="18" t="s">
        <v>118</v>
      </c>
      <c r="D88" s="21">
        <v>1557419</v>
      </c>
      <c r="E88" s="21">
        <v>881758</v>
      </c>
      <c r="F88" s="21">
        <v>675661</v>
      </c>
      <c r="G88" s="19">
        <v>76.63</v>
      </c>
      <c r="H88" s="21">
        <v>1368553</v>
      </c>
      <c r="I88" s="21">
        <v>710544</v>
      </c>
      <c r="J88" s="21">
        <v>658009</v>
      </c>
      <c r="K88" s="19">
        <v>83.18</v>
      </c>
      <c r="L88" s="4">
        <v>44455</v>
      </c>
      <c r="M88" s="18" t="s">
        <v>77</v>
      </c>
      <c r="N88" s="18" t="s">
        <v>94</v>
      </c>
      <c r="O88" s="21">
        <v>3737422</v>
      </c>
      <c r="P88" s="21">
        <v>2008826</v>
      </c>
      <c r="Q88" s="21">
        <v>1728596</v>
      </c>
      <c r="R88" s="19">
        <v>86.05</v>
      </c>
      <c r="S88" s="21">
        <v>3401319</v>
      </c>
      <c r="T88" s="21">
        <v>2105864</v>
      </c>
      <c r="U88" s="21">
        <v>1295455</v>
      </c>
    </row>
    <row r="89" spans="1:21" x14ac:dyDescent="0.3">
      <c r="A89" s="4">
        <v>46035</v>
      </c>
      <c r="B89" s="18" t="s">
        <v>77</v>
      </c>
      <c r="C89" s="18" t="s">
        <v>118</v>
      </c>
      <c r="D89" s="21">
        <v>1324634</v>
      </c>
      <c r="E89" s="21">
        <v>843831</v>
      </c>
      <c r="F89" s="21">
        <v>480803</v>
      </c>
      <c r="G89" s="19">
        <v>56.98</v>
      </c>
      <c r="H89" s="21">
        <v>1340224</v>
      </c>
      <c r="I89" s="21">
        <v>678004</v>
      </c>
      <c r="J89" s="21">
        <v>662220</v>
      </c>
      <c r="K89" s="19">
        <v>85.33</v>
      </c>
      <c r="L89" s="4">
        <v>44454</v>
      </c>
      <c r="M89" s="18" t="s">
        <v>77</v>
      </c>
      <c r="N89" s="18" t="s">
        <v>94</v>
      </c>
      <c r="O89" s="21">
        <v>3640366</v>
      </c>
      <c r="P89" s="21">
        <v>1850163</v>
      </c>
      <c r="Q89" s="21">
        <v>1790203</v>
      </c>
      <c r="R89" s="19">
        <v>96.76</v>
      </c>
      <c r="S89" s="21">
        <v>3583580</v>
      </c>
      <c r="T89" s="21">
        <v>2169326</v>
      </c>
      <c r="U89" s="21">
        <v>1414254</v>
      </c>
    </row>
    <row r="90" spans="1:21" x14ac:dyDescent="0.3">
      <c r="A90" s="4">
        <v>46034</v>
      </c>
      <c r="B90" s="18" t="s">
        <v>77</v>
      </c>
      <c r="C90" s="18" t="s">
        <v>118</v>
      </c>
      <c r="D90" s="21">
        <v>1101712</v>
      </c>
      <c r="E90" s="21">
        <v>692928</v>
      </c>
      <c r="F90" s="21">
        <v>408784</v>
      </c>
      <c r="G90" s="19">
        <v>58.99</v>
      </c>
      <c r="H90" s="21">
        <v>1300138</v>
      </c>
      <c r="I90" s="21">
        <v>653185</v>
      </c>
      <c r="J90" s="21">
        <v>646953</v>
      </c>
      <c r="K90" s="19">
        <v>89.89</v>
      </c>
      <c r="L90" s="4">
        <v>44453</v>
      </c>
      <c r="M90" s="18" t="s">
        <v>77</v>
      </c>
      <c r="N90" s="18" t="s">
        <v>94</v>
      </c>
      <c r="O90" s="21">
        <v>3492932</v>
      </c>
      <c r="P90" s="21">
        <v>1882635</v>
      </c>
      <c r="Q90" s="21">
        <v>1610297</v>
      </c>
      <c r="R90" s="19">
        <v>85.53</v>
      </c>
      <c r="S90" s="21">
        <v>3608116</v>
      </c>
      <c r="T90" s="21">
        <v>2054334</v>
      </c>
      <c r="U90" s="21">
        <v>1553782</v>
      </c>
    </row>
    <row r="91" spans="1:21" x14ac:dyDescent="0.3">
      <c r="A91" s="4">
        <v>46031</v>
      </c>
      <c r="B91" s="18" t="s">
        <v>77</v>
      </c>
      <c r="C91" s="18" t="s">
        <v>118</v>
      </c>
      <c r="D91" s="21">
        <v>1018508</v>
      </c>
      <c r="E91" s="21">
        <v>619766</v>
      </c>
      <c r="F91" s="21">
        <v>398742</v>
      </c>
      <c r="G91" s="19">
        <v>64.34</v>
      </c>
      <c r="H91" s="21">
        <v>1260507</v>
      </c>
      <c r="I91" s="21">
        <v>635632</v>
      </c>
      <c r="J91" s="21">
        <v>624875</v>
      </c>
      <c r="K91" s="19">
        <v>87.16</v>
      </c>
      <c r="L91" s="4">
        <v>44452</v>
      </c>
      <c r="M91" s="18" t="s">
        <v>77</v>
      </c>
      <c r="N91" s="18" t="s">
        <v>94</v>
      </c>
      <c r="O91" s="21">
        <v>2492872</v>
      </c>
      <c r="P91" s="21">
        <v>1340805</v>
      </c>
      <c r="Q91" s="21">
        <v>1152067</v>
      </c>
      <c r="R91" s="19">
        <v>85.92</v>
      </c>
      <c r="S91" s="21">
        <v>3618322</v>
      </c>
      <c r="T91" s="21">
        <v>1961280</v>
      </c>
      <c r="U91" s="21">
        <v>1657042</v>
      </c>
    </row>
    <row r="92" spans="1:21" x14ac:dyDescent="0.3">
      <c r="A92" s="4">
        <v>46030</v>
      </c>
      <c r="B92" s="18" t="s">
        <v>77</v>
      </c>
      <c r="C92" s="18" t="s">
        <v>118</v>
      </c>
      <c r="D92" s="21">
        <v>794924</v>
      </c>
      <c r="E92" s="21">
        <v>441881</v>
      </c>
      <c r="F92" s="21">
        <v>353043</v>
      </c>
      <c r="G92" s="19">
        <v>79.900000000000006</v>
      </c>
      <c r="H92" s="21">
        <v>1228961</v>
      </c>
      <c r="I92" s="21">
        <v>625782</v>
      </c>
      <c r="J92" s="21">
        <v>603179</v>
      </c>
      <c r="K92" s="19">
        <v>67.22</v>
      </c>
      <c r="L92" s="4">
        <v>44449</v>
      </c>
      <c r="M92" s="18" t="s">
        <v>77</v>
      </c>
      <c r="N92" s="18" t="s">
        <v>94</v>
      </c>
      <c r="O92" s="21">
        <v>3443019</v>
      </c>
      <c r="P92" s="21">
        <v>1972242</v>
      </c>
      <c r="Q92" s="21">
        <v>1470777</v>
      </c>
      <c r="R92" s="19">
        <v>74.569999999999993</v>
      </c>
      <c r="S92" s="21">
        <v>3559731</v>
      </c>
      <c r="T92" s="21">
        <v>1894143</v>
      </c>
      <c r="U92" s="21">
        <v>1665588</v>
      </c>
    </row>
    <row r="93" spans="1:21" x14ac:dyDescent="0.3">
      <c r="A93" s="4">
        <v>46029</v>
      </c>
      <c r="B93" s="18" t="s">
        <v>77</v>
      </c>
      <c r="C93" s="18" t="s">
        <v>118</v>
      </c>
      <c r="D93" s="21">
        <v>1068261</v>
      </c>
      <c r="E93" s="21">
        <v>617761</v>
      </c>
      <c r="F93" s="21">
        <v>450500</v>
      </c>
      <c r="G93" s="19">
        <v>72.92</v>
      </c>
      <c r="H93" s="21">
        <v>1232728</v>
      </c>
      <c r="I93" s="21">
        <v>610392</v>
      </c>
      <c r="J93" s="21">
        <v>622336</v>
      </c>
      <c r="K93" s="19">
        <v>68.39</v>
      </c>
      <c r="L93" s="4">
        <v>44448</v>
      </c>
      <c r="M93" s="18" t="s">
        <v>77</v>
      </c>
      <c r="N93" s="18" t="s">
        <v>94</v>
      </c>
      <c r="O93" s="21">
        <v>2022810</v>
      </c>
      <c r="P93" s="21">
        <v>1093374</v>
      </c>
      <c r="Q93" s="21">
        <v>929436</v>
      </c>
      <c r="R93" s="19">
        <v>85.01</v>
      </c>
      <c r="S93" s="21">
        <v>3605467</v>
      </c>
      <c r="T93" s="21">
        <v>2043720</v>
      </c>
      <c r="U93" s="21">
        <v>1561747</v>
      </c>
    </row>
    <row r="94" spans="1:21" x14ac:dyDescent="0.3">
      <c r="A94" s="4">
        <v>46028</v>
      </c>
      <c r="B94" s="18" t="s">
        <v>77</v>
      </c>
      <c r="C94" s="18" t="s">
        <v>118</v>
      </c>
      <c r="D94" s="21">
        <v>1484396</v>
      </c>
      <c r="E94" s="21">
        <v>934334</v>
      </c>
      <c r="F94" s="21">
        <v>550062</v>
      </c>
      <c r="G94" s="19">
        <v>58.87</v>
      </c>
      <c r="H94" s="21">
        <v>1153672</v>
      </c>
      <c r="I94" s="21">
        <v>552620</v>
      </c>
      <c r="J94" s="21">
        <v>601052</v>
      </c>
      <c r="K94" s="19">
        <v>87.17</v>
      </c>
      <c r="L94" s="4">
        <v>44447</v>
      </c>
      <c r="M94" s="18" t="s">
        <v>77</v>
      </c>
      <c r="N94" s="18" t="s">
        <v>94</v>
      </c>
      <c r="O94" s="21">
        <v>2410022</v>
      </c>
      <c r="P94" s="21">
        <v>1300668</v>
      </c>
      <c r="Q94" s="21">
        <v>1109354</v>
      </c>
      <c r="R94" s="19">
        <v>85.29</v>
      </c>
      <c r="S94" s="21">
        <v>3569766</v>
      </c>
      <c r="T94" s="21">
        <v>1996825</v>
      </c>
      <c r="U94" s="21">
        <v>1572941</v>
      </c>
    </row>
    <row r="95" spans="1:21" x14ac:dyDescent="0.3">
      <c r="A95" s="4">
        <v>46027</v>
      </c>
      <c r="B95" s="18" t="s">
        <v>77</v>
      </c>
      <c r="C95" s="18" t="s">
        <v>118</v>
      </c>
      <c r="D95" s="21">
        <v>1145636</v>
      </c>
      <c r="E95" s="21">
        <v>599778</v>
      </c>
      <c r="F95" s="21">
        <v>545858</v>
      </c>
      <c r="G95" s="19">
        <v>91.01</v>
      </c>
      <c r="H95" s="21">
        <v>1046698</v>
      </c>
      <c r="I95" s="21">
        <v>500711</v>
      </c>
      <c r="J95" s="21">
        <v>545987</v>
      </c>
      <c r="K95" s="19">
        <v>84.07</v>
      </c>
      <c r="L95" s="4">
        <v>44446</v>
      </c>
      <c r="M95" s="18" t="s">
        <v>77</v>
      </c>
      <c r="N95" s="18" t="s">
        <v>94</v>
      </c>
      <c r="O95" s="21">
        <v>3100348</v>
      </c>
      <c r="P95" s="21">
        <v>1673769</v>
      </c>
      <c r="Q95" s="21">
        <v>1426579</v>
      </c>
      <c r="R95" s="19">
        <v>85.23</v>
      </c>
      <c r="S95" s="21">
        <v>3432850</v>
      </c>
      <c r="T95" s="21">
        <v>1830996</v>
      </c>
      <c r="U95" s="21">
        <v>1601854</v>
      </c>
    </row>
    <row r="96" spans="1:21" x14ac:dyDescent="0.3">
      <c r="A96" s="4">
        <v>46022</v>
      </c>
      <c r="B96" s="18" t="s">
        <v>77</v>
      </c>
      <c r="C96" s="18" t="s">
        <v>118</v>
      </c>
      <c r="D96" s="21">
        <v>600067</v>
      </c>
      <c r="E96" s="21">
        <v>305266</v>
      </c>
      <c r="F96" s="21">
        <v>294801</v>
      </c>
      <c r="G96" s="19">
        <v>96.57</v>
      </c>
      <c r="H96" s="21">
        <v>1008721</v>
      </c>
      <c r="I96" s="21">
        <v>532076</v>
      </c>
      <c r="J96" s="21">
        <v>476645</v>
      </c>
      <c r="K96" s="19">
        <v>91.29</v>
      </c>
      <c r="L96" s="4">
        <v>44445</v>
      </c>
      <c r="M96" s="18" t="s">
        <v>77</v>
      </c>
      <c r="N96" s="18" t="s">
        <v>94</v>
      </c>
      <c r="O96" s="21">
        <v>2732901</v>
      </c>
      <c r="P96" s="21">
        <v>1505122</v>
      </c>
      <c r="Q96" s="21">
        <v>1227779</v>
      </c>
      <c r="R96" s="19">
        <v>81.569999999999993</v>
      </c>
      <c r="S96" s="21">
        <v>3419489</v>
      </c>
      <c r="T96" s="21">
        <v>1885135</v>
      </c>
      <c r="U96" s="21">
        <v>1534354</v>
      </c>
    </row>
    <row r="97" spans="1:21" x14ac:dyDescent="0.3">
      <c r="A97" s="4">
        <v>46021</v>
      </c>
      <c r="B97" s="18" t="s">
        <v>77</v>
      </c>
      <c r="C97" s="18" t="s">
        <v>118</v>
      </c>
      <c r="D97" s="21">
        <v>581524</v>
      </c>
      <c r="E97" s="21">
        <v>294704</v>
      </c>
      <c r="F97" s="21">
        <v>286820</v>
      </c>
      <c r="G97" s="19">
        <v>97.32</v>
      </c>
      <c r="H97" s="21">
        <v>985722</v>
      </c>
      <c r="I97" s="21">
        <v>508070</v>
      </c>
      <c r="J97" s="21">
        <v>477652</v>
      </c>
      <c r="K97" s="19">
        <v>81.75</v>
      </c>
      <c r="L97" s="4">
        <v>44442</v>
      </c>
      <c r="M97" s="18" t="s">
        <v>77</v>
      </c>
      <c r="N97" s="18" t="s">
        <v>94</v>
      </c>
      <c r="O97" s="21">
        <v>3253342</v>
      </c>
      <c r="P97" s="21">
        <v>1898692</v>
      </c>
      <c r="Q97" s="21">
        <v>1354650</v>
      </c>
      <c r="R97" s="19">
        <v>71.349999999999994</v>
      </c>
      <c r="S97" s="21">
        <v>3338858</v>
      </c>
      <c r="T97" s="21">
        <v>1926252</v>
      </c>
      <c r="U97" s="21">
        <v>1412606</v>
      </c>
    </row>
    <row r="98" spans="1:21" x14ac:dyDescent="0.3">
      <c r="A98" s="4">
        <v>46020</v>
      </c>
      <c r="B98" s="18" t="s">
        <v>77</v>
      </c>
      <c r="C98" s="18" t="s">
        <v>118</v>
      </c>
      <c r="D98" s="21">
        <v>621145</v>
      </c>
      <c r="E98" s="21">
        <v>317199</v>
      </c>
      <c r="F98" s="21">
        <v>303946</v>
      </c>
      <c r="G98" s="19">
        <v>95.82</v>
      </c>
      <c r="H98" s="21">
        <v>993382</v>
      </c>
      <c r="I98" s="21">
        <v>512163</v>
      </c>
      <c r="J98" s="21">
        <v>481219</v>
      </c>
      <c r="K98" s="19">
        <v>90.65</v>
      </c>
      <c r="L98" s="4">
        <v>44441</v>
      </c>
      <c r="M98" s="18" t="s">
        <v>77</v>
      </c>
      <c r="N98" s="18" t="s">
        <v>94</v>
      </c>
      <c r="O98" s="21">
        <v>2286742</v>
      </c>
      <c r="P98" s="21">
        <v>1349732</v>
      </c>
      <c r="Q98" s="21">
        <v>937010</v>
      </c>
      <c r="R98" s="19">
        <v>69.42</v>
      </c>
      <c r="S98" s="21">
        <v>3309881</v>
      </c>
      <c r="T98" s="21">
        <v>1948473</v>
      </c>
      <c r="U98" s="21">
        <v>1361408</v>
      </c>
    </row>
    <row r="99" spans="1:21" x14ac:dyDescent="0.3">
      <c r="A99" s="4">
        <v>46017</v>
      </c>
      <c r="B99" s="18" t="s">
        <v>77</v>
      </c>
      <c r="C99" s="18" t="s">
        <v>118</v>
      </c>
      <c r="D99" s="21">
        <v>904572</v>
      </c>
      <c r="E99" s="21">
        <v>482276</v>
      </c>
      <c r="F99" s="21">
        <v>422296</v>
      </c>
      <c r="G99" s="19">
        <v>87.56</v>
      </c>
      <c r="H99" s="21">
        <v>1006604</v>
      </c>
      <c r="I99" s="21">
        <v>509176</v>
      </c>
      <c r="J99" s="21">
        <v>497428</v>
      </c>
      <c r="K99" s="19">
        <v>95.9</v>
      </c>
      <c r="L99" s="4">
        <v>44440</v>
      </c>
      <c r="M99" s="18" t="s">
        <v>77</v>
      </c>
      <c r="N99" s="18" t="s">
        <v>94</v>
      </c>
      <c r="O99" s="21">
        <v>4400744</v>
      </c>
      <c r="P99" s="21">
        <v>2501616</v>
      </c>
      <c r="Q99" s="21">
        <v>1899128</v>
      </c>
      <c r="R99" s="19">
        <v>75.92</v>
      </c>
      <c r="S99" s="21">
        <v>3164777</v>
      </c>
      <c r="T99" s="21">
        <v>1880805</v>
      </c>
      <c r="U99" s="21">
        <v>1283972</v>
      </c>
    </row>
    <row r="100" spans="1:21" x14ac:dyDescent="0.3">
      <c r="A100" s="4">
        <v>46016</v>
      </c>
      <c r="B100" s="18" t="s">
        <v>77</v>
      </c>
      <c r="C100" s="18" t="s">
        <v>118</v>
      </c>
      <c r="D100" s="21">
        <v>553037</v>
      </c>
      <c r="E100" s="21">
        <v>260001</v>
      </c>
      <c r="F100" s="21">
        <v>293036</v>
      </c>
      <c r="G100" s="19">
        <v>112.71</v>
      </c>
      <c r="H100" s="21">
        <v>940787</v>
      </c>
      <c r="I100" s="21">
        <v>477817</v>
      </c>
      <c r="J100" s="21">
        <v>462970</v>
      </c>
      <c r="K100" s="19">
        <v>86.55</v>
      </c>
      <c r="L100" s="4">
        <v>44439</v>
      </c>
      <c r="M100" s="18" t="s">
        <v>77</v>
      </c>
      <c r="N100" s="18" t="s">
        <v>94</v>
      </c>
      <c r="O100" s="21">
        <v>2896607</v>
      </c>
      <c r="P100" s="21">
        <v>1477722</v>
      </c>
      <c r="Q100" s="21">
        <v>1418885</v>
      </c>
      <c r="R100" s="19">
        <v>96.02</v>
      </c>
      <c r="S100" s="21">
        <v>3147850</v>
      </c>
      <c r="T100" s="21">
        <v>2018514</v>
      </c>
      <c r="U100" s="21">
        <v>1129336</v>
      </c>
    </row>
    <row r="101" spans="1:21" x14ac:dyDescent="0.3">
      <c r="A101" s="4">
        <v>46015</v>
      </c>
      <c r="B101" s="18" t="s">
        <v>77</v>
      </c>
      <c r="C101" s="18" t="s">
        <v>118</v>
      </c>
      <c r="D101" s="21">
        <v>788172</v>
      </c>
      <c r="E101" s="21">
        <v>449035</v>
      </c>
      <c r="F101" s="21">
        <v>339137</v>
      </c>
      <c r="G101" s="19">
        <v>75.53</v>
      </c>
      <c r="H101" s="21">
        <v>827867</v>
      </c>
      <c r="I101" s="21">
        <v>433754</v>
      </c>
      <c r="J101" s="21">
        <v>394113</v>
      </c>
      <c r="K101" s="19">
        <v>73.17</v>
      </c>
      <c r="L101" s="4">
        <v>44438</v>
      </c>
      <c r="M101" s="18" t="s">
        <v>77</v>
      </c>
      <c r="N101" s="18" t="s">
        <v>94</v>
      </c>
      <c r="O101" s="21">
        <v>2473231</v>
      </c>
      <c r="P101" s="21">
        <v>1249401</v>
      </c>
      <c r="Q101" s="21">
        <v>1223830</v>
      </c>
      <c r="R101" s="19">
        <v>97.95</v>
      </c>
      <c r="S101" s="21">
        <v>2974705</v>
      </c>
      <c r="T101" s="21">
        <v>1854270</v>
      </c>
      <c r="U101" s="21">
        <v>1120435</v>
      </c>
    </row>
    <row r="102" spans="1:21" x14ac:dyDescent="0.3">
      <c r="A102" s="4">
        <v>46014</v>
      </c>
      <c r="B102" s="18" t="s">
        <v>77</v>
      </c>
      <c r="C102" s="18" t="s">
        <v>118</v>
      </c>
      <c r="D102" s="21">
        <v>880790</v>
      </c>
      <c r="E102" s="23">
        <v>458723</v>
      </c>
      <c r="F102" s="23">
        <v>422067</v>
      </c>
      <c r="G102" s="19">
        <v>92.01</v>
      </c>
      <c r="H102" s="21">
        <v>1303984</v>
      </c>
      <c r="I102" s="21">
        <v>644621</v>
      </c>
      <c r="J102" s="21">
        <v>659363</v>
      </c>
      <c r="K102" s="19">
        <v>87.68</v>
      </c>
      <c r="L102" s="4">
        <v>44435</v>
      </c>
      <c r="M102" s="18" t="s">
        <v>77</v>
      </c>
      <c r="N102" s="18" t="s">
        <v>94</v>
      </c>
      <c r="O102" s="21">
        <v>2396614</v>
      </c>
      <c r="P102" s="21">
        <v>1205490</v>
      </c>
      <c r="Q102" s="21">
        <v>1191124</v>
      </c>
      <c r="R102" s="19">
        <v>98.81</v>
      </c>
      <c r="S102" s="21">
        <v>2776937</v>
      </c>
      <c r="T102" s="21">
        <v>1680975</v>
      </c>
      <c r="U102" s="21">
        <v>1095962</v>
      </c>
    </row>
    <row r="103" spans="1:21" x14ac:dyDescent="0.3">
      <c r="A103" s="4">
        <v>46013</v>
      </c>
      <c r="B103" s="18" t="s">
        <v>77</v>
      </c>
      <c r="C103" s="18" t="s">
        <v>118</v>
      </c>
      <c r="D103" s="21">
        <v>728451</v>
      </c>
      <c r="E103" s="23">
        <v>406377</v>
      </c>
      <c r="F103" s="23">
        <v>322074</v>
      </c>
      <c r="G103" s="19">
        <v>79.25</v>
      </c>
      <c r="H103" s="21">
        <v>1255927</v>
      </c>
      <c r="I103" s="21">
        <v>635952</v>
      </c>
      <c r="J103" s="21">
        <v>619975</v>
      </c>
      <c r="K103" s="19">
        <v>84.38</v>
      </c>
      <c r="L103" s="4">
        <v>44434</v>
      </c>
      <c r="M103" s="18" t="s">
        <v>77</v>
      </c>
      <c r="N103" s="18" t="s">
        <v>94</v>
      </c>
      <c r="O103" s="21">
        <v>2444495</v>
      </c>
      <c r="P103" s="21">
        <v>1242461</v>
      </c>
      <c r="Q103" s="21">
        <v>1202034</v>
      </c>
      <c r="R103" s="19">
        <v>96.75</v>
      </c>
      <c r="S103" s="21">
        <v>2693043</v>
      </c>
      <c r="T103" s="21">
        <v>1689385</v>
      </c>
      <c r="U103" s="21">
        <v>1003658</v>
      </c>
    </row>
    <row r="104" spans="1:21" x14ac:dyDescent="0.3">
      <c r="A104" s="4">
        <v>46010</v>
      </c>
      <c r="B104" s="18" t="s">
        <v>77</v>
      </c>
      <c r="C104" s="18" t="s">
        <v>118</v>
      </c>
      <c r="D104" s="21">
        <v>878670</v>
      </c>
      <c r="E104" s="23">
        <v>479281</v>
      </c>
      <c r="F104" s="23">
        <v>399389</v>
      </c>
      <c r="G104" s="19">
        <v>83.33</v>
      </c>
      <c r="H104" s="21">
        <v>1319408</v>
      </c>
      <c r="I104" s="21">
        <v>657999</v>
      </c>
      <c r="J104" s="21">
        <v>661409</v>
      </c>
      <c r="K104" s="19">
        <v>88.62</v>
      </c>
      <c r="L104" s="4">
        <v>44433</v>
      </c>
      <c r="M104" s="18" t="s">
        <v>77</v>
      </c>
      <c r="N104" s="18" t="s">
        <v>94</v>
      </c>
      <c r="O104" s="21">
        <v>2469108</v>
      </c>
      <c r="P104" s="21">
        <v>1346896</v>
      </c>
      <c r="Q104" s="21">
        <v>1122212</v>
      </c>
      <c r="R104" s="19">
        <v>83.32</v>
      </c>
      <c r="S104" s="21">
        <v>2323614</v>
      </c>
      <c r="T104" s="21">
        <v>1364900</v>
      </c>
      <c r="U104" s="21">
        <v>958714</v>
      </c>
    </row>
    <row r="105" spans="1:21" x14ac:dyDescent="0.3">
      <c r="A105" s="4">
        <v>46009</v>
      </c>
      <c r="B105" s="18" t="s">
        <v>77</v>
      </c>
      <c r="C105" s="18" t="s">
        <v>118</v>
      </c>
      <c r="D105" s="21">
        <v>905001</v>
      </c>
      <c r="E105" s="23">
        <v>409645</v>
      </c>
      <c r="F105" s="23">
        <v>495356</v>
      </c>
      <c r="G105" s="19">
        <v>120.92</v>
      </c>
      <c r="H105" s="21">
        <v>1313848</v>
      </c>
      <c r="I105" s="21">
        <v>662436</v>
      </c>
      <c r="J105" s="21">
        <v>651412</v>
      </c>
      <c r="K105" s="19">
        <v>88.86</v>
      </c>
      <c r="L105" s="4">
        <v>44432</v>
      </c>
      <c r="M105" s="18" t="s">
        <v>77</v>
      </c>
      <c r="N105" s="18" t="s">
        <v>94</v>
      </c>
      <c r="O105" s="21">
        <v>3425326</v>
      </c>
      <c r="P105" s="21">
        <v>1919234</v>
      </c>
      <c r="Q105" s="21">
        <v>1506092</v>
      </c>
      <c r="R105" s="19">
        <v>78.47</v>
      </c>
      <c r="S105" s="21">
        <v>3470824</v>
      </c>
      <c r="T105" s="21">
        <v>2174232</v>
      </c>
      <c r="U105" s="21">
        <v>1296592</v>
      </c>
    </row>
    <row r="106" spans="1:21" x14ac:dyDescent="0.3">
      <c r="A106" s="4">
        <v>46008</v>
      </c>
      <c r="B106" s="18" t="s">
        <v>77</v>
      </c>
      <c r="C106" s="18" t="s">
        <v>118</v>
      </c>
      <c r="D106" s="21">
        <v>1369734</v>
      </c>
      <c r="E106" s="23">
        <v>727875</v>
      </c>
      <c r="F106" s="23">
        <v>641859</v>
      </c>
      <c r="G106" s="19">
        <v>88.18</v>
      </c>
      <c r="H106" s="21">
        <v>1323410</v>
      </c>
      <c r="I106" s="21">
        <v>668046</v>
      </c>
      <c r="J106" s="21">
        <v>655364</v>
      </c>
      <c r="K106" s="24">
        <v>90.91</v>
      </c>
      <c r="L106" s="4">
        <v>44431</v>
      </c>
      <c r="M106" s="18" t="s">
        <v>77</v>
      </c>
      <c r="N106" s="18" t="s">
        <v>94</v>
      </c>
      <c r="O106" s="21">
        <v>2806618</v>
      </c>
      <c r="P106" s="21">
        <v>1528437</v>
      </c>
      <c r="Q106" s="21">
        <v>1278181</v>
      </c>
      <c r="R106" s="19">
        <v>83.63</v>
      </c>
      <c r="S106" s="21">
        <v>3546117</v>
      </c>
      <c r="T106" s="21">
        <v>2317744</v>
      </c>
      <c r="U106" s="21">
        <v>1228373</v>
      </c>
    </row>
    <row r="107" spans="1:21" x14ac:dyDescent="0.3">
      <c r="A107" s="4">
        <v>46007</v>
      </c>
      <c r="B107" s="18" t="s">
        <v>77</v>
      </c>
      <c r="C107" s="18" t="s">
        <v>118</v>
      </c>
      <c r="D107" s="21">
        <v>1306123</v>
      </c>
      <c r="E107" s="21">
        <v>559030</v>
      </c>
      <c r="F107" s="21">
        <v>747093</v>
      </c>
      <c r="G107" s="19">
        <v>133.63999999999999</v>
      </c>
      <c r="H107" s="21">
        <v>1366055</v>
      </c>
      <c r="I107" s="21">
        <v>730377</v>
      </c>
      <c r="J107" s="21">
        <v>635678</v>
      </c>
      <c r="K107" s="19">
        <v>93.52</v>
      </c>
      <c r="L107" s="4">
        <v>44428</v>
      </c>
      <c r="M107" s="18" t="s">
        <v>77</v>
      </c>
      <c r="N107" s="18" t="s">
        <v>94</v>
      </c>
      <c r="O107" s="21">
        <v>4782068</v>
      </c>
      <c r="P107" s="21">
        <v>2336696</v>
      </c>
      <c r="Q107" s="21">
        <v>2445372</v>
      </c>
      <c r="R107" s="19">
        <v>104.65</v>
      </c>
      <c r="S107" s="21">
        <v>3724680</v>
      </c>
      <c r="T107" s="21">
        <v>2488103</v>
      </c>
      <c r="U107" s="21">
        <v>1236577</v>
      </c>
    </row>
    <row r="108" spans="1:21" x14ac:dyDescent="0.3">
      <c r="A108" s="4">
        <v>46006</v>
      </c>
      <c r="B108" s="18" t="s">
        <v>77</v>
      </c>
      <c r="C108" s="18" t="s">
        <v>118</v>
      </c>
      <c r="D108" s="21">
        <v>852165</v>
      </c>
      <c r="E108" s="21">
        <v>407275</v>
      </c>
      <c r="F108" s="21">
        <v>444890</v>
      </c>
      <c r="G108" s="19">
        <v>109.24</v>
      </c>
      <c r="H108" s="21">
        <v>1333897</v>
      </c>
      <c r="I108" s="21">
        <v>667105</v>
      </c>
      <c r="J108" s="21">
        <v>666792</v>
      </c>
      <c r="K108" s="19">
        <v>90.3</v>
      </c>
      <c r="L108" s="4">
        <v>44427</v>
      </c>
      <c r="M108" s="18" t="s">
        <v>77</v>
      </c>
      <c r="N108" s="18" t="s">
        <v>94</v>
      </c>
      <c r="O108" s="21">
        <v>3276010</v>
      </c>
      <c r="P108" s="21">
        <v>1623387</v>
      </c>
      <c r="Q108" s="21">
        <v>1652623</v>
      </c>
      <c r="R108" s="19">
        <v>101.8</v>
      </c>
      <c r="S108" s="21">
        <v>3592240</v>
      </c>
      <c r="T108" s="21">
        <v>2253634</v>
      </c>
      <c r="U108" s="21">
        <v>1338606</v>
      </c>
    </row>
    <row r="109" spans="1:21" x14ac:dyDescent="0.3">
      <c r="A109" s="4">
        <v>46003</v>
      </c>
      <c r="B109" s="18" t="s">
        <v>77</v>
      </c>
      <c r="C109" s="18" t="s">
        <v>118</v>
      </c>
      <c r="D109" s="21">
        <v>873217</v>
      </c>
      <c r="E109" s="21">
        <v>418870</v>
      </c>
      <c r="F109" s="21">
        <v>454347</v>
      </c>
      <c r="G109" s="19">
        <v>108.47</v>
      </c>
      <c r="H109" s="21">
        <v>1355603</v>
      </c>
      <c r="I109" s="21">
        <v>690587</v>
      </c>
      <c r="J109" s="21">
        <v>665016</v>
      </c>
      <c r="K109" s="19">
        <v>92.88</v>
      </c>
      <c r="L109" s="4">
        <v>44426</v>
      </c>
      <c r="M109" s="18" t="s">
        <v>77</v>
      </c>
      <c r="N109" s="18" t="s">
        <v>94</v>
      </c>
      <c r="O109" s="21">
        <v>3361767</v>
      </c>
      <c r="P109" s="21">
        <v>1765936</v>
      </c>
      <c r="Q109" s="21">
        <v>1595831</v>
      </c>
      <c r="R109" s="19">
        <v>90.37</v>
      </c>
      <c r="S109" s="21">
        <v>3504533</v>
      </c>
      <c r="T109" s="21">
        <v>2144287</v>
      </c>
      <c r="U109" s="21">
        <v>1360246</v>
      </c>
    </row>
    <row r="110" spans="1:21" x14ac:dyDescent="0.3">
      <c r="A110" s="4">
        <v>46002</v>
      </c>
      <c r="B110" s="18" t="s">
        <v>77</v>
      </c>
      <c r="C110" s="18" t="s">
        <v>118</v>
      </c>
      <c r="D110" s="21">
        <v>719631</v>
      </c>
      <c r="E110" s="21">
        <v>346484</v>
      </c>
      <c r="F110" s="21">
        <v>373147</v>
      </c>
      <c r="G110" s="19">
        <v>107.7</v>
      </c>
      <c r="H110" s="21">
        <v>1374789</v>
      </c>
      <c r="I110" s="21">
        <v>713794</v>
      </c>
      <c r="J110" s="21">
        <v>660995</v>
      </c>
      <c r="K110" s="19">
        <v>94.59</v>
      </c>
      <c r="L110" s="4">
        <v>44425</v>
      </c>
      <c r="M110" s="18" t="s">
        <v>77</v>
      </c>
      <c r="N110" s="18" t="s">
        <v>94</v>
      </c>
      <c r="O110" s="21">
        <v>3873421</v>
      </c>
      <c r="P110" s="21">
        <v>1984027</v>
      </c>
      <c r="Q110" s="21">
        <v>1889394</v>
      </c>
      <c r="R110" s="19">
        <v>95.23</v>
      </c>
      <c r="S110" s="21">
        <v>3560570</v>
      </c>
      <c r="T110" s="21">
        <v>2244720</v>
      </c>
      <c r="U110" s="21">
        <v>1315850</v>
      </c>
    </row>
    <row r="111" spans="1:21" x14ac:dyDescent="0.3">
      <c r="A111" s="4">
        <v>46001</v>
      </c>
      <c r="B111" s="18" t="s">
        <v>77</v>
      </c>
      <c r="C111" s="18" t="s">
        <v>118</v>
      </c>
      <c r="D111" s="21">
        <v>765896</v>
      </c>
      <c r="E111" s="21">
        <v>413662</v>
      </c>
      <c r="F111" s="21">
        <v>352234</v>
      </c>
      <c r="G111" s="19">
        <v>85.15</v>
      </c>
      <c r="H111" s="21">
        <v>1354600</v>
      </c>
      <c r="I111" s="21">
        <v>693101</v>
      </c>
      <c r="J111" s="21">
        <v>661499</v>
      </c>
      <c r="K111" s="19">
        <v>89.66</v>
      </c>
      <c r="L111" s="4">
        <v>44424</v>
      </c>
      <c r="M111" s="18" t="s">
        <v>77</v>
      </c>
      <c r="N111" s="18" t="s">
        <v>94</v>
      </c>
      <c r="O111" s="21">
        <v>2251059</v>
      </c>
      <c r="P111" s="21">
        <v>1225479</v>
      </c>
      <c r="Q111" s="21">
        <v>1025580</v>
      </c>
      <c r="R111" s="19">
        <v>83.69</v>
      </c>
      <c r="S111" s="21">
        <v>3519905</v>
      </c>
      <c r="T111" s="21">
        <v>2089194</v>
      </c>
      <c r="U111" s="21">
        <v>1430711</v>
      </c>
    </row>
    <row r="112" spans="1:21" x14ac:dyDescent="0.3">
      <c r="A112" s="4">
        <v>46000</v>
      </c>
      <c r="B112" s="18" t="s">
        <v>77</v>
      </c>
      <c r="C112" s="18" t="s">
        <v>118</v>
      </c>
      <c r="D112" s="21">
        <v>575414</v>
      </c>
      <c r="E112" s="21">
        <v>320986</v>
      </c>
      <c r="F112" s="21">
        <v>254428</v>
      </c>
      <c r="G112" s="19">
        <v>79.260000000000005</v>
      </c>
      <c r="H112" s="21">
        <v>1336703</v>
      </c>
      <c r="I112" s="21">
        <v>666866</v>
      </c>
      <c r="J112" s="21">
        <v>669837</v>
      </c>
      <c r="K112" s="19">
        <v>90.54</v>
      </c>
      <c r="L112" s="4">
        <v>44421</v>
      </c>
      <c r="M112" s="18" t="s">
        <v>77</v>
      </c>
      <c r="N112" s="18" t="s">
        <v>94</v>
      </c>
      <c r="O112" s="21">
        <v>2509414</v>
      </c>
      <c r="P112" s="21">
        <v>1351671</v>
      </c>
      <c r="Q112" s="21">
        <v>1157743</v>
      </c>
      <c r="R112" s="19">
        <v>85.65</v>
      </c>
      <c r="S112" s="21">
        <v>3491323</v>
      </c>
      <c r="T112" s="21">
        <v>2101211</v>
      </c>
      <c r="U112" s="21">
        <v>1390112</v>
      </c>
    </row>
    <row r="113" spans="1:21" x14ac:dyDescent="0.3">
      <c r="A113" s="4">
        <v>45999</v>
      </c>
      <c r="B113" s="18" t="s">
        <v>77</v>
      </c>
      <c r="C113" s="18" t="s">
        <v>118</v>
      </c>
      <c r="D113" s="21">
        <v>939044</v>
      </c>
      <c r="E113" s="21">
        <v>525600</v>
      </c>
      <c r="F113" s="21">
        <v>413444</v>
      </c>
      <c r="G113" s="19">
        <v>78.66</v>
      </c>
      <c r="H113" s="21">
        <v>1288375</v>
      </c>
      <c r="I113" s="21">
        <v>620387</v>
      </c>
      <c r="J113" s="21">
        <v>667988</v>
      </c>
      <c r="K113" s="19">
        <v>84.35</v>
      </c>
      <c r="L113" s="4">
        <v>44420</v>
      </c>
      <c r="M113" s="18" t="s">
        <v>77</v>
      </c>
      <c r="N113" s="18" t="s">
        <v>94</v>
      </c>
      <c r="O113" s="21">
        <v>2068285</v>
      </c>
      <c r="P113" s="21">
        <v>1083925</v>
      </c>
      <c r="Q113" s="21">
        <v>984360</v>
      </c>
      <c r="R113" s="19">
        <v>90.81</v>
      </c>
      <c r="S113" s="21">
        <v>3419927</v>
      </c>
      <c r="T113" s="21">
        <v>2016570</v>
      </c>
      <c r="U113" s="21">
        <v>1403357</v>
      </c>
    </row>
    <row r="114" spans="1:21" x14ac:dyDescent="0.3">
      <c r="A114" s="4">
        <v>45996</v>
      </c>
      <c r="B114" s="18" t="s">
        <v>77</v>
      </c>
      <c r="C114" s="18" t="s">
        <v>118</v>
      </c>
      <c r="D114" s="21">
        <v>891188</v>
      </c>
      <c r="E114" s="21">
        <v>485776</v>
      </c>
      <c r="F114" s="21">
        <v>405412</v>
      </c>
      <c r="G114" s="19">
        <v>83.46</v>
      </c>
      <c r="H114" s="21">
        <v>1279649</v>
      </c>
      <c r="I114" s="21">
        <v>619346</v>
      </c>
      <c r="J114" s="21">
        <v>660303</v>
      </c>
      <c r="K114" s="19">
        <v>96.28</v>
      </c>
      <c r="L114" s="4">
        <v>44419</v>
      </c>
      <c r="M114" s="18" t="s">
        <v>77</v>
      </c>
      <c r="N114" s="18" t="s">
        <v>94</v>
      </c>
      <c r="O114" s="21">
        <v>2383754</v>
      </c>
      <c r="P114" s="21">
        <v>1306109</v>
      </c>
      <c r="Q114" s="21">
        <v>1077645</v>
      </c>
      <c r="R114" s="19">
        <v>82.51</v>
      </c>
      <c r="S114" s="21">
        <v>3274573</v>
      </c>
      <c r="T114" s="21">
        <v>1840188</v>
      </c>
      <c r="U114" s="21">
        <v>1434385</v>
      </c>
    </row>
    <row r="115" spans="1:21" x14ac:dyDescent="0.3">
      <c r="A115" s="4">
        <v>45995</v>
      </c>
      <c r="B115" s="18" t="s">
        <v>77</v>
      </c>
      <c r="C115" s="18" t="s">
        <v>118</v>
      </c>
      <c r="D115" s="21">
        <v>511637</v>
      </c>
      <c r="E115" s="21">
        <v>265098</v>
      </c>
      <c r="F115" s="21">
        <v>246539</v>
      </c>
      <c r="G115" s="19">
        <v>93</v>
      </c>
      <c r="H115" s="21">
        <v>1271678</v>
      </c>
      <c r="I115" s="21">
        <v>643614</v>
      </c>
      <c r="J115" s="21">
        <v>628064</v>
      </c>
      <c r="K115" s="19">
        <v>77.459999999999994</v>
      </c>
      <c r="L115" s="4">
        <v>44418</v>
      </c>
      <c r="M115" s="18" t="s">
        <v>77</v>
      </c>
      <c r="N115" s="18" t="s">
        <v>94</v>
      </c>
      <c r="O115" s="21">
        <v>3417049</v>
      </c>
      <c r="P115" s="21">
        <v>1895863</v>
      </c>
      <c r="Q115" s="21">
        <v>1521186</v>
      </c>
      <c r="R115" s="19">
        <v>80.239999999999995</v>
      </c>
      <c r="S115" s="21">
        <v>3214341</v>
      </c>
      <c r="T115" s="21">
        <v>1767834</v>
      </c>
      <c r="U115" s="21">
        <v>1446507</v>
      </c>
    </row>
    <row r="116" spans="1:21" x14ac:dyDescent="0.3">
      <c r="A116" s="4">
        <v>45994</v>
      </c>
      <c r="B116" s="18" t="s">
        <v>77</v>
      </c>
      <c r="C116" s="18" t="s">
        <v>118</v>
      </c>
      <c r="D116" s="21">
        <v>551508</v>
      </c>
      <c r="E116" s="21">
        <v>245388</v>
      </c>
      <c r="F116" s="21">
        <v>306120</v>
      </c>
      <c r="G116" s="19">
        <v>124.75</v>
      </c>
      <c r="H116" s="21">
        <v>1251111</v>
      </c>
      <c r="I116" s="21">
        <v>635672</v>
      </c>
      <c r="J116" s="21">
        <v>615439</v>
      </c>
      <c r="K116" s="19">
        <v>85.09</v>
      </c>
      <c r="L116" s="4">
        <v>44417</v>
      </c>
      <c r="M116" s="18" t="s">
        <v>77</v>
      </c>
      <c r="N116" s="18" t="s">
        <v>94</v>
      </c>
      <c r="O116" s="21">
        <v>2725656</v>
      </c>
      <c r="P116" s="21">
        <v>1492058</v>
      </c>
      <c r="Q116" s="21">
        <v>1233598</v>
      </c>
      <c r="R116" s="19">
        <v>82.68</v>
      </c>
      <c r="S116" s="21">
        <v>3189771</v>
      </c>
      <c r="T116" s="21">
        <v>1857958</v>
      </c>
      <c r="U116" s="21">
        <v>1331813</v>
      </c>
    </row>
    <row r="117" spans="1:21" x14ac:dyDescent="0.3">
      <c r="A117" s="4">
        <v>45993</v>
      </c>
      <c r="B117" s="18" t="s">
        <v>77</v>
      </c>
      <c r="C117" s="18" t="s">
        <v>118</v>
      </c>
      <c r="D117" s="21">
        <v>431252</v>
      </c>
      <c r="E117" s="21">
        <v>207101</v>
      </c>
      <c r="F117" s="21">
        <v>224151</v>
      </c>
      <c r="G117" s="19">
        <v>108.23</v>
      </c>
      <c r="H117" s="21">
        <v>1199933</v>
      </c>
      <c r="I117" s="21">
        <v>601893</v>
      </c>
      <c r="J117" s="21">
        <v>598040</v>
      </c>
      <c r="K117" s="19">
        <v>66.260000000000005</v>
      </c>
      <c r="L117" s="4">
        <v>44414</v>
      </c>
      <c r="M117" s="18" t="s">
        <v>77</v>
      </c>
      <c r="N117" s="18" t="s">
        <v>94</v>
      </c>
      <c r="O117" s="21">
        <v>1804015</v>
      </c>
      <c r="P117" s="21">
        <v>911488</v>
      </c>
      <c r="Q117" s="21">
        <v>892527</v>
      </c>
      <c r="R117" s="19">
        <v>97.92</v>
      </c>
      <c r="S117" s="21">
        <v>3131111</v>
      </c>
      <c r="T117" s="21">
        <v>1890925</v>
      </c>
      <c r="U117" s="21">
        <v>1240186</v>
      </c>
    </row>
    <row r="118" spans="1:21" x14ac:dyDescent="0.3">
      <c r="A118" s="4">
        <v>45992</v>
      </c>
      <c r="B118" s="18" t="s">
        <v>77</v>
      </c>
      <c r="C118" s="18" t="s">
        <v>118</v>
      </c>
      <c r="D118" s="21">
        <v>596553</v>
      </c>
      <c r="E118" s="21">
        <v>292413</v>
      </c>
      <c r="F118" s="21">
        <v>304140</v>
      </c>
      <c r="G118" s="19">
        <v>104.01</v>
      </c>
      <c r="H118" s="21">
        <v>1161703</v>
      </c>
      <c r="I118" s="21">
        <v>571292</v>
      </c>
      <c r="J118" s="21">
        <v>590411</v>
      </c>
      <c r="K118" s="19">
        <v>73.209999999999994</v>
      </c>
      <c r="L118" s="4">
        <v>44413</v>
      </c>
      <c r="M118" s="18" t="s">
        <v>77</v>
      </c>
      <c r="N118" s="18" t="s">
        <v>94</v>
      </c>
      <c r="O118" s="21">
        <v>2305656</v>
      </c>
      <c r="P118" s="21">
        <v>1184269</v>
      </c>
      <c r="Q118" s="21">
        <v>1121387</v>
      </c>
      <c r="R118" s="19">
        <v>94.69</v>
      </c>
      <c r="S118" s="21">
        <v>3090862</v>
      </c>
      <c r="T118" s="21">
        <v>1788729</v>
      </c>
      <c r="U118" s="21">
        <v>1302133</v>
      </c>
    </row>
    <row r="119" spans="1:21" x14ac:dyDescent="0.3">
      <c r="A119" s="4">
        <v>45989</v>
      </c>
      <c r="B119" s="18" t="s">
        <v>77</v>
      </c>
      <c r="C119" s="18" t="s">
        <v>118</v>
      </c>
      <c r="D119" s="21">
        <v>490610</v>
      </c>
      <c r="E119" s="21">
        <v>242566</v>
      </c>
      <c r="F119" s="21">
        <v>248044</v>
      </c>
      <c r="G119" s="19">
        <v>102.26</v>
      </c>
      <c r="H119" s="21">
        <v>1144986</v>
      </c>
      <c r="I119" s="21">
        <v>576998</v>
      </c>
      <c r="J119" s="21">
        <v>567988</v>
      </c>
      <c r="K119" s="19">
        <v>91.88</v>
      </c>
      <c r="L119" s="4">
        <v>44412</v>
      </c>
      <c r="M119" s="18" t="s">
        <v>77</v>
      </c>
      <c r="N119" s="18" t="s">
        <v>94</v>
      </c>
      <c r="O119" s="21">
        <v>1804000</v>
      </c>
      <c r="P119" s="21">
        <v>959804</v>
      </c>
      <c r="Q119" s="21">
        <v>844196</v>
      </c>
      <c r="R119" s="19">
        <v>87.96</v>
      </c>
      <c r="S119" s="21">
        <v>3016022</v>
      </c>
      <c r="T119" s="21">
        <v>1774464</v>
      </c>
      <c r="U119" s="21">
        <v>1241558</v>
      </c>
    </row>
    <row r="120" spans="1:21" x14ac:dyDescent="0.3">
      <c r="A120" s="4">
        <v>45988</v>
      </c>
      <c r="B120" s="18" t="s">
        <v>77</v>
      </c>
      <c r="C120" s="18" t="s">
        <v>118</v>
      </c>
      <c r="D120" s="21">
        <v>624995</v>
      </c>
      <c r="E120" s="21">
        <v>324281</v>
      </c>
      <c r="F120" s="21">
        <v>300714</v>
      </c>
      <c r="G120" s="19">
        <v>92.73</v>
      </c>
      <c r="H120" s="21">
        <v>1095478</v>
      </c>
      <c r="I120" s="21">
        <v>552561</v>
      </c>
      <c r="J120" s="21">
        <v>542917</v>
      </c>
      <c r="K120" s="19">
        <v>83.01</v>
      </c>
      <c r="L120" s="4">
        <v>44411</v>
      </c>
      <c r="M120" s="18" t="s">
        <v>77</v>
      </c>
      <c r="N120" s="18" t="s">
        <v>94</v>
      </c>
      <c r="O120" s="21">
        <v>2200109</v>
      </c>
      <c r="P120" s="21">
        <v>1181784</v>
      </c>
      <c r="Q120" s="21">
        <v>1018325</v>
      </c>
      <c r="R120" s="19">
        <v>86.17</v>
      </c>
      <c r="S120" s="21">
        <v>2960394</v>
      </c>
      <c r="T120" s="21">
        <v>1763480</v>
      </c>
      <c r="U120" s="21">
        <v>1196914</v>
      </c>
    </row>
    <row r="121" spans="1:21" x14ac:dyDescent="0.3">
      <c r="A121" s="4">
        <v>45987</v>
      </c>
      <c r="B121" s="18" t="s">
        <v>77</v>
      </c>
      <c r="C121" s="18" t="s">
        <v>118</v>
      </c>
      <c r="D121" s="21">
        <v>692109</v>
      </c>
      <c r="E121" s="21">
        <v>364378</v>
      </c>
      <c r="F121" s="21">
        <v>327731</v>
      </c>
      <c r="G121" s="19">
        <v>89.94</v>
      </c>
      <c r="H121" s="21">
        <v>1003624</v>
      </c>
      <c r="I121" s="21">
        <v>501614</v>
      </c>
      <c r="J121" s="21">
        <v>502010</v>
      </c>
      <c r="K121" s="19">
        <v>102.62</v>
      </c>
      <c r="L121" s="4">
        <v>44410</v>
      </c>
      <c r="M121" s="18" t="s">
        <v>77</v>
      </c>
      <c r="N121" s="18" t="s">
        <v>94</v>
      </c>
      <c r="O121" s="21">
        <v>3535548</v>
      </c>
      <c r="P121" s="21">
        <v>1963028</v>
      </c>
      <c r="Q121" s="21">
        <v>1572520</v>
      </c>
      <c r="R121" s="19">
        <v>80.11</v>
      </c>
      <c r="S121" s="21">
        <v>2878559</v>
      </c>
      <c r="T121" s="21">
        <v>1762706</v>
      </c>
      <c r="U121" s="21">
        <v>1115853</v>
      </c>
    </row>
    <row r="122" spans="1:21" x14ac:dyDescent="0.3">
      <c r="A122" s="4">
        <v>45986</v>
      </c>
      <c r="B122" s="18" t="s">
        <v>77</v>
      </c>
      <c r="C122" s="18" t="s">
        <v>118</v>
      </c>
      <c r="D122" s="21">
        <v>927959</v>
      </c>
      <c r="E122" s="21">
        <v>493147</v>
      </c>
      <c r="F122" s="21">
        <v>434812</v>
      </c>
      <c r="G122" s="19">
        <v>88.17</v>
      </c>
      <c r="H122" s="21">
        <v>1473634</v>
      </c>
      <c r="I122" s="21">
        <v>827407</v>
      </c>
      <c r="J122" s="21">
        <v>646227</v>
      </c>
      <c r="K122" s="19">
        <v>73.290000000000006</v>
      </c>
      <c r="L122" s="4">
        <v>44407</v>
      </c>
      <c r="M122" s="18" t="s">
        <v>77</v>
      </c>
      <c r="N122" s="18" t="s">
        <v>94</v>
      </c>
      <c r="O122" s="21">
        <v>2432762</v>
      </c>
      <c r="P122" s="21">
        <v>1207104</v>
      </c>
      <c r="Q122" s="21">
        <v>1225658</v>
      </c>
      <c r="R122" s="19">
        <v>101.54</v>
      </c>
      <c r="S122" s="21">
        <v>2876476</v>
      </c>
      <c r="T122" s="21">
        <v>1827927</v>
      </c>
      <c r="U122" s="21">
        <v>1048549</v>
      </c>
    </row>
    <row r="123" spans="1:21" x14ac:dyDescent="0.3">
      <c r="A123" s="4">
        <v>45985</v>
      </c>
      <c r="B123" s="18" t="s">
        <v>77</v>
      </c>
      <c r="C123" s="18" t="s">
        <v>118</v>
      </c>
      <c r="D123" s="21">
        <v>1012711</v>
      </c>
      <c r="E123" s="21">
        <v>501483</v>
      </c>
      <c r="F123" s="21">
        <v>511228</v>
      </c>
      <c r="G123" s="19">
        <v>101.94</v>
      </c>
      <c r="H123" s="21">
        <v>1493868</v>
      </c>
      <c r="I123" s="21">
        <v>860216</v>
      </c>
      <c r="J123" s="21">
        <v>633652</v>
      </c>
      <c r="K123" s="19">
        <v>85.49</v>
      </c>
      <c r="L123" s="4">
        <v>44406</v>
      </c>
      <c r="M123" s="18" t="s">
        <v>77</v>
      </c>
      <c r="N123" s="18" t="s">
        <v>94</v>
      </c>
      <c r="O123" s="21">
        <v>2233807</v>
      </c>
      <c r="P123" s="21">
        <v>1237069</v>
      </c>
      <c r="Q123" s="21">
        <v>996738</v>
      </c>
      <c r="R123" s="19">
        <v>80.569999999999993</v>
      </c>
      <c r="S123" s="21">
        <v>2747478</v>
      </c>
      <c r="T123" s="21">
        <v>1725268</v>
      </c>
      <c r="U123" s="21">
        <v>1022210</v>
      </c>
    </row>
    <row r="124" spans="1:21" x14ac:dyDescent="0.3">
      <c r="A124" s="4">
        <v>45982</v>
      </c>
      <c r="B124" s="18" t="s">
        <v>77</v>
      </c>
      <c r="C124" s="18" t="s">
        <v>118</v>
      </c>
      <c r="D124" s="21">
        <v>1667750</v>
      </c>
      <c r="E124" s="21">
        <v>824863</v>
      </c>
      <c r="F124" s="21">
        <v>842887</v>
      </c>
      <c r="G124" s="19">
        <v>102.19</v>
      </c>
      <c r="H124" s="21">
        <v>1520120</v>
      </c>
      <c r="I124" s="21">
        <v>866757</v>
      </c>
      <c r="J124" s="21">
        <v>653363</v>
      </c>
      <c r="K124" s="19">
        <v>80.75</v>
      </c>
      <c r="L124" s="4">
        <v>44405</v>
      </c>
      <c r="M124" s="18" t="s">
        <v>77</v>
      </c>
      <c r="N124" s="18" t="s">
        <v>94</v>
      </c>
      <c r="O124" s="21">
        <v>4225313</v>
      </c>
      <c r="P124" s="21">
        <v>2179836</v>
      </c>
      <c r="Q124" s="21">
        <v>2045477</v>
      </c>
      <c r="R124" s="19">
        <v>93.84</v>
      </c>
      <c r="S124" s="21">
        <v>2549157</v>
      </c>
      <c r="T124" s="21">
        <v>1618848</v>
      </c>
      <c r="U124" s="21">
        <v>930309</v>
      </c>
    </row>
    <row r="125" spans="1:21" x14ac:dyDescent="0.3">
      <c r="A125" s="4">
        <v>45981</v>
      </c>
      <c r="B125" s="18" t="s">
        <v>77</v>
      </c>
      <c r="C125" s="18" t="s">
        <v>118</v>
      </c>
      <c r="D125" s="21">
        <v>978517</v>
      </c>
      <c r="E125" s="21">
        <v>504549</v>
      </c>
      <c r="F125" s="21">
        <v>473968</v>
      </c>
      <c r="G125" s="19">
        <v>93.94</v>
      </c>
      <c r="H125" s="21">
        <v>1510543</v>
      </c>
      <c r="I125" s="21">
        <v>806581</v>
      </c>
      <c r="J125" s="21">
        <v>703962</v>
      </c>
      <c r="K125" s="19">
        <v>96.44</v>
      </c>
      <c r="L125" s="4">
        <v>44404</v>
      </c>
      <c r="M125" s="18" t="s">
        <v>77</v>
      </c>
      <c r="N125" s="18" t="s">
        <v>94</v>
      </c>
      <c r="O125" s="21">
        <v>4115529</v>
      </c>
      <c r="P125" s="21">
        <v>2095495</v>
      </c>
      <c r="Q125" s="21">
        <v>2020034</v>
      </c>
      <c r="R125" s="19">
        <v>96.4</v>
      </c>
      <c r="S125" s="21">
        <v>3711564</v>
      </c>
      <c r="T125" s="21">
        <v>2611076</v>
      </c>
      <c r="U125" s="21">
        <v>1100488</v>
      </c>
    </row>
    <row r="126" spans="1:21" x14ac:dyDescent="0.3">
      <c r="A126" s="4">
        <v>45980</v>
      </c>
      <c r="B126" s="18" t="s">
        <v>77</v>
      </c>
      <c r="C126" s="18" t="s">
        <v>118</v>
      </c>
      <c r="D126" s="21">
        <v>1016799</v>
      </c>
      <c r="E126" s="21">
        <v>494307</v>
      </c>
      <c r="F126" s="21">
        <v>522492</v>
      </c>
      <c r="G126" s="19">
        <v>105.7</v>
      </c>
      <c r="H126" s="21">
        <v>1529746</v>
      </c>
      <c r="I126" s="21">
        <v>808920</v>
      </c>
      <c r="J126" s="21">
        <v>720826</v>
      </c>
      <c r="K126" s="19">
        <v>114.8</v>
      </c>
      <c r="L126" s="4">
        <v>44403</v>
      </c>
      <c r="M126" s="18" t="s">
        <v>77</v>
      </c>
      <c r="N126" s="18" t="s">
        <v>94</v>
      </c>
      <c r="O126" s="21">
        <v>5112707</v>
      </c>
      <c r="P126" s="21">
        <v>2713264</v>
      </c>
      <c r="Q126" s="21">
        <v>2399443</v>
      </c>
      <c r="R126" s="19">
        <v>88.43</v>
      </c>
      <c r="S126" s="21">
        <v>3648569</v>
      </c>
      <c r="T126" s="21">
        <v>2496183</v>
      </c>
      <c r="U126" s="21">
        <v>1152386</v>
      </c>
    </row>
    <row r="127" spans="1:21" x14ac:dyDescent="0.3">
      <c r="A127" s="4">
        <v>45979</v>
      </c>
      <c r="B127" s="18" t="s">
        <v>77</v>
      </c>
      <c r="C127" s="18" t="s">
        <v>118</v>
      </c>
      <c r="D127" s="21">
        <v>1013555</v>
      </c>
      <c r="E127" s="21">
        <v>491986</v>
      </c>
      <c r="F127" s="21">
        <v>521569</v>
      </c>
      <c r="G127" s="19">
        <v>106.01</v>
      </c>
      <c r="H127" s="21">
        <v>1588134</v>
      </c>
      <c r="I127" s="21">
        <v>864826</v>
      </c>
      <c r="J127" s="21">
        <v>723308</v>
      </c>
      <c r="K127" s="19">
        <v>84.09</v>
      </c>
      <c r="L127" s="4">
        <v>44400</v>
      </c>
      <c r="M127" s="18" t="s">
        <v>77</v>
      </c>
      <c r="N127" s="18" t="s">
        <v>94</v>
      </c>
      <c r="O127" s="21">
        <v>2709297</v>
      </c>
      <c r="P127" s="21">
        <v>1505831</v>
      </c>
      <c r="Q127" s="21">
        <v>1203466</v>
      </c>
      <c r="R127" s="19">
        <v>79.92</v>
      </c>
      <c r="S127" s="21">
        <v>3600031</v>
      </c>
      <c r="T127" s="21">
        <v>2335719</v>
      </c>
      <c r="U127" s="21">
        <v>1264312</v>
      </c>
    </row>
    <row r="128" spans="1:21" x14ac:dyDescent="0.3">
      <c r="A128" s="4">
        <v>45978</v>
      </c>
      <c r="B128" s="18" t="s">
        <v>77</v>
      </c>
      <c r="C128" s="18" t="s">
        <v>118</v>
      </c>
      <c r="D128" s="21">
        <v>1192923</v>
      </c>
      <c r="E128" s="21">
        <v>566395</v>
      </c>
      <c r="F128" s="21">
        <v>626528</v>
      </c>
      <c r="G128" s="19">
        <v>110.62</v>
      </c>
      <c r="H128" s="21">
        <v>1540562</v>
      </c>
      <c r="I128" s="21">
        <v>819966</v>
      </c>
      <c r="J128" s="21">
        <v>720596</v>
      </c>
      <c r="K128" s="19">
        <v>83.08</v>
      </c>
      <c r="L128" s="21"/>
      <c r="M128" s="21"/>
      <c r="N128" s="21"/>
    </row>
    <row r="129" spans="1:14" x14ac:dyDescent="0.3">
      <c r="A129" s="4">
        <v>45975</v>
      </c>
      <c r="B129" s="18" t="s">
        <v>77</v>
      </c>
      <c r="C129" s="18" t="s">
        <v>118</v>
      </c>
      <c r="D129" s="21">
        <v>786169</v>
      </c>
      <c r="E129" s="21">
        <v>384500</v>
      </c>
      <c r="F129" s="21">
        <v>401669</v>
      </c>
      <c r="G129" s="19">
        <v>104.47</v>
      </c>
      <c r="H129" s="21">
        <v>1474369</v>
      </c>
      <c r="I129" s="21">
        <v>755390</v>
      </c>
      <c r="J129" s="21">
        <v>718979</v>
      </c>
      <c r="K129" s="19">
        <v>110.74</v>
      </c>
      <c r="L129" s="21"/>
      <c r="M129" s="21"/>
      <c r="N129" s="21"/>
    </row>
    <row r="130" spans="1:14" x14ac:dyDescent="0.3">
      <c r="A130" s="4">
        <v>45974</v>
      </c>
      <c r="B130" s="18" t="s">
        <v>77</v>
      </c>
      <c r="C130" s="18" t="s">
        <v>118</v>
      </c>
      <c r="D130" s="21">
        <v>840498</v>
      </c>
      <c r="E130" s="21">
        <v>425231</v>
      </c>
      <c r="F130" s="21">
        <v>415267</v>
      </c>
      <c r="G130" s="19">
        <v>97.66</v>
      </c>
      <c r="H130" s="21">
        <v>1464591</v>
      </c>
      <c r="I130" s="21">
        <v>721691</v>
      </c>
      <c r="J130" s="21">
        <v>742900</v>
      </c>
      <c r="K130" s="19">
        <v>101.7</v>
      </c>
      <c r="L130" s="21"/>
      <c r="M130" s="21"/>
      <c r="N130" s="21"/>
    </row>
    <row r="131" spans="1:14" x14ac:dyDescent="0.3">
      <c r="A131" s="4">
        <v>45973</v>
      </c>
      <c r="B131" s="18" t="s">
        <v>77</v>
      </c>
      <c r="C131" s="18" t="s">
        <v>118</v>
      </c>
      <c r="D131" s="21">
        <v>915593</v>
      </c>
      <c r="E131" s="21">
        <v>462601</v>
      </c>
      <c r="F131" s="21">
        <v>452992</v>
      </c>
      <c r="G131" s="19">
        <v>97.92</v>
      </c>
      <c r="H131" s="21">
        <v>1482723</v>
      </c>
      <c r="I131" s="21">
        <v>760377</v>
      </c>
      <c r="J131" s="21">
        <v>722346</v>
      </c>
      <c r="K131" s="19">
        <v>68</v>
      </c>
      <c r="L131" s="21"/>
      <c r="M131" s="21"/>
      <c r="N131" s="21"/>
    </row>
    <row r="132" spans="1:14" x14ac:dyDescent="0.3">
      <c r="A132" s="4">
        <v>45972</v>
      </c>
      <c r="B132" s="18" t="s">
        <v>77</v>
      </c>
      <c r="C132" s="18" t="s">
        <v>118</v>
      </c>
      <c r="D132" s="21">
        <v>747463</v>
      </c>
      <c r="E132" s="21">
        <v>380354</v>
      </c>
      <c r="F132" s="21">
        <v>367109</v>
      </c>
      <c r="G132" s="19">
        <v>96.52</v>
      </c>
      <c r="H132" s="21">
        <v>1496274</v>
      </c>
      <c r="I132" s="21">
        <v>785146</v>
      </c>
      <c r="J132" s="21">
        <v>711128</v>
      </c>
      <c r="K132" s="19">
        <v>83.78</v>
      </c>
      <c r="L132" s="21"/>
      <c r="M132" s="21"/>
      <c r="N132" s="21"/>
    </row>
    <row r="133" spans="1:14" x14ac:dyDescent="0.3">
      <c r="A133" s="4">
        <v>45971</v>
      </c>
      <c r="B133" s="18" t="s">
        <v>77</v>
      </c>
      <c r="C133" s="18" t="s">
        <v>118</v>
      </c>
      <c r="D133" s="21">
        <v>741629</v>
      </c>
      <c r="E133" s="25">
        <v>376014</v>
      </c>
      <c r="F133" s="25">
        <v>365615</v>
      </c>
      <c r="G133" s="19">
        <v>97.23</v>
      </c>
      <c r="H133" s="21">
        <v>1475197</v>
      </c>
      <c r="I133" s="21">
        <v>755947</v>
      </c>
      <c r="J133" s="21">
        <v>719250</v>
      </c>
      <c r="K133" s="19">
        <v>87.05</v>
      </c>
      <c r="L133" s="21"/>
      <c r="M133" s="21"/>
      <c r="N133" s="21"/>
    </row>
    <row r="134" spans="1:14" x14ac:dyDescent="0.3">
      <c r="A134" s="4">
        <v>45968</v>
      </c>
      <c r="B134" s="18" t="s">
        <v>77</v>
      </c>
      <c r="C134" s="18" t="s">
        <v>118</v>
      </c>
      <c r="D134" s="21">
        <v>593363</v>
      </c>
      <c r="E134" s="21">
        <v>267323</v>
      </c>
      <c r="F134" s="21">
        <v>326040</v>
      </c>
      <c r="G134" s="19">
        <v>121.96</v>
      </c>
      <c r="H134" s="21">
        <v>1463485</v>
      </c>
      <c r="I134" s="21">
        <v>756556</v>
      </c>
      <c r="J134" s="21">
        <v>706929</v>
      </c>
      <c r="K134" s="19">
        <v>85.52</v>
      </c>
      <c r="L134" s="21"/>
      <c r="M134" s="21"/>
      <c r="N134" s="21"/>
    </row>
    <row r="135" spans="1:14" x14ac:dyDescent="0.3">
      <c r="A135" s="4">
        <v>45967</v>
      </c>
      <c r="B135" s="18" t="s">
        <v>77</v>
      </c>
      <c r="C135" s="18" t="s">
        <v>118</v>
      </c>
      <c r="D135" s="21">
        <v>1016162</v>
      </c>
      <c r="E135" s="25">
        <v>502057</v>
      </c>
      <c r="F135" s="25">
        <v>514105</v>
      </c>
      <c r="G135" s="19">
        <v>102.4</v>
      </c>
      <c r="H135" s="21">
        <v>1461715</v>
      </c>
      <c r="I135" s="21">
        <v>751991</v>
      </c>
      <c r="J135" s="21">
        <v>709724</v>
      </c>
      <c r="K135" s="19">
        <v>113.63</v>
      </c>
      <c r="L135" s="21"/>
      <c r="M135" s="21"/>
      <c r="N135" s="21"/>
    </row>
    <row r="136" spans="1:14" x14ac:dyDescent="0.3">
      <c r="A136" s="4">
        <v>45966</v>
      </c>
      <c r="B136" s="18" t="s">
        <v>77</v>
      </c>
      <c r="C136" s="18" t="s">
        <v>118</v>
      </c>
      <c r="D136" s="21">
        <v>861452</v>
      </c>
      <c r="E136" s="21">
        <v>404307</v>
      </c>
      <c r="F136" s="21">
        <v>457145</v>
      </c>
      <c r="G136" s="19">
        <v>113.07</v>
      </c>
      <c r="H136" s="21">
        <v>1513656</v>
      </c>
      <c r="I136" s="21">
        <v>807684</v>
      </c>
      <c r="J136" s="21">
        <v>705972</v>
      </c>
      <c r="K136" s="19">
        <v>87.52</v>
      </c>
      <c r="L136" s="21"/>
      <c r="M136" s="21"/>
      <c r="N136" s="21"/>
    </row>
    <row r="137" spans="1:14" x14ac:dyDescent="0.3">
      <c r="A137" s="4">
        <v>45965</v>
      </c>
      <c r="B137" s="18" t="s">
        <v>77</v>
      </c>
      <c r="C137" s="18" t="s">
        <v>118</v>
      </c>
      <c r="D137" s="21">
        <v>934286</v>
      </c>
      <c r="E137" s="25">
        <v>448116</v>
      </c>
      <c r="F137" s="25">
        <v>486170</v>
      </c>
      <c r="G137" s="19">
        <v>108.49</v>
      </c>
      <c r="H137" s="21">
        <v>1489839</v>
      </c>
      <c r="I137" s="21">
        <v>800706</v>
      </c>
      <c r="J137" s="21">
        <v>689133</v>
      </c>
      <c r="K137" s="19">
        <v>88.87</v>
      </c>
      <c r="L137" s="21"/>
      <c r="M137" s="21"/>
      <c r="N137" s="21"/>
    </row>
    <row r="138" spans="1:14" x14ac:dyDescent="0.3">
      <c r="A138" s="4">
        <v>45964</v>
      </c>
      <c r="B138" s="18" t="s">
        <v>77</v>
      </c>
      <c r="C138" s="18" t="s">
        <v>118</v>
      </c>
      <c r="D138" s="21">
        <v>916968</v>
      </c>
      <c r="E138" s="21">
        <v>454868</v>
      </c>
      <c r="F138" s="21">
        <v>462100</v>
      </c>
      <c r="G138" s="19">
        <v>101.59</v>
      </c>
      <c r="H138" s="21">
        <v>1466430</v>
      </c>
      <c r="I138" s="21">
        <v>781363</v>
      </c>
      <c r="J138" s="21">
        <v>685067</v>
      </c>
      <c r="K138" s="19">
        <v>107.65</v>
      </c>
      <c r="L138" s="21"/>
      <c r="M138" s="21"/>
      <c r="N138" s="21"/>
    </row>
    <row r="139" spans="1:14" x14ac:dyDescent="0.3">
      <c r="A139" s="4">
        <v>45961</v>
      </c>
      <c r="B139" s="18" t="s">
        <v>77</v>
      </c>
      <c r="C139" s="18" t="s">
        <v>118</v>
      </c>
      <c r="D139" s="21">
        <v>1059956</v>
      </c>
      <c r="E139" s="25">
        <v>495040</v>
      </c>
      <c r="F139" s="25">
        <v>564916</v>
      </c>
      <c r="G139" s="19">
        <v>114.12</v>
      </c>
      <c r="H139" s="21">
        <v>1390220</v>
      </c>
      <c r="I139" s="21">
        <v>735563</v>
      </c>
      <c r="J139" s="21">
        <v>654657</v>
      </c>
      <c r="K139" s="19">
        <v>94.66</v>
      </c>
      <c r="L139" s="21"/>
      <c r="M139" s="21"/>
      <c r="N139" s="21"/>
    </row>
    <row r="140" spans="1:14" x14ac:dyDescent="0.3">
      <c r="A140" s="4">
        <v>45960</v>
      </c>
      <c r="B140" s="18" t="s">
        <v>77</v>
      </c>
      <c r="C140" s="18" t="s">
        <v>118</v>
      </c>
      <c r="D140" s="21">
        <v>873357</v>
      </c>
      <c r="E140" s="21">
        <v>490370</v>
      </c>
      <c r="F140" s="21">
        <v>382987</v>
      </c>
      <c r="G140" s="19">
        <v>78.099999999999994</v>
      </c>
      <c r="H140" s="21">
        <v>1269706</v>
      </c>
      <c r="I140" s="21">
        <v>652536</v>
      </c>
      <c r="J140" s="21">
        <v>617170</v>
      </c>
      <c r="K140" s="19">
        <v>79.650000000000006</v>
      </c>
      <c r="L140" s="21"/>
      <c r="M140" s="21"/>
      <c r="N140" s="21"/>
    </row>
    <row r="141" spans="1:14" x14ac:dyDescent="0.3">
      <c r="A141" s="4">
        <v>45959</v>
      </c>
      <c r="B141" s="18" t="s">
        <v>77</v>
      </c>
      <c r="C141" s="18" t="s">
        <v>118</v>
      </c>
      <c r="D141" s="21">
        <v>595148</v>
      </c>
      <c r="E141" s="21">
        <v>308254</v>
      </c>
      <c r="F141" s="21">
        <v>286894</v>
      </c>
      <c r="G141" s="19">
        <v>93.07</v>
      </c>
      <c r="H141" s="21">
        <v>1233054</v>
      </c>
      <c r="I141" s="21">
        <v>625544</v>
      </c>
      <c r="J141" s="21">
        <v>607510</v>
      </c>
      <c r="K141" s="19">
        <v>77.7</v>
      </c>
      <c r="L141" s="21"/>
      <c r="M141" s="21"/>
      <c r="N141" s="21"/>
    </row>
    <row r="142" spans="1:14" x14ac:dyDescent="0.3">
      <c r="A142" s="4">
        <v>45958</v>
      </c>
      <c r="B142" s="18" t="s">
        <v>77</v>
      </c>
      <c r="C142" s="18" t="s">
        <v>118</v>
      </c>
      <c r="D142" s="21">
        <v>762848</v>
      </c>
      <c r="E142" s="21">
        <v>395210</v>
      </c>
      <c r="F142" s="21">
        <v>367638</v>
      </c>
      <c r="G142" s="19">
        <v>93.02</v>
      </c>
      <c r="H142" s="21">
        <v>1215365</v>
      </c>
      <c r="I142" s="21">
        <v>616210</v>
      </c>
      <c r="J142" s="21">
        <v>599155</v>
      </c>
      <c r="K142" s="19">
        <v>82.01</v>
      </c>
      <c r="L142" s="21"/>
      <c r="M142" s="21"/>
      <c r="N142" s="21"/>
    </row>
    <row r="143" spans="1:14" x14ac:dyDescent="0.3">
      <c r="A143" s="4">
        <v>45957</v>
      </c>
      <c r="B143" s="18" t="s">
        <v>77</v>
      </c>
      <c r="C143" s="18" t="s">
        <v>118</v>
      </c>
      <c r="D143" s="21">
        <v>872921</v>
      </c>
      <c r="E143" s="21">
        <v>535289</v>
      </c>
      <c r="F143" s="21">
        <v>337632</v>
      </c>
      <c r="G143" s="19">
        <v>63.07</v>
      </c>
      <c r="H143" s="21">
        <v>1176762</v>
      </c>
      <c r="I143" s="21">
        <v>589095</v>
      </c>
      <c r="J143" s="21">
        <v>587667</v>
      </c>
      <c r="K143" s="19">
        <v>103.44</v>
      </c>
      <c r="L143" s="21"/>
      <c r="M143" s="21"/>
      <c r="N143" s="21"/>
    </row>
    <row r="144" spans="1:14" x14ac:dyDescent="0.3">
      <c r="A144" s="4">
        <v>45954</v>
      </c>
      <c r="B144" s="18" t="s">
        <v>77</v>
      </c>
      <c r="C144" s="18" t="s">
        <v>118</v>
      </c>
      <c r="D144" s="21">
        <v>842646</v>
      </c>
      <c r="E144" s="21">
        <v>490719</v>
      </c>
      <c r="F144" s="21">
        <v>351927</v>
      </c>
      <c r="G144" s="19">
        <v>71.72</v>
      </c>
      <c r="H144" s="21">
        <v>1128157</v>
      </c>
      <c r="I144" s="21">
        <v>568728</v>
      </c>
      <c r="J144" s="21">
        <v>559429</v>
      </c>
      <c r="K144" s="19">
        <v>90.35</v>
      </c>
      <c r="L144" s="21"/>
      <c r="M144" s="21"/>
      <c r="N144" s="21"/>
    </row>
    <row r="145" spans="1:10" x14ac:dyDescent="0.3">
      <c r="A145" s="4">
        <v>45953</v>
      </c>
      <c r="B145" s="18" t="s">
        <v>77</v>
      </c>
      <c r="C145" s="18" t="s">
        <v>118</v>
      </c>
      <c r="D145" s="21">
        <v>900559</v>
      </c>
      <c r="E145" s="25">
        <v>493612</v>
      </c>
      <c r="F145" s="25">
        <v>406947</v>
      </c>
      <c r="G145" s="19">
        <v>82.44</v>
      </c>
      <c r="H145" s="21">
        <v>1087313</v>
      </c>
      <c r="I145" s="21">
        <v>546480</v>
      </c>
      <c r="J145" s="21">
        <v>540833</v>
      </c>
    </row>
    <row r="146" spans="1:10" x14ac:dyDescent="0.3">
      <c r="A146" s="4">
        <v>45952</v>
      </c>
      <c r="B146" s="18" t="s">
        <v>77</v>
      </c>
      <c r="C146" s="18" t="s">
        <v>118</v>
      </c>
      <c r="D146" s="21">
        <v>1068860</v>
      </c>
      <c r="E146" s="21">
        <v>501517</v>
      </c>
      <c r="F146" s="21">
        <v>567343</v>
      </c>
      <c r="G146" s="19">
        <v>113.13</v>
      </c>
      <c r="H146" s="21">
        <v>986100</v>
      </c>
      <c r="I146" s="21">
        <v>491684</v>
      </c>
      <c r="J146" s="21">
        <v>494416</v>
      </c>
    </row>
    <row r="147" spans="1:10" x14ac:dyDescent="0.3">
      <c r="A147" s="4">
        <v>45951</v>
      </c>
      <c r="B147" s="18" t="s">
        <v>77</v>
      </c>
      <c r="C147" s="18" t="s">
        <v>118</v>
      </c>
      <c r="D147" s="21">
        <v>1249541</v>
      </c>
      <c r="E147" s="21">
        <v>614707</v>
      </c>
      <c r="F147" s="21">
        <v>634834</v>
      </c>
      <c r="G147" s="19">
        <v>103.27</v>
      </c>
      <c r="H147" s="21">
        <v>1483470</v>
      </c>
      <c r="I147" s="21">
        <v>809253</v>
      </c>
      <c r="J147" s="21">
        <v>674217</v>
      </c>
    </row>
    <row r="148" spans="1:10" x14ac:dyDescent="0.3">
      <c r="A148" s="4">
        <v>45950</v>
      </c>
      <c r="B148" s="18" t="s">
        <v>77</v>
      </c>
      <c r="C148" s="18" t="s">
        <v>118</v>
      </c>
      <c r="D148" s="21">
        <v>1121657</v>
      </c>
      <c r="E148" s="21">
        <v>564562</v>
      </c>
      <c r="F148" s="21">
        <v>557095</v>
      </c>
      <c r="G148" s="19">
        <v>98.68</v>
      </c>
      <c r="H148" s="21">
        <v>1499252</v>
      </c>
      <c r="I148" s="21">
        <v>848385</v>
      </c>
      <c r="J148" s="21">
        <v>650867</v>
      </c>
    </row>
    <row r="149" spans="1:10" x14ac:dyDescent="0.3">
      <c r="A149" s="4">
        <v>45947</v>
      </c>
      <c r="B149" s="18" t="s">
        <v>77</v>
      </c>
      <c r="C149" s="18" t="s">
        <v>118</v>
      </c>
      <c r="D149" s="21">
        <v>1740158</v>
      </c>
      <c r="E149" s="21">
        <v>839177</v>
      </c>
      <c r="F149" s="21">
        <v>900981</v>
      </c>
      <c r="G149" s="19">
        <v>107.36</v>
      </c>
      <c r="H149" s="21">
        <v>1563633</v>
      </c>
      <c r="I149" s="21">
        <v>886126</v>
      </c>
      <c r="J149" s="21">
        <v>677507</v>
      </c>
    </row>
    <row r="150" spans="1:10" x14ac:dyDescent="0.3">
      <c r="A150" s="4">
        <v>45946</v>
      </c>
      <c r="B150" s="18" t="s">
        <v>77</v>
      </c>
      <c r="C150" s="18" t="s">
        <v>118</v>
      </c>
      <c r="D150" s="21">
        <v>1591464</v>
      </c>
      <c r="E150" s="21">
        <v>816493</v>
      </c>
      <c r="F150" s="21">
        <v>774971</v>
      </c>
      <c r="G150" s="19">
        <v>94.91</v>
      </c>
      <c r="H150" s="21">
        <v>1532693</v>
      </c>
      <c r="I150" s="21">
        <v>830293</v>
      </c>
      <c r="J150" s="21">
        <v>702400</v>
      </c>
    </row>
    <row r="151" spans="1:10" x14ac:dyDescent="0.3">
      <c r="A151" s="4">
        <v>45945</v>
      </c>
      <c r="B151" s="18" t="s">
        <v>77</v>
      </c>
      <c r="C151" s="18" t="s">
        <v>118</v>
      </c>
      <c r="D151" s="21">
        <v>1567373</v>
      </c>
      <c r="E151" s="21">
        <v>748457</v>
      </c>
      <c r="F151" s="21">
        <v>818916</v>
      </c>
      <c r="G151" s="19">
        <v>109.41</v>
      </c>
      <c r="H151" s="21">
        <v>1620171</v>
      </c>
      <c r="I151" s="21">
        <v>915281</v>
      </c>
      <c r="J151" s="21">
        <v>704890</v>
      </c>
    </row>
    <row r="152" spans="1:10" x14ac:dyDescent="0.3">
      <c r="A152" s="4">
        <v>45944</v>
      </c>
      <c r="B152" s="18" t="s">
        <v>77</v>
      </c>
      <c r="C152" s="18" t="s">
        <v>118</v>
      </c>
      <c r="D152" s="21">
        <v>1871259</v>
      </c>
      <c r="E152" s="21">
        <v>909829</v>
      </c>
      <c r="F152" s="21">
        <v>961430</v>
      </c>
      <c r="G152" s="19">
        <v>105.67</v>
      </c>
      <c r="H152" s="21">
        <v>1623939</v>
      </c>
      <c r="I152" s="21">
        <v>953659</v>
      </c>
      <c r="J152" s="21">
        <v>670280</v>
      </c>
    </row>
    <row r="153" spans="1:10" x14ac:dyDescent="0.3">
      <c r="A153" s="4">
        <v>45943</v>
      </c>
      <c r="B153" s="18" t="s">
        <v>77</v>
      </c>
      <c r="C153" s="18" t="s">
        <v>118</v>
      </c>
      <c r="D153" s="21">
        <v>1542905</v>
      </c>
      <c r="E153" s="21">
        <v>700383</v>
      </c>
      <c r="F153" s="21">
        <v>842522</v>
      </c>
      <c r="G153" s="19">
        <v>120.29</v>
      </c>
      <c r="H153" s="21">
        <v>1603101</v>
      </c>
      <c r="I153" s="21">
        <v>948237</v>
      </c>
      <c r="J153" s="21">
        <v>654864</v>
      </c>
    </row>
    <row r="154" spans="1:10" x14ac:dyDescent="0.3">
      <c r="A154" s="4">
        <v>45940</v>
      </c>
      <c r="B154" s="18" t="s">
        <v>77</v>
      </c>
      <c r="C154" s="18" t="s">
        <v>118</v>
      </c>
      <c r="D154" s="21">
        <v>1468546</v>
      </c>
      <c r="E154" s="21">
        <v>794075</v>
      </c>
      <c r="F154" s="21">
        <v>674471</v>
      </c>
      <c r="G154" s="19">
        <v>84.94</v>
      </c>
      <c r="H154" s="21">
        <v>1563375</v>
      </c>
      <c r="I154" s="21">
        <v>915203</v>
      </c>
      <c r="J154" s="21">
        <v>648172</v>
      </c>
    </row>
    <row r="155" spans="1:10" x14ac:dyDescent="0.3">
      <c r="A155" s="4">
        <v>45939</v>
      </c>
      <c r="B155" s="18" t="s">
        <v>77</v>
      </c>
      <c r="C155" s="18" t="s">
        <v>118</v>
      </c>
      <c r="D155" s="21">
        <v>1665598</v>
      </c>
      <c r="E155" s="21">
        <v>896093</v>
      </c>
      <c r="F155" s="21">
        <v>769505</v>
      </c>
      <c r="G155" s="19">
        <v>85.87</v>
      </c>
      <c r="H155" s="21">
        <v>1426810</v>
      </c>
      <c r="I155" s="21">
        <v>795142</v>
      </c>
      <c r="J155" s="21">
        <v>631668</v>
      </c>
    </row>
    <row r="156" spans="1:10" x14ac:dyDescent="0.3">
      <c r="A156" s="4">
        <v>45930</v>
      </c>
      <c r="B156" s="18" t="s">
        <v>77</v>
      </c>
      <c r="C156" s="18" t="s">
        <v>118</v>
      </c>
      <c r="D156" s="21">
        <v>819467</v>
      </c>
      <c r="E156" s="21">
        <v>453772</v>
      </c>
      <c r="F156" s="21">
        <v>365695</v>
      </c>
      <c r="G156" s="19">
        <v>80.59</v>
      </c>
      <c r="H156" s="21">
        <v>1336646</v>
      </c>
      <c r="I156" s="21">
        <v>756980</v>
      </c>
      <c r="J156" s="21">
        <v>579666</v>
      </c>
    </row>
    <row r="157" spans="1:10" x14ac:dyDescent="0.3">
      <c r="A157" s="4">
        <v>45929</v>
      </c>
      <c r="B157" s="18" t="s">
        <v>77</v>
      </c>
      <c r="C157" s="18" t="s">
        <v>118</v>
      </c>
      <c r="D157" s="21">
        <v>1473749</v>
      </c>
      <c r="E157" s="21">
        <v>928214</v>
      </c>
      <c r="F157" s="21">
        <v>545535</v>
      </c>
      <c r="G157" s="19">
        <v>58.77</v>
      </c>
      <c r="H157" s="21">
        <v>1288269</v>
      </c>
      <c r="I157" s="21">
        <v>723789</v>
      </c>
      <c r="J157" s="21">
        <v>564480</v>
      </c>
    </row>
    <row r="158" spans="1:10" x14ac:dyDescent="0.3">
      <c r="A158" s="4">
        <v>45926</v>
      </c>
      <c r="B158" s="18" t="s">
        <v>77</v>
      </c>
      <c r="C158" s="18" t="s">
        <v>118</v>
      </c>
      <c r="D158" s="21">
        <v>788228</v>
      </c>
      <c r="E158" s="21">
        <v>412376</v>
      </c>
      <c r="F158" s="21">
        <v>375852</v>
      </c>
      <c r="G158" s="19">
        <v>91.14</v>
      </c>
      <c r="H158" s="21">
        <v>1226295</v>
      </c>
      <c r="I158" s="21">
        <v>695731</v>
      </c>
      <c r="J158" s="21">
        <v>530564</v>
      </c>
    </row>
    <row r="159" spans="1:10" x14ac:dyDescent="0.3">
      <c r="A159" s="4">
        <v>45925</v>
      </c>
      <c r="B159" s="18" t="s">
        <v>77</v>
      </c>
      <c r="C159" s="18" t="s">
        <v>118</v>
      </c>
      <c r="D159" s="21">
        <v>883833</v>
      </c>
      <c r="E159" s="21">
        <v>476583</v>
      </c>
      <c r="F159" s="21">
        <v>407250</v>
      </c>
      <c r="G159" s="19">
        <v>85.45</v>
      </c>
      <c r="H159" s="21">
        <v>1153474</v>
      </c>
      <c r="I159" s="21">
        <v>650825</v>
      </c>
      <c r="J159" s="21">
        <v>502649</v>
      </c>
    </row>
    <row r="160" spans="1:10" x14ac:dyDescent="0.3">
      <c r="A160" s="4">
        <v>45924</v>
      </c>
      <c r="B160" s="18" t="s">
        <v>77</v>
      </c>
      <c r="C160" s="18" t="s">
        <v>118</v>
      </c>
      <c r="D160" s="21">
        <v>1177164</v>
      </c>
      <c r="E160" s="21">
        <v>667566</v>
      </c>
      <c r="F160" s="21">
        <v>509598</v>
      </c>
      <c r="G160" s="19">
        <v>76.34</v>
      </c>
      <c r="H160" s="21">
        <v>1049943</v>
      </c>
      <c r="I160" s="21">
        <v>591084</v>
      </c>
      <c r="J160" s="21">
        <v>458859</v>
      </c>
    </row>
    <row r="161" spans="1:10" x14ac:dyDescent="0.3">
      <c r="A161" s="4">
        <v>45923</v>
      </c>
      <c r="B161" s="18" t="s">
        <v>77</v>
      </c>
      <c r="C161" s="18" t="s">
        <v>118</v>
      </c>
      <c r="D161" s="21">
        <v>1454290</v>
      </c>
      <c r="E161" s="21">
        <v>793223</v>
      </c>
      <c r="F161" s="21">
        <v>661067</v>
      </c>
      <c r="G161" s="19">
        <v>83.34</v>
      </c>
      <c r="H161" s="21">
        <v>1832560</v>
      </c>
      <c r="I161" s="21">
        <v>1069979</v>
      </c>
      <c r="J161" s="21">
        <v>762581</v>
      </c>
    </row>
    <row r="162" spans="1:10" x14ac:dyDescent="0.3">
      <c r="A162" s="4">
        <v>45922</v>
      </c>
      <c r="B162" s="18" t="s">
        <v>77</v>
      </c>
      <c r="C162" s="18" t="s">
        <v>118</v>
      </c>
      <c r="D162" s="21">
        <v>1110368</v>
      </c>
      <c r="E162" s="21">
        <v>640726</v>
      </c>
      <c r="F162" s="21">
        <v>469642</v>
      </c>
      <c r="G162" s="19">
        <v>73.3</v>
      </c>
      <c r="H162" s="21">
        <v>1850701</v>
      </c>
      <c r="I162" s="21">
        <v>1088222</v>
      </c>
      <c r="J162" s="21">
        <v>762479</v>
      </c>
    </row>
    <row r="163" spans="1:10" x14ac:dyDescent="0.3">
      <c r="A163" s="4">
        <v>45919</v>
      </c>
      <c r="B163" s="18" t="s">
        <v>77</v>
      </c>
      <c r="C163" s="18" t="s">
        <v>118</v>
      </c>
      <c r="D163" s="21">
        <v>1546791</v>
      </c>
      <c r="E163" s="21">
        <v>723421</v>
      </c>
      <c r="F163" s="21">
        <v>823370</v>
      </c>
      <c r="G163" s="19">
        <v>113.82</v>
      </c>
      <c r="H163" s="21">
        <v>1924926</v>
      </c>
      <c r="I163" s="21">
        <v>1120311</v>
      </c>
      <c r="J163" s="21">
        <v>804615</v>
      </c>
    </row>
    <row r="164" spans="1:10" x14ac:dyDescent="0.3">
      <c r="A164" s="4">
        <v>45918</v>
      </c>
      <c r="B164" s="18" t="s">
        <v>77</v>
      </c>
      <c r="C164" s="18" t="s">
        <v>118</v>
      </c>
      <c r="D164" s="21">
        <v>2575603</v>
      </c>
      <c r="E164" s="21">
        <v>1443669</v>
      </c>
      <c r="F164" s="21">
        <v>1131934</v>
      </c>
      <c r="G164" s="19">
        <v>78.41</v>
      </c>
      <c r="H164" s="21">
        <v>1964149</v>
      </c>
      <c r="I164" s="21">
        <v>1150414</v>
      </c>
      <c r="J164" s="21">
        <v>813735</v>
      </c>
    </row>
    <row r="165" spans="1:10" x14ac:dyDescent="0.3">
      <c r="A165" s="4">
        <v>45917</v>
      </c>
      <c r="B165" s="18" t="s">
        <v>77</v>
      </c>
      <c r="C165" s="18" t="s">
        <v>118</v>
      </c>
      <c r="D165" s="21">
        <v>1100753</v>
      </c>
      <c r="E165" s="21">
        <v>587558</v>
      </c>
      <c r="F165" s="21">
        <v>513195</v>
      </c>
      <c r="G165" s="19">
        <v>87.34</v>
      </c>
      <c r="H165" s="21">
        <v>1878897</v>
      </c>
      <c r="I165" s="21">
        <v>1063556</v>
      </c>
      <c r="J165" s="21">
        <v>815341</v>
      </c>
    </row>
    <row r="166" spans="1:10" x14ac:dyDescent="0.3">
      <c r="A166" s="4">
        <v>45916</v>
      </c>
      <c r="B166" s="18" t="s">
        <v>77</v>
      </c>
      <c r="C166" s="18" t="s">
        <v>118</v>
      </c>
      <c r="D166" s="21">
        <v>965552</v>
      </c>
      <c r="E166" s="21">
        <v>487662</v>
      </c>
      <c r="F166" s="21">
        <v>477890</v>
      </c>
      <c r="G166" s="19">
        <v>98</v>
      </c>
      <c r="H166" s="21">
        <v>1822137</v>
      </c>
      <c r="I166" s="21">
        <v>1022767</v>
      </c>
      <c r="J166" s="21">
        <v>799370</v>
      </c>
    </row>
    <row r="167" spans="1:10" x14ac:dyDescent="0.3">
      <c r="A167" s="4">
        <v>45915</v>
      </c>
      <c r="B167" s="18" t="s">
        <v>77</v>
      </c>
      <c r="C167" s="18" t="s">
        <v>118</v>
      </c>
      <c r="D167" s="21">
        <v>873366</v>
      </c>
      <c r="E167" s="21">
        <v>476249</v>
      </c>
      <c r="F167" s="21">
        <v>397117</v>
      </c>
      <c r="G167" s="19">
        <v>83.38</v>
      </c>
      <c r="H167" s="21">
        <v>1779500</v>
      </c>
      <c r="I167" s="21">
        <v>980761</v>
      </c>
      <c r="J167" s="21">
        <v>798739</v>
      </c>
    </row>
    <row r="168" spans="1:10" x14ac:dyDescent="0.3">
      <c r="A168" s="4">
        <v>45912</v>
      </c>
      <c r="B168" s="18" t="s">
        <v>77</v>
      </c>
      <c r="C168" s="18" t="s">
        <v>118</v>
      </c>
      <c r="D168" s="21">
        <v>1115635</v>
      </c>
      <c r="E168" s="21">
        <v>669877</v>
      </c>
      <c r="F168" s="21">
        <v>445758</v>
      </c>
      <c r="G168" s="19">
        <v>66.540000000000006</v>
      </c>
      <c r="H168" s="21">
        <v>1741089</v>
      </c>
      <c r="I168" s="21">
        <v>948829</v>
      </c>
      <c r="J168" s="21">
        <v>792260</v>
      </c>
    </row>
    <row r="169" spans="1:10" x14ac:dyDescent="0.3">
      <c r="A169" s="4">
        <v>45911</v>
      </c>
      <c r="B169" s="18" t="s">
        <v>77</v>
      </c>
      <c r="C169" s="18" t="s">
        <v>118</v>
      </c>
      <c r="D169" s="21">
        <v>1603851</v>
      </c>
      <c r="E169" s="21">
        <v>919986</v>
      </c>
      <c r="F169" s="21">
        <v>683865</v>
      </c>
      <c r="G169" s="19">
        <v>74.33</v>
      </c>
      <c r="H169" s="21">
        <v>1697064</v>
      </c>
      <c r="I169" s="21">
        <v>892807</v>
      </c>
      <c r="J169" s="21">
        <v>804257</v>
      </c>
    </row>
    <row r="170" spans="1:10" x14ac:dyDescent="0.3">
      <c r="A170" s="4">
        <v>45910</v>
      </c>
      <c r="B170" s="18" t="s">
        <v>77</v>
      </c>
      <c r="C170" s="18" t="s">
        <v>118</v>
      </c>
      <c r="D170" s="21">
        <v>958881</v>
      </c>
      <c r="E170" s="21">
        <v>482688</v>
      </c>
      <c r="F170" s="21">
        <v>476193</v>
      </c>
      <c r="G170" s="19">
        <v>98.65</v>
      </c>
      <c r="H170" s="21">
        <v>1731636</v>
      </c>
      <c r="I170" s="21">
        <v>945745</v>
      </c>
      <c r="J170" s="21">
        <v>785891</v>
      </c>
    </row>
    <row r="171" spans="1:10" x14ac:dyDescent="0.3">
      <c r="A171" s="4">
        <v>45909</v>
      </c>
      <c r="B171" s="18" t="s">
        <v>77</v>
      </c>
      <c r="C171" s="18" t="s">
        <v>118</v>
      </c>
      <c r="D171" s="21">
        <v>1086656</v>
      </c>
      <c r="E171" s="21">
        <v>543699</v>
      </c>
      <c r="F171" s="21">
        <v>542957</v>
      </c>
      <c r="G171" s="19">
        <v>99.86</v>
      </c>
      <c r="H171" s="21">
        <v>1756895</v>
      </c>
      <c r="I171" s="21">
        <v>972921</v>
      </c>
      <c r="J171" s="21">
        <v>783974</v>
      </c>
    </row>
    <row r="172" spans="1:10" x14ac:dyDescent="0.3">
      <c r="A172" s="4">
        <v>45908</v>
      </c>
      <c r="B172" s="18" t="s">
        <v>77</v>
      </c>
      <c r="C172" s="18" t="s">
        <v>118</v>
      </c>
      <c r="D172" s="21">
        <v>944738</v>
      </c>
      <c r="E172" s="21">
        <v>502298</v>
      </c>
      <c r="F172" s="21">
        <v>442440</v>
      </c>
      <c r="G172" s="19">
        <v>88.08</v>
      </c>
      <c r="H172" s="21">
        <v>1749500</v>
      </c>
      <c r="I172" s="21">
        <v>967259</v>
      </c>
      <c r="J172" s="21">
        <v>782241</v>
      </c>
    </row>
    <row r="173" spans="1:10" x14ac:dyDescent="0.3">
      <c r="A173" s="4">
        <v>45905</v>
      </c>
      <c r="B173" s="18" t="s">
        <v>77</v>
      </c>
      <c r="C173" s="18" t="s">
        <v>118</v>
      </c>
      <c r="D173" s="21">
        <v>1383435</v>
      </c>
      <c r="E173" s="21">
        <v>769080</v>
      </c>
      <c r="F173" s="21">
        <v>614355</v>
      </c>
      <c r="G173" s="19">
        <v>79.88</v>
      </c>
      <c r="H173" s="21">
        <v>1696399</v>
      </c>
      <c r="I173" s="21">
        <v>929074</v>
      </c>
      <c r="J173" s="21">
        <v>767325</v>
      </c>
    </row>
    <row r="174" spans="1:10" x14ac:dyDescent="0.3">
      <c r="A174" s="4">
        <v>45904</v>
      </c>
      <c r="B174" s="18" t="s">
        <v>77</v>
      </c>
      <c r="C174" s="18" t="s">
        <v>118</v>
      </c>
      <c r="D174" s="21">
        <v>1875365</v>
      </c>
      <c r="E174" s="21">
        <v>965523</v>
      </c>
      <c r="F174" s="21">
        <v>909842</v>
      </c>
      <c r="G174" s="19">
        <v>94.23</v>
      </c>
      <c r="H174" s="21">
        <v>1729470</v>
      </c>
      <c r="I174" s="21">
        <v>968734</v>
      </c>
      <c r="J174" s="21">
        <v>760736</v>
      </c>
    </row>
    <row r="175" spans="1:10" x14ac:dyDescent="0.3">
      <c r="A175" s="4">
        <v>45903</v>
      </c>
      <c r="B175" s="18" t="s">
        <v>77</v>
      </c>
      <c r="C175" s="18" t="s">
        <v>118</v>
      </c>
      <c r="D175" s="21">
        <v>1693790</v>
      </c>
      <c r="E175" s="21">
        <v>963841</v>
      </c>
      <c r="F175" s="21">
        <v>729949</v>
      </c>
      <c r="G175" s="19">
        <v>75.73</v>
      </c>
      <c r="H175" s="21">
        <v>1648537</v>
      </c>
      <c r="I175" s="21">
        <v>879700</v>
      </c>
      <c r="J175" s="21">
        <v>768837</v>
      </c>
    </row>
    <row r="176" spans="1:10" x14ac:dyDescent="0.3">
      <c r="A176" s="4">
        <v>45902</v>
      </c>
      <c r="B176" s="18" t="s">
        <v>77</v>
      </c>
      <c r="C176" s="18" t="s">
        <v>118</v>
      </c>
      <c r="D176" s="21">
        <v>1377006</v>
      </c>
      <c r="E176" s="21">
        <v>762350</v>
      </c>
      <c r="F176" s="21">
        <v>614656</v>
      </c>
      <c r="G176" s="19">
        <v>80.63</v>
      </c>
      <c r="H176" s="21">
        <v>1544760</v>
      </c>
      <c r="I176" s="21">
        <v>810453</v>
      </c>
      <c r="J176" s="21">
        <v>734307</v>
      </c>
    </row>
    <row r="177" spans="1:10" x14ac:dyDescent="0.3">
      <c r="A177" s="4">
        <v>45901</v>
      </c>
      <c r="B177" s="18" t="s">
        <v>77</v>
      </c>
      <c r="C177" s="18" t="s">
        <v>118</v>
      </c>
      <c r="D177" s="21">
        <v>958332</v>
      </c>
      <c r="E177" s="21">
        <v>532900</v>
      </c>
      <c r="F177" s="21">
        <v>425432</v>
      </c>
      <c r="G177" s="19">
        <v>79.83</v>
      </c>
      <c r="H177" s="21">
        <v>1495540</v>
      </c>
      <c r="I177" s="21">
        <v>779449</v>
      </c>
      <c r="J177" s="21">
        <v>716091</v>
      </c>
    </row>
    <row r="178" spans="1:10" x14ac:dyDescent="0.3">
      <c r="A178" s="4">
        <v>45898</v>
      </c>
      <c r="B178" s="18" t="s">
        <v>77</v>
      </c>
      <c r="C178" s="18" t="s">
        <v>118</v>
      </c>
      <c r="D178" s="21">
        <v>1630799</v>
      </c>
      <c r="E178" s="21">
        <v>980491</v>
      </c>
      <c r="F178" s="21">
        <v>650308</v>
      </c>
      <c r="G178" s="19">
        <v>66.319999999999993</v>
      </c>
      <c r="H178" s="21">
        <v>1427736</v>
      </c>
      <c r="I178" s="21">
        <v>730634</v>
      </c>
      <c r="J178" s="21">
        <v>697102</v>
      </c>
    </row>
    <row r="179" spans="1:10" x14ac:dyDescent="0.3">
      <c r="A179" s="4">
        <v>45897</v>
      </c>
      <c r="B179" s="18" t="s">
        <v>77</v>
      </c>
      <c r="C179" s="18" t="s">
        <v>118</v>
      </c>
      <c r="D179" s="21">
        <v>1592490</v>
      </c>
      <c r="E179" s="21">
        <v>884757</v>
      </c>
      <c r="F179" s="21">
        <v>707733</v>
      </c>
      <c r="G179" s="19">
        <v>79.989999999999995</v>
      </c>
      <c r="H179" s="21">
        <v>1354068</v>
      </c>
      <c r="I179" s="21">
        <v>707534</v>
      </c>
      <c r="J179" s="21">
        <v>646534</v>
      </c>
    </row>
    <row r="180" spans="1:10" x14ac:dyDescent="0.3">
      <c r="A180" s="4">
        <v>45896</v>
      </c>
      <c r="B180" s="18" t="s">
        <v>77</v>
      </c>
      <c r="C180" s="18" t="s">
        <v>118</v>
      </c>
      <c r="D180" s="21">
        <v>1843290</v>
      </c>
      <c r="E180" s="21">
        <v>1065221</v>
      </c>
      <c r="F180" s="21">
        <v>778069</v>
      </c>
      <c r="G180" s="19">
        <v>73.040000000000006</v>
      </c>
      <c r="H180" s="21">
        <v>1207059</v>
      </c>
      <c r="I180" s="21">
        <v>634804</v>
      </c>
      <c r="J180" s="21">
        <v>572255</v>
      </c>
    </row>
    <row r="181" spans="1:10" x14ac:dyDescent="0.3">
      <c r="A181" s="4">
        <v>45895</v>
      </c>
      <c r="B181" s="18" t="s">
        <v>77</v>
      </c>
      <c r="C181" s="18" t="s">
        <v>118</v>
      </c>
      <c r="D181" s="21">
        <v>1614626</v>
      </c>
      <c r="E181" s="21">
        <v>945032</v>
      </c>
      <c r="F181" s="21">
        <v>669594</v>
      </c>
      <c r="G181" s="19">
        <v>70.849999999999994</v>
      </c>
      <c r="H181" s="21">
        <v>1714598</v>
      </c>
      <c r="I181" s="21">
        <v>797919</v>
      </c>
      <c r="J181" s="21">
        <v>916679</v>
      </c>
    </row>
    <row r="182" spans="1:10" x14ac:dyDescent="0.3">
      <c r="A182" s="4">
        <v>45894</v>
      </c>
      <c r="B182" s="18" t="s">
        <v>77</v>
      </c>
      <c r="C182" s="18" t="s">
        <v>118</v>
      </c>
      <c r="D182" s="21">
        <v>2315474</v>
      </c>
      <c r="E182" s="21">
        <v>1454708</v>
      </c>
      <c r="F182" s="21">
        <v>860766</v>
      </c>
      <c r="G182" s="19">
        <v>59.17</v>
      </c>
      <c r="H182" s="21">
        <v>1660120</v>
      </c>
      <c r="I182" s="21">
        <v>755176</v>
      </c>
      <c r="J182" s="21">
        <v>904944</v>
      </c>
    </row>
    <row r="183" spans="1:10" x14ac:dyDescent="0.3">
      <c r="A183" s="4">
        <v>45891</v>
      </c>
      <c r="B183" s="18" t="s">
        <v>77</v>
      </c>
      <c r="C183" s="18" t="s">
        <v>118</v>
      </c>
      <c r="D183" s="21">
        <v>2170889</v>
      </c>
      <c r="E183" s="21">
        <v>1325218</v>
      </c>
      <c r="F183" s="21">
        <v>845671</v>
      </c>
      <c r="G183" s="19">
        <v>63.81</v>
      </c>
      <c r="H183" s="21">
        <v>1666287</v>
      </c>
      <c r="I183" s="21">
        <v>756930</v>
      </c>
      <c r="J183" s="21">
        <v>909357</v>
      </c>
    </row>
    <row r="184" spans="1:10" x14ac:dyDescent="0.3">
      <c r="A184" s="4">
        <v>45890</v>
      </c>
      <c r="B184" s="18" t="s">
        <v>77</v>
      </c>
      <c r="C184" s="18" t="s">
        <v>118</v>
      </c>
      <c r="D184" s="21">
        <v>1494304</v>
      </c>
      <c r="E184" s="21">
        <v>865350</v>
      </c>
      <c r="F184" s="21">
        <v>628954</v>
      </c>
      <c r="G184" s="19">
        <v>72.680000000000007</v>
      </c>
      <c r="H184" s="21">
        <v>1759071</v>
      </c>
      <c r="I184" s="21">
        <v>855412</v>
      </c>
      <c r="J184" s="21">
        <v>903659</v>
      </c>
    </row>
    <row r="185" spans="1:10" x14ac:dyDescent="0.3">
      <c r="A185" s="4">
        <v>45889</v>
      </c>
      <c r="B185" s="18" t="s">
        <v>77</v>
      </c>
      <c r="C185" s="18" t="s">
        <v>118</v>
      </c>
      <c r="D185" s="21">
        <v>1709339</v>
      </c>
      <c r="E185" s="21">
        <v>899894</v>
      </c>
      <c r="F185" s="21">
        <v>809445</v>
      </c>
      <c r="G185" s="19">
        <v>89.95</v>
      </c>
      <c r="H185" s="21">
        <v>1790954</v>
      </c>
      <c r="I185" s="21">
        <v>891711</v>
      </c>
      <c r="J185" s="21">
        <v>899243</v>
      </c>
    </row>
    <row r="186" spans="1:10" x14ac:dyDescent="0.3">
      <c r="A186" s="4">
        <v>45888</v>
      </c>
      <c r="B186" s="18" t="s">
        <v>77</v>
      </c>
      <c r="C186" s="18" t="s">
        <v>118</v>
      </c>
      <c r="D186" s="21">
        <v>1755651</v>
      </c>
      <c r="E186" s="21">
        <v>974849</v>
      </c>
      <c r="F186" s="21">
        <v>780802</v>
      </c>
      <c r="G186" s="19">
        <v>80.09</v>
      </c>
      <c r="H186" s="21">
        <v>1793761</v>
      </c>
      <c r="I186" s="21">
        <v>928194</v>
      </c>
      <c r="J186" s="21">
        <v>865567</v>
      </c>
    </row>
    <row r="187" spans="1:10" x14ac:dyDescent="0.3">
      <c r="A187" s="4">
        <v>45887</v>
      </c>
      <c r="B187" s="18" t="s">
        <v>77</v>
      </c>
      <c r="C187" s="18" t="s">
        <v>118</v>
      </c>
      <c r="D187" s="21">
        <v>2021228</v>
      </c>
      <c r="E187" s="21">
        <v>1230791</v>
      </c>
      <c r="F187" s="21">
        <v>790437</v>
      </c>
      <c r="G187" s="19">
        <v>64.22</v>
      </c>
      <c r="H187" s="21">
        <v>1702963</v>
      </c>
      <c r="I187" s="21">
        <v>825316</v>
      </c>
      <c r="J187" s="21">
        <v>877647</v>
      </c>
    </row>
    <row r="188" spans="1:10" x14ac:dyDescent="0.3">
      <c r="A188" s="4">
        <v>45884</v>
      </c>
      <c r="B188" s="18" t="s">
        <v>77</v>
      </c>
      <c r="C188" s="18" t="s">
        <v>118</v>
      </c>
      <c r="D188" s="21">
        <v>1876202</v>
      </c>
      <c r="E188" s="21">
        <v>1136215</v>
      </c>
      <c r="F188" s="21">
        <v>739987</v>
      </c>
      <c r="G188" s="19">
        <v>65.13</v>
      </c>
      <c r="H188" s="21">
        <v>1656409</v>
      </c>
      <c r="I188" s="21">
        <v>805439</v>
      </c>
      <c r="J188" s="21">
        <v>850970</v>
      </c>
    </row>
    <row r="189" spans="1:10" x14ac:dyDescent="0.3">
      <c r="A189" s="4">
        <v>45883</v>
      </c>
      <c r="B189" s="18" t="s">
        <v>77</v>
      </c>
      <c r="C189" s="18" t="s">
        <v>118</v>
      </c>
      <c r="D189" s="21">
        <v>2296330</v>
      </c>
      <c r="E189" s="21">
        <v>1363895</v>
      </c>
      <c r="F189" s="21">
        <v>932435</v>
      </c>
      <c r="G189" s="19">
        <v>68.37</v>
      </c>
      <c r="H189" s="21">
        <v>1550957</v>
      </c>
      <c r="I189" s="21">
        <v>722383</v>
      </c>
      <c r="J189" s="21">
        <v>828574</v>
      </c>
    </row>
    <row r="190" spans="1:10" x14ac:dyDescent="0.3">
      <c r="A190" s="4">
        <v>45882</v>
      </c>
      <c r="B190" s="18" t="s">
        <v>77</v>
      </c>
      <c r="C190" s="18" t="s">
        <v>118</v>
      </c>
      <c r="D190" s="21">
        <v>1553084</v>
      </c>
      <c r="E190" s="21">
        <v>922352</v>
      </c>
      <c r="F190" s="21">
        <v>630732</v>
      </c>
      <c r="G190" s="19">
        <v>68.38</v>
      </c>
      <c r="H190" s="21">
        <v>1547249</v>
      </c>
      <c r="I190" s="21">
        <v>760507</v>
      </c>
      <c r="J190" s="21">
        <v>786742</v>
      </c>
    </row>
    <row r="191" spans="1:10" x14ac:dyDescent="0.3">
      <c r="A191" s="4">
        <v>45881</v>
      </c>
      <c r="B191" s="18" t="s">
        <v>77</v>
      </c>
      <c r="C191" s="18" t="s">
        <v>118</v>
      </c>
      <c r="D191" s="21">
        <v>1275205</v>
      </c>
      <c r="E191" s="21">
        <v>713251</v>
      </c>
      <c r="F191" s="21">
        <v>561954</v>
      </c>
      <c r="G191" s="19">
        <v>78.790000000000006</v>
      </c>
      <c r="H191" s="21">
        <v>1517726</v>
      </c>
      <c r="I191" s="21">
        <v>752065</v>
      </c>
      <c r="J191" s="21">
        <v>765661</v>
      </c>
    </row>
    <row r="192" spans="1:10" x14ac:dyDescent="0.3">
      <c r="A192" s="4">
        <v>45880</v>
      </c>
      <c r="B192" s="18" t="s">
        <v>77</v>
      </c>
      <c r="C192" s="18" t="s">
        <v>118</v>
      </c>
      <c r="D192" s="21">
        <v>907190</v>
      </c>
      <c r="E192" s="21">
        <v>481453</v>
      </c>
      <c r="F192" s="21">
        <v>425737</v>
      </c>
      <c r="G192" s="19">
        <v>88.43</v>
      </c>
      <c r="H192" s="21">
        <v>1517430</v>
      </c>
      <c r="I192" s="21">
        <v>781621</v>
      </c>
      <c r="J192" s="21">
        <v>735809</v>
      </c>
    </row>
    <row r="193" spans="1:10" x14ac:dyDescent="0.3">
      <c r="A193" s="4">
        <v>45877</v>
      </c>
      <c r="B193" s="18" t="s">
        <v>77</v>
      </c>
      <c r="C193" s="18" t="s">
        <v>118</v>
      </c>
      <c r="D193" s="21">
        <v>688126</v>
      </c>
      <c r="E193" s="21">
        <v>357806</v>
      </c>
      <c r="F193" s="21">
        <v>330320</v>
      </c>
      <c r="G193" s="19">
        <v>92.32</v>
      </c>
      <c r="H193" s="21">
        <v>1477231</v>
      </c>
      <c r="I193" s="21">
        <v>756711</v>
      </c>
      <c r="J193" s="21">
        <v>720520</v>
      </c>
    </row>
    <row r="194" spans="1:10" x14ac:dyDescent="0.3">
      <c r="A194" s="4">
        <v>45876</v>
      </c>
      <c r="B194" s="18" t="s">
        <v>77</v>
      </c>
      <c r="C194" s="18" t="s">
        <v>118</v>
      </c>
      <c r="D194" s="21">
        <v>921655</v>
      </c>
      <c r="E194" s="21">
        <v>495213</v>
      </c>
      <c r="F194" s="21">
        <v>426442</v>
      </c>
      <c r="G194" s="19">
        <v>86.11</v>
      </c>
      <c r="H194" s="21">
        <v>1470839</v>
      </c>
      <c r="I194" s="21">
        <v>752190</v>
      </c>
      <c r="J194" s="21">
        <v>718649</v>
      </c>
    </row>
    <row r="195" spans="1:10" x14ac:dyDescent="0.3">
      <c r="A195" s="4">
        <v>45875</v>
      </c>
      <c r="B195" s="18" t="s">
        <v>77</v>
      </c>
      <c r="C195" s="18" t="s">
        <v>118</v>
      </c>
      <c r="D195" s="21">
        <v>702198</v>
      </c>
      <c r="E195" s="21">
        <v>362866</v>
      </c>
      <c r="F195" s="21">
        <v>339332</v>
      </c>
      <c r="G195" s="19">
        <v>93.51</v>
      </c>
      <c r="H195" s="21">
        <v>1453965</v>
      </c>
      <c r="I195" s="21">
        <v>749518</v>
      </c>
      <c r="J195" s="21">
        <v>704447</v>
      </c>
    </row>
    <row r="196" spans="1:10" x14ac:dyDescent="0.3">
      <c r="A196" s="4">
        <v>45874</v>
      </c>
      <c r="B196" s="18" t="s">
        <v>77</v>
      </c>
      <c r="C196" s="18" t="s">
        <v>118</v>
      </c>
      <c r="D196" s="21">
        <v>919091</v>
      </c>
      <c r="E196" s="21">
        <v>463691</v>
      </c>
      <c r="F196" s="21">
        <v>455400</v>
      </c>
      <c r="G196" s="19">
        <v>98.21</v>
      </c>
      <c r="H196" s="21">
        <v>1435875</v>
      </c>
      <c r="I196" s="21">
        <v>751464</v>
      </c>
      <c r="J196" s="21">
        <v>684411</v>
      </c>
    </row>
    <row r="197" spans="1:10" x14ac:dyDescent="0.3">
      <c r="A197" s="4">
        <v>45873</v>
      </c>
      <c r="B197" s="18" t="s">
        <v>77</v>
      </c>
      <c r="C197" s="18" t="s">
        <v>118</v>
      </c>
      <c r="D197" s="21">
        <v>782138</v>
      </c>
      <c r="E197" s="21">
        <v>378467</v>
      </c>
      <c r="F197" s="21">
        <v>403671</v>
      </c>
      <c r="G197" s="19">
        <v>106.66</v>
      </c>
      <c r="H197" s="21">
        <v>1463106</v>
      </c>
      <c r="I197" s="21">
        <v>787547</v>
      </c>
      <c r="J197" s="21">
        <v>675559</v>
      </c>
    </row>
    <row r="198" spans="1:10" x14ac:dyDescent="0.3">
      <c r="A198" s="4">
        <v>45870</v>
      </c>
      <c r="B198" s="18" t="s">
        <v>77</v>
      </c>
      <c r="C198" s="18" t="s">
        <v>118</v>
      </c>
      <c r="D198" s="21">
        <v>1257454</v>
      </c>
      <c r="E198" s="21">
        <v>599746</v>
      </c>
      <c r="F198" s="21">
        <v>657708</v>
      </c>
      <c r="G198" s="19">
        <v>109.66</v>
      </c>
      <c r="H198" s="21">
        <v>1443444</v>
      </c>
      <c r="I198" s="21">
        <v>783141</v>
      </c>
      <c r="J198" s="21">
        <v>660303</v>
      </c>
    </row>
    <row r="199" spans="1:10" x14ac:dyDescent="0.3">
      <c r="A199" s="4">
        <v>45869</v>
      </c>
      <c r="B199" s="18" t="s">
        <v>77</v>
      </c>
      <c r="C199" s="18" t="s">
        <v>118</v>
      </c>
      <c r="D199" s="21">
        <v>1648187</v>
      </c>
      <c r="E199" s="21">
        <v>855907</v>
      </c>
      <c r="F199" s="21">
        <v>792280</v>
      </c>
      <c r="G199" s="19">
        <v>92.57</v>
      </c>
      <c r="H199" s="21">
        <v>1372915</v>
      </c>
      <c r="I199" s="21">
        <v>731919</v>
      </c>
      <c r="J199" s="21">
        <v>640996</v>
      </c>
    </row>
    <row r="200" spans="1:10" x14ac:dyDescent="0.3">
      <c r="A200" s="4">
        <v>45868</v>
      </c>
      <c r="B200" s="18" t="s">
        <v>77</v>
      </c>
      <c r="C200" s="18" t="s">
        <v>118</v>
      </c>
      <c r="D200" s="21">
        <v>1724721</v>
      </c>
      <c r="E200" s="21">
        <v>931754</v>
      </c>
      <c r="F200" s="21">
        <v>792967</v>
      </c>
      <c r="G200" s="19">
        <v>85.1</v>
      </c>
      <c r="H200" s="21">
        <v>1257579</v>
      </c>
      <c r="I200" s="21">
        <v>626121</v>
      </c>
      <c r="J200" s="21">
        <v>631458</v>
      </c>
    </row>
    <row r="201" spans="1:10" x14ac:dyDescent="0.3">
      <c r="A201" s="4">
        <v>45867</v>
      </c>
      <c r="B201" s="18" t="s">
        <v>77</v>
      </c>
      <c r="C201" s="18" t="s">
        <v>118</v>
      </c>
      <c r="D201" s="21">
        <v>788691</v>
      </c>
      <c r="E201" s="21">
        <v>409206</v>
      </c>
      <c r="F201" s="21">
        <v>379485</v>
      </c>
      <c r="G201" s="19">
        <v>92.74</v>
      </c>
      <c r="H201" s="21">
        <v>1234732</v>
      </c>
      <c r="I201" s="21">
        <v>616829</v>
      </c>
      <c r="J201" s="21">
        <v>617903</v>
      </c>
    </row>
    <row r="202" spans="1:10" x14ac:dyDescent="0.3">
      <c r="A202" s="4">
        <v>45866</v>
      </c>
      <c r="B202" s="18" t="s">
        <v>77</v>
      </c>
      <c r="C202" s="18" t="s">
        <v>118</v>
      </c>
      <c r="D202" s="21">
        <v>827159</v>
      </c>
      <c r="E202" s="21">
        <v>418294</v>
      </c>
      <c r="F202" s="21">
        <v>408865</v>
      </c>
      <c r="G202" s="19">
        <v>97.75</v>
      </c>
      <c r="H202" s="21">
        <v>1208708</v>
      </c>
      <c r="I202" s="21">
        <v>612081</v>
      </c>
      <c r="J202" s="21">
        <v>596627</v>
      </c>
    </row>
    <row r="203" spans="1:10" x14ac:dyDescent="0.3">
      <c r="A203" s="4">
        <v>45863</v>
      </c>
      <c r="B203" s="18" t="s">
        <v>77</v>
      </c>
      <c r="C203" s="18" t="s">
        <v>118</v>
      </c>
      <c r="D203" s="21">
        <v>880399</v>
      </c>
      <c r="E203" s="21">
        <v>480369</v>
      </c>
      <c r="F203" s="21">
        <v>400030</v>
      </c>
      <c r="G203" s="19">
        <v>83.28</v>
      </c>
      <c r="H203" s="21">
        <v>1158882</v>
      </c>
      <c r="I203" s="21">
        <v>588853</v>
      </c>
      <c r="J203" s="21">
        <v>570029</v>
      </c>
    </row>
    <row r="204" spans="1:10" x14ac:dyDescent="0.3">
      <c r="A204" s="4">
        <v>45862</v>
      </c>
      <c r="B204" s="18" t="s">
        <v>77</v>
      </c>
      <c r="C204" s="18" t="s">
        <v>118</v>
      </c>
      <c r="D204" s="21">
        <v>987101</v>
      </c>
      <c r="E204" s="21">
        <v>521231</v>
      </c>
      <c r="F204" s="21">
        <v>465870</v>
      </c>
      <c r="G204" s="19">
        <v>89.38</v>
      </c>
      <c r="H204" s="21">
        <v>1050307</v>
      </c>
      <c r="I204" s="21">
        <v>503567</v>
      </c>
      <c r="J204" s="21">
        <v>546740</v>
      </c>
    </row>
    <row r="205" spans="1:10" x14ac:dyDescent="0.3">
      <c r="A205" s="4">
        <v>45861</v>
      </c>
      <c r="B205" s="18" t="s">
        <v>77</v>
      </c>
      <c r="C205" s="18" t="s">
        <v>118</v>
      </c>
      <c r="D205" s="21">
        <v>2055628</v>
      </c>
      <c r="E205" s="21">
        <v>1293033</v>
      </c>
      <c r="F205" s="21">
        <v>762595</v>
      </c>
      <c r="G205" s="19">
        <v>58.98</v>
      </c>
      <c r="H205" s="21">
        <v>930801</v>
      </c>
      <c r="I205" s="21">
        <v>456454</v>
      </c>
      <c r="J205" s="21">
        <v>474347</v>
      </c>
    </row>
    <row r="206" spans="1:10" x14ac:dyDescent="0.3">
      <c r="A206" s="4">
        <v>45860</v>
      </c>
      <c r="B206" s="18" t="s">
        <v>77</v>
      </c>
      <c r="C206" s="18" t="s">
        <v>118</v>
      </c>
      <c r="D206" s="21">
        <v>1747417</v>
      </c>
      <c r="E206" s="21">
        <v>1044592</v>
      </c>
      <c r="F206" s="21">
        <v>702825</v>
      </c>
      <c r="G206" s="19">
        <v>67.28</v>
      </c>
      <c r="H206" s="21">
        <v>1471757</v>
      </c>
      <c r="I206" s="21">
        <v>668005</v>
      </c>
      <c r="J206" s="21">
        <v>803752</v>
      </c>
    </row>
    <row r="207" spans="1:10" x14ac:dyDescent="0.3">
      <c r="A207" s="4">
        <v>45859</v>
      </c>
      <c r="B207" s="18" t="s">
        <v>77</v>
      </c>
      <c r="C207" s="18" t="s">
        <v>118</v>
      </c>
      <c r="D207" s="21">
        <v>1194360</v>
      </c>
      <c r="E207" s="21">
        <v>739649</v>
      </c>
      <c r="F207" s="21">
        <v>454711</v>
      </c>
      <c r="G207" s="19">
        <v>61.48</v>
      </c>
      <c r="H207" s="21">
        <v>1498567</v>
      </c>
      <c r="I207" s="21">
        <v>707871</v>
      </c>
      <c r="J207" s="21">
        <v>790696</v>
      </c>
    </row>
    <row r="208" spans="1:10" x14ac:dyDescent="0.3">
      <c r="A208" s="4">
        <v>45856</v>
      </c>
      <c r="B208" s="18" t="s">
        <v>77</v>
      </c>
      <c r="C208" s="18" t="s">
        <v>118</v>
      </c>
      <c r="D208" s="21">
        <v>1740726</v>
      </c>
      <c r="E208" s="21">
        <v>967824</v>
      </c>
      <c r="F208" s="21">
        <v>772902</v>
      </c>
      <c r="G208" s="19">
        <v>79.86</v>
      </c>
      <c r="H208" s="21">
        <v>1528925</v>
      </c>
      <c r="I208" s="21">
        <v>719837</v>
      </c>
      <c r="J208" s="21">
        <v>809088</v>
      </c>
    </row>
    <row r="209" spans="1:10" x14ac:dyDescent="0.3">
      <c r="A209" s="4">
        <v>45855</v>
      </c>
      <c r="B209" s="18" t="s">
        <v>77</v>
      </c>
      <c r="C209" s="18" t="s">
        <v>118</v>
      </c>
      <c r="D209" s="21">
        <v>1113014</v>
      </c>
      <c r="E209" s="21">
        <v>588267</v>
      </c>
      <c r="F209" s="21">
        <v>524747</v>
      </c>
      <c r="G209" s="19">
        <v>89.2</v>
      </c>
      <c r="H209" s="21">
        <v>1554993</v>
      </c>
      <c r="I209" s="21">
        <v>763246</v>
      </c>
      <c r="J209" s="21">
        <v>791747</v>
      </c>
    </row>
    <row r="210" spans="1:10" x14ac:dyDescent="0.3">
      <c r="A210" s="4">
        <v>45854</v>
      </c>
      <c r="B210" s="18" t="s">
        <v>77</v>
      </c>
      <c r="C210" s="18" t="s">
        <v>118</v>
      </c>
      <c r="D210" s="21">
        <v>1298905</v>
      </c>
      <c r="E210" s="21">
        <v>626378</v>
      </c>
      <c r="F210" s="21">
        <v>672527</v>
      </c>
      <c r="G210" s="19">
        <v>107.37</v>
      </c>
      <c r="H210" s="21">
        <v>1565382</v>
      </c>
      <c r="I210" s="21">
        <v>774495</v>
      </c>
      <c r="J210" s="21">
        <v>790887</v>
      </c>
    </row>
    <row r="211" spans="1:10" x14ac:dyDescent="0.3">
      <c r="A211" s="4">
        <v>45853</v>
      </c>
      <c r="B211" s="18" t="s">
        <v>77</v>
      </c>
      <c r="C211" s="18" t="s">
        <v>118</v>
      </c>
      <c r="D211" s="21">
        <v>1661725</v>
      </c>
      <c r="E211" s="21">
        <v>833562</v>
      </c>
      <c r="F211" s="21">
        <v>828163</v>
      </c>
      <c r="G211" s="19">
        <v>99.35</v>
      </c>
      <c r="H211" s="21">
        <v>1559389</v>
      </c>
      <c r="I211" s="21">
        <v>753022</v>
      </c>
      <c r="J211" s="21">
        <v>806367</v>
      </c>
    </row>
    <row r="212" spans="1:10" x14ac:dyDescent="0.3">
      <c r="A212" s="4">
        <v>45852</v>
      </c>
      <c r="B212" s="18" t="s">
        <v>77</v>
      </c>
      <c r="C212" s="18" t="s">
        <v>118</v>
      </c>
      <c r="D212" s="21">
        <v>1004565</v>
      </c>
      <c r="E212" s="21">
        <v>539811</v>
      </c>
      <c r="F212" s="21">
        <v>464754</v>
      </c>
      <c r="G212" s="19">
        <v>86.1</v>
      </c>
      <c r="H212" s="21">
        <v>1560265</v>
      </c>
      <c r="I212" s="21">
        <v>717423</v>
      </c>
      <c r="J212" s="21">
        <v>842842</v>
      </c>
    </row>
    <row r="213" spans="1:10" x14ac:dyDescent="0.3">
      <c r="A213" s="4">
        <v>45849</v>
      </c>
      <c r="B213" s="18" t="s">
        <v>77</v>
      </c>
      <c r="C213" s="18" t="s">
        <v>118</v>
      </c>
      <c r="D213" s="21">
        <v>2804931</v>
      </c>
      <c r="E213" s="21">
        <v>1605631</v>
      </c>
      <c r="F213" s="21">
        <v>1199300</v>
      </c>
      <c r="G213" s="19">
        <v>74.69</v>
      </c>
      <c r="H213" s="21">
        <v>1518991</v>
      </c>
      <c r="I213" s="21">
        <v>684901</v>
      </c>
      <c r="J213" s="21">
        <v>834090</v>
      </c>
    </row>
    <row r="214" spans="1:10" x14ac:dyDescent="0.3">
      <c r="A214" s="4">
        <v>45848</v>
      </c>
      <c r="B214" s="18" t="s">
        <v>77</v>
      </c>
      <c r="C214" s="18" t="s">
        <v>118</v>
      </c>
      <c r="D214" s="21">
        <v>1496798</v>
      </c>
      <c r="E214" s="21">
        <v>830261</v>
      </c>
      <c r="F214" s="21">
        <v>666537</v>
      </c>
      <c r="G214" s="19">
        <v>80.28</v>
      </c>
      <c r="H214" s="21">
        <v>1414904</v>
      </c>
      <c r="I214" s="21">
        <v>650875</v>
      </c>
      <c r="J214" s="21">
        <v>764029</v>
      </c>
    </row>
    <row r="215" spans="1:10" x14ac:dyDescent="0.3">
      <c r="A215" s="4">
        <v>45847</v>
      </c>
      <c r="B215" s="18" t="s">
        <v>77</v>
      </c>
      <c r="C215" s="18" t="s">
        <v>118</v>
      </c>
      <c r="D215" s="21">
        <v>978327</v>
      </c>
      <c r="E215" s="21">
        <v>522285</v>
      </c>
      <c r="F215" s="21">
        <v>456042</v>
      </c>
      <c r="G215" s="19">
        <v>87.32</v>
      </c>
      <c r="H215" s="21">
        <v>1362826</v>
      </c>
      <c r="I215" s="21">
        <v>658175</v>
      </c>
      <c r="J215" s="21">
        <v>704651</v>
      </c>
    </row>
    <row r="216" spans="1:10" x14ac:dyDescent="0.3">
      <c r="A216" s="4">
        <v>45846</v>
      </c>
      <c r="B216" s="18" t="s">
        <v>77</v>
      </c>
      <c r="C216" s="18" t="s">
        <v>118</v>
      </c>
      <c r="D216" s="21">
        <v>1105697</v>
      </c>
      <c r="E216" s="21">
        <v>633911</v>
      </c>
      <c r="F216" s="21">
        <v>471786</v>
      </c>
      <c r="G216" s="19">
        <v>74.42</v>
      </c>
      <c r="H216" s="21">
        <v>1330415</v>
      </c>
      <c r="I216" s="21">
        <v>649414</v>
      </c>
      <c r="J216" s="21">
        <v>681001</v>
      </c>
    </row>
    <row r="217" spans="1:10" x14ac:dyDescent="0.3">
      <c r="A217" s="4">
        <v>45845</v>
      </c>
      <c r="B217" s="18" t="s">
        <v>77</v>
      </c>
      <c r="C217" s="18" t="s">
        <v>118</v>
      </c>
      <c r="D217" s="21">
        <v>683823</v>
      </c>
      <c r="E217" s="21">
        <v>338269</v>
      </c>
      <c r="F217" s="21">
        <v>345554</v>
      </c>
      <c r="G217" s="19">
        <v>102.15</v>
      </c>
      <c r="H217" s="21">
        <v>1276808</v>
      </c>
      <c r="I217" s="21">
        <v>627664</v>
      </c>
      <c r="J217" s="21">
        <v>649144</v>
      </c>
    </row>
    <row r="218" spans="1:10" x14ac:dyDescent="0.3">
      <c r="A218" s="4">
        <v>45842</v>
      </c>
      <c r="B218" s="18" t="s">
        <v>77</v>
      </c>
      <c r="C218" s="18" t="s">
        <v>118</v>
      </c>
      <c r="D218" s="21">
        <v>1666746</v>
      </c>
      <c r="E218" s="21">
        <v>928945</v>
      </c>
      <c r="F218" s="21">
        <v>737801</v>
      </c>
      <c r="G218" s="19">
        <v>79.42</v>
      </c>
      <c r="H218" s="21">
        <v>1264771</v>
      </c>
      <c r="I218" s="21">
        <v>610012</v>
      </c>
      <c r="J218" s="21">
        <v>654759</v>
      </c>
    </row>
    <row r="219" spans="1:10" x14ac:dyDescent="0.3">
      <c r="A219" s="4">
        <v>45841</v>
      </c>
      <c r="B219" s="18" t="s">
        <v>77</v>
      </c>
      <c r="C219" s="18" t="s">
        <v>118</v>
      </c>
      <c r="D219" s="21">
        <v>707850</v>
      </c>
      <c r="E219" s="21">
        <v>349778</v>
      </c>
      <c r="F219" s="21">
        <v>358072</v>
      </c>
      <c r="G219" s="19">
        <v>102.37</v>
      </c>
      <c r="H219" s="21">
        <v>1227799</v>
      </c>
      <c r="I219" s="21">
        <v>620815</v>
      </c>
      <c r="J219" s="21">
        <v>606984</v>
      </c>
    </row>
    <row r="220" spans="1:10" x14ac:dyDescent="0.3">
      <c r="A220" s="4">
        <v>45840</v>
      </c>
      <c r="B220" s="18" t="s">
        <v>77</v>
      </c>
      <c r="C220" s="18" t="s">
        <v>118</v>
      </c>
      <c r="D220" s="21">
        <v>678180</v>
      </c>
      <c r="E220" s="21">
        <v>360376</v>
      </c>
      <c r="F220" s="21">
        <v>317804</v>
      </c>
      <c r="G220" s="19">
        <v>88.19</v>
      </c>
      <c r="H220" s="21">
        <v>1203633</v>
      </c>
      <c r="I220" s="21">
        <v>617101</v>
      </c>
      <c r="J220" s="21">
        <v>586532</v>
      </c>
    </row>
    <row r="221" spans="1:10" x14ac:dyDescent="0.3">
      <c r="A221" s="4">
        <v>45839</v>
      </c>
      <c r="B221" s="18" t="s">
        <v>77</v>
      </c>
      <c r="C221" s="18" t="s">
        <v>118</v>
      </c>
      <c r="D221" s="21">
        <v>605583</v>
      </c>
      <c r="E221" s="21">
        <v>297597</v>
      </c>
      <c r="F221" s="21">
        <v>307986</v>
      </c>
      <c r="G221" s="19">
        <v>103.49</v>
      </c>
      <c r="H221" s="21">
        <v>1179395</v>
      </c>
      <c r="I221" s="21">
        <v>614653</v>
      </c>
      <c r="J221" s="21">
        <v>564742</v>
      </c>
    </row>
    <row r="222" spans="1:10" x14ac:dyDescent="0.3">
      <c r="A222" s="4">
        <v>45838</v>
      </c>
      <c r="B222" s="18" t="s">
        <v>77</v>
      </c>
      <c r="C222" s="18" t="s">
        <v>118</v>
      </c>
      <c r="D222" s="21">
        <v>752880</v>
      </c>
      <c r="E222" s="21">
        <v>397080</v>
      </c>
      <c r="F222" s="21">
        <v>355800</v>
      </c>
      <c r="G222" s="19">
        <v>89.6</v>
      </c>
      <c r="H222" s="21">
        <v>1152296</v>
      </c>
      <c r="I222" s="21">
        <v>608764</v>
      </c>
      <c r="J222" s="21">
        <v>543532</v>
      </c>
    </row>
    <row r="223" spans="1:10" x14ac:dyDescent="0.3">
      <c r="A223" s="4">
        <v>45835</v>
      </c>
      <c r="B223" s="18" t="s">
        <v>77</v>
      </c>
      <c r="C223" s="18" t="s">
        <v>118</v>
      </c>
      <c r="D223" s="21">
        <v>1397718</v>
      </c>
      <c r="E223" s="21">
        <v>718154</v>
      </c>
      <c r="F223" s="21">
        <v>679564</v>
      </c>
      <c r="G223" s="19">
        <v>94.63</v>
      </c>
      <c r="H223" s="21">
        <v>1097766</v>
      </c>
      <c r="I223" s="21">
        <v>579541</v>
      </c>
      <c r="J223" s="21">
        <v>518225</v>
      </c>
    </row>
    <row r="224" spans="1:10" x14ac:dyDescent="0.3">
      <c r="A224" s="4">
        <v>45834</v>
      </c>
      <c r="B224" s="18" t="s">
        <v>77</v>
      </c>
      <c r="C224" s="18" t="s">
        <v>118</v>
      </c>
      <c r="D224" s="21">
        <v>927249</v>
      </c>
      <c r="E224" s="21">
        <v>517402</v>
      </c>
      <c r="F224" s="21">
        <v>409847</v>
      </c>
      <c r="G224" s="19">
        <v>79.209999999999994</v>
      </c>
      <c r="H224" s="21">
        <v>1023055</v>
      </c>
      <c r="I224" s="21">
        <v>497206</v>
      </c>
      <c r="J224" s="21">
        <v>525849</v>
      </c>
    </row>
    <row r="225" spans="1:10" x14ac:dyDescent="0.3">
      <c r="A225" s="4">
        <v>45833</v>
      </c>
      <c r="B225" s="18" t="s">
        <v>77</v>
      </c>
      <c r="C225" s="18" t="s">
        <v>118</v>
      </c>
      <c r="D225" s="21">
        <v>1684185</v>
      </c>
      <c r="E225" s="21">
        <v>1020870</v>
      </c>
      <c r="F225" s="21">
        <v>663315</v>
      </c>
      <c r="G225" s="19">
        <v>64.98</v>
      </c>
      <c r="H225" s="21">
        <v>894877</v>
      </c>
      <c r="I225" s="21">
        <v>418851</v>
      </c>
      <c r="J225" s="21">
        <v>476026</v>
      </c>
    </row>
    <row r="226" spans="1:10" x14ac:dyDescent="0.3">
      <c r="A226" s="4">
        <v>45832</v>
      </c>
      <c r="B226" s="18" t="s">
        <v>77</v>
      </c>
      <c r="C226" s="18" t="s">
        <v>118</v>
      </c>
      <c r="D226" s="21">
        <v>1618218</v>
      </c>
      <c r="E226" s="21">
        <v>885162</v>
      </c>
      <c r="F226" s="21">
        <v>733056</v>
      </c>
      <c r="G226" s="19">
        <v>82.82</v>
      </c>
      <c r="H226" s="21">
        <v>1450681</v>
      </c>
      <c r="I226" s="21">
        <v>695146</v>
      </c>
      <c r="J226" s="21">
        <v>755535</v>
      </c>
    </row>
    <row r="227" spans="1:10" x14ac:dyDescent="0.3">
      <c r="A227" s="4">
        <v>45831</v>
      </c>
      <c r="B227" s="18" t="s">
        <v>77</v>
      </c>
      <c r="C227" s="18" t="s">
        <v>118</v>
      </c>
      <c r="D227" s="21">
        <v>1349429</v>
      </c>
      <c r="E227" s="21">
        <v>624093</v>
      </c>
      <c r="F227" s="21">
        <v>725336</v>
      </c>
      <c r="G227" s="19">
        <v>116.22</v>
      </c>
      <c r="H227" s="21">
        <v>1418742</v>
      </c>
      <c r="I227" s="21">
        <v>713584</v>
      </c>
      <c r="J227" s="21">
        <v>705158</v>
      </c>
    </row>
    <row r="228" spans="1:10" x14ac:dyDescent="0.3">
      <c r="A228" s="4">
        <v>45828</v>
      </c>
      <c r="B228" s="18" t="s">
        <v>77</v>
      </c>
      <c r="C228" s="18" t="s">
        <v>118</v>
      </c>
      <c r="D228" s="21">
        <v>1011244</v>
      </c>
      <c r="E228" s="21">
        <v>490284</v>
      </c>
      <c r="F228" s="21">
        <v>520960</v>
      </c>
      <c r="G228" s="19">
        <v>106.26</v>
      </c>
      <c r="H228" s="21">
        <v>1436598</v>
      </c>
      <c r="I228" s="21">
        <v>747535</v>
      </c>
      <c r="J228" s="21">
        <v>689063</v>
      </c>
    </row>
    <row r="229" spans="1:10" x14ac:dyDescent="0.3">
      <c r="A229" s="4">
        <v>45827</v>
      </c>
      <c r="B229" s="18" t="s">
        <v>77</v>
      </c>
      <c r="C229" s="18" t="s">
        <v>118</v>
      </c>
      <c r="D229" s="21">
        <v>1151435</v>
      </c>
      <c r="E229" s="21">
        <v>566058</v>
      </c>
      <c r="F229" s="21">
        <v>585377</v>
      </c>
      <c r="G229" s="19">
        <v>103.41</v>
      </c>
      <c r="H229" s="21">
        <v>1488973</v>
      </c>
      <c r="I229" s="21">
        <v>796239</v>
      </c>
      <c r="J229" s="21">
        <v>692734</v>
      </c>
    </row>
    <row r="230" spans="1:10" x14ac:dyDescent="0.3">
      <c r="A230" s="4">
        <v>45826</v>
      </c>
      <c r="B230" s="18" t="s">
        <v>77</v>
      </c>
      <c r="C230" s="18" t="s">
        <v>118</v>
      </c>
      <c r="D230" s="21">
        <v>890097</v>
      </c>
      <c r="E230" s="21">
        <v>465943</v>
      </c>
      <c r="F230" s="21">
        <v>424154</v>
      </c>
      <c r="G230" s="19">
        <v>91.03</v>
      </c>
      <c r="H230" s="21">
        <v>1476212</v>
      </c>
      <c r="I230" s="21">
        <v>776952</v>
      </c>
      <c r="J230" s="21">
        <v>699260</v>
      </c>
    </row>
    <row r="231" spans="1:10" x14ac:dyDescent="0.3">
      <c r="A231" s="4">
        <v>45825</v>
      </c>
      <c r="B231" s="18" t="s">
        <v>77</v>
      </c>
      <c r="C231" s="18" t="s">
        <v>118</v>
      </c>
      <c r="D231" s="21">
        <v>784716</v>
      </c>
      <c r="E231" s="21">
        <v>370013</v>
      </c>
      <c r="F231" s="21">
        <v>414703</v>
      </c>
      <c r="G231" s="19">
        <v>112.08</v>
      </c>
      <c r="H231" s="21">
        <v>1477780</v>
      </c>
      <c r="I231" s="21">
        <v>774171</v>
      </c>
      <c r="J231" s="21">
        <v>703609</v>
      </c>
    </row>
    <row r="232" spans="1:10" x14ac:dyDescent="0.3">
      <c r="A232" s="4">
        <v>45824</v>
      </c>
      <c r="B232" s="18" t="s">
        <v>77</v>
      </c>
      <c r="C232" s="18" t="s">
        <v>118</v>
      </c>
      <c r="D232" s="21">
        <v>949345</v>
      </c>
      <c r="E232" s="21">
        <v>468316</v>
      </c>
      <c r="F232" s="21">
        <v>481029</v>
      </c>
      <c r="G232" s="19">
        <v>102.71</v>
      </c>
      <c r="H232" s="21">
        <v>1453416</v>
      </c>
      <c r="I232" s="21">
        <v>749016</v>
      </c>
      <c r="J232" s="21">
        <v>704400</v>
      </c>
    </row>
    <row r="233" spans="1:10" x14ac:dyDescent="0.3">
      <c r="A233" s="4">
        <v>45821</v>
      </c>
      <c r="B233" s="18" t="s">
        <v>77</v>
      </c>
      <c r="C233" s="18" t="s">
        <v>118</v>
      </c>
      <c r="D233" s="21">
        <v>936138</v>
      </c>
      <c r="E233" s="21">
        <v>469444</v>
      </c>
      <c r="F233" s="21">
        <v>466694</v>
      </c>
      <c r="G233" s="19">
        <v>99.41</v>
      </c>
      <c r="H233" s="21">
        <v>1440691</v>
      </c>
      <c r="I233" s="21">
        <v>762989</v>
      </c>
      <c r="J233" s="21">
        <v>677702</v>
      </c>
    </row>
    <row r="234" spans="1:10" x14ac:dyDescent="0.3">
      <c r="A234" s="4">
        <v>45820</v>
      </c>
      <c r="B234" s="18" t="s">
        <v>77</v>
      </c>
      <c r="C234" s="18" t="s">
        <v>118</v>
      </c>
      <c r="D234" s="21">
        <v>726421</v>
      </c>
      <c r="E234" s="21">
        <v>371286</v>
      </c>
      <c r="F234" s="21">
        <v>355135</v>
      </c>
      <c r="G234" s="19">
        <v>95.65</v>
      </c>
      <c r="H234" s="21">
        <v>1401485</v>
      </c>
      <c r="I234" s="21">
        <v>716438</v>
      </c>
      <c r="J234" s="21">
        <v>685047</v>
      </c>
    </row>
    <row r="235" spans="1:10" x14ac:dyDescent="0.3">
      <c r="A235" s="4">
        <v>45819</v>
      </c>
      <c r="B235" s="18" t="s">
        <v>77</v>
      </c>
      <c r="C235" s="18" t="s">
        <v>118</v>
      </c>
      <c r="D235" s="21">
        <v>963510</v>
      </c>
      <c r="E235" s="21">
        <v>516233</v>
      </c>
      <c r="F235" s="21">
        <v>447277</v>
      </c>
      <c r="G235" s="19">
        <v>86.64</v>
      </c>
      <c r="H235" s="21">
        <v>1383607</v>
      </c>
      <c r="I235" s="21">
        <v>707231</v>
      </c>
      <c r="J235" s="21">
        <v>676376</v>
      </c>
    </row>
    <row r="236" spans="1:10" x14ac:dyDescent="0.3">
      <c r="A236" s="4">
        <v>45818</v>
      </c>
      <c r="B236" s="18" t="s">
        <v>77</v>
      </c>
      <c r="C236" s="18" t="s">
        <v>118</v>
      </c>
      <c r="D236" s="21">
        <v>1087463</v>
      </c>
      <c r="E236" s="21">
        <v>537174</v>
      </c>
      <c r="F236" s="21">
        <v>550289</v>
      </c>
      <c r="G236" s="19">
        <v>102.44</v>
      </c>
      <c r="H236" s="21">
        <v>1373156</v>
      </c>
      <c r="I236" s="21">
        <v>726127</v>
      </c>
      <c r="J236" s="21">
        <v>647029</v>
      </c>
    </row>
    <row r="237" spans="1:10" x14ac:dyDescent="0.3">
      <c r="A237" s="4">
        <v>45817</v>
      </c>
      <c r="B237" s="18" t="s">
        <v>77</v>
      </c>
      <c r="C237" s="18" t="s">
        <v>118</v>
      </c>
      <c r="D237" s="21">
        <v>797217</v>
      </c>
      <c r="E237" s="21">
        <v>411175</v>
      </c>
      <c r="F237" s="21">
        <v>386042</v>
      </c>
      <c r="G237" s="19">
        <v>93.89</v>
      </c>
      <c r="H237" s="21">
        <v>1375089</v>
      </c>
      <c r="I237" s="21">
        <v>714679</v>
      </c>
      <c r="J237" s="21">
        <v>660410</v>
      </c>
    </row>
    <row r="238" spans="1:10" x14ac:dyDescent="0.3">
      <c r="A238" s="4">
        <v>45814</v>
      </c>
      <c r="B238" s="18" t="s">
        <v>77</v>
      </c>
      <c r="C238" s="18" t="s">
        <v>118</v>
      </c>
      <c r="D238" s="21">
        <v>566030</v>
      </c>
      <c r="E238" s="21">
        <v>306297</v>
      </c>
      <c r="F238" s="21">
        <v>259733</v>
      </c>
      <c r="G238" s="19">
        <v>84.8</v>
      </c>
      <c r="H238" s="21">
        <v>1333993</v>
      </c>
      <c r="I238" s="21">
        <v>687104</v>
      </c>
      <c r="J238" s="21">
        <v>646889</v>
      </c>
    </row>
    <row r="239" spans="1:10" x14ac:dyDescent="0.3">
      <c r="A239" s="4">
        <v>45813</v>
      </c>
      <c r="B239" s="18" t="s">
        <v>77</v>
      </c>
      <c r="C239" s="18" t="s">
        <v>118</v>
      </c>
      <c r="D239" s="21">
        <v>597495</v>
      </c>
      <c r="E239" s="21">
        <v>326426</v>
      </c>
      <c r="F239" s="21">
        <v>271069</v>
      </c>
      <c r="G239" s="19">
        <v>83.04</v>
      </c>
      <c r="H239" s="21">
        <v>1304925</v>
      </c>
      <c r="I239" s="21">
        <v>669658</v>
      </c>
      <c r="J239" s="21">
        <v>635267</v>
      </c>
    </row>
    <row r="240" spans="1:10" x14ac:dyDescent="0.3">
      <c r="A240" s="4">
        <v>45812</v>
      </c>
      <c r="B240" s="18" t="s">
        <v>77</v>
      </c>
      <c r="C240" s="18" t="s">
        <v>118</v>
      </c>
      <c r="D240" s="21">
        <v>634543</v>
      </c>
      <c r="E240" s="21">
        <v>325618</v>
      </c>
      <c r="F240" s="21">
        <v>308925</v>
      </c>
      <c r="G240" s="19">
        <v>94.87</v>
      </c>
      <c r="H240" s="21">
        <v>1271921</v>
      </c>
      <c r="I240" s="21">
        <v>646614</v>
      </c>
      <c r="J240" s="21">
        <v>625307</v>
      </c>
    </row>
    <row r="241" spans="1:10" x14ac:dyDescent="0.3">
      <c r="A241" s="4">
        <v>45811</v>
      </c>
      <c r="B241" s="18" t="s">
        <v>77</v>
      </c>
      <c r="C241" s="18" t="s">
        <v>118</v>
      </c>
      <c r="D241" s="21">
        <v>873745</v>
      </c>
      <c r="E241" s="21">
        <v>410510</v>
      </c>
      <c r="F241" s="21">
        <v>463235</v>
      </c>
      <c r="G241" s="19">
        <v>112.84</v>
      </c>
      <c r="H241" s="21">
        <v>1228136</v>
      </c>
      <c r="I241" s="21">
        <v>625297</v>
      </c>
      <c r="J241" s="21">
        <v>602839</v>
      </c>
    </row>
    <row r="242" spans="1:10" x14ac:dyDescent="0.3">
      <c r="A242" s="4">
        <v>45807</v>
      </c>
      <c r="B242" s="18" t="s">
        <v>77</v>
      </c>
      <c r="C242" s="18" t="s">
        <v>118</v>
      </c>
      <c r="D242" s="21">
        <v>918564</v>
      </c>
      <c r="E242" s="21">
        <v>427775</v>
      </c>
      <c r="F242" s="21">
        <v>490789</v>
      </c>
      <c r="G242" s="19">
        <v>114.73</v>
      </c>
      <c r="H242" s="21">
        <v>1135430</v>
      </c>
      <c r="I242" s="21">
        <v>585424</v>
      </c>
      <c r="J242" s="21">
        <v>550006</v>
      </c>
    </row>
    <row r="243" spans="1:10" x14ac:dyDescent="0.3">
      <c r="A243" s="4">
        <v>45806</v>
      </c>
      <c r="B243" s="18" t="s">
        <v>77</v>
      </c>
      <c r="C243" s="18" t="s">
        <v>118</v>
      </c>
      <c r="D243" s="21">
        <v>905794</v>
      </c>
      <c r="E243" s="21">
        <v>453724</v>
      </c>
      <c r="F243" s="21">
        <v>452070</v>
      </c>
      <c r="G243" s="19">
        <v>99.64</v>
      </c>
      <c r="H243" s="21">
        <v>1074391</v>
      </c>
      <c r="I243" s="21">
        <v>549587</v>
      </c>
      <c r="J243" s="21">
        <v>524804</v>
      </c>
    </row>
    <row r="244" spans="1:10" x14ac:dyDescent="0.3">
      <c r="A244" s="4">
        <v>45805</v>
      </c>
      <c r="B244" s="18" t="s">
        <v>77</v>
      </c>
      <c r="C244" s="18" t="s">
        <v>118</v>
      </c>
      <c r="D244" s="21">
        <v>915776</v>
      </c>
      <c r="E244" s="21">
        <v>441244</v>
      </c>
      <c r="F244" s="21">
        <v>474532</v>
      </c>
      <c r="G244" s="19">
        <v>107.54</v>
      </c>
      <c r="H244" s="21">
        <v>940460</v>
      </c>
      <c r="I244" s="21">
        <v>485158</v>
      </c>
      <c r="J244" s="21">
        <v>455302</v>
      </c>
    </row>
    <row r="245" spans="1:10" x14ac:dyDescent="0.3">
      <c r="A245" s="4">
        <v>45804</v>
      </c>
      <c r="B245" s="18" t="s">
        <v>77</v>
      </c>
      <c r="C245" s="18" t="s">
        <v>118</v>
      </c>
      <c r="D245" s="21">
        <v>999777</v>
      </c>
      <c r="E245" s="21">
        <v>482756</v>
      </c>
      <c r="F245" s="21">
        <v>517021</v>
      </c>
      <c r="G245" s="19">
        <v>107.1</v>
      </c>
      <c r="H245" s="21">
        <v>1490939</v>
      </c>
      <c r="I245" s="21">
        <v>751526</v>
      </c>
      <c r="J245" s="21">
        <v>739413</v>
      </c>
    </row>
    <row r="246" spans="1:10" x14ac:dyDescent="0.3">
      <c r="A246" s="4">
        <v>45803</v>
      </c>
      <c r="B246" s="18" t="s">
        <v>77</v>
      </c>
      <c r="C246" s="18" t="s">
        <v>118</v>
      </c>
      <c r="D246" s="21">
        <v>1089942</v>
      </c>
      <c r="E246" s="21">
        <v>541931</v>
      </c>
      <c r="F246" s="21">
        <v>548011</v>
      </c>
      <c r="G246" s="19">
        <v>101.12</v>
      </c>
      <c r="H246" s="21">
        <v>1488838</v>
      </c>
      <c r="I246" s="21">
        <v>731393</v>
      </c>
      <c r="J246" s="21">
        <v>757445</v>
      </c>
    </row>
    <row r="247" spans="1:10" x14ac:dyDescent="0.3">
      <c r="A247" s="4">
        <v>45800</v>
      </c>
      <c r="B247" s="18" t="s">
        <v>77</v>
      </c>
      <c r="C247" s="18" t="s">
        <v>118</v>
      </c>
      <c r="D247" s="21">
        <v>1306530</v>
      </c>
      <c r="E247" s="21">
        <v>672460</v>
      </c>
      <c r="F247" s="21">
        <v>634070</v>
      </c>
      <c r="G247" s="19">
        <v>94.29</v>
      </c>
      <c r="H247" s="21">
        <v>1498215</v>
      </c>
      <c r="I247" s="21">
        <v>720644</v>
      </c>
      <c r="J247" s="21">
        <v>777571</v>
      </c>
    </row>
    <row r="248" spans="1:10" x14ac:dyDescent="0.3">
      <c r="A248" s="4">
        <v>45799</v>
      </c>
      <c r="B248" s="18" t="s">
        <v>77</v>
      </c>
      <c r="C248" s="18" t="s">
        <v>118</v>
      </c>
      <c r="D248" s="21">
        <v>868023</v>
      </c>
      <c r="E248" s="21">
        <v>438169</v>
      </c>
      <c r="F248" s="21">
        <v>429854</v>
      </c>
      <c r="G248" s="19">
        <v>98.1</v>
      </c>
      <c r="H248" s="21">
        <v>1488450</v>
      </c>
      <c r="I248" s="21">
        <v>686772</v>
      </c>
      <c r="J248" s="21">
        <v>801678</v>
      </c>
    </row>
    <row r="249" spans="1:10" x14ac:dyDescent="0.3">
      <c r="A249" s="4">
        <v>45798</v>
      </c>
      <c r="B249" s="18" t="s">
        <v>77</v>
      </c>
      <c r="C249" s="18" t="s">
        <v>118</v>
      </c>
      <c r="D249" s="21">
        <v>963262</v>
      </c>
      <c r="E249" s="21">
        <v>540768</v>
      </c>
      <c r="F249" s="21">
        <v>422494</v>
      </c>
      <c r="G249" s="19">
        <v>78.13</v>
      </c>
      <c r="H249" s="21">
        <v>1492623</v>
      </c>
      <c r="I249" s="21">
        <v>694994</v>
      </c>
      <c r="J249" s="21">
        <v>797629</v>
      </c>
    </row>
    <row r="250" spans="1:10" x14ac:dyDescent="0.3">
      <c r="A250" s="4">
        <v>45797</v>
      </c>
      <c r="B250" s="18" t="s">
        <v>77</v>
      </c>
      <c r="C250" s="18" t="s">
        <v>118</v>
      </c>
      <c r="D250" s="21">
        <v>985960</v>
      </c>
      <c r="E250" s="21">
        <v>558834</v>
      </c>
      <c r="F250" s="21">
        <v>427126</v>
      </c>
      <c r="G250" s="19">
        <v>76.430000000000007</v>
      </c>
      <c r="H250" s="21">
        <v>1504966</v>
      </c>
      <c r="I250" s="21">
        <v>719166</v>
      </c>
      <c r="J250" s="21">
        <v>785800</v>
      </c>
    </row>
    <row r="251" spans="1:10" x14ac:dyDescent="0.3">
      <c r="A251" s="4">
        <v>45796</v>
      </c>
      <c r="B251" s="18" t="s">
        <v>77</v>
      </c>
      <c r="C251" s="18" t="s">
        <v>118</v>
      </c>
      <c r="D251" s="21">
        <v>810146</v>
      </c>
      <c r="E251" s="21">
        <v>399185</v>
      </c>
      <c r="F251" s="21">
        <v>410961</v>
      </c>
      <c r="G251" s="19">
        <v>102.95</v>
      </c>
      <c r="H251" s="21">
        <v>1500542</v>
      </c>
      <c r="I251" s="21">
        <v>730483</v>
      </c>
      <c r="J251" s="21">
        <v>770059</v>
      </c>
    </row>
    <row r="252" spans="1:10" x14ac:dyDescent="0.3">
      <c r="A252" s="4">
        <v>45793</v>
      </c>
      <c r="B252" s="18" t="s">
        <v>77</v>
      </c>
      <c r="C252" s="18" t="s">
        <v>118</v>
      </c>
      <c r="D252" s="21">
        <v>1065182</v>
      </c>
      <c r="E252" s="21">
        <v>523427</v>
      </c>
      <c r="F252" s="21">
        <v>541755</v>
      </c>
      <c r="G252" s="19">
        <v>103.5</v>
      </c>
      <c r="H252" s="21">
        <v>1472007</v>
      </c>
      <c r="I252" s="21">
        <v>699422</v>
      </c>
      <c r="J252" s="21">
        <v>772585</v>
      </c>
    </row>
    <row r="253" spans="1:10" x14ac:dyDescent="0.3">
      <c r="A253" s="4">
        <v>45792</v>
      </c>
      <c r="B253" s="18" t="s">
        <v>77</v>
      </c>
      <c r="C253" s="18" t="s">
        <v>118</v>
      </c>
      <c r="D253" s="21">
        <v>963978</v>
      </c>
      <c r="E253" s="21">
        <v>524398</v>
      </c>
      <c r="F253" s="21">
        <v>439580</v>
      </c>
      <c r="G253" s="19">
        <v>83.83</v>
      </c>
      <c r="H253" s="21">
        <v>1434712</v>
      </c>
      <c r="I253" s="21">
        <v>645846</v>
      </c>
      <c r="J253" s="21">
        <v>788866</v>
      </c>
    </row>
    <row r="254" spans="1:10" x14ac:dyDescent="0.3">
      <c r="A254" s="4">
        <v>45791</v>
      </c>
      <c r="B254" s="18" t="s">
        <v>77</v>
      </c>
      <c r="C254" s="18" t="s">
        <v>118</v>
      </c>
      <c r="D254" s="21">
        <v>1964625</v>
      </c>
      <c r="E254" s="21">
        <v>1133187</v>
      </c>
      <c r="F254" s="21">
        <v>831438</v>
      </c>
      <c r="G254" s="19">
        <v>73.37</v>
      </c>
      <c r="H254" s="21">
        <v>1421097</v>
      </c>
      <c r="I254" s="21">
        <v>618897</v>
      </c>
      <c r="J254" s="21">
        <v>802200</v>
      </c>
    </row>
    <row r="255" spans="1:10" x14ac:dyDescent="0.3">
      <c r="A255" s="4">
        <v>45790</v>
      </c>
      <c r="B255" s="18" t="s">
        <v>77</v>
      </c>
      <c r="C255" s="18" t="s">
        <v>118</v>
      </c>
      <c r="D255" s="21">
        <v>674418</v>
      </c>
      <c r="E255" s="21">
        <v>343928</v>
      </c>
      <c r="F255" s="21">
        <v>330490</v>
      </c>
      <c r="G255" s="19">
        <v>96.09</v>
      </c>
      <c r="H255" s="21">
        <v>1381532</v>
      </c>
      <c r="I255" s="21">
        <v>656042</v>
      </c>
      <c r="J255" s="21">
        <v>725490</v>
      </c>
    </row>
  </sheetData>
  <sortState xmlns:xlrd2="http://schemas.microsoft.com/office/spreadsheetml/2017/richdata2" ref="L5:N7">
    <sortCondition ref="L5:L7"/>
  </sortState>
  <mergeCells count="1">
    <mergeCell ref="A1:I5"/>
  </mergeCells>
  <phoneticPr fontId="7" type="noConversion"/>
  <pageMargins left="0.7" right="0.7" top="0.75" bottom="0.75" header="0.3" footer="0.3"/>
  <pageSetup orientation="portrait" horizontalDpi="1200" verticalDpi="1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权益-全球股指</vt:lpstr>
      <vt:lpstr>权益-A股交易量</vt:lpstr>
      <vt:lpstr>权益-南北向</vt:lpstr>
      <vt:lpstr>权益-两融余额</vt:lpstr>
      <vt:lpstr>权益-VIX</vt:lpstr>
      <vt:lpstr>权益-散户情绪资金流向</vt:lpstr>
      <vt:lpstr>固收-债券指数</vt:lpstr>
      <vt:lpstr>固收-债券收益率</vt:lpstr>
      <vt:lpstr>固收-DR001收盘价</vt:lpstr>
      <vt:lpstr>固收-同业拆借利率</vt:lpstr>
      <vt:lpstr>外汇-美元指数&amp;人民币汇率</vt:lpstr>
      <vt:lpstr>大宗商品-石油价格</vt:lpstr>
      <vt:lpstr>大宗商品-黄金价格</vt:lpstr>
      <vt:lpstr>衍生品-50ETF期权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Xiayi Hu</cp:lastModifiedBy>
  <dcterms:created xsi:type="dcterms:W3CDTF">2006-09-16T00:00:00Z</dcterms:created>
  <dcterms:modified xsi:type="dcterms:W3CDTF">2026-05-13T01:18:44Z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0b6a2662</vt:lpwstr>
  </property>
  <property fmtid="{D5CDD505-2E9C-101B-9397-08002B2CF9AE}" pid="3" name="KSOProductBuildVer">
    <vt:lpwstr>2052-11.8.2.10393</vt:lpwstr>
  </property>
</Properties>
</file>